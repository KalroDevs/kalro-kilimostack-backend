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Crop" sheetId="2" r:id="rId5"/>
    <sheet state="visible" name="Cassava" sheetId="3" r:id="rId6"/>
    <sheet state="visible" name="Summary" sheetId="4" r:id="rId7"/>
  </sheets>
  <definedNames>
    <definedName hidden="1" localSheetId="1" name="_xlnm._FilterDatabase">Crop!$B$5:$T$11</definedName>
    <definedName hidden="1" localSheetId="2" name="_xlnm._FilterDatabase">Cassava!$A$3:$F$3</definedName>
  </definedNames>
  <calcPr/>
  <extLst>
    <ext uri="GoogleSheetsCustomDataVersion2">
      <go:sheetsCustomData xmlns:go="http://customooxmlschemas.google.com/" r:id="rId8" roundtripDataChecksum="zrqvs3RhuuLMvXxUhtfO/My+zD5xuP4UAG8TAyw2j9k="/>
    </ext>
  </extLst>
</workbook>
</file>

<file path=xl/sharedStrings.xml><?xml version="1.0" encoding="utf-8"?>
<sst xmlns="http://schemas.openxmlformats.org/spreadsheetml/2006/main" count="401" uniqueCount="292">
  <si>
    <t>Screen &amp; Classify — Working Template</t>
  </si>
  <si>
    <t>Check scientific accuracy &amp; currency; sort by crop, topic and content type</t>
  </si>
  <si>
    <t>Screen &amp; Classify — Crop</t>
  </si>
  <si>
    <t>Purpose</t>
  </si>
  <si>
    <t>•  This is the working template for the Screen &amp; Classify step: checking each inventoried item's scientific accuracy and currency, then sorting/classifying it by crop, topic and content type.</t>
  </si>
  <si>
    <t>Screen &amp; classify crop advisory content — production guides, agronomy, variety information</t>
  </si>
  <si>
    <t>•  It follows on from the Content Inventory template — every item sourced there gets screened here before it is certified for the Kenya Advisory Knowledge Hub.</t>
  </si>
  <si>
    <t>How to Use This Workbook</t>
  </si>
  <si>
    <t>Check scientific accuracy &amp; currency, then sort/classify by crop, topic and content type. Gold-shaded cells are yours to complete. Dropdown columns are marked in the header. The ID column fills itself in. Use the filter arrows on the header row to sort by any field.</t>
  </si>
  <si>
    <t>•  Each group has its own tab: Crop, Livestock, Fisheries, Soil, and Pest &amp; Disease.</t>
  </si>
  <si>
    <t>•  One row = one content item (one source publication/brochure/guide).</t>
  </si>
  <si>
    <t>•  The first data row on each tab is a worked EXAMPLE (greyed out) — reference only, do not edit. The Livestock tab's example is drawn from a real KALRO publication; see the 'Camel Calf Example' tab for its full section-level breakdown.</t>
  </si>
  <si>
    <t>Cassava</t>
  </si>
  <si>
    <t>•  Gold-shaded cells are yours to complete. The ID column auto-numbers itself.</t>
  </si>
  <si>
    <t>•  Use the filter arrows on the header row to sort or filter by Value Chain/Commodity, Advisory Domain/Topic, or Content Type.</t>
  </si>
  <si>
    <t>Screening Checks</t>
  </si>
  <si>
    <t>•  Currency Status — Current: reviewed/published within the last 2 years. Needs Update: 2-4 years old. Outdated: over 4 years old. Needs Verification: no review date on record.</t>
  </si>
  <si>
    <t>•  Scientific Accuracy Check — Verified: content checked against current science/regulation. Needs Review: unverified or has open questions. Flagged - Inaccurate: known errors, do not use until corrected.</t>
  </si>
  <si>
    <t>ID</t>
  </si>
  <si>
    <t>•  Validation Status — source_validated (validated by the originating institution), expert_reviewed (independently reviewed), pending_validation, or not_validated.</t>
  </si>
  <si>
    <t>Screening Summary (live count)</t>
  </si>
  <si>
    <t>•  Risk Level — flag High for anything involving drug/acaricide dosage, veterinary treatment, or other content where a wrong answer could harm people, animals or livelihoods. High-risk items should default to Quality Flag 'Needs Review' until an expert signs off.</t>
  </si>
  <si>
    <t>Field Definitions</t>
  </si>
  <si>
    <t>Content Title</t>
  </si>
  <si>
    <t>Publication ID / Source Link</t>
  </si>
  <si>
    <t>Institution &amp; Author(s)</t>
  </si>
  <si>
    <t>#</t>
  </si>
  <si>
    <t>Title of the source publication/brochure/guide.</t>
  </si>
  <si>
    <t>Publish Date</t>
  </si>
  <si>
    <t>Value Chain / Commodity</t>
  </si>
  <si>
    <t>Updates automatically as each group screens and classifies its items.</t>
  </si>
  <si>
    <t>Unique publication ID and/or URL where the source can be found.</t>
  </si>
  <si>
    <t>Advisory Domain / Topic</t>
  </si>
  <si>
    <t>Section Header</t>
  </si>
  <si>
    <t>Content Type</t>
  </si>
  <si>
    <t>Content Summary</t>
  </si>
  <si>
    <t>Originating institution and named author(s).</t>
  </si>
  <si>
    <t>Format</t>
  </si>
  <si>
    <t>Pages</t>
  </si>
  <si>
    <t>Production System</t>
  </si>
  <si>
    <t>Content Warnings</t>
  </si>
  <si>
    <t>Date the source was published.</t>
  </si>
  <si>
    <t>Target Users</t>
  </si>
  <si>
    <t>Content Tags</t>
  </si>
  <si>
    <t>Country / AEZ</t>
  </si>
  <si>
    <t>Last Reviewed
(Currency Check)</t>
  </si>
  <si>
    <t>Crop, livestock species, fish species or theme this item addresses.</t>
  </si>
  <si>
    <t>Status</t>
  </si>
  <si>
    <t>Currency Status</t>
  </si>
  <si>
    <t>Group</t>
  </si>
  <si>
    <t>Scientific Accuracy Check</t>
  </si>
  <si>
    <t>The specific advisory topics covered (e.g. calving management, tick control).</t>
  </si>
  <si>
    <t>Validation Status</t>
  </si>
  <si>
    <t>Risk Level</t>
  </si>
  <si>
    <t>Production guide, protocol/SOP, factsheet, advisory bulletin, brochure, training manual, poster/infographic, video.</t>
  </si>
  <si>
    <t>Quality Flag</t>
  </si>
  <si>
    <t>Screening Notes / Escalation Guidance</t>
  </si>
  <si>
    <t>The medium the content exists in (PDF, text, video, etc.).</t>
  </si>
  <si>
    <t>Farming/production system the content applies to (e.g. pastoral, smallholder mixed farming).</t>
  </si>
  <si>
    <t>Total Items</t>
  </si>
  <si>
    <t>CROP-EX</t>
  </si>
  <si>
    <t>Who the advisory is written for (farmers, extension officers, CAHWs, etc.).</t>
  </si>
  <si>
    <t>Geographic and agro-ecological applicability.</t>
  </si>
  <si>
    <t>Last Reviewed (Currency Check)</t>
  </si>
  <si>
    <t>Ready to Certify</t>
  </si>
  <si>
    <t>Maize (Zea mays) Production Guide - Highland Zones</t>
  </si>
  <si>
    <t>Date the content was last checked for scientific currency.</t>
  </si>
  <si>
    <t>Cassava variety MM95/0183 (Cassava)</t>
  </si>
  <si>
    <t>Needs Review</t>
  </si>
  <si>
    <t>Result of the currency check — see Screening Checks above.</t>
  </si>
  <si>
    <t>Mid-maturing variety ready for harvest from 8–12 months after planting, medium/high yielding 25–62 t/ha, sweet tasting (low cyanide content 7.9 mg/100 g). Tolerant to CBSD, CBB, CMD, CMB and CGM with 26% dry matter. Performs well at 800–1200 mm rainfall, altitudes of 800–1500 m.a.s.l. and temperatures of 14–30 °C.</t>
  </si>
  <si>
    <t>KALRO-CROP-2024-011</t>
  </si>
  <si>
    <t>KALRO Katumani / J. Mwangi</t>
  </si>
  <si>
    <t>Needs Update</t>
  </si>
  <si>
    <t>Result of the accuracy check — see Screening Checks above.</t>
  </si>
  <si>
    <t>CASSAVA-1</t>
  </si>
  <si>
    <t>2024-03-15</t>
  </si>
  <si>
    <t>Who has validated the content and to what degree.</t>
  </si>
  <si>
    <t>High Risk</t>
  </si>
  <si>
    <t>Low / Medium / High — potential harm if the advisory is wrong or misapplied.</t>
  </si>
  <si>
    <t>Maize</t>
  </si>
  <si>
    <t>Production guide; agronomy; variety selection</t>
  </si>
  <si>
    <t>Ready to Certify, Needs Review, Needs Update, Duplicate, or Reject.</t>
  </si>
  <si>
    <t>Production Guide</t>
  </si>
  <si>
    <t>Crop</t>
  </si>
  <si>
    <t>Requires well-drained sandy loam soils, Optimal rainfall 800–1200 mm annually, Certified seed availability limited, Monitor for emerging disease strains, Best for Western and Coastal Kenya regions</t>
  </si>
  <si>
    <t>PDF</t>
  </si>
  <si>
    <t>Smallholder mixed farming</t>
  </si>
  <si>
    <t>Reviewer notes, open questions, and who to escalate high-risk items to.</t>
  </si>
  <si>
    <t>Smallholder farmers, extension officers</t>
  </si>
  <si>
    <t>Kenya - Highland zones</t>
  </si>
  <si>
    <t>Legend</t>
  </si>
  <si>
    <t>Current</t>
  </si>
  <si>
    <t>mid-maturing, high yielding, low cyanide, disease tolerant, 26% dry matter, sweet tasting</t>
  </si>
  <si>
    <t>Verified</t>
  </si>
  <si>
    <t>source_validated</t>
  </si>
  <si>
    <t>Low</t>
  </si>
  <si>
    <t>Validated</t>
  </si>
  <si>
    <t>Fill this in</t>
  </si>
  <si>
    <t>Currency check needed against 2026 seed catalogue before certification.</t>
  </si>
  <si>
    <t>Gold-shaded cells — enter your screening data here.</t>
  </si>
  <si>
    <t>Technology, Innovations and Management Practices for Cassava</t>
  </si>
  <si>
    <t>Example row</t>
  </si>
  <si>
    <t xml:space="preserve">https://navcdp.kalro.org/docs/kcsap/Cassava%20Aug2019-Munga.pdf </t>
  </si>
  <si>
    <t>Worked example — reference only, do not edit.</t>
  </si>
  <si>
    <t>Cassava variety Katsuhanzala (990132) (Cassava)</t>
  </si>
  <si>
    <t>Yields 36.7 t/ha, matures in 8–10 months, resistant to CMD and tolerant to CBSD, CGM and CMB with cream root flesh colour. Dry matter 29%. Adapted to a wide range of agroecological zones from coastal lowlands to highland coffee zones (200–1500 m.a.s.l.).</t>
  </si>
  <si>
    <t>Adapted to wide altitude range (200–1500 m.a.s.l.), Requires well-drained sandy loam soils, Rainfall 500–1000 mm annually, Monitor for pest resistance durability, Seed availability may be limited in some regions</t>
  </si>
  <si>
    <t>CMD resistant, CBSD tolerant, cream flesh, 29% dry matter, wide adaptation, moderate yielder</t>
  </si>
  <si>
    <t>Cassava variety KME-3 (Cassava)</t>
  </si>
  <si>
    <t>Drought tolerant, medium yielder (40 t/ha), resistant to CMD, early maturing variety with low cyanogenic potential (CNP), sweet and easy to mash. Root flesh creamy-coloured with dry matter 29%. Does well in warm, semi-arid areas, 200–2000 m.a.s.l. with rainfall of 500–1000 mm/year.</t>
  </si>
  <si>
    <t>Drought tolerance does not eliminate need for adequate moisture, Best for warm semi-arid areas, Requires validation in different regions, Sweet variety - good for fresh consumption, Early maturity helps escape drought</t>
  </si>
  <si>
    <t>drought tolerant, CMD resistant, early maturing, low cyanide, creamy flesh, semi-arid adaptation</t>
  </si>
  <si>
    <t>Cassava variety Katune (990005) (Cassava)</t>
  </si>
  <si>
    <t>Kenya Agricultural and Livestock Research Organization</t>
  </si>
  <si>
    <t>Variety with creamy root flesh, maturing in 8–10 months, dry matter 36%, moderate yielder (37.1 t/ha), resistant to CMD and tolerant to CBSD, CBB, CGM and CMB. Adapted to 200–1500 m.a.s.l., rainfall of 500–1000 mm and temperatures of 24–27 °C.</t>
  </si>
  <si>
    <t>High dry matter (36%) good for processing, Moderate yield potential, Adapted to wide altitude range, Requires well-drained soils, Monitor for disease resistance durability</t>
  </si>
  <si>
    <t>high dry matter, CMD resistant, multi-pest tolerant, creamy flesh, moderate yielder, wide adaptation</t>
  </si>
  <si>
    <t>Training Manual</t>
  </si>
  <si>
    <t>Cassava variety KME-2 (Cassava)</t>
  </si>
  <si>
    <t>Farmers</t>
  </si>
  <si>
    <t>Drought tolerant, medium yielder (40 t/ha), resistant to CMD, early maturing with low cyanogenic potential (CNP), sweet and poundable. Root flesh creamy-coloured with dry matter 29%. Does well in warm, semi-arid areas, 200–2000 m.a.s.l. with rainfall of 500–1000 mm/year.</t>
  </si>
  <si>
    <t>Drought tolerance varies with stress severity, Requires validation in target counties, Poundable quality good for processing, Sweet variety - low cyanide content, Best for semi-arid warm areas</t>
  </si>
  <si>
    <t>drought tolerant, CMD resistant, early maturing, low cyanide, poundable, semi-arid adaptation</t>
  </si>
  <si>
    <t>CASSAVA4</t>
  </si>
  <si>
    <t>Cassava Training Manual</t>
  </si>
  <si>
    <t>https://www.kalro.org/navcdp/index.php/information-resoures/publications/training-manuals23</t>
  </si>
  <si>
    <t>Cassava variety Mygera (Cassava)</t>
  </si>
  <si>
    <t>KALRO-NAVCDP</t>
  </si>
  <si>
    <t>Not stated</t>
  </si>
  <si>
    <t>Mid-maturing, ready for harvest from 10–12 months, yields 20–43 t/ha, tolerant to CBSD, CBB, CMD, CMB and CGM. Sweet tasting (low cyanide 1.6–15.4 mg/100 g), dry matter 24–52.5%. Optimal conditions: 500–1200 mm rainfall, altitude 800–1750 m.a.s.l.</t>
  </si>
  <si>
    <t>Climate-smart cassava production; agronomy; varieties</t>
  </si>
  <si>
    <t>Training manual</t>
  </si>
  <si>
    <t>Smallholder; rainfed</t>
  </si>
  <si>
    <t>Wide yield range (20–43 t/ha) depends on management, Broad disease tolerance, Altitude range 800–1750 m.a.s.l., Sweet variety suitable for fresh consumption, Dry matter varies widely (24–52.5%)</t>
  </si>
  <si>
    <t>Farmers; extension officers; trainers</t>
  </si>
  <si>
    <t>mid-maturing, disease tolerant, low cyanide, sweet tasting, variable dry matter, wide altitude adaptation</t>
  </si>
  <si>
    <t>CASSAVA-5</t>
  </si>
  <si>
    <t>Cassava variety Shibe (Cassava)</t>
  </si>
  <si>
    <t>Cassava Climate-Smart Agricultural Technologies Training Manual</t>
  </si>
  <si>
    <t>https://keep.kalro.org/appfiles/media/vc_files/cassava-8-12-20.pdf</t>
  </si>
  <si>
    <t>KALRO; climate-smart agriculture programme</t>
  </si>
  <si>
    <t>High yielder (70 t/ha), medium maturing (8–12 months), resistant to CMD and tolerant to CBSD. Straight stems ideal for intercropping. Does well at altitudes of 15–1200 m.a.s.l., rainfall of 500–1000 mm and temperatures of 24–27 °C.</t>
  </si>
  <si>
    <t>Climate change; FFBS; varieties; clean seed; agronomic practices</t>
  </si>
  <si>
    <t>Very high yield potential requires good management, Straight stems good for intercropping, Low altitude adaptation (15–1200 m.a.s.l.), Requires validation in target counties, Seed availability limited</t>
  </si>
  <si>
    <t>high yielding, CMD resistant, CBSD tolerant, straight stems, intercropping ideal, low altitude</t>
  </si>
  <si>
    <t>Climate-smart; rainfed</t>
  </si>
  <si>
    <t>Trainers; extension officers; lead farmers; farmers</t>
  </si>
  <si>
    <t>CASSAVA-6</t>
  </si>
  <si>
    <t>Cassava Good Agricultural Practices</t>
  </si>
  <si>
    <t>https://keep.kalro.org/good-agricultural-practices/Cassava</t>
  </si>
  <si>
    <t>KALRO Kenya Digital Agriculture Platform</t>
  </si>
  <si>
    <t>Varieties; site selection; land preparation; planting; crop management</t>
  </si>
  <si>
    <t>Digital learning resource</t>
  </si>
  <si>
    <t>Web</t>
  </si>
  <si>
    <t>Farmers; extension officers</t>
  </si>
  <si>
    <t>Cassava variety Tajirika (Cassava)</t>
  </si>
  <si>
    <t>CASSAVA-8</t>
  </si>
  <si>
    <t>KALRO New Cassava Varieties</t>
  </si>
  <si>
    <t>Early maturing variety (8 months after planting, MAP), high yield (63.3 t/ha), resistant to CMD and tolerant to CBSD. Straight stems allow for intercropping. Performs well at altitudes of 15–1200 m.a.s.l., rainfall of 500–1000 mm, well-drained sandy loam soils and temperatures of 24–27 °C.</t>
  </si>
  <si>
    <t>https://www.kalro.org/navcdp/index.php/information-resoures/mobile-apps</t>
  </si>
  <si>
    <t>Early maturity (8 months) good for food security, High yield requires good agronomic practices, Straight stems ideal for intercropping, Low altitude adaptation, Requires well-drained sandy loam soils</t>
  </si>
  <si>
    <t>early maturing, high yielding, CMD resistant, CBSD tolerant, straight stems, low altitude</t>
  </si>
  <si>
    <t>Improved varieties; varietal selection</t>
  </si>
  <si>
    <t>Mobile learning application</t>
  </si>
  <si>
    <t>Mobile app</t>
  </si>
  <si>
    <t>Smallholder; climate-smart</t>
  </si>
  <si>
    <t>Farmers; extension officers; agro-dealers</t>
  </si>
  <si>
    <t>Livestock</t>
  </si>
  <si>
    <t>Cassava variety Nzalauka (Cassava)</t>
  </si>
  <si>
    <t>Resistant to CMD, tolerant to CBSD, straight stems ideal for intercropping, yields 52.9 t/ha, matures between 6–8 months. Optimal ecology: altitude 15–1200 m.a.s.l., temperature 24–27 °C and rainfall 500–1000 mm/year.</t>
  </si>
  <si>
    <t>Very early maturity (6–8 months), High yield potential, Straight stems for intercropping, Low altitude adaptation, Requires validation in new areas</t>
  </si>
  <si>
    <t>very early maturing, high yielding, CMD resistant, CBSD tolerant, straight stems, low altitude</t>
  </si>
  <si>
    <t>Cassava variety Siri (Cassava)</t>
  </si>
  <si>
    <t>Resistant to CMD, tolerant to CBSD, high branching ideal for intercropping, matures between 8–12 months, yields 57.7 t/ha. Optimal ecology: 15–1200 m.a.s.l., rainfall 400–1000 mm/year, temperature 24–27 °C.</t>
  </si>
  <si>
    <t>High branching suitable for intercropping, Moderate to high yield, Drought tolerant (400–1000 mm rainfall), Low altitude adaptation, Seed availability limited</t>
  </si>
  <si>
    <t>CMD resistant, CBSD tolerant, high branching, intercropping suitable, drought tolerant, low altitude</t>
  </si>
  <si>
    <t>Cassava variety Karibuni (Cassava)</t>
  </si>
  <si>
    <t>Resistant to CMD, matures in 8 months, yields 68.2 t/ha. Optimal environmental conditions: altitude 15–1200 m.a.s.l., rainfall 400–1000 mm/year, temperature 24–27 °C.</t>
  </si>
  <si>
    <t>Very high yield potential, Early maturity (8 months), Drought tolerant, Requires validation in different agro-ecologies, Low altitude adaptation only</t>
  </si>
  <si>
    <t>high yielding, early maturing, CMD resistant, drought tolerant, low altitude, high potential</t>
  </si>
  <si>
    <t>Fisheries</t>
  </si>
  <si>
    <t>Soil</t>
  </si>
  <si>
    <t>Resistant to CMD, tolerant to CBSD, very short and non-branching, matures between 8–12 months, yields 57.7 t/ha. Optimal ecology: altitude 15–1200 m.a.s.l., rainfall 400–1000 mm/year, temperature 24–27 °C.</t>
  </si>
  <si>
    <t>Very short and non-branching - suitable for high density, Moderate to high yield, Drought tolerant, Good for intercropping, Low altitude adaptation</t>
  </si>
  <si>
    <t>Pest &amp; Disease</t>
  </si>
  <si>
    <t>CMD resistant, CBSD tolerant, non-branching, short stature, drought tolerant, low altitude</t>
  </si>
  <si>
    <t>Planting time (Cassava)</t>
  </si>
  <si>
    <t>Timely planting of cassava in relation to the onset of the rainfall season is critical. Cassava should be planted at the onset of the rainfall seasons: Coastal Counties (March-April), Eastern Counties (September-October), and Western Counties (March-April and August-September). Poor soil moisture during the first 3 months severely affects germination and yield.</t>
  </si>
  <si>
    <t>Planting too early or late reduces yields, Poor soil moisture during the first 3 months affects establishment, Climate change makes rainfall prediction difficult, Requires capital for timely land preparation, Weather prediction apps can help planning</t>
  </si>
  <si>
    <t>planting time, rainfall onset, germination, crop establishment, seasonal planting, climate adaptation</t>
  </si>
  <si>
    <t>TOTAL</t>
  </si>
  <si>
    <t>Fertilizer use (Cassava)</t>
  </si>
  <si>
    <t>Application of appropriate fertilizers at the appropriate time and rates to replenish depleted soil nutrients for maximum yield. Most soils where cassava is grown are exhausted. Soil testing is needed to inform application rates, as excess fertilization has a negative effect on root yield.</t>
  </si>
  <si>
    <t>Requires soil testing for accurate rates, Excess fertilizer reduces root yield, Most cassava soils are exhausted, Fertilizer costs may be high (KES 46,850 per 0.4 ha, i.e. 1 acre), Limited recommended fertilizer formulations available</t>
  </si>
  <si>
    <t>fertilizer application, soil fertility, nutrient replenishment, soil testing, root yield, fertilizer rates</t>
  </si>
  <si>
    <t>Integrated Weed Management (Cassava)</t>
  </si>
  <si>
    <t>Use of more than one approach to manage weeds, including cultural (crop rotation, intercropping), preventive (planting in weed-free prepared land, mulching), chemical (herbicides), and physical (manual/mechanical weeding). Weeds can cause up to 50% yield loss and reduce root quality.</t>
  </si>
  <si>
    <t>Weeds cause up to 50% yield loss, Herbicides require careful handling and training, Manual weeding is labour intensive, Integration of methods more effective than single approach, Weed identification guides management choice</t>
  </si>
  <si>
    <t>IWM, cultural control, chemical control, mechanical control, weed competition, yield loss</t>
  </si>
  <si>
    <t>Intercropping (Cassava)</t>
  </si>
  <si>
    <t>Planting cassava alongside other crops in the same field at the same time. Cassava is planted at wide spacing, which leaves the field open in the early stage. Planting short-season crops increases income, keeps weeds at bay, spreads risk, increases nutrition security, improves resilience to climate change.</t>
  </si>
  <si>
    <t>Requires compatible crop selection, May increase pest pressure, Nutrient competition possible, Requires additional management, Some combinations reduce cassava yield</t>
  </si>
  <si>
    <t>intercropping, crop diversification, risk management, nutrition security, climate resilience, weed suppression</t>
  </si>
  <si>
    <t>Harvesting and post-harvest handling (Cassava)</t>
  </si>
  <si>
    <t>Appropriate, timely harvesting according to the maturity period. Unlike other crops, cassava does not have a physical feature to indicate maturity. Early harvesting reduces yield and quality, while late harvesting increases production cost and reduces root quality. Harvested roots are bulky with very short shelf life.</t>
  </si>
  <si>
    <t>Cassava has no physical maturity indicator, Early harvesting reduces yield and quality, Late harvesting increases costs and reduces quality, Roots are bulky with very short shelf life, Requires immediate processing or value addition</t>
  </si>
  <si>
    <t>timely harvesting, maturity period, post-harvest handling, shelf life, root quality, harvesting techniques</t>
  </si>
  <si>
    <t>Community based clean seed system (Cassava)</t>
  </si>
  <si>
    <t>Farming community seed delivery system involving: stock (mother) plant conservation units, virus cleaning, rapid multiplication through tissue culture units, hardening units, primary/secondary/tertiary multipliers, registration of multipliers, seed inspection, seed marketing and distribution.</t>
  </si>
  <si>
    <t>Requires tissue culture facilities and expertise, Registration of multipliers with KEPHIS required, Seed inspection essential for quality, High initial investment for clean seed production, Sustainable multiplication and delivery system needed</t>
  </si>
  <si>
    <t>clean seed, community seed system, tissue culture, virus cleaning, seed multiplication, seed certification</t>
  </si>
  <si>
    <t>Control of Cassava Mosaic Disease (CMD) (Cassava)</t>
  </si>
  <si>
    <t>Application of various management practices to control CMD including use of clean planting materials, planting of tolerant varieties and control of cross-boundary movement of planting materials. CMD is transmitted through planting materials and the whitefly vector.</t>
  </si>
  <si>
    <t>CMD transmitted through planting materials and whiteflies, Use only certified clean planting materials, Tolerant varieties reduce but do not eliminate disease, Avoid moving planting materials across regions, Requires functional seed system for sustainability</t>
  </si>
  <si>
    <t>CMD, Begomovirus, clean planting materials, tolerant varieties, whitefly vector, disease management</t>
  </si>
  <si>
    <t>Control of Cassava Brown Streak Disease (CBSD) (Cassava)</t>
  </si>
  <si>
    <t>Management of CBSD to minimize reduction in cassava productivity. CBSD is a major cause of low cassava productivity in East and Central Africa. Use of disease-free planting materials and tolerant varieties is key.</t>
  </si>
  <si>
    <t>CBSD causes significant yield losses in East and Central Africa, Use only disease-free planting materials, Tolerant varieties available but need validation, Monitor for emerging disease strains, Regular surveillance essential</t>
  </si>
  <si>
    <t>CBSD, Ipomovirus, disease management, tolerant varieties, clean planting materials, yield loss</t>
  </si>
  <si>
    <t>Control of Cassava Anthracnose (Cassava)</t>
  </si>
  <si>
    <t>Management of cassava anthracnose disease (Colletotrichum gloeosporioides f.sp. manihotis) to minimize reduction in cassava productivity. Use of clean planting materials and disease management practices.</t>
  </si>
  <si>
    <t>Anthracnose transmitted through planting materials, Use clean disease-free planting materials, Destroy infected plant parts, Practice crop rotation, Monitor fields regularly for symptoms</t>
  </si>
  <si>
    <t>anthracnose, Colletotrichum, disease management, clean planting materials, fungal disease, crop rotation</t>
  </si>
  <si>
    <t>Control of cassava bacterial blight disease (Cassava)</t>
  </si>
  <si>
    <t>Management of cassava bacterial blight (Xanthomonas phaseoli pv. manihotis, syn. X. axonopodis pv. manihotis) to minimize reduction in cassava productivity. Use of disease-free planting materials and integrated management practices.</t>
  </si>
  <si>
    <t>Bacterial blight caused by Xanthomonas, Use disease-free planting materials, Avoid working in wet fields to prevent spread, Destroy infected plants, Practice crop rotation with non-host crops</t>
  </si>
  <si>
    <t>bacterial blight, Xanthomonas, disease management, clean planting materials, integrated management, crop rotation</t>
  </si>
  <si>
    <t>Integrated pest management for Whiteflies (Bemisia tabaci) (Cassava)</t>
  </si>
  <si>
    <t>IPM package that prevents/reduces infestations of cassava by whiteflies. Includes pruning and destroying infested parts, application of non-toxic recommended products, biological control options, and value addition during processing.</t>
  </si>
  <si>
    <t>Whiteflies are vectors of viral diseases (CMD, CBSD), Regular scouting essential for early detection, Non-toxic products should be used first, Biological control options need validation, Integrated approach more effective than single method</t>
  </si>
  <si>
    <t>whiteflies, Bemisia tabaci, IPM, viral vectors, biological control, pruning</t>
  </si>
  <si>
    <t>Integrated Pest Management Package for White scales (Aonidomytilus albus) (Cassava)</t>
  </si>
  <si>
    <t>IPM package for white scales including pruning and destroying infested parts, application of non-toxic products, biological control options and value addition. Severe attacks cause terminal leaves to die and drop, shoot tip looks like a "candlestick".</t>
  </si>
  <si>
    <t>Severe attacks cause "candlestick" symptom, Reduces tuber yield significantly, Prune and destroy infested parts, Non-toxic products recommended first, Regular monitoring essential</t>
  </si>
  <si>
    <t>white scales, Aonidomytilus albus, IPM, pruning, biological control, "candlestick" symptom</t>
  </si>
  <si>
    <t>Integrated Pest Management Package for green mites (Cassava)</t>
  </si>
  <si>
    <t>IPM package for green mites in cassava including pruning and destroying infested parts, application of non-toxic recommended products, biological control options and value addition during processing.</t>
  </si>
  <si>
    <t>Green mites cause significant yield losses, Regular scouting essential, Prune and destroy heavily infested parts, Non-toxic products should be used as first option, Integrated approach more effective</t>
  </si>
  <si>
    <t>green mites, Mononychellus tanajoa, IPM, pruning, biological control, pest management</t>
  </si>
  <si>
    <t>Integrated Pest Management Package for mealybugs (Cassava)</t>
  </si>
  <si>
    <t>IPM package for mealybugs including pruning, application of non-chemical products, biological control options and value addition. Mealybugs suck plant sap causing wilting and vectoring of diseases leading to low production.</t>
  </si>
  <si>
    <t>Mealybugs suck plant sap causing wilting, Act as vectors for diseases, Use clean planting materials from certified sources, Non-chemical products recommended first, Regular monitoring and early intervention critical</t>
  </si>
  <si>
    <t>mealybugs, Phenacoccus manihoti, IPM, biological control, wilting, disease vectors</t>
  </si>
  <si>
    <t>Integrated Pest Management Package for moles (Cassava)</t>
  </si>
  <si>
    <t>IPM package for moles (Tachyoryctes splendens) including trapping and other mechanical/physical methods. Severe attacks on roots cause rots and decays leading to tuber yield reduction.</t>
  </si>
  <si>
    <t>Moles cause root damage leading to rots and decay, Can reduce tuber yields by up to 25%, Trapping and mechanical methods recommended, Regular monitoring for soil mounds, Integrated approach combining multiple methods</t>
  </si>
  <si>
    <t>moles, Tachyoryctes splendens, IPM, trapping, root damage, mechanical control</t>
  </si>
  <si>
    <t>Cassava/wheat chapati (Cassava)</t>
  </si>
  <si>
    <t>Chapati made from composite flour of cassava and wheat. Diversifies use of cassava, creates demand for increased cassava production, enhances food security and income generation.</t>
  </si>
  <si>
    <t>Requires quality cassava flour (low cyanide), Blending ratio affects product quality, KEBS certification may be required, Limited consumer awareness, Requires training for proper preparation</t>
  </si>
  <si>
    <t>value addition, composite flour, cassava-wheat blending, chapati, food diversification, income generation</t>
  </si>
  <si>
    <t>Cassava/maize Ugali (Cassava)</t>
  </si>
  <si>
    <t>Ugali made from composite flour of 25% cassava and 75% maize flour. Diversifies use of cassava, reduces overdependence on maize flour, creates demand for increased cassava production.</t>
  </si>
  <si>
    <t>Blending ratio 25:75 cassava:maize recommended, Requires high quality cassava flour, KEBS standards compliance required (Crops Act 2019), Limited consumer awareness, Supports food security and reduces maize importation</t>
  </si>
  <si>
    <t>value addition, composite flour, cassava-maize blending, ugali, food diversification, food security</t>
  </si>
  <si>
    <t>Cassava/millet Ugali (Cassava)</t>
  </si>
  <si>
    <t>Ugali made from composite flour of 30% cassava and 70% millet flour. Diversifies use of cassava, reduces overdependence on maize flour, creates demand for increased cassava production.</t>
  </si>
  <si>
    <t>Blending ratio 30:70 cassava:millet recommended, Millet availability may be limited in some regions, Requires quality cassava flour, KEBS standards compliance required, Diversifies use of drought-tolerant crops</t>
  </si>
  <si>
    <t>value addition, composite flour, cassava-millet blending, ugali, food diversification, drought-tolerant crops</t>
  </si>
  <si>
    <t>Cassava/pigeon pea porridge (Cassava)</t>
  </si>
  <si>
    <t>Porridge made from composite flour of 80% cassava and 20% pigeon pea flour with two spoonfuls of millet flour. Diversifies cassava use, improves nutritive value, enhances food and nutrition security.</t>
  </si>
  <si>
    <t>Blending ratio 80:20 cassava:pigeon pea, Enhances protein content of porridge, Requires quality flour processing, Limited consumer awareness, Benefits child nutrition through protein enrichment</t>
  </si>
  <si>
    <t>value addition, composite flour, cassava-pigeon pea blending, porridge, nutrition security, protein enrichment</t>
  </si>
  <si>
    <t>Gari (Witabix Mtaani) (Cassava)</t>
  </si>
  <si>
    <t>Ready to use food product made from pan-roasted, fermented, grated cassava mixed with soya bean flour. Grating and fermenting grated cassava mixed with soya flour diversifies cassava use and improves nutritive value.</t>
  </si>
  <si>
    <t>Requires fermentation and roasting skills, Soya bean flour addition improves nutrition, Popular in Busia Town, Irregular supply of fresh tubers is a challenge, Requires proper processing to reduce cyanide</t>
  </si>
  <si>
    <t>value addition, gari, fermentation, cassava-soya blending, ready-to-eat, nutrition enhancement</t>
  </si>
  <si>
    <t>Cassava Crackies (Cassava)</t>
  </si>
  <si>
    <t>Deep fried snack made from cassava dough passed through noodle machine. Diversifies cassava use, improves nutritive value, creates demand for increased cassava production.</t>
  </si>
  <si>
    <t>Requires deep frying skills and equipment, Noodle machine required for processing, Limited consumer awareness, Irregular fresh tuber supply, Market development needed for upscaling</t>
  </si>
  <si>
    <t>value addition, crackies, deep-fried snack, cassava processing, job creation, food diversification</t>
  </si>
  <si>
    <t>High quality cassava flour (Cassava)</t>
  </si>
  <si>
    <t>Fine flour produced from wholesome, freshly harvested and rapidly processed cassava roots. Flour is white/cream in colour, odourless, bland/sweet in taste, free from adulterants. Proper processing extends shelf life and reduces cyanogenic glucosides to safe limits.</t>
  </si>
  <si>
    <t>Requires rapid processing after harvest, Proper drying to safe moisture content, Cyanide reduction through proper processing, KEBS quality standards compliance, Women require financing for processing equipment</t>
  </si>
  <si>
    <t>high quality flour, cassava processing, shelf life extension, cyanide reduction, value addition, food safety</t>
  </si>
  <si>
    <t>Identification of existing marketing strategies for cassava produce and products (Cassava)</t>
  </si>
  <si>
    <t>Identification of the most appropriate strategies for use in up-scaling cassava produce and products. Promotes increased uptake by consumers and commercializes cassava production.</t>
  </si>
  <si>
    <t>Weak collaboration among stakeholders, Limited marketing promotion currently, Requires packaging of information (manuals, fact sheets), Funding for marketing demonstrations needed, Willingness by stakeholders critical</t>
  </si>
  <si>
    <t>marketing strategies, upscaling, consumer uptake, commercialization, market promotion, value chain</t>
  </si>
  <si>
    <t>Scoping and profiling existing cassava markets, commercial villages and innovation platforms (Cassava)</t>
  </si>
  <si>
    <t>Identification of potential markets for cassava produce and products to increase production to meet demand. Promotes cassava produce and products for increased consumer uptake.</t>
  </si>
  <si>
    <t>Requires mapping of existing markets, Commercial villages need capacity building, Innovation platforms require strengthening, Funding for market scoping needed, Collaboration among stakeholders essential</t>
  </si>
  <si>
    <t>market scoping, commercial villages, innovation platforms, market identification, demand creation, value chain</t>
  </si>
  <si>
    <t>Prioritization of viable cassava products, consumer tastes and preferences (Cassava)</t>
  </si>
  <si>
    <t>While many cassava products exist, not all may be ready and viable for commercialization. Identifies products with comparative advantage for registration, branding and promotion.</t>
  </si>
  <si>
    <t>Not all products are commercially viable, Consumer preferences vary by region, Requires market research, Products need KEBS certification, Branding and registration require investment</t>
  </si>
  <si>
    <t>product prioritization, consumer preferences, commercialization, market analysis, branding, value addition</t>
  </si>
  <si>
    <t>Business plans, Registration, branding and advertising (Cassava)</t>
  </si>
  <si>
    <t>Consumer-preferred identified products form the basis for developing business plans. Commercial villages or innovation platforms choose products with comparative advantage, register, brand and promote them.</t>
  </si>
  <si>
    <t>Business planning requires skills training, Registration with KEBS required, Branding and advertising require investment, Commercial villages need capacity building, Sustainable market linkages essential</t>
  </si>
  <si>
    <t>business plans, registration, branding, advertising, commercialization, entrepreneurship</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</si>
</sst>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23">
    <font>
      <sz val="11.0"/>
      <color theme="1"/>
      <name val="Calibri"/>
      <scheme val="minor"/>
    </font>
    <font>
      <b/>
      <sz val="20.0"/>
      <color rgb="FF1B3D1C"/>
      <name val="Calibri"/>
    </font>
    <font>
      <color rgb="FF000000"/>
      <name val="Calibri"/>
      <scheme val="minor"/>
    </font>
    <font>
      <i/>
      <sz val="11.0"/>
      <color rgb="FF5A5A50"/>
      <name val="Calibri"/>
    </font>
    <font>
      <b/>
      <sz val="10.0"/>
      <color rgb="FF000000"/>
      <name val="Calibri"/>
    </font>
    <font>
      <b/>
      <sz val="13.0"/>
      <color rgb="FF2C5F2D"/>
      <name val="Calibri"/>
    </font>
    <font/>
    <font>
      <sz val="13.0"/>
      <color theme="1"/>
      <name val="Times New Roman"/>
    </font>
    <font>
      <sz val="10.0"/>
      <color rgb="FF2B2B26"/>
      <name val="Calibri"/>
    </font>
    <font>
      <i/>
      <sz val="10.0"/>
      <color rgb="FF000000"/>
      <name val="Calibri"/>
    </font>
    <font>
      <sz val="10.0"/>
      <color rgb="FF000000"/>
      <name val="Calibri"/>
    </font>
    <font>
      <b/>
      <sz val="13.0"/>
      <color rgb="FF000000"/>
      <name val="Times New Roman"/>
    </font>
    <font>
      <b/>
      <sz val="10.0"/>
      <color rgb="FFBFBFBF"/>
      <name val="Calibri"/>
    </font>
    <font>
      <sz val="13.0"/>
      <color rgb="FF000000"/>
      <name val="Times New Roman"/>
    </font>
    <font>
      <b/>
      <sz val="10.0"/>
      <color rgb="FFFFFFFF"/>
      <name val="Calibri"/>
    </font>
    <font>
      <b/>
      <sz val="11.0"/>
      <color rgb="FF1B3D1C"/>
      <name val="Calibri"/>
    </font>
    <font>
      <b/>
      <sz val="18.0"/>
      <color rgb="FF1B3D1C"/>
      <name val="Calibri"/>
    </font>
    <font>
      <b/>
      <sz val="13.0"/>
      <color rgb="FFFFFFFF"/>
      <name val="Times New Roman"/>
    </font>
    <font>
      <b/>
      <sz val="13.0"/>
      <color theme="0"/>
      <name val="Times New Roman"/>
    </font>
    <font>
      <sz val="13.0"/>
      <color rgb="FFBFBFBF"/>
      <name val="Times New Roman"/>
    </font>
    <font>
      <i/>
      <sz val="10.0"/>
      <color rgb="FF8A8A80"/>
      <name val="Calibri"/>
    </font>
    <font>
      <u/>
      <sz val="11.0"/>
      <color rgb="FF000000"/>
      <name val="Calibri"/>
    </font>
    <font>
      <sz val="11.0"/>
      <color rgb="FF000000"/>
      <name val="Calibri"/>
    </font>
  </fonts>
  <fills count="7">
    <fill>
      <patternFill patternType="none"/>
    </fill>
    <fill>
      <patternFill patternType="lightGray"/>
    </fill>
    <fill>
      <patternFill patternType="solid">
        <fgColor rgb="FFF7F7F2"/>
        <bgColor rgb="FFF7F7F2"/>
      </patternFill>
    </fill>
    <fill>
      <patternFill patternType="solid">
        <fgColor rgb="FF2C5F2D"/>
        <bgColor rgb="FF2C5F2D"/>
      </patternFill>
    </fill>
    <fill>
      <patternFill patternType="solid">
        <fgColor rgb="FF00682F"/>
        <bgColor rgb="FF00682F"/>
      </patternFill>
    </fill>
    <fill>
      <patternFill patternType="solid">
        <fgColor rgb="FFFFF6DF"/>
        <bgColor rgb="FFFFF6DF"/>
      </patternFill>
    </fill>
    <fill>
      <patternFill patternType="solid">
        <fgColor rgb="FFF2F2EC"/>
        <bgColor rgb="FFF2F2EC"/>
      </patternFill>
    </fill>
  </fills>
  <borders count="9">
    <border/>
    <border>
      <left/>
      <top/>
      <bottom/>
    </border>
    <border>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E0E0D8"/>
      </left>
      <right style="thin">
        <color rgb="FFE0E0D8"/>
      </right>
      <top style="thin">
        <color rgb="FFE0E0D8"/>
      </top>
      <bottom style="thin">
        <color rgb="FFE0E0D8"/>
      </bottom>
    </border>
    <border>
      <left/>
      <right/>
      <top/>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4" numFmtId="0" xfId="0" applyAlignment="1" applyFont="1">
      <alignment horizontal="left"/>
    </xf>
    <xf borderId="1" fillId="2" fontId="5" numFmtId="0" xfId="0" applyBorder="1" applyFill="1" applyFont="1"/>
    <xf borderId="2" fillId="0" fontId="6" numFmtId="0" xfId="0" applyBorder="1" applyFont="1"/>
    <xf borderId="3" fillId="0" fontId="7" numFmtId="0" xfId="0" applyBorder="1" applyFont="1"/>
    <xf borderId="0" fillId="0" fontId="8" numFmtId="0" xfId="0" applyAlignment="1" applyFont="1">
      <alignment shrinkToFit="0" vertical="top" wrapText="1"/>
    </xf>
    <xf borderId="0" fillId="0" fontId="9" numFmtId="0" xfId="0" applyAlignment="1" applyFont="1">
      <alignment horizontal="left"/>
    </xf>
    <xf borderId="0" fillId="0" fontId="10" numFmtId="0" xfId="0" applyFont="1"/>
    <xf borderId="4" fillId="0" fontId="11" numFmtId="0" xfId="0" applyBorder="1" applyFont="1"/>
    <xf borderId="5" fillId="0" fontId="6" numFmtId="0" xfId="0" applyBorder="1" applyFont="1"/>
    <xf borderId="6" fillId="0" fontId="6" numFmtId="0" xfId="0" applyBorder="1" applyFont="1"/>
    <xf borderId="7" fillId="3" fontId="12" numFmtId="0" xfId="0" applyAlignment="1" applyBorder="1" applyFill="1" applyFont="1">
      <alignment shrinkToFit="0" vertical="center" wrapText="1"/>
    </xf>
    <xf borderId="3" fillId="0" fontId="13" numFmtId="0" xfId="0" applyBorder="1" applyFont="1"/>
    <xf borderId="7" fillId="3" fontId="14" numFmtId="0" xfId="0" applyAlignment="1" applyBorder="1" applyFill="1" applyFont="1">
      <alignment horizontal="center" shrinkToFit="0" vertical="center" wrapText="1"/>
    </xf>
    <xf borderId="0" fillId="0" fontId="15" numFmtId="0" xfId="0" applyAlignment="1" applyFont="1">
      <alignment shrinkToFit="0" vertical="top" wrapText="1"/>
    </xf>
    <xf borderId="0" fillId="0" fontId="16" numFmtId="0" xfId="0" applyFont="1"/>
    <xf borderId="3" fillId="3" fontId="17" numFmtId="0" xfId="0" applyAlignment="1" applyBorder="1" applyFill="1" applyFont="1">
      <alignment horizontal="center" shrinkToFit="0" vertical="center" wrapText="1"/>
    </xf>
    <xf borderId="3" fillId="4" fontId="18" numFmtId="0" xfId="0" applyBorder="1" applyFill="1" applyFont="1"/>
    <xf borderId="7" fillId="0" fontId="9" numFmtId="0" xfId="0" applyAlignment="1" applyBorder="1" applyFont="1">
      <alignment vertical="center"/>
    </xf>
    <xf borderId="3" fillId="0" fontId="7" numFmtId="0" xfId="0" applyAlignment="1" applyBorder="1" applyFont="1">
      <alignment horizontal="left" shrinkToFit="0" vertical="top" wrapText="1"/>
    </xf>
    <xf borderId="7" fillId="0" fontId="9" numFmtId="0" xfId="0" applyAlignment="1" applyBorder="1" applyFont="1">
      <alignment shrinkToFit="0" vertical="center" wrapText="1"/>
    </xf>
    <xf borderId="3" fillId="0" fontId="19" numFmtId="0" xfId="0" applyAlignment="1" applyBorder="1" applyFont="1">
      <alignment shrinkToFit="0" vertical="top" wrapText="1"/>
    </xf>
    <xf borderId="7" fillId="0" fontId="9" numFmtId="164" xfId="0" applyAlignment="1" applyBorder="1" applyFont="1" applyNumberFormat="1">
      <alignment shrinkToFit="0" vertical="center" wrapText="1"/>
    </xf>
    <xf borderId="3" fillId="0" fontId="7" numFmtId="0" xfId="0" applyAlignment="1" applyBorder="1" applyFont="1">
      <alignment shrinkToFit="0" vertical="top" wrapText="1"/>
    </xf>
    <xf borderId="7" fillId="0" fontId="8" numFmtId="0" xfId="0" applyAlignment="1" applyBorder="1" applyFont="1">
      <alignment horizontal="left" vertical="center"/>
    </xf>
    <xf borderId="7" fillId="5" fontId="8" numFmtId="0" xfId="0" applyBorder="1" applyFill="1" applyFont="1"/>
    <xf borderId="3" fillId="0" fontId="7" numFmtId="0" xfId="0" applyAlignment="1" applyBorder="1" applyFont="1">
      <alignment horizontal="left" vertical="top"/>
    </xf>
    <xf borderId="7" fillId="0" fontId="10" numFmtId="0" xfId="0" applyAlignment="1" applyBorder="1" applyFont="1">
      <alignment vertical="center"/>
    </xf>
    <xf borderId="0" fillId="0" fontId="8" numFmtId="0" xfId="0" applyFont="1"/>
    <xf borderId="7" fillId="0" fontId="10" numFmtId="0" xfId="0" applyAlignment="1" applyBorder="1" applyFont="1">
      <alignment shrinkToFit="0" vertical="center" wrapText="1"/>
    </xf>
    <xf borderId="7" fillId="6" fontId="20" numFmtId="0" xfId="0" applyBorder="1" applyFill="1" applyFont="1"/>
    <xf borderId="7" fillId="0" fontId="21" numFmtId="0" xfId="0" applyAlignment="1" applyBorder="1" applyFont="1">
      <alignment shrinkToFit="0" vertical="center" wrapText="1"/>
    </xf>
    <xf borderId="7" fillId="0" fontId="10" numFmtId="164" xfId="0" applyAlignment="1" applyBorder="1" applyFont="1" applyNumberFormat="1">
      <alignment shrinkToFit="0" vertical="center" wrapText="1"/>
    </xf>
    <xf borderId="7" fillId="0" fontId="8" numFmtId="0" xfId="0" applyAlignment="1" applyBorder="1" applyFont="1">
      <alignment horizontal="center" vertical="center"/>
    </xf>
    <xf borderId="3" fillId="0" fontId="22" numFmtId="0" xfId="0" applyAlignment="1" applyBorder="1" applyFont="1">
      <alignment shrinkToFit="0" vertical="top" wrapText="1"/>
    </xf>
    <xf borderId="8" fillId="0" fontId="22" numFmtId="0" xfId="0" applyBorder="1" applyFont="1"/>
    <xf borderId="7" fillId="2" fontId="15" numFmtId="0" xfId="0" applyBorder="1" applyFill="1" applyFont="1"/>
    <xf borderId="7" fillId="2" fontId="15" numFmtId="0" xfId="0" applyAlignment="1" applyBorder="1" applyFill="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navcdp.kalro.org/docs/kcsap/Cassava%20Aug2019-Munga.pdf"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A441"/>
    <pageSetUpPr fitToPage="1"/>
  </sheetPr>
  <sheetViews>
    <sheetView showGridLines="0" workbookViewId="0"/>
  </sheetViews>
  <sheetFormatPr customHeight="1" defaultColWidth="14.43" defaultRowHeight="15.0"/>
  <cols>
    <col customWidth="1" min="1" max="1" width="2.43"/>
    <col customWidth="1" min="2" max="2" width="30.0"/>
    <col customWidth="1" min="3" max="3" width="62.0"/>
    <col customWidth="1" min="4" max="6" width="8.71"/>
  </cols>
  <sheetData>
    <row r="2" ht="26.25" customHeight="1">
      <c r="B2" s="1" t="s">
        <v>0</v>
      </c>
    </row>
    <row r="3">
      <c r="B3" s="3" t="s">
        <v>1</v>
      </c>
    </row>
    <row r="5" ht="21.75" customHeight="1">
      <c r="B5" s="5" t="s">
        <v>3</v>
      </c>
      <c r="C5" s="6"/>
    </row>
    <row r="6" ht="27.75" customHeight="1">
      <c r="B6" s="8" t="s">
        <v>4</v>
      </c>
    </row>
    <row r="7" ht="27.75" customHeight="1">
      <c r="B7" s="8" t="s">
        <v>6</v>
      </c>
    </row>
    <row r="9" ht="21.75" customHeight="1">
      <c r="B9" s="5" t="s">
        <v>7</v>
      </c>
      <c r="C9" s="6"/>
    </row>
    <row r="10" ht="27.75" customHeight="1">
      <c r="B10" s="8" t="s">
        <v>9</v>
      </c>
    </row>
    <row r="11" ht="27.75" customHeight="1">
      <c r="B11" s="8" t="s">
        <v>10</v>
      </c>
    </row>
    <row r="12" ht="27.75" customHeight="1">
      <c r="B12" s="8" t="s">
        <v>11</v>
      </c>
    </row>
    <row r="13" ht="27.75" customHeight="1">
      <c r="B13" s="8" t="s">
        <v>13</v>
      </c>
    </row>
    <row r="14" ht="27.75" customHeight="1">
      <c r="B14" s="8" t="s">
        <v>14</v>
      </c>
    </row>
    <row r="16" ht="21.75" customHeight="1">
      <c r="B16" s="5" t="s">
        <v>15</v>
      </c>
      <c r="C16" s="6"/>
    </row>
    <row r="17" ht="27.75" customHeight="1">
      <c r="B17" s="8" t="s">
        <v>16</v>
      </c>
    </row>
    <row r="18" ht="27.75" customHeight="1">
      <c r="B18" s="8" t="s">
        <v>17</v>
      </c>
    </row>
    <row r="19" ht="27.75" customHeight="1">
      <c r="B19" s="8" t="s">
        <v>19</v>
      </c>
    </row>
    <row r="20" ht="27.75" customHeight="1">
      <c r="B20" s="8" t="s">
        <v>21</v>
      </c>
    </row>
    <row r="21" ht="15.75" customHeight="1"/>
    <row r="22" ht="21.75" customHeight="1">
      <c r="B22" s="5" t="s">
        <v>22</v>
      </c>
      <c r="C22" s="6"/>
    </row>
    <row r="23" ht="27.75" customHeight="1">
      <c r="B23" s="17" t="s">
        <v>23</v>
      </c>
      <c r="C23" s="8" t="s">
        <v>27</v>
      </c>
    </row>
    <row r="24" ht="27.75" customHeight="1">
      <c r="B24" s="17" t="s">
        <v>24</v>
      </c>
      <c r="C24" s="8" t="s">
        <v>31</v>
      </c>
    </row>
    <row r="25" ht="27.75" customHeight="1">
      <c r="B25" s="17" t="s">
        <v>25</v>
      </c>
      <c r="C25" s="8" t="s">
        <v>36</v>
      </c>
    </row>
    <row r="26" ht="27.75" customHeight="1">
      <c r="B26" s="17" t="s">
        <v>28</v>
      </c>
      <c r="C26" s="8" t="s">
        <v>41</v>
      </c>
    </row>
    <row r="27" ht="27.75" customHeight="1">
      <c r="B27" s="17" t="s">
        <v>29</v>
      </c>
      <c r="C27" s="8" t="s">
        <v>46</v>
      </c>
    </row>
    <row r="28" ht="27.75" customHeight="1">
      <c r="B28" s="17" t="s">
        <v>32</v>
      </c>
      <c r="C28" s="8" t="s">
        <v>51</v>
      </c>
    </row>
    <row r="29" ht="27.75" customHeight="1">
      <c r="B29" s="17" t="s">
        <v>34</v>
      </c>
      <c r="C29" s="8" t="s">
        <v>54</v>
      </c>
    </row>
    <row r="30" ht="27.75" customHeight="1">
      <c r="B30" s="17" t="s">
        <v>37</v>
      </c>
      <c r="C30" s="8" t="s">
        <v>57</v>
      </c>
    </row>
    <row r="31" ht="27.75" customHeight="1">
      <c r="B31" s="17" t="s">
        <v>39</v>
      </c>
      <c r="C31" s="8" t="s">
        <v>58</v>
      </c>
    </row>
    <row r="32" ht="27.75" customHeight="1">
      <c r="B32" s="17" t="s">
        <v>42</v>
      </c>
      <c r="C32" s="8" t="s">
        <v>61</v>
      </c>
    </row>
    <row r="33" ht="27.75" customHeight="1">
      <c r="B33" s="17" t="s">
        <v>44</v>
      </c>
      <c r="C33" s="8" t="s">
        <v>62</v>
      </c>
    </row>
    <row r="34" ht="27.75" customHeight="1">
      <c r="B34" s="17" t="s">
        <v>63</v>
      </c>
      <c r="C34" s="8" t="s">
        <v>66</v>
      </c>
    </row>
    <row r="35" ht="27.75" customHeight="1">
      <c r="B35" s="17" t="s">
        <v>48</v>
      </c>
      <c r="C35" s="8" t="s">
        <v>69</v>
      </c>
    </row>
    <row r="36" ht="27.75" customHeight="1">
      <c r="B36" s="17" t="s">
        <v>50</v>
      </c>
      <c r="C36" s="8" t="s">
        <v>74</v>
      </c>
    </row>
    <row r="37" ht="27.75" customHeight="1">
      <c r="B37" s="17" t="s">
        <v>52</v>
      </c>
      <c r="C37" s="8" t="s">
        <v>77</v>
      </c>
    </row>
    <row r="38" ht="27.75" customHeight="1">
      <c r="B38" s="17" t="s">
        <v>53</v>
      </c>
      <c r="C38" s="8" t="s">
        <v>79</v>
      </c>
    </row>
    <row r="39" ht="27.75" customHeight="1">
      <c r="B39" s="17" t="s">
        <v>55</v>
      </c>
      <c r="C39" s="8" t="s">
        <v>82</v>
      </c>
    </row>
    <row r="40" ht="27.75" customHeight="1">
      <c r="B40" s="17" t="s">
        <v>56</v>
      </c>
      <c r="C40" s="8" t="s">
        <v>88</v>
      </c>
    </row>
    <row r="41" ht="15.75" customHeight="1"/>
    <row r="42" ht="21.75" customHeight="1">
      <c r="B42" s="5" t="s">
        <v>91</v>
      </c>
      <c r="C42" s="6"/>
    </row>
    <row r="43" ht="15.75" customHeight="1">
      <c r="B43" s="28" t="s">
        <v>98</v>
      </c>
      <c r="C43" s="31" t="s">
        <v>100</v>
      </c>
    </row>
    <row r="44" ht="15.75" customHeight="1">
      <c r="B44" s="33" t="s">
        <v>102</v>
      </c>
      <c r="C44" s="31" t="s">
        <v>104</v>
      </c>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B2:C2"/>
    <mergeCell ref="B3:C3"/>
    <mergeCell ref="B5:C5"/>
    <mergeCell ref="B6:C6"/>
    <mergeCell ref="B7:C7"/>
    <mergeCell ref="B9:C9"/>
    <mergeCell ref="B10:C10"/>
    <mergeCell ref="B19:C19"/>
    <mergeCell ref="B20:C20"/>
    <mergeCell ref="B22:C22"/>
    <mergeCell ref="B42:C42"/>
    <mergeCell ref="B11:C11"/>
    <mergeCell ref="B12:C12"/>
    <mergeCell ref="B13:C13"/>
    <mergeCell ref="B14:C14"/>
    <mergeCell ref="B16:C16"/>
    <mergeCell ref="B17:C17"/>
    <mergeCell ref="B18:C18"/>
  </mergeCells>
  <printOptions/>
  <pageMargins bottom="1.0" footer="0.0" header="0.0" left="0.75" right="0.75" top="1.0"/>
  <pageSetup fitToHeight="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C5F2D"/>
    <pageSetUpPr fitToPage="1"/>
  </sheetPr>
  <sheetViews>
    <sheetView showGridLines="0"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4.43" defaultRowHeight="15.0"/>
  <cols>
    <col customWidth="1" min="1" max="1" width="2.43"/>
    <col customWidth="1" min="2" max="2" width="10.0"/>
    <col customWidth="1" min="3" max="3" width="41.0"/>
    <col customWidth="1" min="4" max="4" width="54.71"/>
    <col customWidth="1" min="5" max="5" width="24.0"/>
    <col customWidth="1" min="6" max="6" width="13.0"/>
    <col customWidth="1" min="7" max="7" width="20.0"/>
    <col customWidth="1" min="8" max="8" width="26.0"/>
    <col customWidth="1" min="9" max="9" width="16.0"/>
    <col customWidth="1" min="10" max="10" width="13.0"/>
    <col customWidth="1" min="11" max="11" width="20.0"/>
    <col customWidth="1" min="12" max="13" width="22.0"/>
    <col customWidth="1" min="14" max="14" width="15.0"/>
    <col customWidth="1" min="15" max="15" width="16.0"/>
    <col customWidth="1" min="16" max="16" width="18.0"/>
    <col customWidth="1" min="17" max="17" width="16.0"/>
    <col customWidth="1" min="18" max="18" width="12.0"/>
    <col customWidth="1" min="19" max="19" width="16.0"/>
    <col customWidth="1" min="20" max="20" width="38.0"/>
  </cols>
  <sheetData>
    <row r="1">
      <c r="A1" s="2"/>
      <c r="B1" s="4" t="s">
        <v>2</v>
      </c>
      <c r="K1" s="2"/>
      <c r="L1" s="2"/>
      <c r="M1" s="2"/>
      <c r="N1" s="2"/>
      <c r="O1" s="2"/>
      <c r="P1" s="2"/>
      <c r="Q1" s="2"/>
      <c r="R1" s="2"/>
      <c r="S1" s="2"/>
      <c r="T1" s="2"/>
      <c r="U1" s="2"/>
      <c r="V1" s="2"/>
      <c r="W1" s="2"/>
      <c r="X1" s="2"/>
      <c r="Y1" s="2"/>
      <c r="Z1" s="2"/>
    </row>
    <row r="2">
      <c r="A2" s="2"/>
      <c r="B2" s="9" t="s">
        <v>5</v>
      </c>
      <c r="K2" s="2"/>
      <c r="L2" s="2"/>
      <c r="M2" s="2"/>
      <c r="N2" s="2"/>
      <c r="O2" s="2"/>
      <c r="P2" s="2"/>
      <c r="Q2" s="2"/>
      <c r="R2" s="2"/>
      <c r="S2" s="2"/>
      <c r="T2" s="2"/>
      <c r="U2" s="2"/>
      <c r="V2" s="2"/>
      <c r="W2" s="2"/>
      <c r="X2" s="2"/>
      <c r="Y2" s="2"/>
      <c r="Z2" s="2"/>
    </row>
    <row r="3" ht="27.75" customHeight="1">
      <c r="A3" s="2"/>
      <c r="B3" s="9" t="s">
        <v>8</v>
      </c>
      <c r="T3" s="2"/>
      <c r="U3" s="2"/>
      <c r="V3" s="2"/>
      <c r="W3" s="2"/>
      <c r="X3" s="2"/>
      <c r="Y3" s="2"/>
      <c r="Z3" s="2"/>
    </row>
    <row r="4">
      <c r="A4" s="2"/>
      <c r="B4" s="10"/>
      <c r="C4" s="2"/>
      <c r="D4" s="2"/>
      <c r="E4" s="2"/>
      <c r="F4" s="2"/>
      <c r="G4" s="2"/>
      <c r="H4" s="2"/>
      <c r="I4" s="2"/>
      <c r="J4" s="2"/>
      <c r="K4" s="2"/>
      <c r="L4" s="2"/>
      <c r="M4" s="2"/>
      <c r="N4" s="2"/>
      <c r="O4" s="2"/>
      <c r="P4" s="2"/>
      <c r="Q4" s="2"/>
      <c r="R4" s="2"/>
      <c r="S4" s="2"/>
      <c r="T4" s="2"/>
      <c r="U4" s="2"/>
      <c r="V4" s="2"/>
      <c r="W4" s="2"/>
      <c r="X4" s="2"/>
      <c r="Y4" s="2"/>
      <c r="Z4" s="2"/>
    </row>
    <row r="5" ht="25.5" customHeight="1">
      <c r="B5" s="14" t="s">
        <v>18</v>
      </c>
      <c r="C5" s="16" t="s">
        <v>23</v>
      </c>
      <c r="D5" s="16" t="s">
        <v>24</v>
      </c>
      <c r="E5" s="16" t="s">
        <v>25</v>
      </c>
      <c r="F5" s="16" t="s">
        <v>28</v>
      </c>
      <c r="G5" s="16" t="s">
        <v>29</v>
      </c>
      <c r="H5" s="16" t="s">
        <v>32</v>
      </c>
      <c r="I5" s="16" t="s">
        <v>34</v>
      </c>
      <c r="J5" s="16" t="s">
        <v>37</v>
      </c>
      <c r="K5" s="16" t="s">
        <v>39</v>
      </c>
      <c r="L5" s="16" t="s">
        <v>42</v>
      </c>
      <c r="M5" s="16" t="s">
        <v>44</v>
      </c>
      <c r="N5" s="16" t="s">
        <v>45</v>
      </c>
      <c r="O5" s="16" t="s">
        <v>48</v>
      </c>
      <c r="P5" s="16" t="s">
        <v>50</v>
      </c>
      <c r="Q5" s="16" t="s">
        <v>52</v>
      </c>
      <c r="R5" s="16" t="s">
        <v>53</v>
      </c>
      <c r="S5" s="16" t="s">
        <v>55</v>
      </c>
      <c r="T5" s="16" t="s">
        <v>56</v>
      </c>
    </row>
    <row r="6" ht="25.5" customHeight="1">
      <c r="A6" s="2"/>
      <c r="B6" s="21" t="s">
        <v>60</v>
      </c>
      <c r="C6" s="23" t="s">
        <v>65</v>
      </c>
      <c r="D6" s="23" t="s">
        <v>71</v>
      </c>
      <c r="E6" s="23" t="s">
        <v>72</v>
      </c>
      <c r="F6" s="25" t="s">
        <v>76</v>
      </c>
      <c r="G6" s="23" t="s">
        <v>80</v>
      </c>
      <c r="H6" s="23" t="s">
        <v>81</v>
      </c>
      <c r="I6" s="23" t="s">
        <v>83</v>
      </c>
      <c r="J6" s="23" t="s">
        <v>86</v>
      </c>
      <c r="K6" s="23" t="s">
        <v>87</v>
      </c>
      <c r="L6" s="23" t="s">
        <v>89</v>
      </c>
      <c r="M6" s="23" t="s">
        <v>90</v>
      </c>
      <c r="N6" s="25" t="s">
        <v>76</v>
      </c>
      <c r="O6" s="23" t="s">
        <v>92</v>
      </c>
      <c r="P6" s="23" t="s">
        <v>94</v>
      </c>
      <c r="Q6" s="23" t="s">
        <v>95</v>
      </c>
      <c r="R6" s="23" t="s">
        <v>96</v>
      </c>
      <c r="S6" s="23" t="s">
        <v>64</v>
      </c>
      <c r="T6" s="23" t="s">
        <v>99</v>
      </c>
      <c r="U6" s="2"/>
      <c r="V6" s="2"/>
      <c r="W6" s="2"/>
      <c r="X6" s="2"/>
      <c r="Y6" s="2"/>
      <c r="Z6" s="2"/>
    </row>
    <row r="7" ht="38.25" customHeight="1">
      <c r="A7" s="2"/>
      <c r="B7" s="30" t="s">
        <v>75</v>
      </c>
      <c r="C7" s="32" t="s">
        <v>101</v>
      </c>
      <c r="D7" s="34" t="s">
        <v>103</v>
      </c>
      <c r="E7" s="32" t="s">
        <v>114</v>
      </c>
      <c r="F7" s="35"/>
      <c r="G7" s="32" t="s">
        <v>12</v>
      </c>
      <c r="H7" s="32"/>
      <c r="I7" s="32" t="s">
        <v>118</v>
      </c>
      <c r="J7" s="32" t="s">
        <v>86</v>
      </c>
      <c r="K7" s="32"/>
      <c r="L7" s="32" t="s">
        <v>120</v>
      </c>
      <c r="M7" s="32"/>
      <c r="N7" s="35"/>
      <c r="O7" s="32"/>
      <c r="P7" s="32"/>
      <c r="Q7" s="32"/>
      <c r="R7" s="32"/>
      <c r="S7" s="32"/>
      <c r="T7" s="32"/>
      <c r="U7" s="2"/>
      <c r="V7" s="2"/>
      <c r="W7" s="2"/>
      <c r="X7" s="2"/>
      <c r="Y7" s="2"/>
      <c r="Z7" s="2"/>
    </row>
    <row r="8" ht="45.0" customHeight="1">
      <c r="A8" s="2"/>
      <c r="B8" s="10" t="s">
        <v>124</v>
      </c>
      <c r="C8" s="37" t="s">
        <v>125</v>
      </c>
      <c r="D8" s="37" t="s">
        <v>126</v>
      </c>
      <c r="E8" s="37" t="s">
        <v>128</v>
      </c>
      <c r="F8" s="37" t="s">
        <v>129</v>
      </c>
      <c r="G8" s="37" t="s">
        <v>12</v>
      </c>
      <c r="H8" s="37" t="s">
        <v>131</v>
      </c>
      <c r="I8" s="37" t="s">
        <v>132</v>
      </c>
      <c r="J8" s="37" t="s">
        <v>86</v>
      </c>
      <c r="K8" s="37" t="s">
        <v>133</v>
      </c>
      <c r="L8" s="37" t="s">
        <v>135</v>
      </c>
      <c r="M8" s="38"/>
      <c r="N8" s="38"/>
      <c r="O8" s="38"/>
      <c r="P8" s="38"/>
      <c r="Q8" s="38"/>
      <c r="R8" s="38"/>
      <c r="S8" s="38"/>
      <c r="T8" s="38"/>
      <c r="U8" s="2"/>
      <c r="V8" s="2"/>
      <c r="W8" s="2"/>
      <c r="X8" s="2"/>
      <c r="Y8" s="2"/>
      <c r="Z8" s="2"/>
    </row>
    <row r="9" ht="15.75" customHeight="1">
      <c r="A9" s="2"/>
      <c r="B9" s="10" t="s">
        <v>137</v>
      </c>
      <c r="C9" s="37" t="s">
        <v>139</v>
      </c>
      <c r="D9" s="37" t="s">
        <v>140</v>
      </c>
      <c r="E9" s="37" t="s">
        <v>141</v>
      </c>
      <c r="F9" s="37" t="s">
        <v>129</v>
      </c>
      <c r="G9" s="37" t="s">
        <v>12</v>
      </c>
      <c r="H9" s="37" t="s">
        <v>143</v>
      </c>
      <c r="I9" s="37" t="s">
        <v>132</v>
      </c>
      <c r="J9" s="37" t="s">
        <v>86</v>
      </c>
      <c r="K9" s="37" t="s">
        <v>146</v>
      </c>
      <c r="L9" s="37" t="s">
        <v>147</v>
      </c>
      <c r="M9" s="38"/>
      <c r="N9" s="38"/>
      <c r="O9" s="38"/>
      <c r="P9" s="38"/>
      <c r="Q9" s="38"/>
      <c r="R9" s="38"/>
      <c r="S9" s="38"/>
      <c r="T9" s="38"/>
      <c r="U9" s="2"/>
      <c r="V9" s="2"/>
      <c r="W9" s="2"/>
      <c r="X9" s="2"/>
      <c r="Y9" s="2"/>
      <c r="Z9" s="2"/>
    </row>
    <row r="10" ht="15.75" customHeight="1">
      <c r="A10" s="2"/>
      <c r="B10" s="10" t="s">
        <v>148</v>
      </c>
      <c r="C10" s="37" t="s">
        <v>149</v>
      </c>
      <c r="D10" s="37" t="s">
        <v>150</v>
      </c>
      <c r="E10" s="37" t="s">
        <v>151</v>
      </c>
      <c r="F10" s="37" t="s">
        <v>129</v>
      </c>
      <c r="G10" s="37" t="s">
        <v>12</v>
      </c>
      <c r="H10" s="37" t="s">
        <v>152</v>
      </c>
      <c r="I10" s="37" t="s">
        <v>153</v>
      </c>
      <c r="J10" s="37" t="s">
        <v>154</v>
      </c>
      <c r="K10" s="37" t="s">
        <v>133</v>
      </c>
      <c r="L10" s="37" t="s">
        <v>155</v>
      </c>
      <c r="M10" s="38"/>
      <c r="N10" s="38"/>
      <c r="O10" s="38"/>
      <c r="P10" s="38"/>
      <c r="Q10" s="38"/>
      <c r="R10" s="38"/>
      <c r="S10" s="38"/>
      <c r="T10" s="38"/>
      <c r="U10" s="2"/>
      <c r="V10" s="2"/>
      <c r="W10" s="2"/>
      <c r="X10" s="2"/>
      <c r="Y10" s="2"/>
      <c r="Z10" s="2"/>
    </row>
    <row r="11" ht="15.75" customHeight="1">
      <c r="A11" s="2"/>
      <c r="B11" s="10" t="s">
        <v>157</v>
      </c>
      <c r="C11" s="37" t="s">
        <v>158</v>
      </c>
      <c r="D11" s="37" t="s">
        <v>160</v>
      </c>
      <c r="E11" s="37" t="s">
        <v>128</v>
      </c>
      <c r="F11" s="37" t="s">
        <v>129</v>
      </c>
      <c r="G11" s="37" t="s">
        <v>12</v>
      </c>
      <c r="H11" s="37" t="s">
        <v>163</v>
      </c>
      <c r="I11" s="37" t="s">
        <v>164</v>
      </c>
      <c r="J11" s="37" t="s">
        <v>165</v>
      </c>
      <c r="K11" s="37" t="s">
        <v>166</v>
      </c>
      <c r="L11" s="37" t="s">
        <v>167</v>
      </c>
      <c r="M11" s="38"/>
      <c r="N11" s="38"/>
      <c r="O11" s="38"/>
      <c r="P11" s="38"/>
      <c r="Q11" s="38"/>
      <c r="R11" s="38"/>
      <c r="S11" s="38"/>
      <c r="T11" s="38"/>
      <c r="U11" s="2"/>
      <c r="V11" s="2"/>
      <c r="W11" s="2"/>
      <c r="X11" s="2"/>
      <c r="Y11" s="2"/>
      <c r="Z11" s="2"/>
    </row>
    <row r="12" ht="15.75" customHeight="1">
      <c r="A12" s="2"/>
      <c r="B12" s="10"/>
      <c r="C12" s="2"/>
      <c r="D12" s="2"/>
      <c r="E12" s="2"/>
      <c r="F12" s="2"/>
      <c r="G12" s="2"/>
      <c r="H12" s="2"/>
      <c r="I12" s="2"/>
      <c r="J12" s="2"/>
      <c r="K12" s="2"/>
      <c r="L12" s="2"/>
      <c r="M12" s="2"/>
      <c r="N12" s="2"/>
      <c r="O12" s="2"/>
      <c r="P12" s="2"/>
      <c r="Q12" s="2"/>
      <c r="R12" s="2"/>
      <c r="S12" s="2"/>
      <c r="T12" s="2"/>
      <c r="U12" s="2"/>
      <c r="V12" s="2"/>
      <c r="W12" s="2"/>
      <c r="X12" s="2"/>
      <c r="Y12" s="2"/>
      <c r="Z12" s="2"/>
    </row>
    <row r="13" ht="15.75" customHeight="1">
      <c r="A13" s="2"/>
      <c r="B13" s="10"/>
      <c r="C13" s="2"/>
      <c r="D13" s="2"/>
      <c r="E13" s="2"/>
      <c r="F13" s="2"/>
      <c r="G13" s="2"/>
      <c r="H13" s="2"/>
      <c r="I13" s="2"/>
      <c r="J13" s="2"/>
      <c r="K13" s="2"/>
      <c r="L13" s="2"/>
      <c r="M13" s="2"/>
      <c r="N13" s="2"/>
      <c r="O13" s="2"/>
      <c r="P13" s="2"/>
      <c r="Q13" s="2"/>
      <c r="R13" s="2"/>
      <c r="S13" s="2"/>
      <c r="T13" s="2"/>
      <c r="U13" s="2"/>
      <c r="V13" s="2"/>
      <c r="W13" s="2"/>
      <c r="X13" s="2"/>
      <c r="Y13" s="2"/>
      <c r="Z13" s="2"/>
    </row>
    <row r="14" ht="15.75" customHeight="1">
      <c r="A14" s="2"/>
      <c r="B14" s="10"/>
      <c r="C14" s="2"/>
      <c r="D14" s="2"/>
      <c r="E14" s="2"/>
      <c r="F14" s="2"/>
      <c r="G14" s="2"/>
      <c r="H14" s="2"/>
      <c r="I14" s="2"/>
      <c r="J14" s="2"/>
      <c r="K14" s="2"/>
      <c r="L14" s="2"/>
      <c r="M14" s="2"/>
      <c r="N14" s="2"/>
      <c r="O14" s="2"/>
      <c r="P14" s="2"/>
      <c r="Q14" s="2"/>
      <c r="R14" s="2"/>
      <c r="S14" s="2"/>
      <c r="T14" s="2"/>
      <c r="U14" s="2"/>
      <c r="V14" s="2"/>
      <c r="W14" s="2"/>
      <c r="X14" s="2"/>
      <c r="Y14" s="2"/>
      <c r="Z14" s="2"/>
    </row>
    <row r="15" ht="15.75" customHeight="1">
      <c r="A15" s="2"/>
      <c r="B15" s="10"/>
      <c r="C15" s="2"/>
      <c r="D15" s="2"/>
      <c r="E15" s="2"/>
      <c r="F15" s="2"/>
      <c r="G15" s="2"/>
      <c r="H15" s="2"/>
      <c r="I15" s="2"/>
      <c r="J15" s="2"/>
      <c r="K15" s="2"/>
      <c r="L15" s="2"/>
      <c r="M15" s="2"/>
      <c r="N15" s="2"/>
      <c r="O15" s="2"/>
      <c r="P15" s="2"/>
      <c r="Q15" s="2"/>
      <c r="R15" s="2"/>
      <c r="S15" s="2"/>
      <c r="T15" s="2"/>
      <c r="U15" s="2"/>
      <c r="V15" s="2"/>
      <c r="W15" s="2"/>
      <c r="X15" s="2"/>
      <c r="Y15" s="2"/>
      <c r="Z15" s="2"/>
    </row>
    <row r="16" ht="15.75" customHeight="1">
      <c r="A16" s="2"/>
      <c r="B16" s="10"/>
      <c r="C16" s="2"/>
      <c r="D16" s="2"/>
      <c r="E16" s="2"/>
      <c r="F16" s="2"/>
      <c r="G16" s="2"/>
      <c r="H16" s="2"/>
      <c r="I16" s="2"/>
      <c r="J16" s="2"/>
      <c r="K16" s="2"/>
      <c r="L16" s="2"/>
      <c r="M16" s="2"/>
      <c r="N16" s="2"/>
      <c r="O16" s="2"/>
      <c r="P16" s="2"/>
      <c r="Q16" s="2"/>
      <c r="R16" s="2"/>
      <c r="S16" s="2"/>
      <c r="T16" s="2"/>
      <c r="U16" s="2"/>
      <c r="V16" s="2"/>
      <c r="W16" s="2"/>
      <c r="X16" s="2"/>
      <c r="Y16" s="2"/>
      <c r="Z16" s="2"/>
    </row>
    <row r="17" ht="15.75" customHeight="1">
      <c r="A17" s="2"/>
      <c r="B17" s="10"/>
      <c r="C17" s="2"/>
      <c r="D17" s="2"/>
      <c r="E17" s="2"/>
      <c r="F17" s="2"/>
      <c r="G17" s="2"/>
      <c r="H17" s="2"/>
      <c r="I17" s="2"/>
      <c r="J17" s="2"/>
      <c r="K17" s="2"/>
      <c r="L17" s="2"/>
      <c r="M17" s="2"/>
      <c r="N17" s="2"/>
      <c r="O17" s="2"/>
      <c r="P17" s="2"/>
      <c r="Q17" s="2"/>
      <c r="R17" s="2"/>
      <c r="S17" s="2"/>
      <c r="T17" s="2"/>
      <c r="U17" s="2"/>
      <c r="V17" s="2"/>
      <c r="W17" s="2"/>
      <c r="X17" s="2"/>
      <c r="Y17" s="2"/>
      <c r="Z17" s="2"/>
    </row>
    <row r="18" ht="15.75" customHeight="1">
      <c r="A18" s="2"/>
      <c r="B18" s="10"/>
      <c r="C18" s="2"/>
      <c r="D18" s="2"/>
      <c r="E18" s="2"/>
      <c r="F18" s="2"/>
      <c r="G18" s="2"/>
      <c r="H18" s="2"/>
      <c r="I18" s="2"/>
      <c r="J18" s="2"/>
      <c r="K18" s="2"/>
      <c r="L18" s="2"/>
      <c r="M18" s="2"/>
      <c r="N18" s="2"/>
      <c r="O18" s="2"/>
      <c r="P18" s="2"/>
      <c r="Q18" s="2"/>
      <c r="R18" s="2"/>
      <c r="S18" s="2"/>
      <c r="T18" s="2"/>
      <c r="U18" s="2"/>
      <c r="V18" s="2"/>
      <c r="W18" s="2"/>
      <c r="X18" s="2"/>
      <c r="Y18" s="2"/>
      <c r="Z18" s="2"/>
    </row>
    <row r="19" ht="15.75" customHeight="1">
      <c r="A19" s="2"/>
      <c r="B19" s="10"/>
      <c r="C19" s="2"/>
      <c r="D19" s="2"/>
      <c r="E19" s="2"/>
      <c r="F19" s="2"/>
      <c r="G19" s="2"/>
      <c r="H19" s="2"/>
      <c r="I19" s="2"/>
      <c r="J19" s="2"/>
      <c r="K19" s="2"/>
      <c r="L19" s="2"/>
      <c r="M19" s="2"/>
      <c r="N19" s="2"/>
      <c r="O19" s="2"/>
      <c r="P19" s="2"/>
      <c r="Q19" s="2"/>
      <c r="R19" s="2"/>
      <c r="S19" s="2"/>
      <c r="T19" s="2"/>
      <c r="U19" s="2"/>
      <c r="V19" s="2"/>
      <c r="W19" s="2"/>
      <c r="X19" s="2"/>
      <c r="Y19" s="2"/>
      <c r="Z19" s="2"/>
    </row>
    <row r="20" ht="15.75" customHeight="1">
      <c r="A20" s="2"/>
      <c r="B20" s="10"/>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10"/>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10"/>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10"/>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10"/>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10"/>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10"/>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10"/>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10"/>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10"/>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10"/>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10"/>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10"/>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10"/>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10"/>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10"/>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10"/>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10"/>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10"/>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10"/>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10"/>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10"/>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10"/>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10"/>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10"/>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10"/>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10"/>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10"/>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10"/>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10"/>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10"/>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10"/>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10"/>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10"/>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10"/>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10"/>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10"/>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10"/>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10"/>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10"/>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10"/>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10"/>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10"/>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10"/>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10"/>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10"/>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10"/>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10"/>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10"/>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10"/>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10"/>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10"/>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10"/>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10"/>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10"/>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10"/>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10"/>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10"/>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10"/>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10"/>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10"/>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10"/>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10"/>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10"/>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10"/>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10"/>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10"/>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10"/>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10"/>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10"/>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10"/>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10"/>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10"/>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10"/>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10"/>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10"/>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10"/>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10"/>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10"/>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10"/>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10"/>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10"/>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10"/>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10"/>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10"/>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10"/>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10"/>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10"/>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10"/>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10"/>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10"/>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10"/>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10"/>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10"/>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10"/>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10"/>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10"/>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10"/>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10"/>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10"/>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10"/>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10"/>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10"/>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10"/>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10"/>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10"/>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10"/>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10"/>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10"/>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10"/>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10"/>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10"/>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10"/>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10"/>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10"/>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10"/>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10"/>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10"/>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10"/>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10"/>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10"/>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10"/>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10"/>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10"/>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10"/>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10"/>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10"/>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10"/>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10"/>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10"/>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10"/>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10"/>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10"/>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10"/>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10"/>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10"/>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10"/>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10"/>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10"/>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10"/>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10"/>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10"/>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10"/>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10"/>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10"/>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10"/>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10"/>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10"/>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10"/>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10"/>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10"/>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10"/>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10"/>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10"/>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10"/>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10"/>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10"/>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10"/>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10"/>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10"/>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10"/>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10"/>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10"/>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10"/>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10"/>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10"/>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10"/>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10"/>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10"/>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10"/>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10"/>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10"/>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10"/>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10"/>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10"/>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10"/>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10"/>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10"/>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10"/>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10"/>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10"/>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10"/>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10"/>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10"/>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10"/>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10"/>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10"/>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10"/>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10"/>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10"/>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10"/>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10"/>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10"/>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10"/>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10"/>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10"/>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10"/>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10"/>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10"/>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10"/>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autoFilter ref="$B$5:$T$11"/>
  <mergeCells count="3">
    <mergeCell ref="B1:J1"/>
    <mergeCell ref="B2:J2"/>
    <mergeCell ref="B3:S3"/>
  </mergeCells>
  <dataValidations>
    <dataValidation type="list" allowBlank="1" sqref="J7">
      <formula1>"PDF,Text / Word,Poster,Audio,Video,Spreadsheet,Other"</formula1>
    </dataValidation>
    <dataValidation type="list" allowBlank="1" sqref="S7">
      <formula1>"Ready to Certify,Needs Review,Needs Update,Duplicate,Reject"</formula1>
    </dataValidation>
    <dataValidation type="list" allowBlank="1" sqref="O7">
      <formula1>"Current,Needs Update,Outdated,Needs Verification"</formula1>
    </dataValidation>
    <dataValidation type="list" allowBlank="1" sqref="Q7">
      <formula1>"source_validated,expert_reviewed,pending_validation,not_validated"</formula1>
    </dataValidation>
    <dataValidation type="list" allowBlank="1" sqref="I7">
      <formula1>"Production Guide,Protocol / SOP,Factsheet,Advisory Bulletin,Brochure,Training Manual,Poster / Infographic,Video,Other"</formula1>
    </dataValidation>
    <dataValidation type="list" allowBlank="1" sqref="P7">
      <formula1>"Verified,Needs Review,Flagged - Inaccurate"</formula1>
    </dataValidation>
    <dataValidation type="list" allowBlank="1" sqref="R7">
      <formula1>"Low,Medium,High"</formula1>
    </dataValidation>
  </dataValidations>
  <hyperlinks>
    <hyperlink r:id="rId1" ref="D7"/>
  </hyperlinks>
  <printOptions/>
  <pageMargins bottom="1.0" footer="0.0" header="0.0" left="0.75" right="0.75" top="1.0"/>
  <pageSetup fitToHeight="0"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392B"/>
    <pageSetUpPr fitToPage="1"/>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cols>
    <col customWidth="1" min="1" max="1" width="4.0"/>
    <col customWidth="1" min="2" max="2" width="22.14"/>
    <col customWidth="1" min="3" max="3" width="85.71"/>
    <col customWidth="1" min="4" max="4" width="16.14"/>
    <col customWidth="1" min="5" max="5" width="63.86"/>
    <col customWidth="1" min="6" max="6" width="26.0"/>
    <col customWidth="1" min="7" max="7" width="13.14"/>
    <col customWidth="1" min="8" max="25" width="14.43"/>
  </cols>
  <sheetData>
    <row r="1">
      <c r="A1" s="7"/>
      <c r="B1" s="7"/>
      <c r="C1" s="7"/>
      <c r="D1" s="7"/>
      <c r="E1" s="7"/>
      <c r="F1" s="7"/>
      <c r="G1" s="7"/>
      <c r="H1" s="7"/>
      <c r="I1" s="7"/>
      <c r="J1" s="7"/>
      <c r="K1" s="7"/>
      <c r="L1" s="7"/>
      <c r="M1" s="7"/>
      <c r="N1" s="7"/>
      <c r="O1" s="7"/>
      <c r="P1" s="7"/>
      <c r="Q1" s="7"/>
      <c r="R1" s="7"/>
      <c r="S1" s="7"/>
      <c r="T1" s="7"/>
      <c r="U1" s="7"/>
      <c r="V1" s="7"/>
      <c r="W1" s="7"/>
      <c r="X1" s="7"/>
      <c r="Y1" s="7"/>
      <c r="Z1" s="7"/>
    </row>
    <row r="2" ht="21.75" customHeight="1">
      <c r="A2" s="11" t="s">
        <v>12</v>
      </c>
      <c r="B2" s="12"/>
      <c r="C2" s="12"/>
      <c r="D2" s="12"/>
      <c r="E2" s="12"/>
      <c r="F2" s="12"/>
      <c r="G2" s="13"/>
      <c r="H2" s="15"/>
      <c r="I2" s="15"/>
      <c r="J2" s="15"/>
      <c r="K2" s="15"/>
      <c r="L2" s="15"/>
      <c r="M2" s="15"/>
      <c r="N2" s="15"/>
      <c r="O2" s="15"/>
      <c r="P2" s="15"/>
      <c r="Q2" s="15"/>
      <c r="R2" s="15"/>
      <c r="S2" s="15"/>
      <c r="T2" s="15"/>
      <c r="U2" s="15"/>
      <c r="V2" s="15"/>
      <c r="W2" s="15"/>
      <c r="X2" s="15"/>
      <c r="Y2" s="15"/>
      <c r="Z2" s="15"/>
    </row>
    <row r="3" ht="20.25" customHeight="1">
      <c r="A3" s="19" t="s">
        <v>26</v>
      </c>
      <c r="B3" s="19" t="s">
        <v>33</v>
      </c>
      <c r="C3" s="19" t="s">
        <v>35</v>
      </c>
      <c r="D3" s="19" t="s">
        <v>38</v>
      </c>
      <c r="E3" s="19" t="s">
        <v>40</v>
      </c>
      <c r="F3" s="19" t="s">
        <v>43</v>
      </c>
      <c r="G3" s="20" t="s">
        <v>47</v>
      </c>
      <c r="H3" s="7"/>
      <c r="I3" s="7"/>
      <c r="J3" s="7"/>
      <c r="K3" s="7"/>
      <c r="L3" s="7"/>
      <c r="M3" s="7"/>
      <c r="N3" s="7"/>
      <c r="O3" s="7"/>
      <c r="P3" s="7"/>
      <c r="Q3" s="7"/>
      <c r="R3" s="7"/>
      <c r="S3" s="7"/>
      <c r="T3" s="7"/>
      <c r="U3" s="7"/>
      <c r="V3" s="7"/>
      <c r="W3" s="7"/>
      <c r="X3" s="7"/>
      <c r="Y3" s="7"/>
      <c r="Z3" s="7"/>
    </row>
    <row r="4" ht="85.5" customHeight="1">
      <c r="A4" s="22">
        <v>1.0</v>
      </c>
      <c r="B4" s="22" t="s">
        <v>67</v>
      </c>
      <c r="C4" s="22" t="s">
        <v>70</v>
      </c>
      <c r="D4" s="24" t="s">
        <v>75</v>
      </c>
      <c r="E4" s="26" t="s">
        <v>85</v>
      </c>
      <c r="F4" s="26" t="s">
        <v>93</v>
      </c>
      <c r="G4" s="29" t="s">
        <v>97</v>
      </c>
      <c r="H4" s="29"/>
      <c r="I4" s="29"/>
      <c r="J4" s="29"/>
      <c r="K4" s="29"/>
      <c r="L4" s="29"/>
      <c r="M4" s="29"/>
      <c r="N4" s="29"/>
      <c r="O4" s="29"/>
      <c r="P4" s="29"/>
      <c r="Q4" s="29"/>
      <c r="R4" s="29"/>
      <c r="S4" s="29"/>
      <c r="T4" s="29"/>
      <c r="U4" s="29"/>
      <c r="V4" s="29"/>
      <c r="W4" s="29"/>
      <c r="X4" s="29"/>
      <c r="Y4" s="29"/>
      <c r="Z4" s="7"/>
    </row>
    <row r="5" ht="84.75" customHeight="1">
      <c r="A5" s="22">
        <v>2.0</v>
      </c>
      <c r="B5" s="22" t="s">
        <v>105</v>
      </c>
      <c r="C5" s="22" t="s">
        <v>106</v>
      </c>
      <c r="D5" s="24" t="s">
        <v>75</v>
      </c>
      <c r="E5" s="26" t="s">
        <v>107</v>
      </c>
      <c r="F5" s="26" t="s">
        <v>108</v>
      </c>
      <c r="G5" s="29" t="s">
        <v>97</v>
      </c>
      <c r="H5" s="29"/>
      <c r="I5" s="29"/>
      <c r="J5" s="29"/>
      <c r="K5" s="29"/>
      <c r="L5" s="29"/>
      <c r="M5" s="29"/>
      <c r="N5" s="29"/>
      <c r="O5" s="29"/>
      <c r="P5" s="29"/>
      <c r="Q5" s="29"/>
      <c r="R5" s="29"/>
      <c r="S5" s="29"/>
      <c r="T5" s="29"/>
      <c r="U5" s="29"/>
      <c r="V5" s="29"/>
      <c r="W5" s="29"/>
      <c r="X5" s="29"/>
      <c r="Y5" s="29"/>
      <c r="Z5" s="7"/>
    </row>
    <row r="6" ht="87.75" customHeight="1">
      <c r="A6" s="22">
        <v>3.0</v>
      </c>
      <c r="B6" s="22" t="s">
        <v>109</v>
      </c>
      <c r="C6" s="22" t="s">
        <v>110</v>
      </c>
      <c r="D6" s="24" t="s">
        <v>75</v>
      </c>
      <c r="E6" s="26" t="s">
        <v>111</v>
      </c>
      <c r="F6" s="26" t="s">
        <v>112</v>
      </c>
      <c r="G6" s="29" t="s">
        <v>97</v>
      </c>
      <c r="H6" s="29"/>
      <c r="I6" s="29"/>
      <c r="J6" s="29"/>
      <c r="K6" s="29"/>
      <c r="L6" s="29"/>
      <c r="M6" s="29"/>
      <c r="N6" s="29"/>
      <c r="O6" s="29"/>
      <c r="P6" s="29"/>
      <c r="Q6" s="29"/>
      <c r="R6" s="29"/>
      <c r="S6" s="29"/>
      <c r="T6" s="29"/>
      <c r="U6" s="29"/>
      <c r="V6" s="29"/>
      <c r="W6" s="29"/>
      <c r="X6" s="29"/>
      <c r="Y6" s="29"/>
      <c r="Z6" s="7"/>
    </row>
    <row r="7" ht="71.25" customHeight="1">
      <c r="A7" s="22">
        <v>4.0</v>
      </c>
      <c r="B7" s="22" t="s">
        <v>113</v>
      </c>
      <c r="C7" s="22" t="s">
        <v>115</v>
      </c>
      <c r="D7" s="24" t="s">
        <v>75</v>
      </c>
      <c r="E7" s="26" t="s">
        <v>116</v>
      </c>
      <c r="F7" s="26" t="s">
        <v>117</v>
      </c>
      <c r="G7" s="29" t="s">
        <v>97</v>
      </c>
      <c r="H7" s="29"/>
      <c r="I7" s="29"/>
      <c r="J7" s="29"/>
      <c r="K7" s="29"/>
      <c r="L7" s="29"/>
      <c r="M7" s="29"/>
      <c r="N7" s="29"/>
      <c r="O7" s="29"/>
      <c r="P7" s="29"/>
      <c r="Q7" s="29"/>
      <c r="R7" s="29"/>
      <c r="S7" s="29"/>
      <c r="T7" s="29"/>
      <c r="U7" s="29"/>
      <c r="V7" s="29"/>
      <c r="W7" s="29"/>
      <c r="X7" s="29"/>
      <c r="Y7" s="29"/>
      <c r="Z7" s="7"/>
    </row>
    <row r="8" ht="71.25" customHeight="1">
      <c r="A8" s="22">
        <v>5.0</v>
      </c>
      <c r="B8" s="22" t="s">
        <v>119</v>
      </c>
      <c r="C8" s="22" t="s">
        <v>121</v>
      </c>
      <c r="D8" s="24" t="s">
        <v>75</v>
      </c>
      <c r="E8" s="26" t="s">
        <v>122</v>
      </c>
      <c r="F8" s="26" t="s">
        <v>123</v>
      </c>
      <c r="G8" s="29" t="s">
        <v>97</v>
      </c>
      <c r="H8" s="7"/>
      <c r="I8" s="7"/>
      <c r="J8" s="7"/>
      <c r="K8" s="7"/>
      <c r="L8" s="7"/>
      <c r="M8" s="7"/>
      <c r="N8" s="7"/>
      <c r="O8" s="7"/>
      <c r="P8" s="7"/>
      <c r="Q8" s="7"/>
      <c r="R8" s="7"/>
      <c r="S8" s="7"/>
      <c r="T8" s="7"/>
      <c r="U8" s="7"/>
      <c r="V8" s="7"/>
      <c r="W8" s="7"/>
      <c r="X8" s="7"/>
      <c r="Y8" s="7"/>
      <c r="Z8" s="7"/>
    </row>
    <row r="9" ht="72.0" customHeight="1">
      <c r="A9" s="22">
        <v>6.0</v>
      </c>
      <c r="B9" s="22" t="s">
        <v>127</v>
      </c>
      <c r="C9" s="22" t="s">
        <v>130</v>
      </c>
      <c r="D9" s="24" t="s">
        <v>75</v>
      </c>
      <c r="E9" s="26" t="s">
        <v>134</v>
      </c>
      <c r="F9" s="26" t="s">
        <v>136</v>
      </c>
      <c r="G9" s="29" t="s">
        <v>97</v>
      </c>
      <c r="H9" s="7"/>
      <c r="I9" s="7"/>
      <c r="J9" s="7"/>
      <c r="K9" s="7"/>
      <c r="L9" s="7"/>
      <c r="M9" s="7"/>
      <c r="N9" s="7"/>
      <c r="O9" s="7"/>
      <c r="P9" s="7"/>
      <c r="Q9" s="7"/>
      <c r="R9" s="7"/>
      <c r="S9" s="7"/>
      <c r="T9" s="7"/>
      <c r="U9" s="7"/>
      <c r="V9" s="7"/>
      <c r="W9" s="7"/>
      <c r="X9" s="7"/>
      <c r="Y9" s="7"/>
      <c r="Z9" s="7"/>
    </row>
    <row r="10" ht="77.25" customHeight="1">
      <c r="A10" s="22">
        <v>7.0</v>
      </c>
      <c r="B10" s="22" t="s">
        <v>138</v>
      </c>
      <c r="C10" s="22" t="s">
        <v>142</v>
      </c>
      <c r="D10" s="24" t="s">
        <v>75</v>
      </c>
      <c r="E10" s="26" t="s">
        <v>144</v>
      </c>
      <c r="F10" s="26" t="s">
        <v>145</v>
      </c>
      <c r="G10" s="29" t="s">
        <v>97</v>
      </c>
      <c r="H10" s="7"/>
      <c r="I10" s="7"/>
      <c r="J10" s="7"/>
      <c r="K10" s="7"/>
      <c r="L10" s="7"/>
      <c r="M10" s="7"/>
      <c r="N10" s="7"/>
      <c r="O10" s="7"/>
      <c r="P10" s="7"/>
      <c r="Q10" s="7"/>
      <c r="R10" s="7"/>
      <c r="S10" s="7"/>
      <c r="T10" s="7"/>
      <c r="U10" s="7"/>
      <c r="V10" s="7"/>
      <c r="W10" s="7"/>
      <c r="X10" s="7"/>
      <c r="Y10" s="7"/>
      <c r="Z10" s="7"/>
    </row>
    <row r="11" ht="91.5" customHeight="1">
      <c r="A11" s="22">
        <v>8.0</v>
      </c>
      <c r="B11" s="22" t="s">
        <v>156</v>
      </c>
      <c r="C11" s="22" t="s">
        <v>159</v>
      </c>
      <c r="D11" s="24" t="s">
        <v>75</v>
      </c>
      <c r="E11" s="26" t="s">
        <v>161</v>
      </c>
      <c r="F11" s="26" t="s">
        <v>162</v>
      </c>
      <c r="G11" s="29" t="s">
        <v>97</v>
      </c>
      <c r="H11" s="7"/>
      <c r="I11" s="7"/>
      <c r="J11" s="7"/>
      <c r="K11" s="7"/>
      <c r="L11" s="7"/>
      <c r="M11" s="7"/>
      <c r="N11" s="7"/>
      <c r="O11" s="7"/>
      <c r="P11" s="7"/>
      <c r="Q11" s="7"/>
      <c r="R11" s="7"/>
      <c r="S11" s="7"/>
      <c r="T11" s="7"/>
      <c r="U11" s="7"/>
      <c r="V11" s="7"/>
      <c r="W11" s="7"/>
      <c r="X11" s="7"/>
      <c r="Y11" s="7"/>
      <c r="Z11" s="7"/>
    </row>
    <row r="12" ht="72.0" customHeight="1">
      <c r="A12" s="22">
        <v>9.0</v>
      </c>
      <c r="B12" s="22" t="s">
        <v>169</v>
      </c>
      <c r="C12" s="22" t="s">
        <v>170</v>
      </c>
      <c r="D12" s="24" t="s">
        <v>75</v>
      </c>
      <c r="E12" s="26" t="s">
        <v>171</v>
      </c>
      <c r="F12" s="26" t="s">
        <v>172</v>
      </c>
      <c r="G12" s="29" t="s">
        <v>97</v>
      </c>
      <c r="H12" s="7"/>
      <c r="I12" s="7"/>
      <c r="J12" s="7"/>
      <c r="K12" s="7"/>
      <c r="L12" s="7"/>
      <c r="M12" s="7"/>
      <c r="N12" s="7"/>
      <c r="O12" s="7"/>
      <c r="P12" s="7"/>
      <c r="Q12" s="7"/>
      <c r="R12" s="7"/>
      <c r="S12" s="7"/>
      <c r="T12" s="7"/>
      <c r="U12" s="7"/>
      <c r="V12" s="7"/>
      <c r="W12" s="7"/>
      <c r="X12" s="7"/>
      <c r="Y12" s="7"/>
      <c r="Z12" s="7"/>
    </row>
    <row r="13" ht="67.5" customHeight="1">
      <c r="A13" s="22">
        <v>10.0</v>
      </c>
      <c r="B13" s="22" t="s">
        <v>173</v>
      </c>
      <c r="C13" s="22" t="s">
        <v>174</v>
      </c>
      <c r="D13" s="24" t="s">
        <v>75</v>
      </c>
      <c r="E13" s="26" t="s">
        <v>175</v>
      </c>
      <c r="F13" s="26" t="s">
        <v>176</v>
      </c>
      <c r="G13" s="29" t="s">
        <v>97</v>
      </c>
      <c r="H13" s="7"/>
      <c r="I13" s="7"/>
      <c r="J13" s="7"/>
      <c r="K13" s="7"/>
      <c r="L13" s="7"/>
      <c r="M13" s="7"/>
      <c r="N13" s="7"/>
      <c r="O13" s="7"/>
      <c r="P13" s="7"/>
      <c r="Q13" s="7"/>
      <c r="R13" s="7"/>
      <c r="S13" s="7"/>
      <c r="T13" s="7"/>
      <c r="U13" s="7"/>
      <c r="V13" s="7"/>
      <c r="W13" s="7"/>
      <c r="X13" s="7"/>
      <c r="Y13" s="7"/>
      <c r="Z13" s="7"/>
    </row>
    <row r="14" ht="51.0" customHeight="1">
      <c r="A14" s="22">
        <v>11.0</v>
      </c>
      <c r="B14" s="22" t="s">
        <v>177</v>
      </c>
      <c r="C14" s="22" t="s">
        <v>178</v>
      </c>
      <c r="D14" s="24" t="s">
        <v>75</v>
      </c>
      <c r="E14" s="26" t="s">
        <v>179</v>
      </c>
      <c r="F14" s="26" t="s">
        <v>180</v>
      </c>
      <c r="G14" s="29" t="s">
        <v>97</v>
      </c>
      <c r="H14" s="7"/>
      <c r="I14" s="7"/>
      <c r="J14" s="7"/>
      <c r="K14" s="7"/>
      <c r="L14" s="7"/>
      <c r="M14" s="7"/>
      <c r="N14" s="7"/>
      <c r="O14" s="7"/>
      <c r="P14" s="7"/>
      <c r="Q14" s="7"/>
      <c r="R14" s="7"/>
      <c r="S14" s="7"/>
      <c r="T14" s="7"/>
      <c r="U14" s="7"/>
      <c r="V14" s="7"/>
      <c r="W14" s="7"/>
      <c r="X14" s="7"/>
      <c r="Y14" s="7"/>
      <c r="Z14" s="7"/>
    </row>
    <row r="15" ht="68.25" customHeight="1">
      <c r="A15" s="22">
        <v>12.0</v>
      </c>
      <c r="B15" s="22" t="s">
        <v>173</v>
      </c>
      <c r="C15" s="22" t="s">
        <v>183</v>
      </c>
      <c r="D15" s="24" t="s">
        <v>75</v>
      </c>
      <c r="E15" s="26" t="s">
        <v>184</v>
      </c>
      <c r="F15" s="26" t="s">
        <v>186</v>
      </c>
      <c r="G15" s="29" t="s">
        <v>97</v>
      </c>
      <c r="H15" s="7"/>
      <c r="I15" s="7"/>
      <c r="J15" s="7"/>
      <c r="K15" s="7"/>
      <c r="L15" s="7"/>
      <c r="M15" s="7"/>
      <c r="N15" s="7"/>
      <c r="O15" s="7"/>
      <c r="P15" s="7"/>
      <c r="Q15" s="7"/>
      <c r="R15" s="7"/>
      <c r="S15" s="7"/>
      <c r="T15" s="7"/>
      <c r="U15" s="7"/>
      <c r="V15" s="7"/>
      <c r="W15" s="7"/>
      <c r="X15" s="7"/>
      <c r="Y15" s="7"/>
      <c r="Z15" s="7"/>
    </row>
    <row r="16" ht="96.75" customHeight="1">
      <c r="A16" s="22">
        <v>13.0</v>
      </c>
      <c r="B16" s="22" t="s">
        <v>187</v>
      </c>
      <c r="C16" s="22" t="s">
        <v>188</v>
      </c>
      <c r="D16" s="24" t="s">
        <v>75</v>
      </c>
      <c r="E16" s="26" t="s">
        <v>189</v>
      </c>
      <c r="F16" s="26" t="s">
        <v>190</v>
      </c>
      <c r="G16" s="29" t="s">
        <v>97</v>
      </c>
      <c r="H16" s="7"/>
      <c r="I16" s="7"/>
      <c r="J16" s="7"/>
      <c r="K16" s="7"/>
      <c r="L16" s="7"/>
      <c r="M16" s="7"/>
      <c r="N16" s="7"/>
      <c r="O16" s="7"/>
      <c r="P16" s="7"/>
      <c r="Q16" s="7"/>
      <c r="R16" s="7"/>
      <c r="S16" s="7"/>
      <c r="T16" s="7"/>
      <c r="U16" s="7"/>
      <c r="V16" s="7"/>
      <c r="W16" s="7"/>
      <c r="X16" s="7"/>
      <c r="Y16" s="7"/>
      <c r="Z16" s="7"/>
    </row>
    <row r="17" ht="84.75" customHeight="1">
      <c r="A17" s="22">
        <v>14.0</v>
      </c>
      <c r="B17" s="22" t="s">
        <v>192</v>
      </c>
      <c r="C17" s="22" t="s">
        <v>193</v>
      </c>
      <c r="D17" s="24" t="s">
        <v>75</v>
      </c>
      <c r="E17" s="26" t="s">
        <v>194</v>
      </c>
      <c r="F17" s="26" t="s">
        <v>195</v>
      </c>
      <c r="G17" s="29" t="s">
        <v>97</v>
      </c>
      <c r="H17" s="7"/>
      <c r="I17" s="7"/>
      <c r="J17" s="7"/>
      <c r="K17" s="7"/>
      <c r="L17" s="7"/>
      <c r="M17" s="7"/>
      <c r="N17" s="7"/>
      <c r="O17" s="7"/>
      <c r="P17" s="7"/>
      <c r="Q17" s="7"/>
      <c r="R17" s="7"/>
      <c r="S17" s="7"/>
      <c r="T17" s="7"/>
      <c r="U17" s="7"/>
      <c r="V17" s="7"/>
      <c r="W17" s="7"/>
      <c r="X17" s="7"/>
      <c r="Y17" s="7"/>
      <c r="Z17" s="7"/>
    </row>
    <row r="18" ht="86.25" customHeight="1">
      <c r="A18" s="22">
        <v>15.0</v>
      </c>
      <c r="B18" s="22" t="s">
        <v>196</v>
      </c>
      <c r="C18" s="22" t="s">
        <v>197</v>
      </c>
      <c r="D18" s="24" t="s">
        <v>75</v>
      </c>
      <c r="E18" s="26" t="s">
        <v>198</v>
      </c>
      <c r="F18" s="26" t="s">
        <v>199</v>
      </c>
      <c r="G18" s="29" t="s">
        <v>97</v>
      </c>
      <c r="H18" s="7"/>
      <c r="I18" s="7"/>
      <c r="J18" s="7"/>
      <c r="K18" s="7"/>
      <c r="L18" s="7"/>
      <c r="M18" s="7"/>
      <c r="N18" s="7"/>
      <c r="O18" s="7"/>
      <c r="P18" s="7"/>
      <c r="Q18" s="7"/>
      <c r="R18" s="7"/>
      <c r="S18" s="7"/>
      <c r="T18" s="7"/>
      <c r="U18" s="7"/>
      <c r="V18" s="7"/>
      <c r="W18" s="7"/>
      <c r="X18" s="7"/>
      <c r="Y18" s="7"/>
      <c r="Z18" s="7"/>
    </row>
    <row r="19" ht="88.5" customHeight="1">
      <c r="A19" s="22">
        <v>16.0</v>
      </c>
      <c r="B19" s="22" t="s">
        <v>200</v>
      </c>
      <c r="C19" s="22" t="s">
        <v>201</v>
      </c>
      <c r="D19" s="24" t="s">
        <v>75</v>
      </c>
      <c r="E19" s="26" t="s">
        <v>202</v>
      </c>
      <c r="F19" s="26" t="s">
        <v>203</v>
      </c>
      <c r="G19" s="29" t="s">
        <v>97</v>
      </c>
      <c r="H19" s="7"/>
      <c r="I19" s="7"/>
      <c r="J19" s="7"/>
      <c r="K19" s="7"/>
      <c r="L19" s="7"/>
      <c r="M19" s="7"/>
      <c r="N19" s="7"/>
      <c r="O19" s="7"/>
      <c r="P19" s="7"/>
      <c r="Q19" s="7"/>
      <c r="R19" s="7"/>
      <c r="S19" s="7"/>
      <c r="T19" s="7"/>
      <c r="U19" s="7"/>
      <c r="V19" s="7"/>
      <c r="W19" s="7"/>
      <c r="X19" s="7"/>
      <c r="Y19" s="7"/>
      <c r="Z19" s="7"/>
    </row>
    <row r="20" ht="87.0" customHeight="1">
      <c r="A20" s="22">
        <v>17.0</v>
      </c>
      <c r="B20" s="22" t="s">
        <v>204</v>
      </c>
      <c r="C20" s="22" t="s">
        <v>205</v>
      </c>
      <c r="D20" s="24" t="s">
        <v>75</v>
      </c>
      <c r="E20" s="26" t="s">
        <v>206</v>
      </c>
      <c r="F20" s="26" t="s">
        <v>207</v>
      </c>
      <c r="G20" s="29" t="s">
        <v>97</v>
      </c>
      <c r="H20" s="7"/>
      <c r="I20" s="7"/>
      <c r="J20" s="7"/>
      <c r="K20" s="7"/>
      <c r="L20" s="7"/>
      <c r="M20" s="7"/>
      <c r="N20" s="7"/>
      <c r="O20" s="7"/>
      <c r="P20" s="7"/>
      <c r="Q20" s="7"/>
      <c r="R20" s="7"/>
      <c r="S20" s="7"/>
      <c r="T20" s="7"/>
      <c r="U20" s="7"/>
      <c r="V20" s="7"/>
      <c r="W20" s="7"/>
      <c r="X20" s="7"/>
      <c r="Y20" s="7"/>
      <c r="Z20" s="7"/>
    </row>
    <row r="21" ht="85.5" customHeight="1">
      <c r="A21" s="22">
        <v>18.0</v>
      </c>
      <c r="B21" s="22" t="s">
        <v>208</v>
      </c>
      <c r="C21" s="22" t="s">
        <v>209</v>
      </c>
      <c r="D21" s="24" t="s">
        <v>75</v>
      </c>
      <c r="E21" s="26" t="s">
        <v>210</v>
      </c>
      <c r="F21" s="26" t="s">
        <v>211</v>
      </c>
      <c r="G21" s="29" t="s">
        <v>97</v>
      </c>
      <c r="H21" s="7"/>
      <c r="I21" s="7"/>
      <c r="J21" s="7"/>
      <c r="K21" s="7"/>
      <c r="L21" s="7"/>
      <c r="M21" s="7"/>
      <c r="N21" s="7"/>
      <c r="O21" s="7"/>
      <c r="P21" s="7"/>
      <c r="Q21" s="7"/>
      <c r="R21" s="7"/>
      <c r="S21" s="7"/>
      <c r="T21" s="7"/>
      <c r="U21" s="7"/>
      <c r="V21" s="7"/>
      <c r="W21" s="7"/>
      <c r="X21" s="7"/>
      <c r="Y21" s="7"/>
      <c r="Z21" s="7"/>
    </row>
    <row r="22" ht="84.0" customHeight="1">
      <c r="A22" s="22">
        <v>19.0</v>
      </c>
      <c r="B22" s="22" t="s">
        <v>212</v>
      </c>
      <c r="C22" s="22" t="s">
        <v>213</v>
      </c>
      <c r="D22" s="24" t="s">
        <v>75</v>
      </c>
      <c r="E22" s="26" t="s">
        <v>214</v>
      </c>
      <c r="F22" s="26" t="s">
        <v>215</v>
      </c>
      <c r="G22" s="29" t="s">
        <v>97</v>
      </c>
      <c r="H22" s="7"/>
      <c r="I22" s="7"/>
      <c r="J22" s="7"/>
      <c r="K22" s="7"/>
      <c r="L22" s="7"/>
      <c r="M22" s="7"/>
      <c r="N22" s="7"/>
      <c r="O22" s="7"/>
      <c r="P22" s="7"/>
      <c r="Q22" s="7"/>
      <c r="R22" s="7"/>
      <c r="S22" s="7"/>
      <c r="T22" s="7"/>
      <c r="U22" s="7"/>
      <c r="V22" s="7"/>
      <c r="W22" s="7"/>
      <c r="X22" s="7"/>
      <c r="Y22" s="7"/>
      <c r="Z22" s="7"/>
    </row>
    <row r="23" ht="83.25" customHeight="1">
      <c r="A23" s="22">
        <v>20.0</v>
      </c>
      <c r="B23" s="22" t="s">
        <v>216</v>
      </c>
      <c r="C23" s="22" t="s">
        <v>217</v>
      </c>
      <c r="D23" s="24" t="s">
        <v>75</v>
      </c>
      <c r="E23" s="26" t="s">
        <v>218</v>
      </c>
      <c r="F23" s="26" t="s">
        <v>219</v>
      </c>
      <c r="G23" s="29" t="s">
        <v>97</v>
      </c>
      <c r="H23" s="7"/>
      <c r="I23" s="7"/>
      <c r="J23" s="7"/>
      <c r="K23" s="7"/>
      <c r="L23" s="7"/>
      <c r="M23" s="7"/>
      <c r="N23" s="7"/>
      <c r="O23" s="7"/>
      <c r="P23" s="7"/>
      <c r="Q23" s="7"/>
      <c r="R23" s="7"/>
      <c r="S23" s="7"/>
      <c r="T23" s="7"/>
      <c r="U23" s="7"/>
      <c r="V23" s="7"/>
      <c r="W23" s="7"/>
      <c r="X23" s="7"/>
      <c r="Y23" s="7"/>
      <c r="Z23" s="7"/>
    </row>
    <row r="24" ht="75.75" customHeight="1">
      <c r="A24" s="22">
        <v>21.0</v>
      </c>
      <c r="B24" s="22" t="s">
        <v>220</v>
      </c>
      <c r="C24" s="22" t="s">
        <v>221</v>
      </c>
      <c r="D24" s="24" t="s">
        <v>75</v>
      </c>
      <c r="E24" s="26" t="s">
        <v>222</v>
      </c>
      <c r="F24" s="26" t="s">
        <v>223</v>
      </c>
      <c r="G24" s="29" t="s">
        <v>97</v>
      </c>
      <c r="H24" s="7"/>
      <c r="I24" s="7"/>
      <c r="J24" s="7"/>
      <c r="K24" s="7"/>
      <c r="L24" s="7"/>
      <c r="M24" s="7"/>
      <c r="N24" s="7"/>
      <c r="O24" s="7"/>
      <c r="P24" s="7"/>
      <c r="Q24" s="7"/>
      <c r="R24" s="7"/>
      <c r="S24" s="7"/>
      <c r="T24" s="7"/>
      <c r="U24" s="7"/>
      <c r="V24" s="7"/>
      <c r="W24" s="7"/>
      <c r="X24" s="7"/>
      <c r="Y24" s="7"/>
      <c r="Z24" s="7"/>
    </row>
    <row r="25" ht="84.0" customHeight="1">
      <c r="A25" s="22">
        <v>22.0</v>
      </c>
      <c r="B25" s="22" t="s">
        <v>224</v>
      </c>
      <c r="C25" s="22" t="s">
        <v>225</v>
      </c>
      <c r="D25" s="24" t="s">
        <v>75</v>
      </c>
      <c r="E25" s="26" t="s">
        <v>226</v>
      </c>
      <c r="F25" s="26" t="s">
        <v>227</v>
      </c>
      <c r="G25" s="29" t="s">
        <v>97</v>
      </c>
      <c r="H25" s="7"/>
      <c r="I25" s="7"/>
      <c r="J25" s="7"/>
      <c r="K25" s="7"/>
      <c r="L25" s="7"/>
      <c r="M25" s="7"/>
      <c r="N25" s="7"/>
      <c r="O25" s="7"/>
      <c r="P25" s="7"/>
      <c r="Q25" s="7"/>
      <c r="R25" s="7"/>
      <c r="S25" s="7"/>
      <c r="T25" s="7"/>
      <c r="U25" s="7"/>
      <c r="V25" s="7"/>
      <c r="W25" s="7"/>
      <c r="X25" s="7"/>
      <c r="Y25" s="7"/>
      <c r="Z25" s="7"/>
    </row>
    <row r="26" ht="85.5" customHeight="1">
      <c r="A26" s="22">
        <v>23.0</v>
      </c>
      <c r="B26" s="22" t="s">
        <v>228</v>
      </c>
      <c r="C26" s="22" t="s">
        <v>229</v>
      </c>
      <c r="D26" s="24" t="s">
        <v>75</v>
      </c>
      <c r="E26" s="26" t="s">
        <v>230</v>
      </c>
      <c r="F26" s="26" t="s">
        <v>231</v>
      </c>
      <c r="G26" s="29" t="s">
        <v>97</v>
      </c>
      <c r="H26" s="7"/>
      <c r="I26" s="7"/>
      <c r="J26" s="7"/>
      <c r="K26" s="7"/>
      <c r="L26" s="7"/>
      <c r="M26" s="7"/>
      <c r="N26" s="7"/>
      <c r="O26" s="7"/>
      <c r="P26" s="7"/>
      <c r="Q26" s="7"/>
      <c r="R26" s="7"/>
      <c r="S26" s="7"/>
      <c r="T26" s="7"/>
      <c r="U26" s="7"/>
      <c r="V26" s="7"/>
      <c r="W26" s="7"/>
      <c r="X26" s="7"/>
      <c r="Y26" s="7"/>
      <c r="Z26" s="7"/>
    </row>
    <row r="27" ht="78.0" customHeight="1">
      <c r="A27" s="22">
        <v>24.0</v>
      </c>
      <c r="B27" s="22" t="s">
        <v>232</v>
      </c>
      <c r="C27" s="22" t="s">
        <v>233</v>
      </c>
      <c r="D27" s="24" t="s">
        <v>75</v>
      </c>
      <c r="E27" s="26" t="s">
        <v>234</v>
      </c>
      <c r="F27" s="26" t="s">
        <v>235</v>
      </c>
      <c r="G27" s="29" t="s">
        <v>97</v>
      </c>
      <c r="H27" s="7"/>
      <c r="I27" s="7"/>
      <c r="J27" s="7"/>
      <c r="K27" s="7"/>
      <c r="L27" s="7"/>
      <c r="M27" s="7"/>
      <c r="N27" s="7"/>
      <c r="O27" s="7"/>
      <c r="P27" s="7"/>
      <c r="Q27" s="7"/>
      <c r="R27" s="7"/>
      <c r="S27" s="7"/>
      <c r="T27" s="7"/>
      <c r="U27" s="7"/>
      <c r="V27" s="7"/>
      <c r="W27" s="7"/>
      <c r="X27" s="7"/>
      <c r="Y27" s="7"/>
      <c r="Z27" s="7"/>
    </row>
    <row r="28" ht="78.0" customHeight="1">
      <c r="A28" s="22">
        <v>25.0</v>
      </c>
      <c r="B28" s="22" t="s">
        <v>236</v>
      </c>
      <c r="C28" s="22" t="s">
        <v>237</v>
      </c>
      <c r="D28" s="24" t="s">
        <v>75</v>
      </c>
      <c r="E28" s="26" t="s">
        <v>238</v>
      </c>
      <c r="F28" s="26" t="s">
        <v>239</v>
      </c>
      <c r="G28" s="29" t="s">
        <v>97</v>
      </c>
      <c r="H28" s="7"/>
      <c r="I28" s="7"/>
      <c r="J28" s="7"/>
      <c r="K28" s="7"/>
      <c r="L28" s="7"/>
      <c r="M28" s="7"/>
      <c r="N28" s="7"/>
      <c r="O28" s="7"/>
      <c r="P28" s="7"/>
      <c r="Q28" s="7"/>
      <c r="R28" s="7"/>
      <c r="S28" s="7"/>
      <c r="T28" s="7"/>
      <c r="U28" s="7"/>
      <c r="V28" s="7"/>
      <c r="W28" s="7"/>
      <c r="X28" s="7"/>
      <c r="Y28" s="7"/>
      <c r="Z28" s="7"/>
    </row>
    <row r="29" ht="81.0" customHeight="1">
      <c r="A29" s="22">
        <v>26.0</v>
      </c>
      <c r="B29" s="22" t="s">
        <v>240</v>
      </c>
      <c r="C29" s="22" t="s">
        <v>241</v>
      </c>
      <c r="D29" s="24" t="s">
        <v>75</v>
      </c>
      <c r="E29" s="26" t="s">
        <v>242</v>
      </c>
      <c r="F29" s="26" t="s">
        <v>243</v>
      </c>
      <c r="G29" s="29" t="s">
        <v>97</v>
      </c>
      <c r="H29" s="7"/>
      <c r="I29" s="7"/>
      <c r="J29" s="7"/>
      <c r="K29" s="7"/>
      <c r="L29" s="7"/>
      <c r="M29" s="7"/>
      <c r="N29" s="7"/>
      <c r="O29" s="7"/>
      <c r="P29" s="7"/>
      <c r="Q29" s="7"/>
      <c r="R29" s="7"/>
      <c r="S29" s="7"/>
      <c r="T29" s="7"/>
      <c r="U29" s="7"/>
      <c r="V29" s="7"/>
      <c r="W29" s="7"/>
      <c r="X29" s="7"/>
      <c r="Y29" s="7"/>
      <c r="Z29" s="7"/>
    </row>
    <row r="30" ht="85.5" customHeight="1">
      <c r="A30" s="22">
        <v>27.0</v>
      </c>
      <c r="B30" s="22" t="s">
        <v>244</v>
      </c>
      <c r="C30" s="22" t="s">
        <v>245</v>
      </c>
      <c r="D30" s="24" t="s">
        <v>75</v>
      </c>
      <c r="E30" s="26" t="s">
        <v>246</v>
      </c>
      <c r="F30" s="26" t="s">
        <v>247</v>
      </c>
      <c r="G30" s="29" t="s">
        <v>97</v>
      </c>
      <c r="H30" s="7"/>
      <c r="I30" s="7"/>
      <c r="J30" s="7"/>
      <c r="K30" s="7"/>
      <c r="L30" s="7"/>
      <c r="M30" s="7"/>
      <c r="N30" s="7"/>
      <c r="O30" s="7"/>
      <c r="P30" s="7"/>
      <c r="Q30" s="7"/>
      <c r="R30" s="7"/>
      <c r="S30" s="7"/>
      <c r="T30" s="7"/>
      <c r="U30" s="7"/>
      <c r="V30" s="7"/>
      <c r="W30" s="7"/>
      <c r="X30" s="7"/>
      <c r="Y30" s="7"/>
      <c r="Z30" s="7"/>
    </row>
    <row r="31" ht="85.5" customHeight="1">
      <c r="A31" s="22">
        <v>28.0</v>
      </c>
      <c r="B31" s="22" t="s">
        <v>248</v>
      </c>
      <c r="C31" s="22" t="s">
        <v>249</v>
      </c>
      <c r="D31" s="24" t="s">
        <v>75</v>
      </c>
      <c r="E31" s="26" t="s">
        <v>250</v>
      </c>
      <c r="F31" s="26" t="s">
        <v>251</v>
      </c>
      <c r="G31" s="29" t="s">
        <v>97</v>
      </c>
      <c r="H31" s="7"/>
      <c r="I31" s="7"/>
      <c r="J31" s="7"/>
      <c r="K31" s="7"/>
      <c r="L31" s="7"/>
      <c r="M31" s="7"/>
      <c r="N31" s="7"/>
      <c r="O31" s="7"/>
      <c r="P31" s="7"/>
      <c r="Q31" s="7"/>
      <c r="R31" s="7"/>
      <c r="S31" s="7"/>
      <c r="T31" s="7"/>
      <c r="U31" s="7"/>
      <c r="V31" s="7"/>
      <c r="W31" s="7"/>
      <c r="X31" s="7"/>
      <c r="Y31" s="7"/>
      <c r="Z31" s="7"/>
    </row>
    <row r="32" ht="84.75" customHeight="1">
      <c r="A32" s="22">
        <v>29.0</v>
      </c>
      <c r="B32" s="22" t="s">
        <v>252</v>
      </c>
      <c r="C32" s="22" t="s">
        <v>253</v>
      </c>
      <c r="D32" s="24" t="s">
        <v>75</v>
      </c>
      <c r="E32" s="26" t="s">
        <v>254</v>
      </c>
      <c r="F32" s="26" t="s">
        <v>255</v>
      </c>
      <c r="G32" s="29" t="s">
        <v>97</v>
      </c>
      <c r="H32" s="7"/>
      <c r="I32" s="7"/>
      <c r="J32" s="7"/>
      <c r="K32" s="7"/>
      <c r="L32" s="7"/>
      <c r="M32" s="7"/>
      <c r="N32" s="7"/>
      <c r="O32" s="7"/>
      <c r="P32" s="7"/>
      <c r="Q32" s="7"/>
      <c r="R32" s="7"/>
      <c r="S32" s="7"/>
      <c r="T32" s="7"/>
      <c r="U32" s="7"/>
      <c r="V32" s="7"/>
      <c r="W32" s="7"/>
      <c r="X32" s="7"/>
      <c r="Y32" s="7"/>
      <c r="Z32" s="7"/>
    </row>
    <row r="33" ht="81.75" customHeight="1">
      <c r="A33" s="22">
        <v>30.0</v>
      </c>
      <c r="B33" s="22" t="s">
        <v>256</v>
      </c>
      <c r="C33" s="22" t="s">
        <v>257</v>
      </c>
      <c r="D33" s="24" t="s">
        <v>75</v>
      </c>
      <c r="E33" s="26" t="s">
        <v>258</v>
      </c>
      <c r="F33" s="26" t="s">
        <v>259</v>
      </c>
      <c r="G33" s="29" t="s">
        <v>97</v>
      </c>
      <c r="H33" s="7"/>
      <c r="I33" s="7"/>
      <c r="J33" s="7"/>
      <c r="K33" s="7"/>
      <c r="L33" s="7"/>
      <c r="M33" s="7"/>
      <c r="N33" s="7"/>
      <c r="O33" s="7"/>
      <c r="P33" s="7"/>
      <c r="Q33" s="7"/>
      <c r="R33" s="7"/>
      <c r="S33" s="7"/>
      <c r="T33" s="7"/>
      <c r="U33" s="7"/>
      <c r="V33" s="7"/>
      <c r="W33" s="7"/>
      <c r="X33" s="7"/>
      <c r="Y33" s="7"/>
      <c r="Z33" s="7"/>
    </row>
    <row r="34" ht="72.75" customHeight="1">
      <c r="A34" s="22">
        <v>31.0</v>
      </c>
      <c r="B34" s="22" t="s">
        <v>260</v>
      </c>
      <c r="C34" s="22" t="s">
        <v>261</v>
      </c>
      <c r="D34" s="24" t="s">
        <v>75</v>
      </c>
      <c r="E34" s="26" t="s">
        <v>262</v>
      </c>
      <c r="F34" s="26" t="s">
        <v>263</v>
      </c>
      <c r="G34" s="29" t="s">
        <v>97</v>
      </c>
      <c r="H34" s="7"/>
      <c r="I34" s="7"/>
      <c r="J34" s="7"/>
      <c r="K34" s="7"/>
      <c r="L34" s="7"/>
      <c r="M34" s="7"/>
      <c r="N34" s="7"/>
      <c r="O34" s="7"/>
      <c r="P34" s="7"/>
      <c r="Q34" s="7"/>
      <c r="R34" s="7"/>
      <c r="S34" s="7"/>
      <c r="T34" s="7"/>
      <c r="U34" s="7"/>
      <c r="V34" s="7"/>
      <c r="W34" s="7"/>
      <c r="X34" s="7"/>
      <c r="Y34" s="7"/>
      <c r="Z34" s="7"/>
    </row>
    <row r="35" ht="69.75" customHeight="1">
      <c r="A35" s="22">
        <v>32.0</v>
      </c>
      <c r="B35" s="22" t="s">
        <v>264</v>
      </c>
      <c r="C35" s="22" t="s">
        <v>265</v>
      </c>
      <c r="D35" s="24" t="s">
        <v>75</v>
      </c>
      <c r="E35" s="26" t="s">
        <v>266</v>
      </c>
      <c r="F35" s="26" t="s">
        <v>267</v>
      </c>
      <c r="G35" s="29" t="s">
        <v>97</v>
      </c>
      <c r="H35" s="7"/>
      <c r="I35" s="7"/>
      <c r="J35" s="7"/>
      <c r="K35" s="7"/>
      <c r="L35" s="7"/>
      <c r="M35" s="7"/>
      <c r="N35" s="7"/>
      <c r="O35" s="7"/>
      <c r="P35" s="7"/>
      <c r="Q35" s="7"/>
      <c r="R35" s="7"/>
      <c r="S35" s="7"/>
      <c r="T35" s="7"/>
      <c r="U35" s="7"/>
      <c r="V35" s="7"/>
      <c r="W35" s="7"/>
      <c r="X35" s="7"/>
      <c r="Y35" s="7"/>
      <c r="Z35" s="7"/>
    </row>
    <row r="36" ht="71.25" customHeight="1">
      <c r="A36" s="22">
        <v>33.0</v>
      </c>
      <c r="B36" s="22" t="s">
        <v>268</v>
      </c>
      <c r="C36" s="22" t="s">
        <v>269</v>
      </c>
      <c r="D36" s="24" t="s">
        <v>75</v>
      </c>
      <c r="E36" s="26" t="s">
        <v>270</v>
      </c>
      <c r="F36" s="26" t="s">
        <v>271</v>
      </c>
      <c r="G36" s="29" t="s">
        <v>97</v>
      </c>
      <c r="H36" s="7"/>
      <c r="I36" s="7"/>
      <c r="J36" s="7"/>
      <c r="K36" s="7"/>
      <c r="L36" s="7"/>
      <c r="M36" s="7"/>
      <c r="N36" s="7"/>
      <c r="O36" s="7"/>
      <c r="P36" s="7"/>
      <c r="Q36" s="7"/>
      <c r="R36" s="7"/>
      <c r="S36" s="7"/>
      <c r="T36" s="7"/>
      <c r="U36" s="7"/>
      <c r="V36" s="7"/>
      <c r="W36" s="7"/>
      <c r="X36" s="7"/>
      <c r="Y36" s="7"/>
      <c r="Z36" s="7"/>
    </row>
    <row r="37" ht="84.75" customHeight="1">
      <c r="A37" s="22">
        <v>34.0</v>
      </c>
      <c r="B37" s="22" t="s">
        <v>272</v>
      </c>
      <c r="C37" s="22" t="s">
        <v>273</v>
      </c>
      <c r="D37" s="24" t="s">
        <v>75</v>
      </c>
      <c r="E37" s="26" t="s">
        <v>274</v>
      </c>
      <c r="F37" s="26" t="s">
        <v>275</v>
      </c>
      <c r="G37" s="29" t="s">
        <v>97</v>
      </c>
      <c r="H37" s="7"/>
      <c r="I37" s="7"/>
      <c r="J37" s="7"/>
      <c r="K37" s="7"/>
      <c r="L37" s="7"/>
      <c r="M37" s="7"/>
      <c r="N37" s="7"/>
      <c r="O37" s="7"/>
      <c r="P37" s="7"/>
      <c r="Q37" s="7"/>
      <c r="R37" s="7"/>
      <c r="S37" s="7"/>
      <c r="T37" s="7"/>
      <c r="U37" s="7"/>
      <c r="V37" s="7"/>
      <c r="W37" s="7"/>
      <c r="X37" s="7"/>
      <c r="Y37" s="7"/>
      <c r="Z37" s="7"/>
    </row>
    <row r="38" ht="82.5" customHeight="1">
      <c r="A38" s="22">
        <v>35.0</v>
      </c>
      <c r="B38" s="22" t="s">
        <v>276</v>
      </c>
      <c r="C38" s="22" t="s">
        <v>277</v>
      </c>
      <c r="D38" s="24" t="s">
        <v>75</v>
      </c>
      <c r="E38" s="26" t="s">
        <v>278</v>
      </c>
      <c r="F38" s="26" t="s">
        <v>279</v>
      </c>
      <c r="G38" s="29" t="s">
        <v>97</v>
      </c>
      <c r="H38" s="7"/>
      <c r="I38" s="7"/>
      <c r="J38" s="7"/>
      <c r="K38" s="7"/>
      <c r="L38" s="7"/>
      <c r="M38" s="7"/>
      <c r="N38" s="7"/>
      <c r="O38" s="7"/>
      <c r="P38" s="7"/>
      <c r="Q38" s="7"/>
      <c r="R38" s="7"/>
      <c r="S38" s="7"/>
      <c r="T38" s="7"/>
      <c r="U38" s="7"/>
      <c r="V38" s="7"/>
      <c r="W38" s="7"/>
      <c r="X38" s="7"/>
      <c r="Y38" s="7"/>
      <c r="Z38" s="7"/>
    </row>
    <row r="39" ht="81.0" customHeight="1">
      <c r="A39" s="22">
        <v>36.0</v>
      </c>
      <c r="B39" s="22" t="s">
        <v>280</v>
      </c>
      <c r="C39" s="22" t="s">
        <v>281</v>
      </c>
      <c r="D39" s="24" t="s">
        <v>75</v>
      </c>
      <c r="E39" s="26" t="s">
        <v>282</v>
      </c>
      <c r="F39" s="26" t="s">
        <v>283</v>
      </c>
      <c r="G39" s="29" t="s">
        <v>97</v>
      </c>
      <c r="H39" s="7"/>
      <c r="I39" s="7"/>
      <c r="J39" s="7"/>
      <c r="K39" s="7"/>
      <c r="L39" s="7"/>
      <c r="M39" s="7"/>
      <c r="N39" s="7"/>
      <c r="O39" s="7"/>
      <c r="P39" s="7"/>
      <c r="Q39" s="7"/>
      <c r="R39" s="7"/>
      <c r="S39" s="7"/>
      <c r="T39" s="7"/>
      <c r="U39" s="7"/>
      <c r="V39" s="7"/>
      <c r="W39" s="7"/>
      <c r="X39" s="7"/>
      <c r="Y39" s="7"/>
      <c r="Z39" s="7"/>
    </row>
    <row r="40" ht="80.25" customHeight="1">
      <c r="A40" s="22">
        <v>37.0</v>
      </c>
      <c r="B40" s="22" t="s">
        <v>284</v>
      </c>
      <c r="C40" s="22" t="s">
        <v>285</v>
      </c>
      <c r="D40" s="24" t="s">
        <v>75</v>
      </c>
      <c r="E40" s="26" t="s">
        <v>286</v>
      </c>
      <c r="F40" s="26" t="s">
        <v>287</v>
      </c>
      <c r="G40" s="29" t="s">
        <v>97</v>
      </c>
      <c r="H40" s="7"/>
      <c r="I40" s="7"/>
      <c r="J40" s="7"/>
      <c r="K40" s="7"/>
      <c r="L40" s="7"/>
      <c r="M40" s="7"/>
      <c r="N40" s="7"/>
      <c r="O40" s="7"/>
      <c r="P40" s="7"/>
      <c r="Q40" s="7"/>
      <c r="R40" s="7"/>
      <c r="S40" s="7"/>
      <c r="T40" s="7"/>
      <c r="U40" s="7"/>
      <c r="V40" s="7"/>
      <c r="W40" s="7"/>
      <c r="X40" s="7"/>
      <c r="Y40" s="7"/>
      <c r="Z40" s="7"/>
    </row>
    <row r="41" ht="68.25" customHeight="1">
      <c r="A41" s="26">
        <v>38.0</v>
      </c>
      <c r="B41" s="26" t="s">
        <v>288</v>
      </c>
      <c r="C41" s="26" t="s">
        <v>289</v>
      </c>
      <c r="D41" s="24" t="s">
        <v>75</v>
      </c>
      <c r="E41" s="26" t="s">
        <v>290</v>
      </c>
      <c r="F41" s="26" t="s">
        <v>291</v>
      </c>
      <c r="G41" s="29" t="s">
        <v>97</v>
      </c>
      <c r="H41" s="7"/>
      <c r="I41" s="7"/>
      <c r="J41" s="7"/>
      <c r="K41" s="7"/>
      <c r="L41" s="7"/>
      <c r="M41" s="7"/>
      <c r="N41" s="7"/>
      <c r="O41" s="7"/>
      <c r="P41" s="7"/>
      <c r="Q41" s="7"/>
      <c r="R41" s="7"/>
      <c r="S41" s="7"/>
      <c r="T41" s="7"/>
      <c r="U41" s="7"/>
      <c r="V41" s="7"/>
      <c r="W41" s="7"/>
      <c r="X41" s="7"/>
      <c r="Y41" s="7"/>
      <c r="Z41" s="7"/>
    </row>
    <row r="42" ht="18.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autoFilter ref="$A$3:$F$3"/>
  <mergeCells count="1">
    <mergeCell ref="A2:G2"/>
  </mergeCells>
  <printOptions/>
  <pageMargins bottom="1.0" footer="0.0" header="0.0" left="0.75" right="0.75" top="1.0"/>
  <pageSetup fitToHeight="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7BC62"/>
    <pageSetUpPr fitToPage="1"/>
  </sheetPr>
  <sheetViews>
    <sheetView showGridLines="0" workbookViewId="0"/>
  </sheetViews>
  <sheetFormatPr customHeight="1" defaultColWidth="14.43" defaultRowHeight="15.0"/>
  <cols>
    <col customWidth="1" min="1" max="1" width="2.43"/>
    <col customWidth="1" min="2" max="2" width="24.0"/>
    <col customWidth="1" min="3" max="7" width="16.0"/>
  </cols>
  <sheetData>
    <row r="2" ht="23.25" customHeight="1">
      <c r="B2" s="18" t="s">
        <v>20</v>
      </c>
    </row>
    <row r="3">
      <c r="B3" s="3" t="s">
        <v>30</v>
      </c>
    </row>
    <row r="5" ht="30.0" customHeight="1">
      <c r="B5" s="16" t="s">
        <v>49</v>
      </c>
      <c r="C5" s="16" t="s">
        <v>59</v>
      </c>
      <c r="D5" s="16" t="s">
        <v>64</v>
      </c>
      <c r="E5" s="16" t="s">
        <v>68</v>
      </c>
      <c r="F5" s="16" t="s">
        <v>73</v>
      </c>
      <c r="G5" s="16" t="s">
        <v>78</v>
      </c>
    </row>
    <row r="6">
      <c r="B6" s="27" t="s">
        <v>84</v>
      </c>
      <c r="C6" s="36">
        <f>COUNTA(Crop!C7)</f>
        <v>1</v>
      </c>
      <c r="D6" s="36">
        <f>COUNTIF(Crop!S7,"Ready to Certify")</f>
        <v>0</v>
      </c>
      <c r="E6" s="36">
        <f>COUNTIF(Crop!S7,"Needs Review")</f>
        <v>0</v>
      </c>
      <c r="F6" s="36">
        <f>COUNTIF(Crop!S7,"Needs Update")</f>
        <v>0</v>
      </c>
      <c r="G6" s="36">
        <f>COUNTIF(Crop!R7,"High")</f>
        <v>0</v>
      </c>
    </row>
    <row r="7">
      <c r="B7" s="27" t="s">
        <v>168</v>
      </c>
      <c r="C7" s="36">
        <f t="shared" ref="C7:C10" si="1">COUNTA(#REF!)</f>
        <v>1</v>
      </c>
      <c r="D7" s="36" t="str">
        <f t="shared" ref="D7:D10" si="2">COUNTIF(#REF!,"Ready to Certify")</f>
        <v>#REF!</v>
      </c>
      <c r="E7" s="36" t="str">
        <f t="shared" ref="E7:E10" si="3">COUNTIF(#REF!,"Needs Review")</f>
        <v>#REF!</v>
      </c>
      <c r="F7" s="36" t="str">
        <f t="shared" ref="F7:F10" si="4">COUNTIF(#REF!,"Needs Update")</f>
        <v>#REF!</v>
      </c>
      <c r="G7" s="36" t="str">
        <f t="shared" ref="G7:G10" si="5">COUNTIF(#REF!,"High")</f>
        <v>#REF!</v>
      </c>
    </row>
    <row r="8">
      <c r="B8" s="27" t="s">
        <v>181</v>
      </c>
      <c r="C8" s="36">
        <f t="shared" si="1"/>
        <v>1</v>
      </c>
      <c r="D8" s="36" t="str">
        <f t="shared" si="2"/>
        <v>#REF!</v>
      </c>
      <c r="E8" s="36" t="str">
        <f t="shared" si="3"/>
        <v>#REF!</v>
      </c>
      <c r="F8" s="36" t="str">
        <f t="shared" si="4"/>
        <v>#REF!</v>
      </c>
      <c r="G8" s="36" t="str">
        <f t="shared" si="5"/>
        <v>#REF!</v>
      </c>
    </row>
    <row r="9">
      <c r="B9" s="27" t="s">
        <v>182</v>
      </c>
      <c r="C9" s="36">
        <f t="shared" si="1"/>
        <v>1</v>
      </c>
      <c r="D9" s="36" t="str">
        <f t="shared" si="2"/>
        <v>#REF!</v>
      </c>
      <c r="E9" s="36" t="str">
        <f t="shared" si="3"/>
        <v>#REF!</v>
      </c>
      <c r="F9" s="36" t="str">
        <f t="shared" si="4"/>
        <v>#REF!</v>
      </c>
      <c r="G9" s="36" t="str">
        <f t="shared" si="5"/>
        <v>#REF!</v>
      </c>
    </row>
    <row r="10">
      <c r="B10" s="27" t="s">
        <v>185</v>
      </c>
      <c r="C10" s="36">
        <f t="shared" si="1"/>
        <v>1</v>
      </c>
      <c r="D10" s="36" t="str">
        <f t="shared" si="2"/>
        <v>#REF!</v>
      </c>
      <c r="E10" s="36" t="str">
        <f t="shared" si="3"/>
        <v>#REF!</v>
      </c>
      <c r="F10" s="36" t="str">
        <f t="shared" si="4"/>
        <v>#REF!</v>
      </c>
      <c r="G10" s="36" t="str">
        <f t="shared" si="5"/>
        <v>#REF!</v>
      </c>
    </row>
    <row r="11">
      <c r="B11" s="39" t="s">
        <v>191</v>
      </c>
      <c r="C11" s="40">
        <f t="shared" ref="C11:G11" si="6">SUM(C6:C10)</f>
        <v>5</v>
      </c>
      <c r="D11" s="40" t="str">
        <f t="shared" si="6"/>
        <v>#REF!</v>
      </c>
      <c r="E11" s="40" t="str">
        <f t="shared" si="6"/>
        <v>#REF!</v>
      </c>
      <c r="F11" s="40" t="str">
        <f t="shared" si="6"/>
        <v>#REF!</v>
      </c>
      <c r="G11" s="40" t="str">
        <f t="shared" si="6"/>
        <v>#REF!</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2:G2"/>
    <mergeCell ref="B3:G3"/>
  </mergeCells>
  <printOptions/>
  <pageMargins bottom="1.0" footer="0.0" header="0.0" left="0.75" right="0.75" top="1.0"/>
  <pageSetup fitToHeight="0"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2026-08-17T07:16:54Z</dcterms:created>
  <dc:creator>openpyxl</dc:creator>
</cp:coreProperties>
</file>