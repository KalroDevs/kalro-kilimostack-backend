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KALRO\1 ICT Partnership\1 Ongoing Collaborations\18 SAFIC\2026\Internal Workshops\W2\Validated Value Chains\"/>
    </mc:Choice>
  </mc:AlternateContent>
  <xr:revisionPtr revIDLastSave="0" documentId="13_ncr:1_{78D1CF16-57E1-4876-B4D8-BA2B84287ECE}" xr6:coauthVersionLast="47" xr6:coauthVersionMax="47" xr10:uidLastSave="{00000000-0000-0000-0000-000000000000}"/>
  <bookViews>
    <workbookView xWindow="-110" yWindow="-110" windowWidth="19420" windowHeight="10300" tabRatio="500" activeTab="2" xr2:uid="{00000000-000D-0000-FFFF-FFFF00000000}"/>
  </bookViews>
  <sheets>
    <sheet name="Instructions" sheetId="1" r:id="rId1"/>
    <sheet name="CROP" sheetId="2" r:id="rId2"/>
    <sheet name="AIVs" sheetId="7" r:id="rId3"/>
    <sheet name="Green Gram" sheetId="3" r:id="rId4"/>
    <sheet name="BEAN" sheetId="4" r:id="rId5"/>
    <sheet name="Summary" sheetId="6" r:id="rId6"/>
  </sheets>
  <definedNames>
    <definedName name="_xlnm._FilterDatabase" localSheetId="4" hidden="1">BEAN!$B$1:$G$10</definedName>
    <definedName name="_xlnm._FilterDatabase" localSheetId="1" hidden="1">CROP!$B$1:$T$22</definedName>
    <definedName name="_xlnm._FilterDatabase" localSheetId="3" hidden="1">'Green Gram'!$B$1:$G$10</definedName>
    <definedName name="_xlnm.Print_Area" localSheetId="4">BEAN!$A$1:$G$10</definedName>
    <definedName name="_xlnm.Print_Area" localSheetId="1">CROP!$A$1:$T$22</definedName>
    <definedName name="_xlnm.Print_Area" localSheetId="3">'Green Gram'!$A$1:$G$10</definedName>
    <definedName name="_xlnm.Print_Area" localSheetId="0">Instructions!$A$1:$C$46</definedName>
    <definedName name="_xlnm.Print_Area" localSheetId="5">Summary!$A$1:$G$7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6" l="1"/>
  <c r="G7" i="6" s="1"/>
  <c r="F6" i="6"/>
  <c r="E6" i="6"/>
  <c r="D6" i="6"/>
  <c r="D7" i="6" s="1"/>
  <c r="C6" i="6"/>
  <c r="B22" i="2"/>
  <c r="B21" i="2"/>
  <c r="F7" i="6" l="1"/>
  <c r="C7" i="6"/>
  <c r="E7" i="6"/>
</calcChain>
</file>

<file path=xl/sharedStrings.xml><?xml version="1.0" encoding="utf-8"?>
<sst xmlns="http://schemas.openxmlformats.org/spreadsheetml/2006/main" count="4433" uniqueCount="2240">
  <si>
    <t>Screen &amp; Classify — Working Template</t>
  </si>
  <si>
    <t>Check scientific accuracy &amp; currency; sort by crop, topic and content type</t>
  </si>
  <si>
    <t>Purpose</t>
  </si>
  <si>
    <t>•  This is the working template for the Screen &amp; Classify step: checking each inventoried item's scientific accuracy and currency, then sorting/classifying it by crop, topic and content type.</t>
  </si>
  <si>
    <t>•  It follows on from the Content Inventory template — every item sourced there gets screened here before it is certified for the Kenya Advisory Knowledge Hub.</t>
  </si>
  <si>
    <t>How to Use This Workbook</t>
  </si>
  <si>
    <t>•  Each group has its own tab: Crop, Livestock, Fisheries, Soil, and Pest &amp; Disease.</t>
  </si>
  <si>
    <t>•  One row = one content item (one source publication/brochure/guide).</t>
  </si>
  <si>
    <t>•  The first data row on each tab is a worked EXAMPLE (greyed out) — reference only, do not edit. The Livestock tab's example is drawn from a real KALRO publication; see the 'Camel Calf Example' tab for its full section-level breakdown.</t>
  </si>
  <si>
    <t>•  Gold-shaded cells are yours to complete. The ID column auto-numbers itself.</t>
  </si>
  <si>
    <t>•  Use the filter arrows on the header row to sort or filter by Value Chain/Commodity, Advisory Domain/Topic, or Content Type.</t>
  </si>
  <si>
    <t>Screening Checks</t>
  </si>
  <si>
    <t>•  Currency Status — Current: reviewed/published within the last 2 years. Needs Update: 2-4 years old. Outdated: over 4 years old. Needs Verification: no review date on record.</t>
  </si>
  <si>
    <t>•  Scientific Accuracy Check — Verified: content checked against current science/regulation. Needs Review: unverified or has open questions. Flagged - Inaccurate: known errors, do not use until corrected.</t>
  </si>
  <si>
    <t>•  Validation Status — source_validated (validated by the originating institution), expert_reviewed (independently reviewed), pending_validation, or not_validated.</t>
  </si>
  <si>
    <t>•  Risk Level — flag High for anything involving drug/acaricide dosage, veterinary treatment, or other content where a wrong answer could harm people, animals or livelihoods. High-risk items should default to Quality Flag 'Needs Review' until an expert signs off.</t>
  </si>
  <si>
    <t>Field Definitions</t>
  </si>
  <si>
    <t>Content Title</t>
  </si>
  <si>
    <t>Title of the source publication/brochure/guide.</t>
  </si>
  <si>
    <t>Publication ID / Source Link</t>
  </si>
  <si>
    <t>Unique publication ID and/or URL where the source can be found.</t>
  </si>
  <si>
    <t>Institution &amp; Author(s)</t>
  </si>
  <si>
    <t>Originating institution and named author(s).</t>
  </si>
  <si>
    <t>Publish Date</t>
  </si>
  <si>
    <t>Date the source was published.</t>
  </si>
  <si>
    <t>Value Chain / Commodity</t>
  </si>
  <si>
    <t>Crop, livestock species, fish species or theme this item addresses.</t>
  </si>
  <si>
    <t>Advisory Domain / Topic</t>
  </si>
  <si>
    <t>The specific advisory topics covered (e.g. calving management, tick control).</t>
  </si>
  <si>
    <t>Content Type</t>
  </si>
  <si>
    <t>Production guide, protocol/SOP, factsheet, advisory bulletin, brochure, training manual, poster/infographic, video.</t>
  </si>
  <si>
    <t>Format</t>
  </si>
  <si>
    <t>The medium the content exists in (PDF, text, video, etc.).</t>
  </si>
  <si>
    <t>Production System</t>
  </si>
  <si>
    <t>Farming/production system the content applies to (e.g. pastoral, smallholder mixed farming).</t>
  </si>
  <si>
    <t>Target Users</t>
  </si>
  <si>
    <t>Who the advisory is written for (farmers, extension officers, CAHWs, etc.).</t>
  </si>
  <si>
    <t>Country / AEZ</t>
  </si>
  <si>
    <t>Geographic and agro-ecological applicability.</t>
  </si>
  <si>
    <t>Last Reviewed (Currency Check)</t>
  </si>
  <si>
    <t>Date the content was last checked for scientific currency.</t>
  </si>
  <si>
    <t>Currency Status</t>
  </si>
  <si>
    <t>Result of the currency check — see Screening Checks above.</t>
  </si>
  <si>
    <t>Scientific Accuracy Check</t>
  </si>
  <si>
    <t>Result of the accuracy check — see Screening Checks above.</t>
  </si>
  <si>
    <t>Validation Status</t>
  </si>
  <si>
    <t>Who has validated the content and to what degree.</t>
  </si>
  <si>
    <t>Risk Level</t>
  </si>
  <si>
    <t>Low / Medium / High — potential harm if the advisory is wrong or misapplied.</t>
  </si>
  <si>
    <t>Quality Flag</t>
  </si>
  <si>
    <t>Ready to Certify, Needs Review, Needs Update, Duplicate, or Reject.</t>
  </si>
  <si>
    <t>Screening Notes / Escalation Guidance</t>
  </si>
  <si>
    <t>Reviewer notes, open questions, and who to escalate high-risk items to.</t>
  </si>
  <si>
    <t>Legend</t>
  </si>
  <si>
    <t>Fill this in</t>
  </si>
  <si>
    <t>Gold-shaded cells — enter your screening data here.</t>
  </si>
  <si>
    <t>Example row</t>
  </si>
  <si>
    <t>Worked example — reference only, do not edit.</t>
  </si>
  <si>
    <t>ID</t>
  </si>
  <si>
    <t>Last Reviewed
(Currency Check)</t>
  </si>
  <si>
    <t>GRNGRM1</t>
  </si>
  <si>
    <t>COMMUNITY SEED BULKING: A model to improve and increase amount of good quality seed to farming communities</t>
  </si>
  <si>
    <t>https://navcdp.kalro.org/kalroknowledgebank/factsheets/COMMUNITY%20SEED%20BULKING%20Karanja.pdf</t>
  </si>
  <si>
    <t>KALRO Katumani/Karanja et al. (n.d.)</t>
  </si>
  <si>
    <t>Green gram</t>
  </si>
  <si>
    <t>Production Guide</t>
  </si>
  <si>
    <t>PDF</t>
  </si>
  <si>
    <t>Bean1</t>
  </si>
  <si>
    <t>Dry bean Climate Smart Agronomic Practices</t>
  </si>
  <si>
    <t>https://navcdp.kalro.org/kalroknowledgebank/factsheets/Eliezah%20Kamau%20Dry%20beans%20Climate%20smart%20agronomic%20practices%20Fact%20sheet%20June%202021.pdf</t>
  </si>
  <si>
    <t>KALRO Katumani/Kamau et al. (n.d.)</t>
  </si>
  <si>
    <t>Bean</t>
  </si>
  <si>
    <t>Factsheet</t>
  </si>
  <si>
    <t>Bean2</t>
  </si>
  <si>
    <t>The formal seed system in Kenya</t>
  </si>
  <si>
    <t>https://navcdp.kalro.org/kalroknowledgebank/factsheets/Formal%20Seed%20System%20In%20Kenya-1%20final%20Karanja.pdf</t>
  </si>
  <si>
    <t>Bean3</t>
  </si>
  <si>
    <t>Integrated disease management of Powdery mildew disease</t>
  </si>
  <si>
    <t>https://navcdp.kalro.org/kalroknowledgebank/factsheets/Musitys%20Diseaset%20Powdery%20mildew%20Fact%20sheetl%20June%202021.pdf</t>
  </si>
  <si>
    <t>KALRO Katumani/Mutisya et al. (2021)</t>
  </si>
  <si>
    <t>Bean4</t>
  </si>
  <si>
    <t>Integrated disease management of Anthracnose disease</t>
  </si>
  <si>
    <t>https://navcdp.kalro.org/kalroknowledgebank/factsheets/Mustisya%20Bean%20Diseaset%20Anthracnose%20Fact%20sheet%20June%202021.pdf</t>
  </si>
  <si>
    <t>Bean5</t>
  </si>
  <si>
    <t>Integrated disease management of Bacterial blight disease</t>
  </si>
  <si>
    <t>https://navcdp.kalro.org/kalroknowledgebank/factsheets/Mutisya%20Bean%20Diseaset%20Bacterial%20blight%20IFact%20sheet%20June%202021.pdf</t>
  </si>
  <si>
    <t>Bean6</t>
  </si>
  <si>
    <t>Integrated disease management of Common mosaic disease</t>
  </si>
  <si>
    <t>https://navcdp.kalro.org/kalroknowledgebank/factsheets/Mutisya%20Diseaset%20Common%20mosaic%20virus%20disease%20Fact%20sheetl%20June%202021.pdf</t>
  </si>
  <si>
    <t>Bean7</t>
  </si>
  <si>
    <t>Integrated disease management of Rust disease</t>
  </si>
  <si>
    <t>https://navcdp.kalro.org/kalroknowledgebank/factsheets/Mutisya%20Diseaset%20Rust%20disease%20IDM%20Fact%20sheet%20June%202021.pdf</t>
  </si>
  <si>
    <t>Bean8</t>
  </si>
  <si>
    <t>Integrated disease management of Angular leaf spot disease</t>
  </si>
  <si>
    <t>https://navcdp.kalro.org/kalroknowledgebank/factsheets/Mutisya%20DM-Bean-Diseaset%20Angular%20June%202021.pdf</t>
  </si>
  <si>
    <t>Bean9</t>
  </si>
  <si>
    <t>Integrated pest management of aphids in dry bean production</t>
  </si>
  <si>
    <t>https://navcdp.kalro.org/kalroknowledgebank/factsheets/Mutisya%20pest%20bean%20aphids%20in%20Integrated%20Management%20Fact%20sheet%20June%202021.pdf</t>
  </si>
  <si>
    <t>Bean10</t>
  </si>
  <si>
    <t>Integrated pest management of sucking bugs in dry bean production</t>
  </si>
  <si>
    <t>https://navcdp.kalro.org/kalroknowledgebank/factsheets/Mutisya%20pest%20bean%20sucking%20bugs%20Integrated%20Management%20Fact%20sheetl%20June%202021.pdf</t>
  </si>
  <si>
    <t>Bean11</t>
  </si>
  <si>
    <t>Integrated pest management of blister beetle in bean production</t>
  </si>
  <si>
    <t>https://navcdp.kalro.org/kalroknowledgebank/factsheets/Mutisya%20pest%20blister%20beetle%20IPM%20on%20Bean%20Crop%20Fact%20sheet%20June%202021.pdf</t>
  </si>
  <si>
    <t>Bean12</t>
  </si>
  <si>
    <t>Integrated pest management of bollworms in bean production</t>
  </si>
  <si>
    <t>https://navcdp.kalro.org/kalroknowledgebank/factsheets/Mutisya%20pest%20bollworm%20IPM%20on%20Bean%20Crop%20Fact%20sheet%20June%202021.pdf</t>
  </si>
  <si>
    <t>Bean13</t>
  </si>
  <si>
    <t>Integrated pest management of Desert locust in dry bean production</t>
  </si>
  <si>
    <t>https://navcdp.kalro.org/kalroknowledgebank/factsheets/Mutisya%20pest%20migratory%20desert%20locust%20in%20Integrated%20Management%20Fact%20sheet%20June%202021.pdf</t>
  </si>
  <si>
    <t>Bean14</t>
  </si>
  <si>
    <t>Integrated disease management of Red Spider Mite</t>
  </si>
  <si>
    <t>https://navcdp.kalro.org/kalroknowledgebank/factsheets/Mutisya%20Pest%20Red%20Spider%20mite%20IDM%20Fact%20sheet%20June%202021.pdf</t>
  </si>
  <si>
    <t>Bean15</t>
  </si>
  <si>
    <t>Integrated weed management of Black Jack weed in beans</t>
  </si>
  <si>
    <t>https://navcdp.kalro.org/kalroknowledgebank/factsheets/Mutisya%20Weed%20%20IWM%20Black%20Jack%20on%20beans%20Fact%20sheet%20June%202021.pdf</t>
  </si>
  <si>
    <t>AIV1</t>
  </si>
  <si>
    <t>African Indigenous Vegetables (AIVs) Volume I-(Pumpkins and Spiderplant)</t>
  </si>
  <si>
    <t>https://navcdp.kalro.org/docs/kcsap/AIV%20Volume%20I.pdf</t>
  </si>
  <si>
    <t>KALRO Katumani/Ndinya et al. (2022)</t>
  </si>
  <si>
    <t>African Indigenous Vegetables (AIVs)</t>
  </si>
  <si>
    <t>Other</t>
  </si>
  <si>
    <t>AIV2</t>
  </si>
  <si>
    <t>African Indigenous Vegetables (AIVs) Volume II-(Cowpea and Amaranth)</t>
  </si>
  <si>
    <t>https://navcdp.kalro.org/docs/kcsap/AIV%20Volume%202.pdf</t>
  </si>
  <si>
    <t>AIV3</t>
  </si>
  <si>
    <t>African Indigenous Vegetables (AIVs) Volume III-(Nightshade, Jute Mallow and Slendar)</t>
  </si>
  <si>
    <t>https://navcdp.kalro.org/docs/AIV%20Volume%203.pdf</t>
  </si>
  <si>
    <t>Dry Bean TIMPs</t>
  </si>
  <si>
    <t>https://navcdp.kalro.org/docs/kcsap/Final%20Dry-Beans-TIMPs%20for%20upload.pdf</t>
  </si>
  <si>
    <t>KALRO Katumani/Karanja et al. (2022)</t>
  </si>
  <si>
    <t>Dry Bean</t>
  </si>
  <si>
    <t>NRM-TIMP1</t>
  </si>
  <si>
    <t>NRM TIMPs</t>
  </si>
  <si>
    <t>https://navcdp.kalro.org/docs/kcsap/NRM-TIMPs-NEW.pdf</t>
  </si>
  <si>
    <t>KALRO Katumani/Kamau et al. (2022)</t>
  </si>
  <si>
    <t>NRM</t>
  </si>
  <si>
    <t>GRAM-TIMP1</t>
  </si>
  <si>
    <t>https://navcdp.kalro.org/docs/kcsap/Green%20Grams%20TIMP.pdf</t>
  </si>
  <si>
    <t>#</t>
  </si>
  <si>
    <t>Section Header</t>
  </si>
  <si>
    <t>Content Summary</t>
  </si>
  <si>
    <t>Pages</t>
  </si>
  <si>
    <t>Content Warnings</t>
  </si>
  <si>
    <t>Content Tags</t>
  </si>
  <si>
    <t>Introduction (Green gram Seed system)</t>
  </si>
  <si>
    <t>Use clean, healthy and good-quality seed; Do not mix different seed varieties; Store seed in a clean, dry and pest-free place; Remember that community-bulked seed may not be certified</t>
  </si>
  <si>
    <t>Seed, Quality seed, Clean seed, Planting materials, Seed bulking, Community seed bulking, Seed availability, Food security, Income generation, Germplasm conservation</t>
  </si>
  <si>
    <t>Seed systems in Kenya (Green gram Seed system)</t>
  </si>
  <si>
    <t>A seed system is the vehicle/means through which farmers get good quality seed of the crop varieties (especially new ones) they want and need. Effective seed systems have the potential to increase production quickly and economically. In Kenya there are two types of seed systems, namely the formal seed system and the informal seed system</t>
  </si>
  <si>
    <t>Do not use poor-quality seed, do not plant unsuitable varieties, beware of poor-quality informal seed, do not buy certified seed from unauthorised suppliers</t>
  </si>
  <si>
    <t>Seed system, Quality seed, Formal seed system, Informal seed system</t>
  </si>
  <si>
    <t>Formal seed system (Green gram Seed system)</t>
  </si>
  <si>
    <t>It’s a framework of institutions linked together by their involvement in or influence on breeding, multiplication, processing, marketing and quality control. Mostly includes research, seed companies, regulatory agents and seed stockists. In Kenya this system deals mainly with high value hybrid maize seed and horticultural seeds. A lot of seed companies will put a lot of resources in activities for hybrid maize and horticultural seeds. Few seed companies are interested in low returns as epitomized by open pollinated varieties. These open pollinated crops seed access by farmers is mostly under the informal seed system.</t>
  </si>
  <si>
    <t>Do not use poor-quality seed, do not plant varieties unsuitable for your area, beware of poor-quality seed from informal sources, buy certified seed only from authorised suppliers</t>
  </si>
  <si>
    <t>Formal seed system, Seed institutions, Seed companies, Hybrid maize seed, Horticultural seed</t>
  </si>
  <si>
    <t>Informal seed system (Green gram Seed system)</t>
  </si>
  <si>
    <t>The informal seed system supplies 90% of seed mostly in ASALs. It deals mainly with open pollinated varieties. It’s composed of two systems. (1) Assisted informal seed movement: The system involves close links between farmers, extension, research and NGOs. In most cases it targets resource poor farmers or farmer groups like CIGs, VMGs and farming communities that experience lack of improved OPV seed at planting. It involves mostly activities related to seed bulking. (2) Self-driven informal system: Farmers have mechanisms of seed multiplication and transfer which is not organized. The system has evolved over many years and farmers initiatives plays an important part. Seed sources sometimes known and sometimes not known (grain stores). It has only one seed type (Farmers seed). This article is mostly on the informal seed system and in particular community seed bulking</t>
  </si>
  <si>
    <t>Do not use seed from unknown sources, do not plant poor-quality or diseased seed, do not mix different varieties during seed bulking, do not assume farmer-saved seed is certified seed.</t>
  </si>
  <si>
    <t>Informal seed system, Community seed bulking, Open-pollinated varieties (OPVs), Farmer seed, Seed multiplication and transfer</t>
  </si>
  <si>
    <t>What is Seed Bulking (green gram)?</t>
  </si>
  <si>
    <t>In the informal seed system, it’s the systematic multiplication of basic seed sourced from the formal seed sector into quality seed that more farmers in the community can access and improve their crop production.</t>
  </si>
  <si>
    <t>Do not use poor-quality basic seed, do not multiply seed from unknown sources, do not mix different varieties during seed bulking, do not assume bulked seed is certified seed.</t>
  </si>
  <si>
    <t>Seed bulking, Informal seed system, Quality seed</t>
  </si>
  <si>
    <t>Characteristics of good quality seed of a variety (Green gram Seed system)</t>
  </si>
  <si>
    <t>The seed bulking process should produce seed of the green gram variety under production with the following characteristics: (1) The seed has one colour pattern (2) No seed of other green gram varieties or seed of other crop species (3) The seed is viable and has vigour (4) Not discolored (5) Not shriveled (6) Free from disease and insect damage (7) Grain not broken (8) No trash, straw, dirt, soil and stones in the seed</t>
  </si>
  <si>
    <t>Do not use seed with mixed colours or varieties, do not use shrivelled or discoloured seed, do not use seed damaged by pests or diseases, do not use seed containing dirt, stones, trash or broken grains.</t>
  </si>
  <si>
    <t>Quality seed, Seed purity, Seed viability and vigour, Clean seed</t>
  </si>
  <si>
    <t>Objectives of community seed bulking (Green gram)</t>
  </si>
  <si>
    <t>To improve crop production, To provide clean seed/vegetative materials, To develop capacity of small scale farmers to upgrade to seed production, To promote production and maintenance of quality seeds of improved varieties, To increase supply of seeds of improved crop varieties within communities</t>
  </si>
  <si>
    <t>Do not use poor-quality seed, do not distribute seed without checking its quality, do not mix different varieties during seed production, do not use unsuitable varieties for your area.</t>
  </si>
  <si>
    <t>Community seed bulking, Crop production, Quality seed, Improved crop varieties</t>
  </si>
  <si>
    <t>Roles of stakeholders in community seed bulking (Green gram Seed system)</t>
  </si>
  <si>
    <t>Roles of stakeholders in community seed bulking (Green gram). (1) FARMERS: Provide land, labour, security, other inputs, management; Agreement and selection of which varieties to bulk; Seed storage and disposal; Feedback to researchers and extension; Purchase bulking materials; Promoting bulked materials. (2) RESEARCHER ROLES: Breeding/variety development and release; Basic seed production and marketing; Extension staff/farmer training; Technical backstopping; Quality control; Research on new and emerging problems in seed bulking process. (3) EXTENSION ROLES: Community mobilization and sensitization; Identify farmers and bulking sites; Assist farmers/farmer groups select varieties to bulk; Procure and distribute seeds especially new varieties; Farmer training; Provide farm inputs and market information if possible; Supervision and follow up; Retrieve bulked seed and distribute to others; Quality control and documentation; TFCs promotion and new varieties demonstration; Regulatory and policy issues. (4) CBOS/NGOS roles: Community mobilization; Selection of varieties to bulk with support of extension/NGOs; Financial support and/or provide seed; Seed bulking, storage and distribution; Organise seed fairs and exhibitions; Promotion of seed banks and groups</t>
  </si>
  <si>
    <t>Do not bulk seed without proper guidance, do not use unapproved or poor-quality seed, do not mix varieties during bulking, do not ignore seed quality checks, do not store seed in poor conditions, do not distribute seed without proper records and traceability.</t>
  </si>
  <si>
    <t>Community seed bulking, Farmers, Researchers, Extension services, NGOs/CBOs, Seed quality control</t>
  </si>
  <si>
    <t>Constraints affecting community seed bulking (Green gram Seed system)</t>
  </si>
  <si>
    <t>Inadequate technical knowledge (Extension staff and farmers) on seed bulking techniques, lack of stakeholder involvement at the project formulation stage, lack of legal support and clear policy guidelines for packaging, labelling and marketing of informal seed, inadequate inputs and farmer dependency leading to low-quality and insufficient seed quantities, low uptake of bulked or certified seed due to perceptions that traditional food crops do not require improved seed, lack of seed varieties preferred by farmers, consumption of bulked seed by farmers, high cost of bulked seed compared to grain of the same variety in the market, farmers’ lack of perceived relative advantage of using certified seed, unreliable rainfall and poor access to irrigation, low economic value of bulked seed due to poverty.</t>
  </si>
  <si>
    <t>Do not bulk seed without proper technical guidance, do not use inadequate inputs that can reduce seed quality, do not mix or use varieties unsuitable for farmers’ needs, do not consume seed intended for bulking, do not market informal seed without following applicable requirements, do not rely on seed bulking where rainfall or irrigation is inadequate.</t>
  </si>
  <si>
    <t>Community seed bulking, Technical knowledge, Stakeholder involvement, Seed regulations, Seed quality, Farmer adoption, Seed varieties, Seed costs, Irrigation and rainfall variability</t>
  </si>
  <si>
    <t>Arrangements for community seed bulking (Green gram Seed system)</t>
  </si>
  <si>
    <t>The following are important factors that should be considered for the success of a seed-bulking program: Importance of crop and variety in ensuring food security; Socio-economic factors, target group and locality of bulking; Demand/preference for the crops and specific varieties by farmers; Availability of seed bulking materials i.e. reliability of the source of basic seed and subsequent generations of seed for further bulking; Technical knowledge for both farmers and extension staff; Availability of resources i.e. funds, personnel for supervision, land and labour; Suitable weather conditions during the season of bulking; Availability of irrigation water and the economic importance of the bulked materials compared to other high value crops available to the bulking farmer/groups; Policy guidelines on seed bulking; Farmers’ ability to manage bulking activities</t>
  </si>
  <si>
    <t>Do not use unreliable seed sources, do not choose unsuitable varieties, do not bulk seed without adequate skills and resources, do not bulk seed under unsuitable weather or water conditions, do not ignore seed regulations and quality requirements.</t>
  </si>
  <si>
    <t>Community seed bulking, Seed source, Farmer demand, Technical knowledge, Resources, Weather and irrigation conditions</t>
  </si>
  <si>
    <t>Arrangements for community seed bulking (Green gram).</t>
  </si>
  <si>
    <t>Farmers’ preference: While it is important to consider farmers’ preference for certain crops in different agro-ecological zones, technical recommendations for crops to be bulked should be considered while drawing up the bulking program to ensure high productivity. Farmer’s preference may be based on the following factors. Factors for preference: Agro-ecological suitability (Climatic conditions, Soil type and characteristic, Susceptibility to pest and disease) Cropping System (Maturity period, Suitability for intercrops, Farm input requirements)</t>
  </si>
  <si>
    <t>Do not choose varieties based on farmer preference alone, do not plant varieties unsuitable for the local climate or soil, do not ignore pest and disease risks, do not select varieties without considering the cropping system and input requirements.</t>
  </si>
  <si>
    <t>Farmer preference, Green gram, Agro-ecological suitability, Climatic conditions, Pest and disease susceptibility, Cropping system</t>
  </si>
  <si>
    <t>Steps in undertaking community seed bulking (Green gram Seed system)</t>
  </si>
  <si>
    <t>The following are the broad steps that any community based seed production initiative should follow: Identification and selection of target areas; Identification of crops/varieties grown in the target areas; Assessment of availability of improved varieties, Identification of target farmers/groups and site selection; Training of farmer/groups in seed production; Procurement of basic seed; Procurement of other farm inputs; Establishment of bulking sites; Monitoring, inspection and quality assurance; Seed processing and conditioning; Seed storage. Distribution and marketing: 1. Identification and selection of target areas (Consider agro-climatic requirements for specific crops, Area strategically located and reasonably accessible, Reduce transportation costs, Accessibility to other stakeholders to acquire planting materials, Capacity building through demonstrations and field days) 2. Crops identification (Crops to be grown selected in a participatory process, Crops will be suitable and preferred by beneficiaries, Contribution to food security, Availability of planting materials, Technical know how of extension and farmers. If information required then train.) 3. Identification of target farmers/groups (Seed crop requires high level management, Seed production is labour intensive, use recommended inputs and timely operations, Farmer/group follow advice given, Be socially acceptable in community, Pass amount given free, Enter in agreement with the MOA)</t>
  </si>
  <si>
    <t>Do not select unsuitable areas or varieties, do not use basic seed or inputs from unreliable sources, do not undertake seed bulking without proper training, do not skip monitoring and quality checks, do not store or market seed without proper processing and storage.</t>
  </si>
  <si>
    <t>Community seed bulking, Target area selection, Variety selection, Farmer training, Basic seed procurement, Seed quality assurance</t>
  </si>
  <si>
    <t>Characteristics of farmer groups doing seed bulking (Green gram)</t>
  </si>
  <si>
    <t>The target farmer groups selected to carry out bulking activities should have the following characteristics: Strongly cohesive with well articulated needs and interest for all members; Roles of individual group members in the process of seed production, storage and accessing of seed by members must be very clear; All group members must actively participate at all stages; Transparency and accountability in all activities by all members; Streamline gender issues in relation to seed acquisition, planting and other husbandry practices in view of the roles of women in other household activities.</t>
  </si>
  <si>
    <t>Do not join seed-bulking groups without clear roles, do not allow members to avoid their responsibilities, do not operate without transparency and accountability, do not ignore gender roles and equal participation.</t>
  </si>
  <si>
    <t>Farmer groups, Group cohesion, Member participation, Transparency and accountability, Gender inclusion</t>
  </si>
  <si>
    <t>Training of individuals/farmers’ groups in seed bulking techniques (Green gram Seed system)</t>
  </si>
  <si>
    <t>Capacity building for farmers involved in seed bulking is critical to ensure that they are equipped with the recommended crop husbandry and seed bulking techniques for effective community seed production. Care should be taken on the perceptions of this seed if the farmers are not on contract by seed merchants or seed companies so as not to break the law. Seed bulking can easily graduate to contract seed growers and efforts should be made to link successful groups with seed merchants/companies. Note also that in some communities or regions this may be the only seed source and efforts to make as many farmers as possible of this source of seed should be done. Farmers targeted for bulking should be trained on the following topics: Training topics for bulking farmers (Differences between seed and food grain, Procurement of basic seed and farm inputs, Establishment of bulking plots, Actual crop husbandry practices, Monitoring, inspection including roguing and quality assurance, Seed processing and conditioning, Seed storage, Marketing and distribution, Record keeping, Economics of production)</t>
  </si>
  <si>
    <t>Do not undertake seed bulking without proper training, do not market or sell bulked seed without following legal requirements, do not use uncertified seed as certified seed, do not skip quality control, record keeping and proper seed storage.</t>
  </si>
  <si>
    <t>Seed bulking training, Crop husbandry, Quality assurance, Seed processing and storage, Seed marketing and distribution</t>
  </si>
  <si>
    <t>Community seed banking/aggregation centres</t>
  </si>
  <si>
    <t>The seed bulking activities need to be supported by seed banks/aggregation centres. Seed banks ensure conservation of crop varieties and provide seed to community. Several community seed banks are successful while others normally flop. The following criteria and questions are essential for a successful seed bank/aggregation centre: For group banks to work effectively, the groups need to be very cohesive; Critical factors for success of community seed banks that need consideration are as follows: Success factors for community seed banks (Who initiates these banks and what are the interests of the initiators, What are the motivating factors in starting them, Are all farmers involved and if not why?, Is the group vulnerable to food insecurity, What is the process of running these banks?, Storage structures and management, Pest control, maintenance and management, Who benefits – members and community)</t>
  </si>
  <si>
    <t>Do not establish a seed bank without clear management responsibilities, do not store seed in unsuitable conditions, do not neglect pest control and regular maintenance, do not exclude farmers from decisions and access to seed.</t>
  </si>
  <si>
    <t>Community seed banks, Seed conservation, Seed storage, Group cohesion, Seed bank management</t>
  </si>
  <si>
    <t>The synergies of formal and informal seed production and marketing in KCSAP (Green gram Seed system)</t>
  </si>
  <si>
    <t>With legumes, it has been noted that majority of farmers use their own seed, from neighbours or from the grain market with little seed bought from the stockists. While this system is good for subsistence farming, it's not appropriate for commercial production. Good quality seed is crucial in commercial grain production and marketing of legume grain. Therefore, the farmers will need to develop a cycle of replenishing their seed supply by procuring from the formal seed system (seed merchant/company or agro-dealers). After two seasons of re-planting the seed (informal system), the farmers get seed from the formal system. The farmer CIGs, VIMPs etc need to develop a seed road map of let's say three years and then access seed from the formal seed system for bulking. There are pros and cons of either using a group farm or have individual farmers plant in their farms with a mechanism of a certain quantity of seed given back to the group.</t>
  </si>
  <si>
    <t>Do not rely on farmer-saved seed for continuous commercial production, do not use seed from unknown or unreliable sources, do not replant the same seed for too many seasons without replenishing from a formal source, do not bulk or distribute seed without proper quality control and group records.</t>
  </si>
  <si>
    <t>Formal seed system, Informal seed system, Legume seed, Quality seed, Seed replenishment, Commercial grain production, Seed merchants and agro-dealers, Community seed bulking</t>
  </si>
  <si>
    <t>CIGS, VIMPS and Grain/planting material Production (Green gram Seed system)</t>
  </si>
  <si>
    <t>While quality seed production is important for farmers especially in regions and seed stress periods, its major problem is saturation of the informal seed in the communities. When this happens, it becomes a disincentive to group members as there will be no difference between price of grain and price of seed. In this scenario, it's important for the farmer groups to be linked to the grain market. Another way is to link promising groups that meet requirements for formal seed production to the public and private sector seed merchants/companies. Since the project envisages working with a large group of farmers, the sustainability of the seed bulking requires a commercial angle through the grain market. Grain of the green gram crop is in high demand. Linking the CIGs, VIMPS farmers to the grain market is one step in sustaining the community seed production process. Of particular importance is that the stakeholders in the green gram value chain need to assist the farmer groups in selecting which variety to produce and market. In the marketing standards for green gram grain, the threshold for mixed grain is at 1%. To maintain this, farmers in a region need to produce and market one green gram variety at a time to avoid physical admixing of various varieties of green gram grains.</t>
  </si>
  <si>
    <t>Do not mix different green gram varieties during production or marketing, do not market seed as certified seed without meeting formal requirements, do not produce seed without considering market demand and profitability.</t>
  </si>
  <si>
    <t>Community seed production, Grain market, Green gram, Seed marketing, Variety purity</t>
  </si>
  <si>
    <t>Green gram variety KAT N26</t>
  </si>
  <si>
    <t>KAT N26 is a fairly early maturing variety (matures in 80-90 days) and has potential yields of 1000-1500kg/ha (4-6, 90 kg bags/acre). The variety has a determinate growth habit, is tolerant to aphids, resistant to yellow mosaic and moderately resistant to powdery mildew. Dry pods are black in colour. 85% of the grains are shiny green and bold hence some farmers call it nylon</t>
  </si>
  <si>
    <t>Varietal performance depends on environmental conditions, Potential yields are under optimal management, Monitor for diseases not listed as resistant, Ensure proper pest scouting for aphids, Verify seed purity from certified sources</t>
  </si>
  <si>
    <t>Early maturing, Aphid tolerant, Yellow mosaic resistant, High yield potential, Determinate growth</t>
  </si>
  <si>
    <t>Green gram variety Biashara (KAT 00308)</t>
  </si>
  <si>
    <t>Biashara is an early maturing (65–75 days), high yielding (1800-2100 kg/ha [8-9, 90 kg bags/acre]) Green gram variety. It is tolerant to aphids, resistant to yellow mosaic virus and moderately resistant to powdery mildew. The variety is tolerant to drought and suitable for the ASALs. Pods are large and cream in colour when dry. Seeds are large in size (8–10 g/100 seeds) making it easy to harvest. Grains are shiny green, non-stony and preferred by the market.</t>
  </si>
  <si>
    <t>Early maturity can be affected by severe drought stress, High yields require good soil fertility and agronomic practices, Monitor for other pests and diseases not mentioned, Market preference can change, Seed should be sourced from certified dealers</t>
  </si>
  <si>
    <t>Early maturing, Drought tolerant, High yielding, Market preferred, ASALs suitability</t>
  </si>
  <si>
    <t>Green gram variety Ndengu Tosha (KAT 00301)</t>
  </si>
  <si>
    <t>Ndengu Tosha is early maturing (65–70 days) and thus able to escape drought conditions that are common in the ASALs. It is high yielding (1800-2300 kg/ha (8-10, 90 kg bags/acre)) and tolerant to major Green gram diseases. Its characteristic features include cream pod colour when dry and shiny green grains. The Green gram variety grows in a wide range of climatic conditions from sea level to 1600 m above sea level. It is both heat and drought tolerant and thus can be grown in both semi-arid and well-watered areas. Seeds are non-stony and large in size (6-7g/100 seeds).</t>
  </si>
  <si>
    <t>Yields can be lower in marginal areas without proper management, "Tolerant to major diseases" is not a guarantee of immunity, Heat stress during flowering can still reduce pod set, Adaptability varies; local trials are recommended, Over-reliance on one variety increases vulnerability</t>
  </si>
  <si>
    <t>Early maturing, Drought escape, High yielding, Wide adaptability, Non-stony seeds</t>
  </si>
  <si>
    <t>Green gram variety Karembo (KAT 00309)</t>
  </si>
  <si>
    <t>Karembo is an improved early maturing (65-75 days), high yielding (1800-2100 kg/ha [8-9, 90 kg bags/acre]) Green gram variety that is tolerant to major Green gram diseases. Its other characteristic features include green shiny grains and large seed size (8–10 g/100 seeds). Dry pods are brown in colour. It can grow in a wide range of climatic conditions. It is also both heat and drought tolerant and thus can be grown in both semi-arid and well-watered areas.</t>
  </si>
  <si>
    <t>Performance depends on soil fertility and rainfall distribution, Disease tolerance may not cover all regional strains, Pest monitoring remains essential for optimal yields, Seed quality degrades over generations, Market prices can vary, affecting profitability</t>
  </si>
  <si>
    <t>Early maturing, Disease tolerant, Heat tolerant, Large seed size, Wide adaptability</t>
  </si>
  <si>
    <t>Green gram variety KS 20</t>
  </si>
  <si>
    <t>KS 20 is a Green gram variety that matures in 80-90 days and has a potential yield of 1600 - 2200 kg/ha (7-9, 90 kg bags/acre). Its characteristic features include large seed size (6-7g/100 seeds), dull green grains and pods that turn brown when dry. The variety is tolerant to aphids, resistant to yellow mosaic virus and moderately resistant to powdery mildew. Grains are dull green in color. Seeds are non-stony.</t>
  </si>
  <si>
    <t>Later maturity may expose crop to end-of-season drought, Yields can be lower on poor soils or with poor management, Market preference for shiny green grains may affect sale price, Monitor for diseases not covered by resistance, Ensure correct identification of the variety at planting</t>
  </si>
  <si>
    <t>Late maturing, Yellow mosaic resistant, Large seed size, High yield potential, Non-stony grains</t>
  </si>
  <si>
    <t>Green gram variety KAT N22</t>
  </si>
  <si>
    <t>This Green gram variety is tolerant to aphids, resistant to yellow mosaic virus and moderately resistant to powdery mildew. It matures in 80-90 days and has a potential yield of 1000-1300kg/ha (4-5, 90 kg bags/acre). Pods are yellow in colour when dry. Grains are golden yellow in colour and preferred for stews.</t>
  </si>
  <si>
    <t>Has lower yield potential compared to other improved varieties, Later maturity may be a risk in areas with short rains, Market for golden grains may be niche, requiring market research, Disease resistance is not absolute and requires monitoring, Storage pests like bruchids can still attack the grain</t>
  </si>
  <si>
    <t>Golden yellow grains, Late maturing, Stew preference, Yellow mosaic resistant, Low to medium yield</t>
  </si>
  <si>
    <t>Green gram Own Seed Selection and Production (Green gram)</t>
  </si>
  <si>
    <t>Own seed selection is a process of identifying and carefully picking quality seed plants before harvesting of the entire crop. Since Green gram is a self-pollinated crop with a minimal cross pollination, farmers maintain their own variety through proper seed selection method. Own seed selection involves observation of health, true-to-type plants in the middle of the farm where pollen from other farms cannot reach. The selected plants are then harvested early and well dried. These plants are threshed and the seed stored in a dry, clean, well-ventilated place for planting next season. Own seed selection should only be practiced on one variety for a maximum of three seasons then the farmer should get certified seed</t>
  </si>
  <si>
    <t>Seed quality declines after three seasons, increasing risk of poor yields, Incorrect selection can lead to genetic drift and loss of variety traits, Cross-pollination can still occur, contaminating the seed, Poor storage can lead to seed damage from pests and moisture, Using this method with multiple varieties leads to seed mixing</t>
  </si>
  <si>
    <t>Seed selection, Genetic purity, Self-pollination, Quality maintenance, Certified seed necessity</t>
  </si>
  <si>
    <t>Green gram informal seed system (Green gram)</t>
  </si>
  <si>
    <t>It is a systematic multiplication of basic seed sourced from the formal seed sector into quality seed that more farmers in the community can access and improve their crop production. It involves community seed bulking which is a process of engaging selected individuals or farmer groups to multiply Green gram seed under technical supervision following seed multiplication guidelines.</t>
  </si>
  <si>
    <t>Quality depends on the technical supervision and adherence to guidelines, Risk of contamination with off-types if isolation distances are not followed, Improper handling can reduce seed quality and germination rates, Scaling up requires strong community organization and trust, Dependence on a single source of basic seed can be a risk</t>
  </si>
  <si>
    <t>Seed multiplication, Community bulking, Quality assurance, Technical supervision, Formal sector linkage</t>
  </si>
  <si>
    <t>Formal Seed production (Green gram)</t>
  </si>
  <si>
    <t>Formal seed system is the process of producing quality seed starting from release of varieties, production of early generation seed and certified seed up to the stage where the farmers can access it through seed merchants for planting. The main stakeholders in formal seed systems include breeders, seed companies and retailers among others.</t>
  </si>
  <si>
    <t>Formal seed is often more expensive than farm-saved seed, Limited supply can lead to unavailability at planting time, Complex certification process can be a bottleneck for new varieties, Farmers may not be aware of all available certified varieties, Requires reliable market linkages for seed companies to be sustainable</t>
  </si>
  <si>
    <t>Certified seed, Variety release, Seed value chain, Stakeholder collaboration, Market access</t>
  </si>
  <si>
    <t>Good Agricultural Practices (GAP) (Green gram)</t>
  </si>
  <si>
    <t>It is a systematic process of implementing a standardized production system globally designed to reassure consumers about how food is produced on the farm, pre-farm gate or on-farm standards. It is not about a specific crop production but the process through which production takes place.</t>
  </si>
  <si>
    <t>GAP certification can be costly and complex for smallholder farmers, Implementation requires a significant change in mindset and practices, Non-compliance with GAP standards can lead to market loss, Records must be meticulously kept to demonstrate compliance, GAP is a continuous process of improvement and monitoring</t>
  </si>
  <si>
    <t>Food safety, Quality assurance, Standardization, Consumer confidence, Traceability</t>
  </si>
  <si>
    <t>Food Safety Management System: Hazard Analysis Critical Control Points (HACCP) Plan for Green Gram Value Chain in Kenya</t>
  </si>
  <si>
    <t>Food safety management system (FSMS) through Hazard Analysis and Critical Control Point (HACCP) in Green gram value chain is a system of food safety monitoring and control based on the systematic identification and assessment of various hazards. It is a preventive, rather than a reactive, tool that places the protection of the Green gram supply from biological, chemical and physical hazards into the hands of food management systems. The system is designed to minimize the risk of food safety hazards by identifying the hazards, establishing controls and monitoring these controls.</t>
  </si>
  <si>
    <t>Requires expert knowledge to correctly identify and monitor Critical Control Points, Failure to implement can lead to severe health risks and market rejection, High cost of implementation and maintenance can be a barrier, Aflatoxin contamination is a specific high-risk hazard for Green grams, The plan must be regularly reviewed and updated</t>
  </si>
  <si>
    <t>Hazard analysis, Critical control points, Preventive approach, Aflatoxin prevention, Food supply safety</t>
  </si>
  <si>
    <t>Plant spacing (Green gram)</t>
  </si>
  <si>
    <t>Plant spacing is the distance within and between rows at which seeds are planted. Green gram is planted at the spacing of 0.4 m x 0.15 m. One plant is maintained per station. Over-seeding reduces yield and lowers the quality of grains because of competition for light and nutrients.</t>
  </si>
  <si>
    <t>Overcrowding leads to reduced yields and lower quality grains, Too wide spacing may not maximize land use, Soil type and moisture availability can influence optimal spacing, Seed germination rate must be considered to achieve the correct plant population, Inconsistent spacing makes weeding and harvesting difficult</t>
  </si>
  <si>
    <t>Optimal plant population, Competition reduction, Yield quality, Inter-row weeding, Seed rate</t>
  </si>
  <si>
    <t>No- till (zero) tillage (Green gram)</t>
  </si>
  <si>
    <t>No-till, also referred to as zero tillage is a conservation agriculture tillage method whereby seed is planted into holes drilled into otherwise undisturbed soil. It is characterized by nil soil disturbance during land preparation, sowing and weeding operations. Only seeding or/and fertilizer holes are dug in the field. In case of weeds at sowing time, they are eradicated using non-selective post-emergence herbicides. For weeds occurring after the crop has emerged, weeds are controlled using selective post-emergence herbicides. Alternatively the weeding may be achieved through uprooting weeds or slashing weed at ground level without soil disturbance. Over 75% of residues are left on the soil surface after the crop harvest.</t>
  </si>
  <si>
    <t>Heavy reliance on herbicides, which can be costly and require careful handling, Requires specific equipment like no-till seed drills that may not be accessible, Herbicide resistance in weeds can become a serious problem, Can lead to a buildup of pests and diseases in soil residue, Requires proper training for effective and safe application of chemicals</t>
  </si>
  <si>
    <t>Zero tillage, Conservation agriculture, Soil health, Herbicide use, Residue retention</t>
  </si>
  <si>
    <t>Conventional tillage (Green gram)</t>
  </si>
  <si>
    <t>Conventional tillage is a land preparation system using cultivation as the major means of seedbed preparation and weed control. Typically includes a sequence of soil tillage (ploughing and harrowing) to provide a fine seedbed for seeding. The system also removes most of the plant residue from the previous crop. Later on after the crop has emerged, weed control is done using conventional tools that dig out weeds which are removed from the farmland. Over 75% of residues are removed from the farm land after the crop harvest. Conventional ploughing is normally done either using oxen or tractor pulled ploughs. The operation can also be done manually using hand tools (jembes, fork jembes and pangas).</t>
  </si>
  <si>
    <t>High labor requirement, which can be scarce and expensive, Repeated ploughing degrades soil structure and reduces organic matter, High risk of soil erosion, especially on slopes, Fuel costs for tractor ploughing are high, Removal of crop residues reduces soil fertility and moisture retention</t>
  </si>
  <si>
    <t>Soil degradation, High labor, Erosion risk, Residue removal, Fine seedbed creation</t>
  </si>
  <si>
    <t>Intercropping (also Soil and water conservation technology) (Green gram)</t>
  </si>
  <si>
    <t>Intercropping is a farming method that involves planting or growing more than one crop at the same time and on the same piece of land. The practice offers a potential to increase yields, enhance soil fertility and minimize the effects of climate change. There are two methods of intercropping: i. Moja-moja intercropping method: One Green gram row is alternated with that of a cereal (maize), thus referred to as 'moja moja' intercropping system. The spacing for either crop is maintained at 75 cm between rows.</t>
  </si>
  <si>
    <t>Competition between crops for water, light, and nutrients can reduce yields of both, Improper species selection can lead to one crop outcompeting the other, Managing two different crops simultaneously is more complex and time-consuming, Pest and disease dynamics can become more complex, The "moja-moja" system may not be optimal for all agro-ecological zones</t>
  </si>
  <si>
    <t>Moja-moja intercropping, Yield increase, Climate change mitigation, Soil fertility enhancement, Crop competition</t>
  </si>
  <si>
    <t>Manure Management (Green gram)</t>
  </si>
  <si>
    <t>Manure Management is the optimal, site-specific handling of livestock manure from collection, through treatment and storage up to application to crops (and aquaculture).</t>
  </si>
  <si>
    <t>Improperly composted manure can introduce weed seeds to the field, Pathogens in fresh manure can contaminate the crop, Nutrient content of manure is variable, requiring soil testing for proper application, Over-application can lead to nutrient runoff and environmental pollution, Odor and storage issues can be a problem near homesteads</t>
  </si>
  <si>
    <t>Livestock manure, Nutrient source, Composting, Soil fertility, Environmental management</t>
  </si>
  <si>
    <t>Integrated Nutrient Management (INM) (Green gram)</t>
  </si>
  <si>
    <t>Integrated Nutrient Management refers to the maintenance of soil fertility and of plant nutrient supply at an optimum level for sustaining the desired productivity through optimization of the benefits from all possible sources of organic, inorganic and biological components in an integrated manner Inorganic fertilizers Organic manures Bio-fertilizers Green manures Integrated nutrient management places emphasis on soil fertility status and special management needs, if any, local availability of nutrients resources (organic, inorganic and biological sources), economic conditions of farmers and profitability of proposed INM option. It emphasizes on the importance of using available organic fertilizers and micro-dosing with inorganic rates. This reduces costs from purchase of inorganic fertilizers, improves soil organic matter, fertility, texture and soil moisture retention while at the same time conserving the environment by ensuring nutrient recycling in the farms.</t>
  </si>
  <si>
    <t>Requires soil testing to formulate an effective plan, Sourcing quality organic inputs can be a challenge, Improper application of inorganic fertilizers can still cause environmental damage, The 'right' balance is site-specific and requires expert advice, Micro-dosing requires precision and high-quality fertilizer to be effective</t>
  </si>
  <si>
    <t>Soil fertility, Organic inputs, Inorganic fertilizers, Micro-dosing, Nutrient recycling</t>
  </si>
  <si>
    <t>Integrated Soil Fertility Management (ISFM) (Green gram)</t>
  </si>
  <si>
    <t>A set of soil fertility management practices that include the use of fertilizers, locally available organic inputs and improved seed combined to adapt practices to local conditions. The ISFM places emphasis on the importance of using often scarce resources like fertilizer and organic inputs efficiently through techniques such as fertilizer banding (field application of fertilizer directly in area of root-zone to increase the potential for uptake) and micro dosing (applying small quantities of fertilizer with the seed at planting time and a few weeks after emergence)</t>
  </si>
  <si>
    <t>Overlaps with INM, which can cause confusion for farmers, Requires knowledge of specific techniques like banding and micro-dosing, Success is heavily dependent on using improved, high-quality seed, The 'adaptation to local conditions' part is often overlooked, relying on blanket recommendations, Input availability and cost are major barriers to adoption</t>
  </si>
  <si>
    <t>Resource efficiency, Fertilizer banding, Micro-dosing, Improved seed, Local adaptation</t>
  </si>
  <si>
    <t>Rapid soil testing services (Green gram)</t>
  </si>
  <si>
    <t>This is a dry method for soil testing using simplicity of light—the interaction of electromagnetic radiation with matter to characterize biochemical composition of a soil and/or plant tissue. Requires partners involved (ICRAF, iSDA and SoilCares) to work closely with KALRO and county agricultural officers to sensitize farmers to embrace the testing method.</t>
  </si>
  <si>
    <t>Availability of services may be limited in remote areas, Technology may not be as accurate as traditional lab methods for all parameters, Requires farmer sensitization and training to interpret results effectively, Cost of the service may be a barrier for some farmers, Results need to be translated into clear fertilizer and management recommendations</t>
  </si>
  <si>
    <t>Soil diagnostics, Spectral technology, Rapid testing, Farmer sensitization, KALRO collaboration</t>
  </si>
  <si>
    <t>Contour bunds (Green gram)</t>
  </si>
  <si>
    <t>Contour bunds are stone or earthen walls built across a slope to prevent runoff.</t>
  </si>
  <si>
    <t>Labor-intensive to construct, especially stone bunds, Earthen bunds can be washed away by intense rainfall if not well-maintained, Requires landowner cooperation to be effective across a landscape, Reduces the area available for cultivation, May require periodic repair and maintenance</t>
  </si>
  <si>
    <t>Soil erosion control, Runoff prevention, Water conservation, Slope management, Stone/earth bunds</t>
  </si>
  <si>
    <t>Zai Pits (Green gram)</t>
  </si>
  <si>
    <t>Zai Pits are small planting pits typically measuring 15-30 cm in width, 10-20 cm deep and spaced 60-80 cm. Zai pits harvest and store water for prolonged crop use. Farmers plant seeds into the pits after filling one to three handfuls of organic material such as manure, compost, or dry plant biomass. The technology is highly suitable for areas with unpredictable rains especially the drought-prone areas (ASALs). It is also suited for reclamation of denuded land</t>
  </si>
  <si>
    <t>Labor-intensive to dig the pits, especially on a large scale, Requires a ready supply of organic material for filling, May not be effective in years with total rain failure, Can become breeding grounds for pests if not managed properly, Not suitable for all soil types, especially heavy clays</t>
  </si>
  <si>
    <t>Water harvesting, Drought adaptation, ASALs suitability, Soil reclamation, Organic matter use</t>
  </si>
  <si>
    <t>Bench terraces (Green gram)</t>
  </si>
  <si>
    <t>Bench terraces consist of a series of beds which are more or less level running across a slope at vertical intervals, supported by steep banks or risers (walls or bunds). The flat beds created by bench terraces enable the cultivation of crops on medium to steep slopes. The technology is highly suitable for semi-arid to humid regions of rainfall, 700 mm or more; medium to steep slopes (12- 47%) (Bench terraces are not recommended for slopes less than 12%); soil depth of greater than 50 cm; and areas with no gullies or stones.</t>
  </si>
  <si>
    <t>Extremely high initial labor and capital cost, Requires specific topographical conditions to be effective, The steep risers are prone to collapse if not properly engineered, Can lead to waterlogging on the flat beds, if not properly drained, May displace a significant amount of topsoil during construction</t>
  </si>
  <si>
    <t>Slope cultivation, Soil conservation, Water management, Steep slopes, Terracing technology</t>
  </si>
  <si>
    <t>Fanya juu terraces (Green gram)</t>
  </si>
  <si>
    <t>Fanya juu terraces (juu is Swahili word for ‘up’) are constructed by excavating soil and throwing it up-slope to make an embankment. The embankment forms a runoff barrier and the trench (ditch) is used to retain or collect runoff. The embankments are usually stabilized with fodder grasses. Crops, such as bananas, pawpaws, citrus and guava, are grown in the ditches. Through gradual redistribution of soils within the field, the terraces level off.</t>
  </si>
  <si>
    <t>Labor-intensive to construct and maintain, Requires a good understanding of slope and water flow, The trenches can become breeding grounds for mosquitoes if water stagnates, Stabilizing grasses need to be established and maintained, May not be suitable for all crop types</t>
  </si>
  <si>
    <t>Water harvesting, Embankment construction, Soil conservation, Fodder grass, Runoff control</t>
  </si>
  <si>
    <t>Tied ridges (Green gram)</t>
  </si>
  <si>
    <t>Tied ridges are small earthen ridges, 30 cm high, with an upslope furrow which accommodates water between the ridges.</t>
  </si>
  <si>
    <t>Labor-intensive to construct, Can be easily damaged by heavy rainfall, May hinder mechanical weeding and harvesting, Water logging can occur between ties in areas with excessive rainfall, Requires careful row orientation to be effective</t>
  </si>
  <si>
    <t>Water trapping, Ridge tillage, Erosion control, Semi-arid farming, Soil moisture</t>
  </si>
  <si>
    <t>Conservation Agriculture (CA) (Green gram)</t>
  </si>
  <si>
    <t>Requires a fundamental shift in mindset from conventional farming, Heavy reliance on herbicides for weed control in the absence of tillage, May not be suitable for soils with severe compaction or hard pans, The 'minimum soil disturbance' principle is incomplete; other principles include residue retention and crop rotation, Can lead to a buildup of certain pests and diseases in the mulch</t>
  </si>
  <si>
    <t>Soil conservation, Minimum tillage, Crop residue retention, Herbicide reliance, Sustainable intensification</t>
  </si>
  <si>
    <t>Multiple cropping (Intercropping) (Green gram)</t>
  </si>
  <si>
    <t>Intercropping is the growing of two or more crops in close proximity (in the same row or bed, or in rows or strips that are close enough) for biological interaction. It also includes the growing of two or more cash crops together. The practice offers the potential to increase yields, enhance soil fertility and minimize the effects of climate change.</t>
  </si>
  <si>
    <t>Competition for resources can be intense, requiring careful crop selection, Complexity in management, including varied timing for planting, weeding, and harvesting, May not be suitable for large-scale mechanized operations, The biological interaction can be beneficial or detrimental, increasing risk, Reduced efficiency for pesticide application due to multiple crop canopies</t>
  </si>
  <si>
    <t>Crop diversification, Biological interaction, Yield stability, Climate resilience, Resource utilization</t>
  </si>
  <si>
    <t>Integrated Management of Rust disease of Green gram</t>
  </si>
  <si>
    <t>Integrated management of Rust consists of several approaches applied in an integrated manner to break the disease cycle. These include: cultural management and chemical control.</t>
  </si>
  <si>
    <t>Early detection is critical; late action may not be effective, Fungicide sprays must be timed correctly and applied thoroughly, Over-reliance on chemical control can be costly and lead to resistance, Cultural management (like crop rotation) takes time to have an effect, Integrated approach requires a good understanding of the disease lifecycle</t>
  </si>
  <si>
    <t>Disease cycle disruption, Cultural practices, Chemical control, Early detection, Fungicide resistance management</t>
  </si>
  <si>
    <t>Integrated Management of anthracnose disease of Green gram</t>
  </si>
  <si>
    <t>Integrated management of anthracnose encompasses the use of various approaches in management of the diseases and are applied during pre-harvest stage. They include: cultural management, deployment of tolerant varieties and chemical control.</t>
  </si>
  <si>
    <t>Tolerant varieties may not be available for all agro-ecological zones, Preventive fungicide sprays may be costly, Infected plant debris must be carefully managed to prevent spread, The pathogen can be seed-borne, requiring certified seed, Wet conditions favor the disease, making it unpredictable</t>
  </si>
  <si>
    <t>Disease-tolerant varieties, Seed-borne pathogen, Cultural management, Chemical control, Pre-harvest management</t>
  </si>
  <si>
    <t>Integrated Management of powdery mildew disease of Green gram</t>
  </si>
  <si>
    <t>Integrated management of powdery mildew consists of several approaches applied in an integrated manner to break the disease cycle. These include: cultural management and chemical control.</t>
  </si>
  <si>
    <t>Fungicide application must be started early for effective control, Dry and humid conditions favor the disease, affecting timing of control, Resistance to fungicides can develop quickly, Cultural practices like crop rotation are essential, Dusts are a common application method, requiring careful handling</t>
  </si>
  <si>
    <t>Environmental conditions, Cultural management, Chemical control, Disease monitoring, Integrated control</t>
  </si>
  <si>
    <t>Integrated Management of Cercospora leaf spot disease of Green gram</t>
  </si>
  <si>
    <t>Integrated disease management for Cercospora leaf spot comprises the use of cultural management practices, deployment of tolerant varieties and chemical control in the management of the disease in Green gram. Cultural practices: Practice good field sanitation and hygiene practices by collecting and safely disposing infected plants. Regular weeding Grow tolerant varieties: Grow varieties that are less susceptible to the disease such as LGG-460. Chemical management: Spray Mancozeb 2kg/ha or Carbendazim 500 g/ha.</t>
  </si>
  <si>
    <t>Chemical recommendations must be checked for local registration and availability, Tolerant varieties may have lower yield potential, Clean fields and weeding are essential but not sufficient in high-disease areas, Fungicides should be applied as soon as symptoms appear, Safety data sheets must be followed for all chemical applications</t>
  </si>
  <si>
    <t>Tolerant variety LGG-460, Field sanitation, Chemical control (Mancozeb/Carbendazim), Disease cycle, Regular weeding</t>
  </si>
  <si>
    <t>Integrated Management of Yellow Mosaic disease of Green gram</t>
  </si>
  <si>
    <t>Integrated management of Yellow Mosaic disease of Green grams consists of various approaches that help to break the disease cycle. They include cultural management and chemical control. Yellow Mosaic disease of Green grams is associated with insect infestations that transmit the pathogen while sucking sap from plant tissues. The disease is effectively managed by controlling insect infestations</t>
  </si>
  <si>
    <t>Control relies heavily on managing the insect vector (whitefly), Insecticide use must be judicious to avoid resistance, Vector pressure is unpredictable and depends on weather, Roguing infected plants early is critical, The virus can be persistent and affect future crops if vector is not controlled</t>
  </si>
  <si>
    <t>Whitefly control, Disease management, Cultural practices, Chemical control, Vector-borne disease</t>
  </si>
  <si>
    <t>Integrated Management of halo blight disease of Green gram</t>
  </si>
  <si>
    <t>Integrated management of halo blight consists of various approaches that help to break the disease cycle. They include cultural management and chemical control.</t>
  </si>
  <si>
    <t>Disease is often seed-borne, requiring certified seed, Wet and cool conditions favor its development, making timing of control critical, Copper sprays are commonly used, but resistance is possible, Cultural practices like crop rotation are essential for long-term control, Requires meticulous sanitation to prevent spread in the field</t>
  </si>
  <si>
    <t>Seed-borne disease, Cultural practices, Chemical control, Environmental conditions, Crop rotation</t>
  </si>
  <si>
    <t>Integrated Management of bacterial leaf blight disease of Green gram</t>
  </si>
  <si>
    <t>Integrated management of Bacterial leaf blight comprises the use of cultural management practices and chemical control in its management. Cultural practices: Crop rotation with non- legumes for a period of 2 to 3 seasons Roguing out infected plants from the farm and burying them deeply. Avoidance of working in the fields when plants are wet to minimize spread. Disinfecting farm tools in jik solution (50 ml: litre). Practicing good field sanitation and hygiene practices by collecting and disposing infected plants. Chemical management: To suppress the disease, spray copper oxychloride (cuprocaffaro micro 37.5 at a rate of 50gm/20litres water or Isacop 50WP at a rate of 60g/20litres of water) Get other control products from the PCPB (www.pcpb.or.ke) list of registered pest control products, and use them according to the manufacturer's instructions.</t>
  </si>
  <si>
    <t>Strict crop rotation (2-3 years) with non-legumes is hard for small farms, Working in wet plants is a common but avoidable practice, Chemical controls are only partially effective once disease is visible, Disinfecting all tools is a significant labor requirement, Resistance to copper-based products is possible</t>
  </si>
  <si>
    <t>Crop rotation, Field sanitation, Tool disinfection, Chemical control (Copper), PCPB registered products</t>
  </si>
  <si>
    <t>Integrated Management of scab disease of Green gram</t>
  </si>
  <si>
    <t>Scab disease management, Copper-based fungicide, Flower-bud application, Field sanitation, PCPB registration</t>
  </si>
  <si>
    <t>Integrated Management of Root Knot nematodes in Green grams</t>
  </si>
  <si>
    <t>Root knot nematodes affecting Green grams are controlled through cultural management practices and chemical control;</t>
  </si>
  <si>
    <t>Nematode infestation is often invisible until severe damage is done, Chemical control options are often highly toxic and environmentally damaging, Crop rotation is the most effective practice but is difficult to enforce, Soil solarization is a non-chemical option but is not mentioned, Requires a soil test to confirm nematode presence before treatment</t>
  </si>
  <si>
    <t>Nematode control, Cultural practices, Soil fumigation, Crop rotation, Soil health</t>
  </si>
  <si>
    <t>Integrated Management of White flies (Bemisia tabaci) (Green gram)</t>
  </si>
  <si>
    <t>Timely application of integrated management options is required. The following cultural and chemical strategies are involved: Cultural practices; Ploughing in previous crop residue in the soil Intercropping with non-host crop i.e. onion, garlic Chemical management Limited chemical use pesticides will conserve black ants that are predators and feed on nymphal stages of the whiteflies Use of yellow sticky traps at the rate of 10-12 traps/ha to trap Neem-based derivative products such as Nimbecidine, Achook, Neemark that do not contaminate the environment</t>
  </si>
  <si>
    <t>Heavy reliance on chemical sprays can kill beneficial predators, Timing of spray is critical to manage both adults and nymphs, Yellow sticky traps are useful for monitoring, not mass control, Predator conservation is a long-term strategy, not a quick fix, Intercropping must be planned carefully to be effective</t>
  </si>
  <si>
    <t>Whitefly control, Sticky traps, Predator conservation, Neem-based products, Intercropping</t>
  </si>
  <si>
    <t>Integrated Management of Flea beetles (Green gram)</t>
  </si>
  <si>
    <t>Integrated Flea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t>
  </si>
  <si>
    <t>Hand picking is only feasible for small areas, The presence of birds and chickens can also damage the crop, Biopesticides require specific conditions for effectiveness, Overreliance on one control method reduces effectiveness, Alternative hosts must be identified and removed promptly</t>
  </si>
  <si>
    <t>Sanitation, Hand picking, Natural enemies, Biopesticides, Alternative host removal</t>
  </si>
  <si>
    <t>Integrated Management of Aphids (Green gram)</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</si>
  <si>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(e.g. flower bugs, ladybird beetles, praying mantis, hover flies, green lacewing, long horned grasshoppers and spiders) by planting lantana hedges to act as breeding grounds for predators Rotate with non-host crops e.g. maize, upland rice, sorghum, okra, sugarcane, and sunflower to prevent build-up of population. Avoid alternate host crops such as beans, lucerne, pigeon pea Remove heavily infested plant parts and destroy by burning Apply neem based products (e.g. neem oil 40ml/20lts of water, Achook) 2 times/month Spray with soapy water solution (mix 1 tablespoon of teepol detergent with 4 lts of water or use strong jet of water to wash off aphids) Chemical Control Use only pest control products recommended by Pest Control Products Board (PCPB) such as: Use Danadim Blue 40 EC (Dimethoate 400 g/L) Duduthrin 1.75 EC (Lambda-cyhalothrin 17.5 g/L) Spray using 10 - 15 mls/20lts of Karate, Atom or Decis at the rate of 10-15mls/20lts of water</t>
  </si>
  <si>
    <t>Over-fertilization with CAN/DAP can lead to other issues like aphid outbreaks, Ant control is complex and affects the entire ecosystem, Specific PCPB product recommendations must be verified, Washing plants with a strong jet of water can damage young plants, Neem-based products can be affected by rain after application</t>
  </si>
  <si>
    <t>Aphid control, Cultural practices, Predator conservation, PCPB chemicals, Botanical insecticide</t>
  </si>
  <si>
    <t>Integrated Management of Yellow striped blister beetle (Green gram)</t>
  </si>
  <si>
    <t>Integrated management of the beetle includes the use of various pest control strategies. The strategies include cultural, biological and chemical control. In order to realize an effective management program for this insect, one has to start chronologically from preventive to curative pest control measures i.e. from cultural to chemical control. The trend is such that you start with the most environmentally friendly (cultural) strategy as you move towards harsh (chemical) pest control methods. This management practice starts with pest scouting/ monitoring, pest identification and establishment of economic threshold and finally a decision is made on which of the following pest control measures to use</t>
  </si>
  <si>
    <t>Blister beetles can cause severe defoliation quickly, requiring fast action, They can be toxic to livestock if contaminated feed is made from infested plants, The economic threshold can be difficult to assess for a smallholder, Cultural controls like hand picking are hazardous due to blistering properties of the beetle, Pesticide sprays must be chosen to target adult beetles effectively</t>
  </si>
  <si>
    <t>Blister beetle, Integrated Pest Management (IPM), Economic threshold, Pest scouting, Sequential control</t>
  </si>
  <si>
    <t>Integrated Management of Desert locust (Schistocerca gregaria) (Green gram)</t>
  </si>
  <si>
    <t>Integrated management of desert locust is a regional program involving multi- sectoral efforts as follows; A global early warning system of prevention and control of DL is in place. Kenya is a member of Desert Locust Control Organization of Eastern and Central Africa (DLCO- EA). DLCO- EA uses remote sensing technology and ground surveys to identify and control desert locusts (DL) in their breeding sites. It uses satellite imagery for the identification of potential breeding sites and locust infestations. Prevention requires a collective effort across regions. Scouting and control of DL in recession (traditional breeding) regions will prevent infestation in invasion (non traditional) regions Scouting should be synchronized with early warning systems reports from FAO Spray hopper bands using Metarhizium anisopliae based products like Mazao Achieve (rate 2l/ha), Biomagic 1.5 LF (rate 20g/20lts water), Real metarhizium OD (rate 200ml/ha) among others. Spray at intervals of 3 - 14 days depending on risk of pest damage Spray with Chlorpyrifos ULV based products like Mursban 480 EC (rate 75ml/20lts water), Agropyrifos 48 EC (20ml/20lts water), Regulator 450 EC (20mls/20lts water), Gradomete R 480 EC. (rate is 1 ltr/ha) Spray with Fenitrothion based products like Delta 1.01% Dust, Sumicombi 1.8% Dust, Sumithion super. (rate of 1ltr/ha)</t>
  </si>
  <si>
    <t>Locust invasions are unpredictable and require a regional response, The cost of chemical control (especially ULV) is extremely high for individuals, Bio-pesticides (Metarhizium) require specific conditions and can be slow-acting, The FAO early warning system must be accessed and trusted, Chemical sprays can have a severe impact on non-target species and the environment</t>
  </si>
  <si>
    <t>Desert locust, DLCO-EA, Metarhizium anisopliae, Regional response, Early warning system</t>
  </si>
  <si>
    <t>Integrated management of Bruchid on Green gram</t>
  </si>
  <si>
    <t>The content is incomplete. It only mentions sorting, which is insufficient for bruchid control. Additional controls like hermetic storage and chemical treatment are necessary. Reliance on sorting alone will lead to major post-harvest losses.</t>
  </si>
  <si>
    <t>Bruchid control, Grain sorting, Incomplete management, Post-harvest pest, Storage pest</t>
  </si>
  <si>
    <t>Integrated management of Cut worms on Green gram</t>
  </si>
  <si>
    <t>Integrated cutworm management consists of various approaches to prevent grain damage. Cultural practices Ploughing exposes caterpillars to predators and to desiccation by the sun. Prepare the field and destroy vegetation and weeds 14 days before planting Delaying transplanting slightly until the stems are too wide for the cutworm to encircle and/or too hard for it to cut may reduce cutworm damage. Hand picking of caterpillars at night by torch or very early morning before they return into the soil is useful at the beginning of the infestation.</t>
  </si>
  <si>
    <t>Cutworm damage is often noticed only when plants are cut, making early action critical, Hand picking is laborious and requires effort at night/early morning, Ploughing must be timed well in advance of planting, Insecticide application is often necessary in high infestation, Destroying all vegetation 14 days prior is a key step often forgotten</t>
  </si>
  <si>
    <t>Cutworm control, Cultural practices, Ploughing, Hand picking, Monitoring</t>
  </si>
  <si>
    <t>Integrated Management of Flower Thrips on Green gram</t>
  </si>
  <si>
    <t>Integrated management (IPM) of thrips involves the use of a combination of cultural, biological and chemical control methods. These are; Cultural Control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(mix 5 teaspoonfuls of soap powder or chopped bar soap with cold water and dissolve and spray on the infested plants) Use blue sticky cardboard traps to attract thrips. Biological control Apply biocontrol agents e.g Beauvitech WP (Beauveria bassiana) or Bio-Power 1.5L (Beauveria bassiana), or Botanigard ES (Beauveria bassiana), Spray neem based products like neemroc EC and nimbecidine (Azadirachtin) use 1 lts/acre (10 plastic bottle tops per 20 lts of water). Chemical Control Spray with Spinosad based products eg tracer 480 SC at 4mls per 20lts of water or lambda cyhalothrin products at 7ml per 20l of water or duduthrin at 65mls per 20l of water or Karate at 20gms/20l Use synthetic insecticides with PHI of 3 days or less since Green gram is harvested at very short intervals.</t>
  </si>
  <si>
    <t>Thrips damage is often subtle (silvery leaves) and can be missed until severe, Overuse of insecticides is common, leading to resistance, Biological control agents require specific environmental conditions, Overhead irrigation can also increase fungal disease risk, Many chemicals have a short Pre-Harvest Interval (PHI), but this must be strictly followed</t>
  </si>
  <si>
    <t>Flower thrips, IPM, Biological control, Blue sticky traps, PHI adherence</t>
  </si>
  <si>
    <t>Integrated management of pod sucking bugs on Green gram</t>
  </si>
  <si>
    <t>The content is incomplete. Pod-sucking bugs are a major pest, and this entry lacks any management details. It leaves the farmer with no actionable information. Control measures (like early harvest, chemical sprays) are critically missing.</t>
  </si>
  <si>
    <t>Pod-sucking bugs, Incomplete management, Major pest, Information gap, Crop damage</t>
  </si>
  <si>
    <t>Integrated management of Bean fly in Green gram</t>
  </si>
  <si>
    <t>Integrated bean fly management consists of various approaches to prevent grain damage. Cultural practices Timely planting early in the season. Planting after green manure crop. Practise crop rotation with non-legumes such as cereals. Ridging the plants 2-3 weeks after germination helps to cover the adventitious roots produced by plants damaged by bean flies Mulch with rice straw. Remove and destroy crop residues and all plant parts with symptoms of damage by bean flies. Biological management Use botanical insecticides such as neem (100 g of dried leaves in 1 litre warm water (30°C) and kept for 12 hours. Filter and spray) Uproot infested plants from the field and destroy by burning.</t>
  </si>
  <si>
    <t>Bean fly damage is often mistaken for other problems, Timely planting is crucial, as late planting often suffers severe attacks, Ridging provides a quick solution but requires prompt action after germination, Neem extracts are a home remedy and have limited efficacy, Chemical control is not mentioned, which may be needed in severe cases</t>
  </si>
  <si>
    <t>Bean fly control, Timely planting, Ridge weeding, Crop rotation, Neem extract</t>
  </si>
  <si>
    <t>Integrated management of red spider mites on Green gram</t>
  </si>
  <si>
    <t>Integrated management of spider mites consists of several approaches applied in an integrated manner to break the cycle of the insect. These include: Cultural Control Keep the farm weed free from the alternative hosts such as solanum family crops that may harbour red spider mites Avoid planting tomato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(Phytotech and Amblytech from dudutech)</t>
  </si>
  <si>
    <t>Spider mites are a major problem in hot, dry conditions, Overhead irrigation can increase humidity and fungal diseases, Spraying with neem extracts is not sufficient for heavy infestations, The recommended predatory mites may not be easily accessible to all farmers, Over-reliance on chemical sprays can lead to mite resurgence due to killing natural enemies</t>
  </si>
  <si>
    <t>Red spider mite, Predatory mites, Overhead irrigation, Cultural control, Neem extract</t>
  </si>
  <si>
    <t>Integrated Weed Management in Green gram</t>
  </si>
  <si>
    <t>Integrated Weed Management (IWM) is the management of weeds using two or more appropriate approaches such as preventive, land preparation before planting, use of mulch (biodegradable or synthetic), cultural, rotation, intercropping and chemical, among others, depending on the weed types and intensity in the field. Annual and perennial narrow leaved weeds include crabgrass (Digitaria sanguinalis), goosegrass (Eleusine indica) and difficult to control couch grass (Cynodon dactylon) and sedges (such as yellow nutsedge (Cyperus esculentus)). Broad-leaved weeds include Wandering jew (Commelina benghalensis) and Black jack (Bidens pilosa).</t>
  </si>
  <si>
    <t>A single method is rarely effective; an integrated approach is required, Misidentification of weeds can lead to ineffective control, Herbicide resistance is a growing threat requiring rotation of modes of action, Some perennial weeds like couch grass are extremely difficult to control, The economics of weed control must be considered</t>
  </si>
  <si>
    <t>Integrated Weed Management, Weed identification, Herbicide resistance, Control methods, Perennial weeds</t>
  </si>
  <si>
    <t>Mulching for weed management in Green gram production</t>
  </si>
  <si>
    <t>The practice of covering the soil/ ground with natural or synthetic materials to effectively control germination of weed seeds in or at the soil surface using biodegradable or natural mulches. Biodegradable mulches include straw, grass and dead leaves. Organic mulches (maize stovers commonly used) should be between 2-4 inches deep to effectively prevent weed germination and suppress the growth in Green gram fields. In addition organic mulches retain moisture in the soil; keep the soil cool; and help improve soil fertility and improve microclimate when they decompose. Synthetic mulches will solarize soils, suppress weed growth, prevent seed germination and retain soil moisture. Inspect and pull out emerging weeds timely.</t>
  </si>
  <si>
    <t>Sourcing sufficient organic mulch can be a challenge, particularly for large areas, The 2-4 inch depth is labor-intensive to apply, Synthetic mulches are expensive and can create waste disposal problems, Mulch can harbor pests like rodents and slugs, Proper decomposition requires adequate moisture and soil biology</t>
  </si>
  <si>
    <t>Mulching technique, Organic mulch, Weed suppression, Moisture retention, Microclimate improvement</t>
  </si>
  <si>
    <t>Solarization bed for weed control in Green gram</t>
  </si>
  <si>
    <t>Solarisation is a method where transparent/ clear polythene films/ plastic is used to heat the soil and kill weed seedlings and dormant seeds in the top six inches of the soil. This increases soil temperatures by about 10°C or more than atmospheric. The basic phenomenon is building up of lethal high temperatures in the soil where most dormant and viable seeds are present.</t>
  </si>
  <si>
    <t>Requires the area to be vacant and fully exposed to sunlight for 4-6 weeks, Plastic sheeting must be securely held to maintain greenhouse effect, Not effective in cloudy or cooler weather, Plastic disposal and waste is a major environmental concern, Does not control weeds that may blow in from outside the treated area</t>
  </si>
  <si>
    <t>Soil solarization, High-temperature kill, Dormant weed seeds, Plastic sheeting, Pre-planting control</t>
  </si>
  <si>
    <t>Stale seed bed for Weed Control in Green gram</t>
  </si>
  <si>
    <t>A weed management practice in which weed seeds just below the soil surface are allowed/ stimulated to germinate after rainfall or wetting the soil and then killed prior to planting the Green gram seeds while minimizing soil disturbances. Weeds are killed using post-emergent herbicides such as glyphosate, sulfosate and glufosinate, or ploughed into the soil. At this stage shallow tillage or use of non-residue paraquat may be used to destroy dense flush young weed seedlings. This is followed by sowing the selected Green gram. Several passes made in the soil with rotary spike-tooth harrow is useful to destroy the emerging weeds during preparation of stale beds.</t>
  </si>
  <si>
    <t>Requires a timely flush of weeds, which is dependent on rainfall or irrigation, Herbicide use is a key component, requiring careful and correct application, If seeds are planted too late, a new flush of weeds can emerge, Ploughing the seed bed will bring more weed seeds to the surface, The quality of the initial herbicide application is critical</t>
  </si>
  <si>
    <t>Stale seedbed, Herbicide application, Weed seed germination, Soil disturbance, Non-selective herbicide</t>
  </si>
  <si>
    <t>Mechanical weed control in Green gram production</t>
  </si>
  <si>
    <t>Mechanical/ manual weed control is a technique that manages weed populations through physical methods that remove, injure, kill, or make the growing conditions unfavourable for growth using tools such as pangas, jembes and slashers. Some of the methods cause direct damage to the weeds through complete removal or causing a lethal injury. Other techniques may alter the growing environment by eliminating light, increasing the temperature of the soil, or depriving the plant of carbon dioxide or oxygen. Mechanical control can be either selective or non-selective. A selective method has very little impact on non-target plants whereas a non-selective method affects the entire area that is being treated. Land is prepared well using hand tools to get a weed free seedbed. Sowing is done in rows to facilitate inter- row weeding. Timely manual weeding is done 2-3 weeks after germination followed by a second weeding 2 to 3 weeks later depending on the rate of regrowth.</t>
  </si>
  <si>
    <t>Heavy labor requirement, which is a challenge for large-scale farming, Can be expensive to hire labor at peak times, Mechanical weeding can damage crop roots if not done carefully, Timeliness is critical; delayed weeding can significantly reduce yields, This method is not effective against deep-rooted perennial weeds</t>
  </si>
  <si>
    <t>Mechanical weeding, Labor intensity, Row planting, Timely weeding, Selective control</t>
  </si>
  <si>
    <t>Chemical weed control in Green gram production</t>
  </si>
  <si>
    <t>Chemical weed control is a technology used to control the germination and growth of the weed species through application of chemicals/ herbicides to weeds or the soil. The technology requires intensive knowledge on the mode of action of the herbicides, the selective ones for Green gram, conditions necessary for application to be effective, type of soil, when to apply and how application is done. Use only recommended herbicides listed by Pesticide Control Board.</t>
  </si>
  <si>
    <t>Herbicides meant for other crops can be highly toxic to Green gram. Farmers must ensure the herbicide is specifically labeled for Green gram to avoid crop damage. Requires precision to avoid crop damage</t>
  </si>
  <si>
    <t>Chemical weed control, Herbicide safety, PCPB approval, Application precision, Crop-specific herbicide</t>
  </si>
  <si>
    <t>Safe Use of herbicides in Green gram production</t>
  </si>
  <si>
    <t>The technology includes methodologies for proper herbicide handling, application, and disposal, right from transportation from the agro-dealers to storage in their houses, mixing process, application in the field, washing of equipment and disposing of the empty containers.</t>
  </si>
  <si>
    <t>All steps are dangerous and can lead to serious health and environmental issues, Personal Protective Equipment (PPE) is essential but often unavailable or unused, Proper disposal of containers is a major challenge, Washing equipment can contaminate water sources, Herbicides are a 'non-negotiable' risk when not used correctly</t>
  </si>
  <si>
    <t>Herbicide safety, PPE usage, Proper disposal, Handling practices, Environmental protection</t>
  </si>
  <si>
    <t>Harvesting (Green gram)</t>
  </si>
  <si>
    <t>This is a management practice involving careful maturity indices, pre-harvest operations and actual harvesting procedure.</t>
  </si>
  <si>
    <t>Harvesting at the wrong maturity will lead to poor quality, Higher moisture content at harvest is a risk for the development of aflatoxin, Weather can delay harvesting, leading to shattering, Proper pre-harvest operations (like clean tarps) are essential, Timely harvesting is critical to avoid losses</t>
  </si>
  <si>
    <t>Harvest timing, Maturity indices, Pre-harvest operations, Quality control, Minimizing shattering</t>
  </si>
  <si>
    <t>Tarpaulins for drying of Green gram pods before threshing</t>
  </si>
  <si>
    <t>The management practices involve drying of the pods on a tarpaulin (mats) until they are ready for threshing. This avoids contamination of the grain during drying, hence minimizing mycotoxin contamination of the grain.</t>
  </si>
  <si>
    <t>The tarpaulin must be clean and free of contaminants, Drying on tarpaulins requires ample space and good weather, Tarpaulins are an additional cost for the farmer, Pods should be dried to a uniform moisture content, Incorrect drying can lead to spoilage</t>
  </si>
  <si>
    <t>Pod drying, Tarpaulin use, Mycotoxin prevention, Contamination control, Quality preservation</t>
  </si>
  <si>
    <t>Threshing of Green gram pods (Multipurpose Legume Thresher)</t>
  </si>
  <si>
    <t>This is a motorised multipurpose thresher for threshing Green grams, common dry beans and pigeon peas.</t>
  </si>
  <si>
    <t>The cost of purchasing or hiring the thresher may be high, It can cause seed coat damage if not correctly adjusted, Access to fuel/electricity may be required for operation, Maintenance and availability of spare parts is a concern, Cross-contamination with other crops if not cleaned thoroughly</t>
  </si>
  <si>
    <t>Mechanical threshing, Multipurpose use, Seed coat damage, Cost implications, Machinery maintenance</t>
  </si>
  <si>
    <t>Winnowing (Green gram)</t>
  </si>
  <si>
    <t>Dry Green gram grains are winnowed to remove chaff, dust, foreign matter such as stones, broken grains, shrivelled, mouldy, insect damaged, rotten, discoloured or faded grains, and any remaining plant parts. Winnowing is then done using a winnowing tray (‘uteo’) to separate the dry grain from the soil matter before sorting. Sorting should be properly done as this attracts a better price than unsorted Green gram grains.</t>
  </si>
  <si>
    <t>Winnowing is a labor-intensive and skillful process, It is inefficient for large quantities, Manual winnowing exposes the worker to dust and allergens, The process does not remove internal insect damage, The presence of foreign matter indicates poor post-harvest handling and loses market</t>
  </si>
  <si>
    <t>Winnowing, Post-harvest handling, Grain cleaning, Market quality, Foreign matter removal</t>
  </si>
  <si>
    <t>Mechanized solar drying of threshed Green gram grains</t>
  </si>
  <si>
    <t>Drying of threshed grains can be done in open sunshine, or in mechanised solar dryers and electricity powered dryers, which are fast and efficient. Drying of threshed grain involves reducing the moisture content to 10%, which is important for safe storage</t>
  </si>
  <si>
    <t>Mechanized dryers have high capital and operating costs, Solar dryers can be expensive and may not be available locally, Inconsistent drying can lead to hotspots and spoilage, Over-drying can make grains brittle, Open sun drying is efficient but exposes grain to contamination, weather risk, and birds</t>
  </si>
  <si>
    <t>Moisture reduction, Safe storage, Solar/mechanical drying, Efficiency, Contamination risk</t>
  </si>
  <si>
    <t>Moisture meter for Green gram moisture determination</t>
  </si>
  <si>
    <t>This is a portable electronic machine for accurately measuring the moisture content of threshed Green gram and other food grains. Threshed grain is placed inside the bowl of the moisture meter, and the reading taken after 1-2 minutes. The grains should be dried to a moisture content of 10% which is important for safe storage.</t>
  </si>
  <si>
    <t>The meter is an additional cost for the farmer, It must be calibrated regularly for accuracy, The sample must be representative of the entire batch, Incorrect use can give a false reading, Drying to 10% moisture is critical but can be difficult to achieve uniformly</t>
  </si>
  <si>
    <t>Moisture meter, Accuracy, Calibration, Storage safety, Quality control</t>
  </si>
  <si>
    <t>De-stoning machine (Green gram)</t>
  </si>
  <si>
    <t>This is a machine which removes stones, glass, metal particles and other physical contamination from Green gram grains, using vibration and fluidized air.</t>
  </si>
  <si>
    <t>Machinery cost is a major limitation for smallholders, It requires electricity or fuel to operate, It is a time-consuming step in the post-harvest chain, It may not be available for hire locally, Regular maintenance and cleaning is required</t>
  </si>
  <si>
    <t>De-stoning, Physical contamination, Machinery cost, Grain quality, Advanced processing</t>
  </si>
  <si>
    <t>Purdue Improved Crop Storage (PICS) Hermetic Bags (Green gram)</t>
  </si>
  <si>
    <t>This is a gunny bag with two inner polythene linings. Dry Green gram (10% moisture content) to be stored is put inside the inner polythene bag which is then tied air-tight. The second polythene is also tied air-tight, followed by tying the outer gunny bag cover. This is a chemical-free storage of dry Green gram and other food grains. The PICS bags are very effective in keeping off Green gram storage pests, the main one being the bruchid. Grain can keep over one year inside the hermetic bags, if kept in a cool dry place, and other destructive agents e.g. rodents are kept at bay.</t>
  </si>
  <si>
    <t>The grain must be perfectly dry at 10% moisture; otherwise, it will spoil, A single tiny hole or puncture in the inner bag will allow insects to enter, They are more expensive than standard bags, The bags are not rodent-proof and must be stored in a secure place, They require careful handling to avoid punctures</t>
  </si>
  <si>
    <t>PICS bags, Hermetic storage, Bruchid control, Chemical-free, Moisture control</t>
  </si>
  <si>
    <t>Green gram stores (Green gram)</t>
  </si>
  <si>
    <t>The TIMP includes a storage structure for storage of the grains in hermetic bags. The storage structure ensures that the hermetic bags are not attacked by rodents, and maintains the quality of the grain. The store can adopt acoustic technology to monitor and control insect infestation of the store. Practice First In First Out (FIFO) principle in stock management.</t>
  </si>
  <si>
    <t>Construction of a proper store is a significant investment, The store must be well-ventilated to prevent moisture build-up, Rodent control in the store is an ongoing task, FIFO requires meticulous record-keeping, Acoustic monitoring technology is an advanced option that may be expensive</t>
  </si>
  <si>
    <t>Hermetic bag storage, Rodent control, First In First Out, Acoustic monitoring, Quality preservation</t>
  </si>
  <si>
    <t>Green gram flour (Green gram)</t>
  </si>
  <si>
    <t>Flour prepared from Green grams</t>
  </si>
  <si>
    <t>Raw Green gram flour contains anti-nutritional factors that must be reduced by proper processing (heating/soaking). Processing should be done in a clean environment to prevent contamination. It has a distinct flavor that may not be to everyone's taste. The flour has a short shelf life if not properly stored, leading to rancidity.</t>
  </si>
  <si>
    <t>Green gram flour, Processing, Anti-nutritional factors, Shelf life, Value addition</t>
  </si>
  <si>
    <t>Green gram balls (Green gram)</t>
  </si>
  <si>
    <t>A food product prepared from deep frying Green grams which have been boiled, mashed, mixed with wheat flour, and kneaded into balls</t>
  </si>
  <si>
    <t>Deep-fried products are high in fat and calories, which can be a health concern. Use of wheat flour may not be suitable for gluten-intolerant individuals. High oil absorption during frying. Boiling and mashing is a labor-intensive process. Storage of the product can affect its taste and texture.</t>
  </si>
  <si>
    <t>Green gram balls, Deep-frying, Value addition, Food safety, Gluten content</t>
  </si>
  <si>
    <t>Green gram crackies (Green gram)</t>
  </si>
  <si>
    <t>A food product prepared from deep frying Green grams which have been boiled, mashed, mixed with wheat flour, and extruded using a noodle machine.</t>
  </si>
  <si>
    <t>Similar to the balls, these are high-fat products. Requires specialized equipment (noodle machine/extruder) for preparation. Proper hygiene is crucial to prevent contamination and spoilage. The product is fragile and may break during packaging and transport. Use of wheat flour excludes consumers with gluten sensitivities.</t>
  </si>
  <si>
    <t>Green gram crackies, Extrusion processing, Deep-frying, Product fragility, Niche market</t>
  </si>
  <si>
    <t>Green gram cakes (Green gram)</t>
  </si>
  <si>
    <t>Cake prepared from a mixture of mashed Green gram and wheat flour</t>
  </si>
  <si>
    <t>Contains wheat flour, making it unsuitable for gluten-free diets. Cooking process must be monitored to avoid undercooking, which can lead to a raw taste. High sugar and fat content if a commercial recipe is followed. Storage for a short period is recommended to avoid spoilage. The cake may have a dense texture compared to standard cakes.</t>
  </si>
  <si>
    <t>Green gram cake, Baking, Flour composite, Food safety, Marketing</t>
  </si>
  <si>
    <t>Power Tiller (Green gram)</t>
  </si>
  <si>
    <t>A Power tiller is a low powered two-wheeled agricultural implement also referred to as a walking tractor 8-16hp that can be fitted with implements such as a rotary tiller, disk harrow, mouldboard plough, trailer, chisel or water pump at alternate times for easing farm operations. It can complete one hectare in two hours per operator. This will vary depending on the climatic conditions, soil types, soil moisture content, operator stamina and experience. Fuel consumption is about 15 liters per ha, though these results may vary with the technical ability or aptitude of the operator.</t>
  </si>
  <si>
    <t>High initial purchase cost, Requires skilled operation and regular maintenance, High fuel consumption (15 L/ha) can be a major ongoing cost, The 2 hours/ha is a best-case scenario, often not achievable in practice, Can cause soil compaction if used in wet conditions</t>
  </si>
  <si>
    <t>Power tiller, Walking tractor, Fuel consumption, Soil compaction, Farm mechanization</t>
  </si>
  <si>
    <t>Wheeled Tractor 50Hp (Green gram)</t>
  </si>
  <si>
    <t>A small sized, 4-wheeled tractor is a low powered agricultural implement of 40-55hp that can be fitted with a rotary tiller, disk harrow, moldboard plough, trailer, chisel or water pump at alternate times for easing farm operations. It can do 4 hectares per day by one operator but can have two operators to run another 8 hours of 4 hectares coming to 8ha per day. This will vary depending on the climatic conditions, soil types, soil moisture content and operator experience. Fuel consumption is about 15 liters per ha, though these results may vary with the technical ability of the operator.</t>
  </si>
  <si>
    <t>Extremely high capital cost, not feasible for most smallholders, Requires a skilled operator for efficient and safe use, Fuel cost (15 L/ha) is a substantial variable cost, The high weight can cause severe soil compaction, especially on heavier soils, Spare parts and maintenance can be difficult and expensive in rural areas</t>
  </si>
  <si>
    <t>4WD tractor, Farm mechanization, Fuel cost, Soil compaction, Operator skill</t>
  </si>
  <si>
    <t>Moldboard Plough (Green gram)</t>
  </si>
  <si>
    <t>Moldboard plough is an agricultural implement and is generally considered to be an important tillage implement. Moldboard ploughs are available for power tiller and tractor operation. A moldboard plough does four jobs namely a) cutting the furrow slice, b) lifting the furrow slice, c) inverting the furrow slice and d) pulverizing the furrow slice. Ploughing accounts for more traction energy than any other field operation.</t>
  </si>
  <si>
    <t>Requires high draft power, increasing fuel consumption, Can lead to soil degradation and erosion if used excessively, Creates a hardpan at the bottom of the furrow, Inverting the soil buries organic matter, reducing soil fertility, Requires careful adjustment to achieve the correct depth and width</t>
  </si>
  <si>
    <t>Moldboard plough, Soil inversion, High energy, Soil erosion risk, Plough pan</t>
  </si>
  <si>
    <t>Disk Harrow (Green gram)</t>
  </si>
  <si>
    <t>A harrow is a farm implement used to pulverize soil, break up crop residues, uproot weeds and cover seed. It is a farm implement used for surface tillage. It is used after ploughing for breaking up and smoothing out the surface of the soil. The purpose of harrowing is to break up clods and to provide a soil structure, called tilth, that is suitable for planting seeds. Coarser harrowing may also be used to remove weeds and to cover seed after sowing.</t>
  </si>
  <si>
    <t>Can also cause soil compaction, Requires significant horsepower, Pans may form at the harrow's working depth, Not effective in very stony or root-bound soils, The heavy discs can cause significant soil disturbance if used incorrectly</t>
  </si>
  <si>
    <t>Disk harrow, Secondary tillage, Weed control, Soil pulverization, Compaction risk</t>
  </si>
  <si>
    <t>Tine Harrow (Green gram)</t>
  </si>
  <si>
    <t>It is a harrow with peg-shaped teeth of diamond cross-section attached to a rectangular frame. It is used to break clods, stir soil, uproot weeds, level ground, break soil and cover seeds.</t>
  </si>
  <si>
    <t>Prone to clogging with crop residues in heavy stubble, Requires a careful operator to avoid dragging, Not suitable for hard, compacted soils, The tines can cause severe injury, Shallow working depth limits effectiveness</t>
  </si>
  <si>
    <t>Tine harrow, Secondary tillage, Weed removal, Soil leveling, Stubble management</t>
  </si>
  <si>
    <t>Seed Drill (Green gram)</t>
  </si>
  <si>
    <t>It is an implement consisting of a heavy frame set with separate hoppers for fertilizer and seed. It is wheel driven to rotate the seed and fertilizer dispenser sprockets. Calibration of seed and fertilizer is done separately by interchanging pairs of gears to match the required gear ratio. It has coulters to open a furrow for delivery of seed and fertilizer while another covers the planted furrow. The planter is dragged over harrowed land to plant.</t>
  </si>
  <si>
    <t>Expensive to purchase, Calibration for each crop is a complex task, High draft power required, Jamming of coulters and delivery tubes is common, Cannot be used in conservation agriculture (minimum-till) systems effectively</t>
  </si>
  <si>
    <t>Seed drill, Precision planting, Calibration, Fertilizer placement, Row planting</t>
  </si>
  <si>
    <t>Seed planter (Green gram)</t>
  </si>
  <si>
    <t>It is a seed dispenser on the farm that places seed and fertilizer at predetermined quantities. It is commonly used in small grains. It is propelled by a tractor. It is an attachment of a tractor of size 45-65hp that can economically tow the implement on a well prepared seedbed using a plough, disk harrow and tine harrow</t>
  </si>
  <si>
    <t>Requires a specific tractor hp (45-65hp), making it inaccessible to many, High cost and complexity of the implement, Can be difficult to adjust for different seed sizes, The requirement for a perfectly prepared seedbed adds time and cost, Jamming can occur in wet or clay soils</t>
  </si>
  <si>
    <t>Seed planter, Tractor-drawn, Precision seeding, High hp requirement, Seedbed preparation</t>
  </si>
  <si>
    <t>Multi-crop cultivator (Green gram)</t>
  </si>
  <si>
    <t>Five teeth furrow openers are capable of withstanding tough working conditions at heavy soils. With deep positive penetrations can break up hard soil clods and uproot stubbles to leave the ground perfectly worked. With the spacing adjustments or removal of tines on the main frame can be used for multiple number of applications suitable for Green gram cultivation. It is propelled by a small sized tractor 45-55hp.</t>
  </si>
  <si>
    <t>Requires tractor of 45-55hp, The heavy construction means it is expensive, Can cause deep soil disturbance if not adjusted properly, Not suitable for residue-rich conservation agriculture, The 'perfectly worked' ground is susceptible to erosion</t>
  </si>
  <si>
    <t>Multi-crop cultivator, Tractor-drawn, Secondary tillage, Soil clod breakage, Stubble uprooting</t>
  </si>
  <si>
    <t>Motorized Sprayer (Green gram)</t>
  </si>
  <si>
    <t>A motorized sprayer is a device used to spray a liquid, where sprayers are commonly used for projection of the chemical, weed killers, crop performance materials, pest maintenance chemicals, as well as manufacturing and production line ingredients. In agriculture, a sprayer is a piece of equipment that is used to apply herbicides, pesticides and fertilizers on agricultural crops. Sprayers are man-portable units typically backpacks with spray guns. They are used to control; weeds that can harbour insects by use of herbicides, insect pests that can cause diseases by the use of insecticides as well as pesticides. Control of fungal diseases by the use of fungicides. Application of micronutrients on the plants.</t>
  </si>
  <si>
    <t>Drift can contaminate non-target areas and water sources, Require PPE for operator safety, Calibration is crucial for effectiveness, Fuel and maintenance are ongoing costs, Can be heavy and uncomfortable for extended use</t>
  </si>
  <si>
    <t>Motorized sprayer, Application accuracy, PPE, Calibration, Chemical control</t>
  </si>
  <si>
    <t>Thresher (Green gram)</t>
  </si>
  <si>
    <t>A thresher was developed for threshing, separating, and cleaning Green gram seeds. The major components of the machine include threshing, separation and cleaning units. After being beaten, the grains fall through a concave grid into the cleaning unit which consists of blower set to a speed that only blows out chaff and grain is collected on a receptor</t>
  </si>
  <si>
    <t>Incorrect speed and clearance settings will damage the seed, High initial cost, Requires technical know-how for operation and adjustment, Potential for dust inhalation by the operator</t>
  </si>
  <si>
    <t>Thresher (Green gram), Crop-specific, Seed damage, Cost, Mechanization</t>
  </si>
  <si>
    <t>Combine Harvester (Green gram)</t>
  </si>
  <si>
    <t>A combine harvester is a versatile machine designed to efficiently harvest a variety of grain crops. The name derives from its combining three separate harvesting operations—reaping, threshing, and winnowing—into a single process. The major components of the machine include threshing, separation and cleaning units. After being beaten, the grains fall through a concave grid into the cleaning unit which consists of blower set to a speed that only blows out chaff and grain is collected on a receptor</t>
  </si>
  <si>
    <t>Extremely high cost and only viable for large-scale farming, Operation requires a highly skilled technician, Field conditions must be perfect; muddy fields can cause delays and damage, Can be extremely inefficient on smaller, uneven fields, High fuel consumption and maintenance costs</t>
  </si>
  <si>
    <t>Combine harvester, Large-scale farming, Harvest efficiency, High cost, Field conditions</t>
  </si>
  <si>
    <t>Transformative Model of production of Green gram</t>
  </si>
  <si>
    <t>The transformative model builds resiliency of farmers of Green gram to focus on market orientation. The transformation model aims at a shift from subsistence to semi-commercial to fully commercial. At the subsistence level, farmers use traditional inputs and the outputs consumed at home. At the semi-commercial level, farmers use both traditional and improved inputs while the output is consumed at home and some get into the markets. At fully commercial, inputs are accessed from the markets and outputs solely for the markets.</t>
  </si>
  <si>
    <t>The transition requires significant capital and market knowledge, Poor market access can prevent a shift from subsistence to commercial, Farmers risk losing their food security if the commercial crop fails, The model requires a supportive policy environment and infrastructure, Many farmers may not have the capacity to make this shift</t>
  </si>
  <si>
    <t>Transformative model, Market orientation, Commercialization, Resilience, Value chain shift</t>
  </si>
  <si>
    <t>Building a Business Plan for Green gram production</t>
  </si>
  <si>
    <t>A Green gram business plan serves as an internal management and organizing tool, used to communicate outside the business, or both. The document contains the elements of marketing strategy, marketing costs, income streams and financial requirements</t>
  </si>
  <si>
    <t>Developing a realistic business plan requires financial literacy, which many farmers lack, Changing market conditions can make the plan obsolete quickly, The plan requires accurate data on costs and returns, Over-optimistic projections can lead to poor decisions, Business plans are often not implemented effectively without discipline</t>
  </si>
  <si>
    <t>Business plan, Financial management, Marketing strategy, Cost analysis, Income streams</t>
  </si>
  <si>
    <t>Contracted Green gram production model (Green gram)</t>
  </si>
  <si>
    <t>Contract farming involves investment by the private companies, extending lines of credit to producers in the form of farming inputs and technical assistance. Under contract farming terms, contractors commit themselves to buy the entire product at an agreed price. On the other hand, producers avail desired produce for sale.</t>
  </si>
  <si>
    <t>Farmers may become indebted if the company is unreliable or if the crop fails, The contract may tie the farmer to an unfavorable price, Quality standards can be strict, leading to rejection of produce, The farmer may lose flexibility and decision-making power, Contract farming can lead to dependency on a single buyer</t>
  </si>
  <si>
    <t>Contract farming, Risk management, Quality standards, Market linkage, Input access</t>
  </si>
  <si>
    <t>Collective marketing (Green gram)</t>
  </si>
  <si>
    <t>Collective marketing is marketing as a group where farmers establish an entity to create market links. It involves formation of a group of farmers with an objective of reducing market inaccessibility. Collective marketing is carried out through Producer Organizations (POs), an institutional vehicle for promoting agricultural production by helping farmers solve common problems in relation to production inputs, credit, technical knowledge and marketing of the produce</t>
  </si>
  <si>
    <t>Requires strong group governance and trust among members, Free-riding and dishonesty can undermine the process, Individual member needs may conflict with group strategy, The group can become bureaucratic and slow in decision-making, Requires dedicated leadership and management</t>
  </si>
  <si>
    <t>Collective marketing, Producer Organizations, Group marketing, Negotiating power, Institutional approach</t>
  </si>
  <si>
    <t>Profitability analysis (Green gram)</t>
  </si>
  <si>
    <t>Profitability analysis involves recording of costs and returns and therefore determination of profit which indicates the performance of the Green gram agro-enterprise</t>
  </si>
  <si>
    <t>Requires accurate and systematic record-keeping, which is often lacking, Distinguishing between cash costs and opportunity costs is difficult, Market price volatility makes projections unreliable, Analysis is only as good as the data collected, May not account for non-monetary factors like family labor</t>
  </si>
  <si>
    <t>Profitability analysis, Cost &amp; returns, Record-keeping, Market prices, Enterprise assessment</t>
  </si>
  <si>
    <t>Market research for Green gram farmers</t>
  </si>
  <si>
    <t>Market research gathers information on the product buyers, demand, type required, minimum volume purchased, collective marketing volume, quality, packaging requirements, frequency of delivery, purchase price, means of payment and willingness to buy from local farmers</t>
  </si>
  <si>
    <t>Market research is often overlooked because farmers lack resources, The information can quickly become outdated, Identifying reliable sources of information can be challenging, Accessing buyers and negotiating is a skill farmers may not possess, Costs of travel and communication for research can be a barrier</t>
  </si>
  <si>
    <t>Market research, Market intelligence, Buyer requirements, Quality standards, Market access</t>
  </si>
  <si>
    <t>Marketing Innovation model (Green gram)</t>
  </si>
  <si>
    <t>Marketing innovation encompasses entrepreneurship where farmers undertake technology modification, finance and business acumen in an effort to transform innovations into economic goods and ultimately profit.</t>
  </si>
  <si>
    <t>Innovation requires capital and a high tolerance for risk, Market acceptance of new products is uncertain, May require new skills and knowledge not commonly held, The scale of production may not match innovation and market requirements, Returns are not guaranteed, and failure can be costly</t>
  </si>
  <si>
    <t>Marketing innovation, Entrepreneurship, Technology adoption, Economic value, Risk-taking</t>
  </si>
  <si>
    <t>Internet/mobile marketing (Green gram)</t>
  </si>
  <si>
    <t>Internet/mobile marketing refers to the online marketplace that provides buyers and sellers with an avenue to meet and exchange goods and services. These can include a variety of online platforms, tools, and content delivery systems</t>
  </si>
  <si>
    <t>Requires digital literacy and access to internet/smartphones, Scams and fraud are common on online platforms, Logistics for delivery of goods can be complex and expensive, Farmers may need to package and quality-grade produce to meet online standards, The platform may charge significant fees</t>
  </si>
  <si>
    <t>Internet marketing, Mobile marketing, E-commerce, Digital literacy, Logistics</t>
  </si>
  <si>
    <t>National Agricultural policy strategy framework (Green gram)</t>
  </si>
  <si>
    <t>The National Agricultural policy strategy framework provides instruments and rules for the Counties to develop agriculture in terms of productivity objectives which can assist the smallholder farmers of Green gram.</t>
  </si>
  <si>
    <t>Policy implementation at the county level can be slow and inconsistent, The strategy may not be well understood by the farmers it is meant to benefit, Political changes can lead to shifting priorities, Funding for policy programs is often insufficient, Coordination between national and county governments can be poor</t>
  </si>
  <si>
    <t>Agricultural policy, County government, Strategic framework, Productivity objectives, Smallholder support</t>
  </si>
  <si>
    <t>County Integrated Development Planning (Green gram)</t>
  </si>
  <si>
    <t>The County Integrated Development Planning builds a plan for each county in Kenya to be implemented in five years. The planning process is participatory, involving the development stakeholders in the county. It is during this planning period where the issues in Green gram production, marketing and processing are considered.</t>
  </si>
  <si>
    <t>The plans are often long-term, while farmers' needs are immediate, The planning process can be bureaucratic and dominated by political interests, Farmer participation may be tokenistic, not meaningful, Implementation often lags behind the planning document, The specific needs of Green gram farmers may be overlooked</t>
  </si>
  <si>
    <t>CIDP, County planning, Development planning, Stakeholder participation, Long-term strategy</t>
  </si>
  <si>
    <t>Policy instruments related to Green gram</t>
  </si>
  <si>
    <t>The policy instruments are the means to achieve policy objectives. For the Green gram production, some of the policy instruments include subsidy in the inputs and also minimum price for the Green gram outputs.</t>
  </si>
  <si>
    <t>Subsidies can be inefficient and lead to corruption, Minimum price can distort the market and reduce competition, Both can be fiscally unsustainable for the government, Farmers may become dependent on subsidies rather than building resilience, The quality of subsidized inputs can be poor</t>
  </si>
  <si>
    <t>Policy instruments, Input subsidies, Price controls, Market distortion, Government intervention</t>
  </si>
  <si>
    <t>Policy cycle (Green gram)</t>
  </si>
  <si>
    <t>The policy process is normally conceptualized as sequential parts or stages. These are (1) problem emergence, (2) agenda setting, (3) consideration of policy options, (4) decision-making, (5) implementation, and (6) evaluation. Policy cycle is a valuable device for new policy development. It is a tool which divides complex procedures into convenient and manageable steps. These individual steps provide a framework and anticipates any forthcoming issues related to policy development. The policy cycle is usually divided into four stages: agenda setting, formulation, implementation, and evaluation</t>
  </si>
  <si>
    <t>The policy cycle is an ideal and often not followed in practice, Implementation is often the weakest stage, Evaluation is often skipped or not done properly, It is a slow process that doesn't respond quickly to farmers' needs, The model can become an end in itself, losing sight of the actual problem</t>
  </si>
  <si>
    <t>Policy cycle, Agenda setting, Implementation gap, Policy evaluation, Policy formulation</t>
  </si>
  <si>
    <t>Good Agricultural Practices (GAP) (Dry Bean)</t>
  </si>
  <si>
    <t>The four 'pillars' of GAP (economic viability, environmental sustainability, social acceptability and food safety and quality) are included in most private and public sector standards. It is a systematic process of implementing a standardized production system globally designed to reassure consumers about how food is produced on the farm, pre-farm gate or on-farm standards.</t>
  </si>
  <si>
    <t>Bean-TIMP1</t>
  </si>
  <si>
    <t>Verify site-specific details with local agricultural extension officers, Compliance requires continuous training and documentation, Certification process takes time and involves continuous improvement, Non-compliance may lead to market rejection</t>
  </si>
  <si>
    <t>Food safety, Quality assurance, Sustainability, Risk prevention, Traceability</t>
  </si>
  <si>
    <t>Hazard Analysis Critical Control Points (HACCP) Plan for Dry bean Value Chain (Dry Bean)</t>
  </si>
  <si>
    <t>A system of food safety control based on systematic identification and assessment of various hazards and definition of means to control them. It is a preventive tool that places protection of dry bean supply from microbial, chemical and physical hazards into hands of food management systems.</t>
  </si>
  <si>
    <t>Requires expert team including HACCP specialist and food scientist, Implementation costs approximately Ksh 30,000, Requires continuous monitoring and documentation, May require movement on farm for record verification, High illiteracy levels may hinder adoption</t>
  </si>
  <si>
    <t>Food safety, Hazard prevention, Quality control, Risk assessment, Supply chain</t>
  </si>
  <si>
    <t>KK Rosecoco 194 (Dry Bean)</t>
  </si>
  <si>
    <t>A large seeded red mottled bean variety resistant to root rot and angular leaf spot diseases, matures within 75 days, high yielding (800Kg/acre), withstands medium to high rainfall.</t>
  </si>
  <si>
    <t>Seed cost KES 6,240 per acre (24Kg/acre @ 260/Kg), Returns KES 88,000 per acre (880kg @ KES 100/Kg), Women perform most bean activities increasing labor burden, Commercialization may edge out women from marketing decisions, Requires adequate seed availability for demonstrations</t>
  </si>
  <si>
    <t>Root rot resistance, High yielding, Disease tolerance, Medium-high rainfall, Fast maturing</t>
  </si>
  <si>
    <t>Nyota (Dry Bean)</t>
  </si>
  <si>
    <t>A high iron and zinc bean variety rich in iron (up to 90ppm) and zinc (up to 56ppm), early maturing (65-75 days), high yielding (800kg/acre), drought tolerant and resistant to major diseases, suitable for flour fortification.</t>
  </si>
  <si>
    <t>Seed cost KES 6,240 per acre (24Kg/acre @ 260/Kg), Returns KES 88,000 per acre (880kg @ KES 100/Kg), Women's labor burden may increase with bean activities, Limited access to land and credit for women and youth, Requires adequate extension services for adoption</t>
  </si>
  <si>
    <t>Biofortified, High iron-zinc, Drought tolerance, Early maturing, Flour milling</t>
  </si>
  <si>
    <t>Faida (Dry Bean)</t>
  </si>
  <si>
    <t>Red mottled/speckled variety with semi-climber characteristics, medium maturing (84-85 days), high yielder (800Kg/acre), tolerant to angular leaf spot and common bacterial blight, fast cooking, rich in zinc (56ppm) and iron (90ppm).</t>
  </si>
  <si>
    <t>Seed cost KES 6,240 per acre (24Kg/acre @ 260/Kg), Returns KES 80,000 per acre (800kg @ KES 100/Kg), Bean considered "women's crop" limiting men/youth participation, Women/youth have less access to land and credit, Women have limited access to training and extension services</t>
  </si>
  <si>
    <t>Semi-climber, High iron-zinc, Fast cooking, Disease tolerant, Flour fortification</t>
  </si>
  <si>
    <t>Katx 69 (Dry Bean)</t>
  </si>
  <si>
    <t>Large seeded red mottled kidney-shaped bean, determinate growth habit, early maturing (60-65 days), high yielding (800 Kg/acre), resistant to rust, BCMV, angular leaf spot and charcoal rot, suitable for cold dry highlands and dry lowlands.</t>
  </si>
  <si>
    <t>Seed cost KES 6,240 per acre (24Kg/acre @ 260/Kg), Returns KES 80,000 per acre (800kg @ KES 100/Kg), Suitable for 900-1500masl areas, Women have less access to agricultural information and technology, Need for organized farmers to produce tradable volumes</t>
  </si>
  <si>
    <t>Drought tolerance, Disease resistance, Early maturity, Cold highlands, Dry lowlands</t>
  </si>
  <si>
    <t>Katram (Dry Bean)</t>
  </si>
  <si>
    <t>Medium sized red mottled bean, drought tolerant, early maturing (60-70 days), determinate growth, resistant to rust and bean common mosaic virus, high yield potential of 800Kg/acre, suitable for marginal and medium potential areas.</t>
  </si>
  <si>
    <t>Seed cost KES 6,240 per acre (24Kg/acre @ 260/Kg), Returns KES 80,000 per acre (800kg @ KES 100/Kg), Very susceptible to bruchids attack - needs postharvest training, Women have less access to productive resources, Farmers complain about bruchid susceptibility</t>
  </si>
  <si>
    <t>Drought tolerance, Early maturing, Disease resistance, Determinate growth, Marginal areas</t>
  </si>
  <si>
    <t>Rosecoco (GLP 2) (Dry Bean)</t>
  </si>
  <si>
    <t>Large sized red mottled bean, medium maturing (90 days), tolerant to moderate low temperatures (18-20°C), resistant to angular leaf spot diseases, high yield potential (800Kg/acre), strong erect determinate growth.</t>
  </si>
  <si>
    <t>Seed cost KES 6,240 per acre (24Kg/acre @ 260/Kg), Returns KES 80,000 per acre (800kg @ KES 100/Kg), Women/youth have less access to land and credit, Women have limited access to extension services, Requires consistent market for anticipated increased production</t>
  </si>
  <si>
    <t>Cold tolerant, Determinate growth, Angular leaf spot resistance, High yielding, Intercropping suitable</t>
  </si>
  <si>
    <t>Chelalang (Dry Bean)</t>
  </si>
  <si>
    <t>Large red mottled bean, determinate bush bean, high yielding (1000Kg/acre), matures in 80-90 days, high iron (90ppm) and zinc (37 ppm), tolerant to moderate low temperatures (20°C).</t>
  </si>
  <si>
    <t>Seed cost KES 6,240 per acre (24Kg/acre @ 260/Kg), Returns KES 100,000 per acre (1000kg @ KES 100/Kg), Women's labor burden may increase, Women/youth have less access to land and credit, Commercialization may edge out women from marketing decisions</t>
  </si>
  <si>
    <t>High yielding, High iron-zinc, Cold tolerant, Determinate bush, Malnutrition fighting</t>
  </si>
  <si>
    <t>Tasha (Dry Bean)</t>
  </si>
  <si>
    <t>Large red mottled bean with determinate growth bush habit, moderate maturing (75-80 days), high yielding (1000Kg/acre), tolerant to moderate low temperatures (20°C), high zinc content (37 ppm).</t>
  </si>
  <si>
    <t>Seed cost KES 6,240 per acre (24Kg/acre @ 260/Kg), Returns KES 100,000 per acre (1000kg @ KES 100/Kg), Women/youth have less access to productive resources, Women have limited access to extension services, Commercialization may edge women out of decision-making</t>
  </si>
  <si>
    <t>High yielding, High zinc, Cold tolerant, Determinate bush, Malnutrition fighting</t>
  </si>
  <si>
    <t>Ciankui (Dry Bean)</t>
  </si>
  <si>
    <t>Red mottled medium sized bean, elliptic grain shape, determinate growth, moderate yield potential (720Kg/acre), tolerant to moderate low temperatures (20°C), tolerant to angular leaf spot and anthracnose diseases.</t>
  </si>
  <si>
    <t>Seed cost KES 6,240 per acre (24Kg/acre @ 260/Kg), Returns KES 75,000 per acre (750kg @ KES 100/Kg), Women/youth have less access to land and credit, Women have limited access to training and extension services, VMGs often excluded from decision-making</t>
  </si>
  <si>
    <t>Anthracnose tolerance, Angular leaf spot tolerance, Determinate growth, Cold tolerant, Monocropping/intercropping</t>
  </si>
  <si>
    <t>Kat B9 (Dry Bean)</t>
  </si>
  <si>
    <t>Small to medium seeded bean, brilliant red, circular to elliptic shape, early maturing (60-65 days), tolerant to drought and heat stress, yield potential 640Kg/acre, tolerant to bean common mosaic virus and rust diseases.</t>
  </si>
  <si>
    <t>Seed cost KES 5,200 per acre (20Kg/acre @ 260/Kg), Returns KES 51,200 per acre (640kg @ KES 80/Kg), Women/youth have less access to land and credit, Women have less access to agricultural information and technology, Suitable for 900-1500masl areas</t>
  </si>
  <si>
    <t>Heat tolerance, Drought tolerance, Early maturing, BCMV resistance, Rust resistance</t>
  </si>
  <si>
    <t>KK Red 16 (Dry Bean)</t>
  </si>
  <si>
    <t>Small seeded brilliant red coloured bean, circular to elliptic shape, tolerant to root rot, matures within 75 days, indeterminate growth habit, high yield potential up to 800Kg/acre, good local market.</t>
  </si>
  <si>
    <t>Seed cost KES 5,200 per acre (20Kg/acre @ 260/Kg), Returns KES 64,000 per acre (800kg @ KES 80/Kg), Women/youth have less access to land and credit, Women have limited access to extension services, VMGs have low adoption due to lack of awareness</t>
  </si>
  <si>
    <t>Root rot tolerance, Early maturing, Indeterminate growth, High yielding, Local market acceptance</t>
  </si>
  <si>
    <t>Wairimu (GLP 585) (Dry Bean)</t>
  </si>
  <si>
    <t>Small sized red oval shaped bean, medium maturing (75-90 days), indeterminate growth, moderate yield potential (640Kg/acre), tolerant to bean mosaic virus and anthracnose disease.</t>
  </si>
  <si>
    <t>Seed cost KES 5,200 per acre (20Kg/acre @ 260/Kg), Returns KES 51,200 per acre (640kg @ KES 80/Kg), Bean considered women's crop limiting men/youth participation, Women/youth have less access to land and credit, Commercialization may edge women out of marketing decisions</t>
  </si>
  <si>
    <t>Anthracnose tolerance, BCMV tolerance, Medium maturity, Indeterminate growth, Moderate yielding</t>
  </si>
  <si>
    <t>Angaza (KMR 11) (Dry Bean)</t>
  </si>
  <si>
    <t>Medium sized beige red (speckled sugar) rectangular oval shaped bean, medium maturing (75-85 days), determinate growth, yield potential up to 1000Kg/acre, high in iron (97ppm) and zinc (57ppm), fast cooking, tolerant to angular leaf spots.</t>
  </si>
  <si>
    <t>Seed cost KES 6,240 per acre (24Kg/acre @ 260/Kg), Returns KES 64,000 per acre (800kg @ KES 80/Kg), Commercial nature may deprive women of income source, Women/youth have less access to land and credit, Women have limited access to agricultural information</t>
  </si>
  <si>
    <t>High iron-zinc, Fast cooking, Determinate growth, Angular leaf spot tolerance, High yielding</t>
  </si>
  <si>
    <t>Miezi Mbili (Dry Bean)</t>
  </si>
  <si>
    <t>Large sized beige red (speckled sugar) kidney shaped bean, medium maturing (75-85 days), determinate growth, yield potential up to 750Kg/acre, tolerant to several diseases including floury leaf spot, halo blight, angular leaf spot, anthracnose, common bacterial blight and bean common mosaic virus.</t>
  </si>
  <si>
    <t>Seed cost KES 6,240 per acre (24Kg/acre @ 260/Kg), Returns KES 60,000 per acre (750kg @ KES 80/Kg), Women/youth have limited access to productive resources, Women have limited access to markets due to domestic roles, Emerging commercialization may edge women out of marketing decisions</t>
  </si>
  <si>
    <t>Multi-disease tolerance, Medium maturity, Determinate growth, High potential areas, Disease resistance</t>
  </si>
  <si>
    <t>Kat B1 (Dry Bean)</t>
  </si>
  <si>
    <t>Early maturing (60-65 days) with green yellow medium sized grain, circular to elliptic shape, determinate growth, drought and heat tolerant, short cooking time, tasty, no flatulence, moderate yield potential 640Kg/acre, wide market locally and regionally.</t>
  </si>
  <si>
    <t>Seed cost KES 5,200 per acre (20Kg/acre @ 260/Kg), Returns KES 51,200 per acre (640kg @ KES 80/Kg), Women/youth have less access to land and credit, Women have limited access to extension services, VMGs have low adoption due to lack of awareness</t>
  </si>
  <si>
    <t>Drought-heat tolerance, Short cooking time, No flatulence, Wide market, Early maturity</t>
  </si>
  <si>
    <t>Mwitemania (GLP-X 92) (Dry Bean)</t>
  </si>
  <si>
    <t>Beige and brown (pinto) coloured medium sized bean, drought and heat stress tolerant, medium maturity (70-85 days), moderate yield potential 600Kg/acre, adapted to both hot dry lowlands and cold dry highlands.</t>
  </si>
  <si>
    <t>Seed cost KES 6,240 per acre (24Kg/acre @ 260/Kg), Returns KES 38,400 per acre (640kg @ KES 60/Kg), Pinto grain type not popular in Kenyan market, Women/youth have less access to land and credit, VMGs have low adoption due to lack of awareness</t>
  </si>
  <si>
    <t>Heat-drought tolerance, Wide adaptability, Cold highlands, Hot lowlands, Food security</t>
  </si>
  <si>
    <t>KK 15 (Dry Bean)</t>
  </si>
  <si>
    <t>Black coloured elliptic kidney shaped bean, good tolerance to root rot diseases, moderate maturity (80-90 days), indeterminate growth, high in Zinc content, high yield potential 800Kg/acre, withstands medium to high rainfall.</t>
  </si>
  <si>
    <t>Seed cost KES 6,240 per acre (24Kg/acre @ 260/Kg), Returns KES 48,000 per acre (800kg @ KES 60/Kg), Black grain colour lacks good local market, Women/youth have less access to land and credit, Women have limited access to extension services</t>
  </si>
  <si>
    <t>Root rot tolerance, High zinc, Indeterminate growth, Medium-high rainfall, Food security</t>
  </si>
  <si>
    <t>Mwezi Moja (GLP 1004) (Dry Bean)</t>
  </si>
  <si>
    <t>Drought and heat tolerant bean with violet seed coat, early maturing (65-75 days), determinate growth, moderate yield potential 600Kg/acre, suitable for intercropping, good adaptability in drought prone areas.</t>
  </si>
  <si>
    <t>Seed cost KES 6,240 per acre (24Kg/acre @ 260/Kg), Returns KES 36,000 per acre (600kg @ KES 60/Kg), Violet grain type not popular in Kenyan market, Women/youth have less access to land and credit, VMGs have low adoption due to lack of awareness</t>
  </si>
  <si>
    <t>Drought-heat tolerance, Early maturing, Determinate growth, Intercropping, Food security</t>
  </si>
  <si>
    <t>New Mwezi Moja (GLP 1127) (Dry Bean)</t>
  </si>
  <si>
    <t>Drought and heat tolerant bean with greyish brown seed coat, moderate maturing (75-90 days), determinate growth, moderate yield potential 600Kg/acre, tolerant to common bean mosaic virus, halo blight and anthracnose diseases.</t>
  </si>
  <si>
    <t>Seed cost KES 6,240 per acre (24Kg/acre @ 260/Kg), Returns KES 36,000 per acre (600kg @ KES 60/Kg), Grey grain type not popular in Kenyan market, Women/youth have less access to land and credit, VMGs have limited access to extension services</t>
  </si>
  <si>
    <t>Drought tolerance, Disease tolerance, Determinate growth, Intercropping, Marginal areas</t>
  </si>
  <si>
    <t>Mac 64 (Kenya Mavuno) (Dry Bean)</t>
  </si>
  <si>
    <t>Red mottled large seeded climbing bean, high yielding (1200Kg/acre), moderate maturity (90-100 days), resistant to anthracnose and angular leaf spot, requires staking, suitable for areas with small land sizes.</t>
  </si>
  <si>
    <t>Seed cost KES 4,160 per acre (16Kg/acre @ 260/Kg), Returns KES 120,000 per acre (1500kg @ KES 80/Kg), Staking is a major challenge for most farmers, May lead to adverse environmental effects if wood not managed, Women/youth have less access to land and credit</t>
  </si>
  <si>
    <t>Climbing bean, High yielding, Anthracnose resistance, Angular leaf spot resistance, Small land size</t>
  </si>
  <si>
    <t>Mac 34 (Kenya Tamu) (Dry Bean)</t>
  </si>
  <si>
    <t>Red mottled large seeded climbing bean, kidney shaped, late maturing (120 days), high yielder (1500Kg/acre), resistant to angular leaf spot and common bacterial blight, requires staking support.</t>
  </si>
  <si>
    <t>Climbing bean, High yielding, Late maturing, Bacterial blight resistance, Angular leaf spot resistance</t>
  </si>
  <si>
    <t>Mac 13 (Kenya Safi) (Dry Bean)</t>
  </si>
  <si>
    <t>Large speckled sugar grain type climbing bean, medium maturing (90 days), high yielder (1500Kg/acre), resistant to anthracnose diseases, requires staking support.</t>
  </si>
  <si>
    <t>Seed cost KES 4,160 per acre (16Kg/acre @ 260/Kg), Returns KES 90,000 per acre (1500kg @ KES 60/Kg), Staking is a major challenge for most farmers, May lead to adverse environmental effects if wood not managed, Women/youth have less access to land and credit</t>
  </si>
  <si>
    <t>Climbing bean, High yielding, Anthracnose resistance, Speckled sugar type, Small land size</t>
  </si>
  <si>
    <t>Bean seed production (Dry Bean)</t>
  </si>
  <si>
    <t>Sources of dry bean certified seed of improved varieties including public entities (KALRO Seed Unit, Egerton Seed Unit, Kenya Seed Company) and private seed companies. Building capacity of farmers on selecting their own seeds with proper guidance from extension providers.</t>
  </si>
  <si>
    <t>Seed cost KES 250 per kg, Quality seed gives KES 20 more per kg purchase price, Seed system is very weak with poor uptake of new varieties, Disconnect between research and end users on variety needs, Farmers advised to buy certified seed after 3 seasons to avoid yield reduction</t>
  </si>
  <si>
    <t>Certified seed, Seed systems, Quality seed, Seed multiplication, Extension services</t>
  </si>
  <si>
    <t>Integrated Weed Management (Dry Bean)</t>
  </si>
  <si>
    <t>Using several weed approaches such as preventive, physical control, biological control, use of biodegradable mulch, cultural, mechanical and chemical control. Physical control removes weeds manually or mechanically. Biological control uses grazing animals. Chemical control uses appropriate herbicides. Cultural control includes crop rotation and selecting robust growing varieties.</t>
  </si>
  <si>
    <t>Estimated cost KES 4,000 per acre with returns KES 1,000 per acre, Herbicides are expensive with limited knowledge on proper use, Myths exist about appropriateness of using herbicides, Continuous use of herbicides is environmental and health hazard, Women/youth may have limited access to inputs</t>
  </si>
  <si>
    <t>Weed management, Integrated control, Herbicides, Cultural control, Mechanical weeding</t>
  </si>
  <si>
    <t>Land Preparation Practices (Dry Bean)</t>
  </si>
  <si>
    <t>Covers a wide range of practices from zero-tillage or minimum tillage through to conventional ploughing using hand hoe, ox plough or tractor. Involves plowing to till/dig-up/mix/overturn soil, harrowing to break soil clods and incorporate plant residue, and leveling the field. Other forms include ridging manually or mechanized by use of tillers.</t>
  </si>
  <si>
    <t>Cost KES 4,500 per acre with returns KES 6,000-7,000 per acre, Low mechanization of bean growing systems, Small land holding limits tractor mechanization, High cost of mechanized options for many farmers, Women/youth have limited access to mechanization</t>
  </si>
  <si>
    <t>Land preparation, Tillage, Mechanization, Ploughing, Soil management</t>
  </si>
  <si>
    <t>Optimum Plant Spacing (Dry Bean)</t>
  </si>
  <si>
    <t>Using correct spacing to achieve optimum population. Most released varieties recommend inter and intra row spacing of 50cm x 10cm (one seed per hill) with seed rate between 25-30kg/acre depending on seed size. Seed placed 3-5cm below soil surface to prevent sun scorch while allowing proper emergence.</t>
  </si>
  <si>
    <t>Low-cost management practice but requires knowledge, Inadequate tested low-cost seeding equipment, Inadequate information on optimal spacing options for different varieties/AEZ, Women/youth have limited access to training and extension services, VMGs often excluded from decision-making</t>
  </si>
  <si>
    <t>Plant spacing, Population density, Seed rate, Canopy management, Optimum density</t>
  </si>
  <si>
    <t>Legume Intercropping System (Dry Bean)</t>
  </si>
  <si>
    <t>Cropping of several plant species together reduces negative effects of monoculture. Provides better soil cover reducing weed incidences. Increases total productivity compared to sole cropping through better utilization of water, nutrients and solar energy. Climate adaptation strategy in case of crop failure.</t>
  </si>
  <si>
    <t>Knowledge-intensive system requiring adjustments to traditional ways, Requires intensive training and demonstrations for farmers, Women may have increased labor burden from complexity, Women/youth have less access to land and credit, VMGs often excluded from decision-making</t>
  </si>
  <si>
    <t>Intercropping, Biodiversity, Land equivalent ratio, Climate adaptation, Sustainable agriculture</t>
  </si>
  <si>
    <t>Mulching for weed control (Dry Bean)</t>
  </si>
  <si>
    <t>Covering soil with natural or synthetic materials to control weeds from seeds germinating near soil surface. Organic mulches (straw, dead leaves, compost) retain moisture, suppress weeds, keep soil cool, improve soil fertility as they decompose. Synthetic mulches (black) solarize soils, control weeds and weed seeds, retain soil moisture and control diseases.</t>
  </si>
  <si>
    <t>Organic mulch is labour intensive during initial application, Lack of enough plant/crop residues due to competing uses, Possibilities of insect build up or weed seeds in organic mulches, Synthetic mulch has disposal concerns after use, VMGs such as elderly may find mulching labor-intensive</t>
  </si>
  <si>
    <t>Mulching, Soil moisture, Weed suppression, Organic matter, Soil conservation</t>
  </si>
  <si>
    <t>Chemical Weed Control (Dry Bean)</t>
  </si>
  <si>
    <t>Technique involving application of herbicide to control weed growth or to soil to kill emerging weeds and/or weed seeds. Recommended herbicides: Lasso 50% EC @2.0 L/Ha and Trifluralin @2.5 litre/Ha within 3 DAS in 500 litres of water/Ha on moist soil. Requires knowledge on herbicides required for specific crops and weeds.</t>
  </si>
  <si>
    <t>Requires knowledge and training on safe use of herbicides, Technology not safe for expectant women and physically challenged, Women have less access to inputs such as chemicals, Farmers need to understand proper herbicide use to avoid buying wrong products, Requires liaison with agricultural and environmental officers for guidance</t>
  </si>
  <si>
    <t>Herbicides, Weed control, Chemical application, Safe use, Selective herbicides</t>
  </si>
  <si>
    <t>Mechanical Weeding (Dry Bean)</t>
  </si>
  <si>
    <t>Use of weeder implements with five teeth furrow openers capable of withstanding tough working conditions at heavy soils. With deep positive penetrations can break up hard soil clods and uproot stubbles. With spacing adjustments or removable tine on main frame can be used for multiple applications suitable for dry bean cultivation.</t>
  </si>
  <si>
    <t>Basic weeder cost KES 28,000, Women/youth have limited access to credit to purchase implements, Row weeders are heavy and can only be handled by men, VMGs have limited access to training and extension services, Low adoption by VMGs due to lack of awareness</t>
  </si>
  <si>
    <t>Mechanical weeding, Farm implements, Weeder, Labour saving, Soil cultivation</t>
  </si>
  <si>
    <t>Safe Use of Agrochemicals (Dry Bean)</t>
  </si>
  <si>
    <t>Capacity building of farmers and crop protection teams on safe handling and use of pesticides from transportation to storage, mixing procedures and field application to ensure safety of crop, handler and environment. Includes proper methodologies for pesticide disposal to minimize pollution.</t>
  </si>
  <si>
    <t>Cost KES 60,000 per acre with returns KES 500,000 per acre, Pesticides and protective gear expensive for women and youths, High illiteracy prevents reading and interpreting pesticide labels, Use of banned pesticides from neighboring countries, Hazardous nature requires young men and youth for scaling</t>
  </si>
  <si>
    <t>Agrochemicals, Safe handling, Personal protective equipment, Pesticide application, Environmental safety</t>
  </si>
  <si>
    <t>Bean Rhizobium Inoculation Technologies (Dry Bean)</t>
  </si>
  <si>
    <t>Legume bio-fertilizer containing highly competitive and effective rhizobia strain capable of forming symbiotic relationships with legumes fixing nitrogen. Alternative approach to improving nitrogen content in soil, cheaper than chemical fertilizers, efficient in sustainable ecosystem provision.</t>
  </si>
  <si>
    <t>Product retails at KES 40 for 10g pack (enough for 1kg seed), KES 450 for 150g pack, Limited knowledge on technology and how to use it, Limited supply of rhizobium products especially in rural areas with no electricity, Technology response varies from region to region</t>
  </si>
  <si>
    <t>Rhizobium, Bio-fertilizer, Nitrogen fixation, Soil fertility, Inoculation</t>
  </si>
  <si>
    <t>Physiological Maturity Index and Harvesting (Dry Bean)</t>
  </si>
  <si>
    <t>Beans require harvesting when dry using proper technologies. Mature plants turn yellow to brown or plants fall as maturity indices. Pods harvested when completely dry or when withered but continue to be sun dried. Grain moisture content ranges 20-25%. Use Tapirine to prevent grain loss. Harvesting too early results in immature unfilled grains; too late leads to losses and increased spillage.</t>
  </si>
  <si>
    <t>Women perform most harvesting activities increasing work burden, Women/youth have limited access to training and extension services, VMGs often excluded from decision-making, Low adoption by VMGs due to lack of awareness, Harvesting too early or too late causes yield loss</t>
  </si>
  <si>
    <t>Harvesting, Maturity index, Grain moisture, Postharvest, Tapirine</t>
  </si>
  <si>
    <t>Integrated Soil Fertility Management (ISFM) (Dry Bean)</t>
  </si>
  <si>
    <t>Set of soil fertility management practices including use of fertilizers, locally available organic inputs and improved seed combined to adapt practices to local conditions. Emphasizes efficient use of scarce resources through fertilizer banding and micro-dosing.</t>
  </si>
  <si>
    <t>Estimated cost per ha KES 51,000 with returns KES 200,000 (2.5 t/ha @ KES 80/kg), ISFM is labour intensive so may not be adopted by overburdened women, Women/youth have limited access to credit for inputs, Requires validation as context-specific, Cultural misconceptions about fertilizer use</t>
  </si>
  <si>
    <t>Soil fertility, Fertilizer banding, Micro-dosing, Organic inputs, Soil health</t>
  </si>
  <si>
    <t>Integrated Manure Management (Dry Bean)</t>
  </si>
  <si>
    <t>Optimal, site-specific handling of livestock manure from collection, through treatment and storage up to application to dry beans. Recycling macro and micro nutrients in manure reduces need for additional fertilizer purchase. Enhances soil fertility, soil health, agricultural productivity, soil structure and biodiversity.</t>
  </si>
  <si>
    <t>Estimated cost per ha KES 35,000 with returns KES 120,000 (1.5 t/ha @ KES 80/kg), Labour intensive in handling and application, Women/youth may have limited access to inputs such as manures, VMGs have limited access to credit, Lack of model demonstration farms in many areas</t>
  </si>
  <si>
    <t>Manure management, Soil fertility, Nutrient cycling, Composting, Soil health</t>
  </si>
  <si>
    <t>Rapid soil testing services (Dry Bean)</t>
  </si>
  <si>
    <t>Dry method for soil testing using simplicity of light—interaction of electromagnetic radiation with matter to characterize biochemical composition of soil and/or plant tissue. Partners work closely with KALRO and county agricultural officers to sensitize farmers. Works with agronomists to generate specific fertilizer recommendations driven by soil and crop data.</t>
  </si>
  <si>
    <t>Equipment and license cost KES 650,000, Requires continuous updating of methods, Women have less access to credit for soil testing services, Lack of awareness on importance of regular soil quality testing, Requires vans and qualified staff for sample collection</t>
  </si>
  <si>
    <t>Soil testing, Spectroscopic analysis, Fertilizer recommendation, Soil health, Precision agriculture</t>
  </si>
  <si>
    <t>Bean Fertilizer Recommendation (Dry Bean)</t>
  </si>
  <si>
    <t>Fertilizers classified as inorganic and organic. For beans, fertilizers with plenty of phosphorus (DSP, DAP, SSP) are recommended. P is major nutrient. Crops lacking P are stunted with poorly developed roots causing reduced uptake of water and nutrients. Other elements enhancing N-fixation: Molybdenum, Nitrogen, Ca, Mg, Zn available in blend fertilizers. Organic fertilizer applied when soils are low in organic matter at rate of 10 ton/ha.</t>
  </si>
  <si>
    <t>Fertilizer cost KES 3,200 per 50kg bag, Organic manure cost KES 500 per cart (200kg), Myth that beans do not require fertilizer, Women have less access to credit for fertilizer purchase, Small land holding limits large-scale fertilizer application</t>
  </si>
  <si>
    <t>Fertilizer recommendation, Phosphorus, Organic fertilizer, Soil fertility, Nutrient management</t>
  </si>
  <si>
    <t>Contour bunds (Dry Bean)</t>
  </si>
  <si>
    <t>Stone or earthen walls built across a slope to prevent runoff. Earthen bund formed by excavating channel and creating small ridge on downhill side (fanya-chini terraces). Highly suitable for areas with unpredictable rains especially drought-prone areas (ASALs). Aims to concentrate moisture into ridge and furrow area by trapping run off water from catchment area.</t>
  </si>
  <si>
    <t>Labour intensive - many farmers may find difficult to implement at large scale, Increased risk of soil erosion if contours become defective, Land tenure systems (communal land ownership) may hinder adoption, May be difficult for VMGs and elderly to implement, Women/youth have limited access to land</t>
  </si>
  <si>
    <t>Contour bunds, Soil conservation, Water harvesting, Erosion control, Terracing</t>
  </si>
  <si>
    <t>Tied ridges (Dry Bean)</t>
  </si>
  <si>
    <t>Soil conservation structures comprising shallow furrows (50 cm wide, 30 cm deep) along each contour with soil mound on down-slope side to create ridge (20-30 cm high). Cross ties (15-20 cm high) created every 2-3 meters. Ties must be lower than main ridges. Loss of water through evaporation minimized by placing mulch in furrows.</t>
  </si>
  <si>
    <t>Labour intensive during establishment phase, Poor management may lead to water use inefficiencies, Limited access to credit may limit uptake, Land tenure insecurity in some counties limits adoption, Women have less access to agricultural information and technology</t>
  </si>
  <si>
    <t>Tied ridges, Water harvesting, Soil conservation, Furrow irrigation, Moisture conservation</t>
  </si>
  <si>
    <t>Bench terraces (Dry Bean)</t>
  </si>
  <si>
    <t>Series of beds more or less level running across a slope at vertical intervals, supported by steep banks or risers (walls or bunds). Flat beds enable cultivation of crops on medium to steep slopes. Highly suitable for semi-arid to humid regions with rainfall 700mm or more, medium to steep slopes (12-47%), soil depth greater than 50cm.</t>
  </si>
  <si>
    <t>Labour intensive during construction and maintenance, Increased risk of soil erosion if terraces improperly laid out, Land tenure systems may hinder adoption, May be difficult for VMGs to implement, Women/youth have limited access to land</t>
  </si>
  <si>
    <t>Bench terraces, Soil conservation, Erosion control, Slope cultivation, Land management</t>
  </si>
  <si>
    <t>Integrated management of bean stem maggots (Ophiomyia phaseoli) (Dry Bean)</t>
  </si>
  <si>
    <t>IPM using cultural control (early planting, proper spacing, crop rotation, field hygiene, tolerant varieties), biological control (sticky pheromone traps, Bacillus thuringiensis products), and chemical control (imidacloprid products applied to soil simultaneously with sowing or immediately after germination).</t>
  </si>
  <si>
    <t>Estimated cost KES 10,000 per acre (insecticides KES 3,000, traps KES 4,000, labor KES 3,000), Losses of 50-100% without management, Women/youth have limited access to credit for inputs, Women have limited access to pest education and extension services, PCPB needs to enhance registration of crop protection products</t>
  </si>
  <si>
    <t>Bean stem maggot, IPM, Cultural control, Biological control, Chemical control</t>
  </si>
  <si>
    <t>Integrated management of cutworms (Agrotis spp) (Dry Bean)</t>
  </si>
  <si>
    <t>IPM using cultural control (plough land to expose caterpillars, field preparation, hand picking, flooding, bait traps, pheromone traps), biological control (neem-based products, conserving natural enemies), and chemical control (Alpha Cypermethrin or Lambda-cyhalothrin products).</t>
  </si>
  <si>
    <t>Losses of 30-40% without management, Women/youth have limited access to credit for inputs, Women have limited access to pest education and extension services, VMGs have limited access to training, Requires farmer willingness to adopt IPM technologies</t>
  </si>
  <si>
    <t>Cutworms, IPM, Cultural control, Biological control, Chemical control</t>
  </si>
  <si>
    <t>Integrated management of Aphids (Aphis fabae) (Dry Bean)</t>
  </si>
  <si>
    <t>IPM using cultural control (intercrop with repellant crops like onions/garlic, weeding, remove affected plants, overhead irrigation, blue sticky traps), biological control (neem oil, Beauveria bassiana products), and chemical control (Acetamiprid, lambda cyhalothrin, deltamethrin products).</t>
  </si>
  <si>
    <t>Estimated cost KES 10,000 per acre, Losses of 37-90% without management, Women/youth have limited access to credit for inputs, Women have limited access to pest education and extension services, VMGs have limited access to credit for chemicals</t>
  </si>
  <si>
    <t>Aphids, IPM, Neem products, Biological control, Cultural control</t>
  </si>
  <si>
    <t>Integrated management of Blister beetle (Mylabris spp) (Dry Bean)</t>
  </si>
  <si>
    <t>IPM using cultural control (scouting, hand picking, clean weeding, encouraging birds), biological control (Semaspore Bait with Nosema locustae, Metarhizium anisopliae products), and chemical control (pyrethroid insecticides such as Pesthrin, lambda-cyhalothrin, alpha-cypermethrin).</t>
  </si>
  <si>
    <t>Estimated cost KES 8,000 per acre, Losses up to 63% without management, Women/youth have limited access to credit for inputs, Women have limited access to pest education, VMGs have limited access to training and extension services</t>
  </si>
  <si>
    <t>Blister beetle, IPM, Pyrethroids, Biological control, Scouting</t>
  </si>
  <si>
    <t>Integrated management of African Bollworm (Helicoverpa armigera) (Dry Bean)</t>
  </si>
  <si>
    <t>IPM using cultural control (scouting, removing plant residues, ploughing, handpicking, intercropping with trap crops, crop rotation, agronets), biological control (neem products, Bacillus thuringiensis, sticky pheromone traps), and chemical control (Deltamethrin, Bifenthrin).</t>
  </si>
  <si>
    <t>Estimated cost KES 15,000 per acre, Losses of 36-60% without management, Women/youth have limited access to credit for inputs, Women have limited access to pest education and extension services, VMGs often excluded from decision-making</t>
  </si>
  <si>
    <t>African bollworm, IPM, Trap crops, Bacillus thuringiensis, Pheromone traps</t>
  </si>
  <si>
    <t>Integrated management of Maruca pod borer (Maruca vitrata) (Dry Bean)</t>
  </si>
  <si>
    <t>IPM using cultural control (scouting for webbing, crop rotation, intercropping with cereals, removing crop debris), biological control (neem products, Bacillus thuringiensis, sticky pheromone traps), and chemical control (Deltamethrin, Bifenthrin).</t>
  </si>
  <si>
    <t>Estimated cost KES 12,000 per acre, Losses of 20-80% without management, Women/youth have limited access to credit for inputs, Women have limited access to pest education, VMGs have limited access to training and extension services</t>
  </si>
  <si>
    <t>Maruca pod borer, IPM, Crop rotation, Biological control, Chemical control</t>
  </si>
  <si>
    <t>Integrated management of Thrips (Megalurothrips sjostedti) (Dry Bean)</t>
  </si>
  <si>
    <t>IPM using cultural control (healthy crop, avoid planting near infected field, mulching, overhead irrigation, remove volunteer plants, soapy sprays, blue sticky traps), biological control (Beauveria bassiana, neem products), and chemical control (Spinosad products, lambda cyhalothrin).</t>
  </si>
  <si>
    <t>Estimated cost KES 10,000 per acre, Losses of 13-64% without management, Women/youth have limited access to credit for inputs, Women have limited access to pest education, VMGs have limited access to training and extension services</t>
  </si>
  <si>
    <t>Thrips, IPM, Blue sticky traps, Beauveria bassiana, Cultural control</t>
  </si>
  <si>
    <t>Integrated Management for bean Army worm (Spodoptera exigua) (Dry Bean)</t>
  </si>
  <si>
    <t>IPM using cultural control (scouting, hand-picking, field sanitation, ploughing, resistant varieties, pitfall traps), biological control (Beauveria bassiana, neem products, sticky pheromone traps), and chemical control.</t>
  </si>
  <si>
    <t>Losses up to 92% without management, Women/youth have limited access to credit for inputs, Women have limited access to pest education and extension services, VMGs have limited access to credit for chemicals, Avoid burning and overgrazing grasslands which cause outbreaks</t>
  </si>
  <si>
    <t>Army worm, IPM, Scouting, Resistant varieties, Biological control</t>
  </si>
  <si>
    <t>Integrated Management for corn earworm (Helicoverpa zea) (Dry Bean)</t>
  </si>
  <si>
    <t>IPM using cultural control (scouting, removing plant residues, ploughing, handpicking, intercropping, crop rotation, trap crops, agronets), biological control (neem products, Bacillus thuringiensis, sticky pheromone traps), and chemical control (Deltamethrin, Bifenthrin).</t>
  </si>
  <si>
    <t>Estimated cost KES 15,000 per acre, Losses over 50% without management, Women/youth have limited access to credit for inputs, Women have limited access to pest education, VMGs have limited access to training and extension services</t>
  </si>
  <si>
    <t>Corn earworm, IPM, Trap crops, Biological control, Chemical control</t>
  </si>
  <si>
    <t>Integrated Management of leaf miner (Liriomyza trifolii) (Dry Bean)</t>
  </si>
  <si>
    <t>IPM using cultural control (clean seedlings, crop rotation, remove wild host plants, burn infected residues, remove infested leaves, black sticky traps), biological control (Bacillus thuringiensis, pheromone traps), and chemical control (spinetoram, chlorantraniliprole).</t>
  </si>
  <si>
    <t>Estimated cost KES 10,000 per acre, Losses of 50-80% without management, Women/youth have limited access to credit for inputs, Women have limited access to pest education and extension services, VMGs have limited access to credit for chemicals</t>
  </si>
  <si>
    <t>Leaf miner, IPM, Biological control, Chemical control, Cultural control</t>
  </si>
  <si>
    <t>Integrated Management for Red spider mites (Oligonychus gossypii) (Dry Bean)</t>
  </si>
  <si>
    <t>IPM using cultural control (keep farm weed-free, avoid planting infested crops, field hygiene, overhead irrigation, prune overcrowded plants), biological control (neem extracts, release predatory mites - Phytoseiulus persimilis, Amblyseius cucumeris, conserve natural enemies), and chemical control (abamectin, amitraz based miticides).</t>
  </si>
  <si>
    <t>Estimated cost KES 12,000 per acre, Losses of 40-60% without management, Women/youth have limited access to credit for inputs, Women have limited access to pest education, VMGs have limited access to training and extension services</t>
  </si>
  <si>
    <t>Red spider mites, IPM, Predatory mites, Neem extracts, Chemical miticides</t>
  </si>
  <si>
    <t>Integrated Management for stink bugs (Nezara viridula) (Dry Bean)</t>
  </si>
  <si>
    <t>IPM using cultural control (early maturing varieties as trap crops, remove volunteer plants, crop sanitation, washing tools, intercropping), biological control (botanical extracts like neem seed, soapy water, Beauveria bassiana), and chemical control.</t>
  </si>
  <si>
    <t>Estimated cost KES 10,000 per acre, Losses up to 58% without management, Women/youth have limited access to credit for inputs, Women have limited access to pest education, VMGs have limited access to training and extension services</t>
  </si>
  <si>
    <t>Stink bugs, IPM, Trap crops, Biological control, Cultural control</t>
  </si>
  <si>
    <t>Integrated Management for loppers (Autographa californica) (Dry Bean)</t>
  </si>
  <si>
    <t>Estimated cost KES 10,000 per acre, Losses of 12-30% without management, Women/youth have limited access to credit for inputs, Women have limited access to pest education, VMGs have limited access to training and extension services</t>
  </si>
  <si>
    <t>Loppers, IPM, Trap crops, Biological control, Chemical control</t>
  </si>
  <si>
    <t>Integrated Management of root knot nematodes (Dry Bean)</t>
  </si>
  <si>
    <t>IPM using cultural practices including crop rotation with grass family for 4-6 seasons, avoidance of surface run off, uprooting affected plants and burning, solarization (fields ploughed and exposed to high temperatures during dry hot months), and drenching soils with biopesticides (Achook, Nimbecidine, Trianum P).</t>
  </si>
  <si>
    <t>Estimated cost KES 5,000 per acre, Losses of 20-90% without management, Women/youth have limited access to credit for inputs, VMGs have limited access to training and extension services, Crop rotation difficult for small farms with limited resources</t>
  </si>
  <si>
    <t>Root knot nematodes, IPM, Crop rotation, Solarization, Biopesticides</t>
  </si>
  <si>
    <t>Integrated Management of Bean rust (Uromyces appendiculatus) (Dry Bean)</t>
  </si>
  <si>
    <t>IDM using clean bean seed, seed dress with pesticides (Murtano Super, Apron star 42WS), cultural practices (crop rotation with non-legumes for 2-3 seasons, appropriate spacing, field hygiene, drip irrigation, eliminate volunteer crops, weed control), and chemical control with relatively safe fungicides (Affair Top, Saaf WP, Amicop 50WP, King 250EW).</t>
  </si>
  <si>
    <t>Estimated cost KES 5,000 per acre, Losses of 30-50% without management, Women/youth have limited access to credit for inputs, Small farms may not effectively practice crop rotation for 2-3 seasons, VMGs have limited access to training and extension services</t>
  </si>
  <si>
    <t>Bean rust, IDM, Seed dressing, Fungicides, Crop rotation</t>
  </si>
  <si>
    <t>Integrated Management of anthracnose disease (Dry Bean)</t>
  </si>
  <si>
    <t>IDM starting with certified/disease-free seed, seed dressing with pesticides (Murtano Super, Apron star 42WS), cultural control (rotation with non-legumes for 3-4 seasons, field hygiene, recommended spacing), and chemical control with safe fungicides (Bendazim 500SC, Affair Top 800WDG).</t>
  </si>
  <si>
    <t>Estimated cost KES 5,166 per acre, Losses of 20-70% without management, Use of recycled seed contributes to increased spread, Farmers are not receptive to cultural methods, Crop rotation difficult for small land parcels</t>
  </si>
  <si>
    <t>Anthracnose, IDM, Seed-borne disease, Quarantine disease, Fungicides</t>
  </si>
  <si>
    <t>Integrated Management of powdery mildew (Dry Bean)</t>
  </si>
  <si>
    <t>IDM using clean seed, seed dressing (Murtano Super, Apron star 42WS), cultural practices (rotation with non-legumes for 2-3 seasons, appropriate spacing, field hygiene), Indigenous Technical Knowledge (bicarbonate of soda 1tsp in 1 litre of water), bio-pesticides (Biodewcon), and chemical control with safe fungicides (Domain 25%, Explorer 0.3SL, Iprode 500SC).</t>
  </si>
  <si>
    <t>Estimated cost KES 5,000 per acre, Losses of 30-70% without management, Farmers may not implement crop rotation on small farms, Bio-pesticides may not be available in local agrovets, VMGs have limited access to credit for inputs</t>
  </si>
  <si>
    <t>Powdery mildew, IDM, Indigenous knowledge, Bio-pesticides, Fungicides</t>
  </si>
  <si>
    <t>Integrated Management of leaf spots (Angular leaf spot/Cercospora leaf spot) (Dry Bean)</t>
  </si>
  <si>
    <t>IDM using clean seed, seed dressing (Murtano Super, Apron star 42WS), cultural control (rotation with non-legumes for at least 2-3 seasons, field hygiene, destroy volunteer crops), and chemical control with safe fungicides (Iprode 500SC, Domain 25% EC, Affair Top) applied in alternating manner.</t>
  </si>
  <si>
    <t>Estimated cost KES 3,500 per acre, Losses of 20-50% without management, Farmers are not receptive to cultural methods, Crop rotation difficult for small land holdings, Women/youth have limited access to credit for inputs</t>
  </si>
  <si>
    <t>Angular leaf spot, Cercospora leaf spot, IDM, Seed dressing, Fungicides</t>
  </si>
  <si>
    <t>Integrated Management of root rots and Fusarium wilt diseases (Dry Bean)</t>
  </si>
  <si>
    <t>IDM including Trichoderma based biological control agents (Rootgard, Eco-T, Trianum P, Trichotech, Biocure F), cultural practices (crop rotation with non-legumes for 6-8 seasons, field hygiene, avoid excessive watering, avoid surface run off, uproot affected plants, disinfect farm tools), and judicious use of safe pesticides (carbendazim based products like Rodazim, Bendazim).</t>
  </si>
  <si>
    <t>Estimated cost KES 4,000 per acre, Losses of 30-70% without management, Crop rotation for 6-8 seasons difficult for small farms, Women/youth have limited access to credit for inputs, VMGs have limited access to training and extension services</t>
  </si>
  <si>
    <t>Root rot, Fusarium wilt, Biological control, Trichoderma, Crop rotation</t>
  </si>
  <si>
    <t>Integrated Management of bacterial leaf blight &amp; Halo blight (Dry Bean)</t>
  </si>
  <si>
    <t>IDM using certified seed, crop rotation with non-legumes for 3-4 seasons, cultural practices (uprooting and destroying infected plants, disinfecting farm tools, avoidance of working in wet fields), scouting, and copper based fungicides (Funguran OH 50WP, Vitra 40 WG, Champflo SC) to protect against early bacterial spore development.</t>
  </si>
  <si>
    <t>Estimated cost KES 4,167 per acre, Losses of 20-70% without management, Seed-borne disease leads to total crop rejection by KEPHIS during inspection, Women/youth have limited access to credit for inputs, VMGs have limited access to credit for chemicals</t>
  </si>
  <si>
    <t>Bacterial leaf blight, Halo blight, IDM, Copper fungicides, Quarantine disease</t>
  </si>
  <si>
    <t>Integrated Management of mosaic diseases (Bean Yellow Mosaic &amp; Bean Common Mosaic) (Dry Bean)</t>
  </si>
  <si>
    <t>IDM using certified seed, monitoring insect vectors (aphids and whiteflies), avoiding working in wet fields, uprooting weeds (alternative hosts), bio-pesticides (Botanigard ES, Biocatch, Nimbecidine, Achook, Neemraj Super), yellow sticky traps, female pheromone traps, and safe synthetic pesticides (Calypso SC 480, Closer 240SC, Eabcl Contest 5.7 WDG) to control vectors.</t>
  </si>
  <si>
    <t>Estimated cost KES 7,167 per acre, Losses of 20-50% without management, Yellow Mosaic is seed borne so recycled seed limits control, Women/youth have limited access to credit for inputs, VMGs have limited access to training and extension services</t>
  </si>
  <si>
    <t>Mosaic viruses, IDM, Vector control, Certified seed, Bio-pesticides</t>
  </si>
  <si>
    <t>Solar Bubble Drier (SBD) (Dry Bean)</t>
  </si>
  <si>
    <t>Low-cost, portable, innovative sun-drying technology with photovoltaic system (solar panels) generating electricity needed for drying process. Grain dried in plastic bubble protecting it from contamination or rain. Drying process faster, more regulated, cost-efficient as it doesn't require fuel or power grid. Enclosed feature protects grains from spillage and foreign contaminants.</t>
  </si>
  <si>
    <t>Price KES 250,000 for half ton SBD to KES 500,000 for 1 MT SBD, Initial cost of equipment is high for individual farmers, Farmers need technical skills to assemble and use equipment, Lack of local availability of SBDs in rural areas, Requires group ownership to be affordable</t>
  </si>
  <si>
    <t>Solar drying, Postharvest, Grain quality, Photovoltaic, Portable drier</t>
  </si>
  <si>
    <t>Hermetic Grain Storage Bags and Cocoons (Dry Bean)</t>
  </si>
  <si>
    <t>Safe way of preserving grain in airtight and moisture-proof conditions. Gunny bag with two inner polythene linings. Dry beans (at 10% moisture content) placed inside inner polythene bag tied air-tight; second polythene tied air-tight followed by outer gunny bag cover. Chemical-free storage. Examples: PICS bags (Bell Industries), SuperGrainbag (GrainPro) and storage cocoons.</t>
  </si>
  <si>
    <t>50kg bag costs KES 200, 100kg costs KES 250, Grain must be dried to less than 10% moisture content, Low level of awareness of effectiveness, Limited availability at nearest agrodealer shops, Rodents must be controlled as they can damage bags</t>
  </si>
  <si>
    <t>Hermetic storage, PICS bags, Grain storage, Bruchid control, Chemical-free</t>
  </si>
  <si>
    <t>Hermetic Sealed Metal Silo (Dry Bean)</t>
  </si>
  <si>
    <t>Safe way of preserving grain in airtight conditions. Protects produce against rodents, weevils, grain borers, moths. Has capability of killing pests through oxygen deprivation without applying pesticides. Containers sealed tightly to prevent air circulation denying breeding of pests during grain storage.</t>
  </si>
  <si>
    <t>1 bag capacity costs KES 3,000, 8 bags KES 15,000, 12 bags KES 24,000, High initial capital investment, Limited availability of storage silos, Requires training on proper use and oxygen elimination, Level of awareness of effectiveness is limited</t>
  </si>
  <si>
    <t>Hermetic silo, Grain storage, Pest control, Airtight storage, Rodent protection</t>
  </si>
  <si>
    <t>Value Added Dry Bean Grain (Dry Bean)</t>
  </si>
  <si>
    <t>Clean good quality bean grain required by supermarkets and processing factories. Activities include sorting, cleaning and packaging for supermarkets, export, institutional buyers (schools, hospitals, disciplined forces) and processing factories.</t>
  </si>
  <si>
    <t>Women have less access to information and knowledge on TIMP, Women have limited access to education and training, VMGs often excluded from decision-making, Requires capacity building of farmers and stakeholders, Inefficient market system in many areas</t>
  </si>
  <si>
    <t>Value addition, Grain quality, Sorting, Packaging, Market standards</t>
  </si>
  <si>
    <t>Pre-cooked Dry Bean Grain Product (Dry Bean)</t>
  </si>
  <si>
    <t>Beans pre-cooked and water excluded, packaged and distributed. Products include 15-minute cooking bean meal and chocolate look-alike bean snack. Six bean varieties suitable for pre-cooking in Kenya. Reduces cooking time from 1-2 hours to only 15 minutes.</t>
  </si>
  <si>
    <t>Requires processing infrastructure which is often lacking, Women have less access to information and technology, Women have limited access to training, VMGs have limited access to information, Requires KEBS food safety standards for products</t>
  </si>
  <si>
    <t>Pre-cooked beans, Value addition, Convenience food, Processing, Food fortification</t>
  </si>
  <si>
    <t>Pre-cooked 100% Bean Flours (Dry Bean)</t>
  </si>
  <si>
    <t>Flour processed from common dry beans. Grain taken to factory where cooked, water excluded, milled into flour and packaged for sale. Bean grain has essential nutritional elements and is considered the meat of the poor. Can be blended with maize or wheat flours to make nutritious meals.</t>
  </si>
  <si>
    <t>Care needed during drying of cooked beans to prevent contamination, Women have less access to information and technology, Women have limited access to training, VMGs have limited access to information, Inefficient market system in many areas</t>
  </si>
  <si>
    <t>Bean flour, Value addition, Nutrition, Food fortification, Protein-energy malnutrition</t>
  </si>
  <si>
    <t>Bean Noodles (Dry Bean)</t>
  </si>
  <si>
    <t>Product to add value to common dry beans and fortify it for iron, zinc and amino acids. Offers product diversification and fortification to meet large market demand. Requires quality bean grain for better quality products.</t>
  </si>
  <si>
    <t>Estimated cost per kg for noodle processing KES 220, Returns after value addition KES 280 per kg, Women have less access to information and technology, Women have limited access to education and training, VMGs often excluded from decision-making</t>
  </si>
  <si>
    <t>Bean noodles, Value addition, Diversification, Fortification, Processing</t>
  </si>
  <si>
    <t>Dry Bean Recipes (Dry Bean)</t>
  </si>
  <si>
    <t>Guidelines on how to prepare various bean products ranging from porridge, samosas, cakes, chapatti, ugali, stews. Includes ways to cook beans addressing problematic issues like gas in stomach. Widens consumption range by combining beans with other ingredients to make appealing food products.</t>
  </si>
  <si>
    <t>Requires capacity building of consumers and stakeholders, Lack or insufficient resources for capacity building, Women may have limited access to information and training, VMGs have limited access to training and extension services, Weak stakeholder innovation platforms</t>
  </si>
  <si>
    <t>Recipes, Value addition, Nutrition, Food diversification, Cooking methods</t>
  </si>
  <si>
    <t>Power Tiller (Dry Bean)</t>
  </si>
  <si>
    <t>Two-wheeled agricultural implement fitted with rotary tillers, disk harrow, mouldboard plough, trailer, water pump or chisel at alternate times. Can complete 1ha per day by one operator in about two hours. Fuel consumption about 15 litres per ha. Applicable in tillage, sowing, spraying, irrigating, harvesting, threshing and transporting crops.</t>
  </si>
  <si>
    <t>Cost KES 280,000, Women/youth have limited access to credit for purchase, Women have limited access to training and extension services, Lack of machines available in many areas, High initial cost for small-scale farmers</t>
  </si>
  <si>
    <t>Power tiller, Mechanization, Tillage, Land preparation, Farm implements</t>
  </si>
  <si>
    <t>Wheeled Tractor (Dry Bean)</t>
  </si>
  <si>
    <t>Engineering vehicle delivering high tractive effort at slow speeds for hauling trailer or machinery. Provides power and traction to mechanize agricultural tasks including tillage, trailer towing, planting, weeding, ridging, spraying, harvesting, ground grading and more. Fitted with various equipment for easing farm operations.</t>
  </si>
  <si>
    <t>Cost KES 1,780,000, Women/youth have limited access to credit for purchase, Women have limited access to training, Lack of tractors available, Lack of facilitation to demonstration sites</t>
  </si>
  <si>
    <t>Wheeled tractor, Mechanization, Agricultural tasks, Power source, Farm operations</t>
  </si>
  <si>
    <t>Mouldboard Plough (Dry Bean)</t>
  </si>
  <si>
    <t>Agricultural implement considered important tillage implement. Does four jobs: cutting furrow slice, lifting furrow slice, inverting furrow slice and pulverizing furrow slice. Ploughing accounts for more traction energy than any other field operation. Available for power tiller and tractor operation.</t>
  </si>
  <si>
    <t>Cost KES 250,000, Women/youth have limited access to credit, Women have limited access to education and training, Lack of mouldboard plough innovation platforms, High initial cost for small-scale farmers</t>
  </si>
  <si>
    <t>Mouldboard plough, Tillage, Soil inversion, Ploughing, Farm implement</t>
  </si>
  <si>
    <t>Disc Harrow (Dry Bean)</t>
  </si>
  <si>
    <t>Farm implement used to pulverize soil, break up crop residues, uproot weeds and cover seed. Used for surface tillage after ploughing for breaking up and smoothing soil surface. Purpose: break up clods and provide soil structure (tilth) suitable for planting seeds. Coarser harrowing removes weeds and covers seed after sowing.</t>
  </si>
  <si>
    <t>Cost KES 280,000, Women/youth have limited access to credit, Women have limited access to education and training, Lack of dry bean innovation platforms, High initial cost for small-scale farmers</t>
  </si>
  <si>
    <t>Disc harrow, Surface tillage, Soil tilth, Weed control, Seed covering</t>
  </si>
  <si>
    <t>Spring Tine Harrow (Dry Bean)</t>
  </si>
  <si>
    <t>Harrow with peg-shaped teeth of diamond cross-section attached to a rectangular frame. Used to break clods, stir soil, uproot weeds, level ground, break soil and cover seeds.</t>
  </si>
  <si>
    <t>Cost KES 180,000, Women/youth have limited access to credit, Women have limited access to education and training, Lack of machines available in many areas, High initial cost for small-scale farmers</t>
  </si>
  <si>
    <t>Spring tine harrow, Soil preparation, Weed uprooting, Soil leveling, Seed covering</t>
  </si>
  <si>
    <t>Seed Planter (Dry Bean)</t>
  </si>
  <si>
    <t>Seed dispenser that places seed and fertilizer at predetermined quantities. Commonly used in small grains. Propelled by tractor (45-65hp) that can economically tow implement on well prepared seedbed using plough, disk harrow and tine harrow.</t>
  </si>
  <si>
    <t>Cost KES 380,000, Women/youth have limited access to credit, Need for trained plant operators, Land size limitations for tractor use, Calibration of planter requires training</t>
  </si>
  <si>
    <t>Seed planter, Precision planting, Mechanization, Fertilizer placement, Seed dispenser</t>
  </si>
  <si>
    <t>Weeder (Dry Bean)</t>
  </si>
  <si>
    <t>Five teeth furrow openers capable of withstanding tough working conditions at heavy soils. With deep positive penetrations can break up hard soil clods and uproot stubbles. With spacing adjustments or removable tine on main frame can be used for multiple applications suitable for dry bean cultivation. Propelled by small sized tractor 45-55hp.</t>
  </si>
  <si>
    <t>Cost KES 280,000, Women/youth have limited access to credit, Women have limited access to education and training, Lack of machines available in many areas, VMGs have limited access to credit for purchase</t>
  </si>
  <si>
    <t>Weeder, Mechanical weeding, Soil cultivation, Farm implement, Labour saving</t>
  </si>
  <si>
    <t>Multi-crop cultivator (Walking) (Dry Bean)</t>
  </si>
  <si>
    <t>Five teeth furrow opener capable of withstanding tough working conditions at heavy soils. With deep positive penetrations can break up hard soil clods and uproot stubbles. With spacing adjustments or removable tine on main frame can be used for multiple applications suitable for dry bean cultivation. Propelled by small sized tractor 45-55hp.</t>
  </si>
  <si>
    <t>Cost per acre production KES 1,200, Women/youth have limited access to credit, Machine availability limited, Need for trained plant operators, VMGs have limited access to training</t>
  </si>
  <si>
    <t>Multi-crop cultivator, Inter-row cultivation, Weeding, Soil tillage, Farm implement</t>
  </si>
  <si>
    <t>Motorized Sprayer (Dry Bean)</t>
  </si>
  <si>
    <t>Device used to spray liquid for projection of chemical, weed killers, crop performance materials, pest maintenance chemicals. Man-portable units typically backpacks with spray guns. Used to control weeds (herbicides), insect pests (insecticides), fungal diseases (fungicides), and apply micronutrients on plants. Modern motorized knapsack pumps four times faster and covers wide area.</t>
  </si>
  <si>
    <t>Cost KES 55,000 per unit, Women/youth have limited access to credit, Relatively high cost for individual small-scale farmer, Limited awareness of machine existence among some farmers, VMGs have limited access to training</t>
  </si>
  <si>
    <t>Motorized sprayer, Pest control, Herbicide application, Fungicide application, Crop protection</t>
  </si>
  <si>
    <t>Bean Thresher (Dry Bean)</t>
  </si>
  <si>
    <t>Developed for threshing, separating, and cleaning dry bean. Major components include threshing, separation and cleaning units. After detachment, grains fall through concave grid into cleaning unit consisting of blower set to speed that blows out chaff and grain collected on receptor.</t>
  </si>
  <si>
    <t>Cost KES 230,000, Women/youth have limited access to credit, Women have limited access to training, Need for protective clothing during operation, Need for trained machine operators</t>
  </si>
  <si>
    <t>Bean thresher, Threshing, Separation, Cleaning, Mechanization</t>
  </si>
  <si>
    <t>Combine Harvester (Dry Bean)</t>
  </si>
  <si>
    <t>Versatile machine designed to efficiently harvest variety of grain crops. Combines three separate harvesting operations: reaping, threshing, and winnowing into single process. Major components include threshing, separation and cleaning units.</t>
  </si>
  <si>
    <t>Cost KES 280,000, Women/youth have limited access to credit, Women have limited access to training, Lack of machines available, High initial cost for small-scale farmers</t>
  </si>
  <si>
    <t>Combine harvester, Harvesting, Threshing, Winnowing, Mechanization</t>
  </si>
  <si>
    <t>Solar Dryer (Dry Bean)</t>
  </si>
  <si>
    <t>Sun drying using direct sunlight and open air harnessing power of sun as solar heat for food preservation. Solar radiation intensity between 800-1000 W/m² harnessed using solar dryer tent fitted with drying trays. Converted greenhouse that is affordable and effective.</t>
  </si>
  <si>
    <t>Cost KES 220,000, Women/youth have limited access to credit, Lack of innovative dryers available, High cost for small-scale farmer, VMGs have limited access to training</t>
  </si>
  <si>
    <t>Solar dryer, Postharvest, Grain drying, Food preservation, Renewable energy</t>
  </si>
  <si>
    <t>Size Sorter (Dry Bean)</t>
  </si>
  <si>
    <t>Electric powered machine with two sieves arranged in descending order to grade two grades and lintel debris. Fitted with hopper as receptor, rotary wheel, sieves and three outlets. Reciprocating motion where larger grains retained and exit first outlet, smaller size through second outlet, debris through third. Designed for size grading for dry bean.</t>
  </si>
  <si>
    <t>Cost KES 280,000, Women/youth have limited access to credit, Relatively high cost for individual farmer, Limited awareness of machine among farming community, Women have limited access to training</t>
  </si>
  <si>
    <t>Size sorter, Grading, Quality sorting, Mechanization, Grain classification</t>
  </si>
  <si>
    <t>Packager (Dry Bean)</t>
  </si>
  <si>
    <t>Equipment with high precision controller for quantitative packaging of granules in food, grain, fodder, sugar making and chemical industry. Uses imported sensor, pneumatic actuator. Main material body is carbon steel with painted plastic, material contact part is stainless steel for corrosion resistance and long service life. Belt conveyor can adjust higher by hand or motor.</t>
  </si>
  <si>
    <t>Cost KES 14,000,000, Women/youth have limited access to credit, Women have limited access to training, Lack of trained technical personnel to operate, High initial cost for small-scale farmers</t>
  </si>
  <si>
    <t>Packager, Automated packaging, Quantitative packaging, Grain handling, Processing</t>
  </si>
  <si>
    <t>Transformative Model of production of Dry beans (Dry Bean)</t>
  </si>
  <si>
    <t>Builds resiliency of farmers to focus on market orientation. Aims at shift from subsistence to semi-commercial to fully commercial. At subsistence: traditional inputs, outputs consumed at home. Semi-commercial: both traditional and improved inputs, output consumed at home and some to markets. Fully commercial: inputs accessed from markets, outputs solely for markets.</t>
  </si>
  <si>
    <t>Total variable costs Ksh 22,357, Returns Ksh 130,000 per acre per season, Gross margin Ksh 107,643, Women are widely discriminated in rural producer organizations, Women have limited access to lucrative markets than men</t>
  </si>
  <si>
    <t>Commercialization, Market orientation, Production model, Subsistence transformation, Resiliency</t>
  </si>
  <si>
    <t>Building a Business Plan for Dry beans production (Dry Bean)</t>
  </si>
  <si>
    <t>Serves as internal management and organizing tool, used to communicate outside the business. Document contains marketing strategy, marketing costs, income streams and financial requirements. Enables farmers to control costs, develop marketing strategies and build plans for production to meet market demand.</t>
  </si>
  <si>
    <t>High illiteracy levels of women leading to poor record keeping, Opportunities exist for literate youths in business planning, Requires availability of farm records, Skills in market information collection needed, Requires training of ToTs on business plan development</t>
  </si>
  <si>
    <t>Business plan, Financial management, Cost control, Marketing strategy, Entrepreneurship</t>
  </si>
  <si>
    <t>Collective marketing (Dry Bean)</t>
  </si>
  <si>
    <t>Marketing as a group where farmers establish entity to create market links. Involves formation of group with objective of reducing market inaccessibility. Carried through Producer Organizations (POs) as institutional vehicle for promoting agricultural production by helping farmers solve common problems in production inputs, credit, technical knowledge and marketing.</t>
  </si>
  <si>
    <t>Women are widely discriminated in rural producer organizations, Strict rules of entry may limit women participation, Women's double and triple roles limit time to participate, VMGs have limited access to assets required to join groups, Formation of marketing groups and group dynamics challenges</t>
  </si>
  <si>
    <t>Collective marketing, Producer organizations, Bargaining power, Market access, Economies of scale</t>
  </si>
  <si>
    <t>Contracted dry beans production model (Dry Bean)</t>
  </si>
  <si>
    <t>Contract farming involving investment by private companies, extending lines of credit to producers in form of farming inputs and technical assistance. Contractors commit to buy entire product at agreed price; producers avail desired produce for sale. Benefits: market access, increased incomes, reduction in price fluctuation risk, credit, timely inputs, monitoring, collective bargaining.</t>
  </si>
  <si>
    <t>Women have less access to knowledge and information on contract farming, Women have less access to land for farming, VMGs have less access to knowledge and information, Contractors may break agreements, Limited awareness on contracted production by smallholder farmers</t>
  </si>
  <si>
    <t>Contract farming, Market access, Credit provision, Risk reduction, Agribusiness</t>
  </si>
  <si>
    <t>Profitability analysis (Dry Bean)</t>
  </si>
  <si>
    <t>Recording of costs and returns and determination of profit indicating performance of dry beans agro-enterprise. Reviews management success and sustainability of business. Indicates areas of adjustment.</t>
  </si>
  <si>
    <t>Total variable costs Ksh 22,357, Returns Ksh 130,000 per acre, Gross margin Ksh 107,643, High illiteracy levels of women leading to poor record keeping, Use of non-costed family labour in production</t>
  </si>
  <si>
    <t>Profitability, Cost-benefit analysis, Record keeping, Gross margin, Business performance</t>
  </si>
  <si>
    <t>Market research for Dry beans farmers (Dry Bean)</t>
  </si>
  <si>
    <t>Gathers information on product buyers, demand, type required, minimum volume purchased, collective marketing volume, quality, packaging requirements, frequency of delivery, purchase price, means of payment and willingness to buy from local farmers.</t>
  </si>
  <si>
    <t>Inadequate representation of women and youth in market research, Women have less access to market information than men, Issues related to literacy of marketing groups, VMGs have limited participation in market research, Levels of skills of market research group</t>
  </si>
  <si>
    <t>Market research, Market information, Buyer requirements, Quality standards, Market demand</t>
  </si>
  <si>
    <t>Marketing Innovation model (Dry Bean)</t>
  </si>
  <si>
    <t>Encompasses entrepreneurship where farmers undertake technology modification, finance and business acumen to transform innovations into economic goods and ultimately profit. Involves product diversification and developing various marketing channels.</t>
  </si>
  <si>
    <t>Women lack entrepreneurial skills compared to men, Women lack basic reading and numeracy skills, Women may not apply for loans due to lack of collateral, VMGs may lack business acumen, Conflicts with traditional methods may arise</t>
  </si>
  <si>
    <t>Marketing innovation, Entrepreneurship, Product diversification, Business acumen, Value addition</t>
  </si>
  <si>
    <t>Internet/mobile marketing (Dry Bean)</t>
  </si>
  <si>
    <t>Online marketplace providing buyers and sellers avenue to meet and exchange goods and services. Includes variety of online platforms, tools, and content delivery systems. Reduces costs, increasingly mandatory for businesses.</t>
  </si>
  <si>
    <t>Women have less access to phones and computers than men, Women have higher illiteracy rates affecting ICT use, Low digital skills of farmers, Internet connectivity challenges in rural areas, Unconsolidated produce for market delivery</t>
  </si>
  <si>
    <t>Digital marketing, E-commerce, Online platforms, Mobile marketing, ICT adoption</t>
  </si>
  <si>
    <t>National Agricultural Policy Strategy Framework (Dry Bean)</t>
  </si>
  <si>
    <t>Provides instruments and rules for Counties to develop agriculture in terms of productivity objectives which can assist smallholder farmers. Without it, agriculture remains not integrated with National development objectives.</t>
  </si>
  <si>
    <t>Inadequate representation of youth and women in policy development forums, Inadequate representation of VMGs in policy validation process, Dry bean yields remain low unable to satisfy demand, Weak aggregation models provide limited bargaining power, Lacks specific dry bean policy</t>
  </si>
  <si>
    <t>Agricultural policy, Policy framework, Productivity objectives, Smallholder farmers, Policy instruments</t>
  </si>
  <si>
    <t>County Integrated Development Planning (Dry Bean)</t>
  </si>
  <si>
    <t>Builds a plan for each county to be implemented in five years. Participatory planning process involving development stakeholders. During this period, issues in dry beans production, marketing and processing are considered.</t>
  </si>
  <si>
    <t>Inadequate representation of youth and women in development process, Inadequate representation of VMGs in policy validation, Disorganization and scattered farmers, Small-scale farming limits policy effectiveness, Lack of comprehensive land use policy</t>
  </si>
  <si>
    <t>County planning, CIDP, Agricultural development, Participatory planning, Policy integration</t>
  </si>
  <si>
    <t>Policy Instruments related to Dry beans (Dry Bean)</t>
  </si>
  <si>
    <t>Means to achieve policy objectives. For dry beans production, instruments include subsidy in inputs and minimum price for outputs. Designed to have primarily efficiency, distributive, or stability effects with impact on other objectives.</t>
  </si>
  <si>
    <t>Inadequate representation of youth and women in policy forums, Inadequate representation of VMGs in validation process, Lacks specific dry bean policy, Poor market infrastructure, Low understanding of policy instruments among farmers</t>
  </si>
  <si>
    <t>Policy instruments, Subsidies, Price control, Input support, Policy objectives</t>
  </si>
  <si>
    <t>Policy cycle (Dry Bean)</t>
  </si>
  <si>
    <t>Sequential parts or stages: (1) problem emergence, (2) agenda setting, (3) consideration of policy options, (4) decision-making, (5) implementation, and (6) evaluation. Tool dividing complex procedures into convenient and manageable steps. Stages include agenda setting, formulation, implementation, and evaluation.</t>
  </si>
  <si>
    <t>Inadequate representation of youth and women in policy development forums, Inadequate representation of VMGs in policy validation process, Disorganization and scattered farmers, Lacks specific dry bean policy, Poorly established dry bean value chain</t>
  </si>
  <si>
    <t>Policy cycle, Agenda setting, Policy formulation, Policy implementation, Policy evaluation</t>
  </si>
  <si>
    <t>Introduction (Dry bean production)</t>
  </si>
  <si>
    <t>Dry beans climate smart agronomic practices are sustainable crop management practices for maximum benefits. Productivity is enhanced using improved varieties combined with recommended agronomic practices.</t>
  </si>
  <si>
    <t>Varieties must be adapted to local conditions, improved varieties alone do not guarantee yield without proper management, climate conditions may affect variety performance, seed quality must be verified before planting, local extension advice should be sought for variety selection</t>
  </si>
  <si>
    <t>climate-smart, sustainable management, improved varieties, productivity enhancement, crop management</t>
  </si>
  <si>
    <t>Site/farm selection for planting beans (dry bean production)</t>
  </si>
  <si>
    <t>Beans grow best in well-drained soils with high organic matter. Avoid steep slopes, swampy areas, very sandy soils, shallow surface soil, and areas with heavy couch grass.</t>
  </si>
  <si>
    <t>Do not plant in waterlogged soils as beans are prone to root rot; avoid steep slopes to prevent erosion; sandy soils may require additional irrigation and fertility management; couch grass infestation can reduce yields if not controlled.</t>
  </si>
  <si>
    <t>Soil drainage, organic matter, site selection, slope avoidance, soil type</t>
  </si>
  <si>
    <t>Land preparation (dry bean production)</t>
  </si>
  <si>
    <t>Prepare land early before rains. Plough deep and create a fine seedbed for high germination. Minimum tillage (chisel/ripper) reduces erosion, conserves moisture, improves soil structure, and protects microorganisms. Slash and burn is not recommended as it releases CO₂, destroys organic matter, and increases erosion risk.</t>
  </si>
  <si>
    <t>Avoid over-tilling as it can destroy soil structure; slash and burn leads to long-term soil degradation; minimum tillage may require specific equipment not available to all farmers; early preparation is critical to avoid planting delays.</t>
  </si>
  <si>
    <t>Minimum tillage, soil conservation, organic matter, erosion control, seedbed preparation</t>
  </si>
  <si>
    <t>Planting and seed rates (dry bean production)</t>
  </si>
  <si>
    <t>Plant immediately after a heavy downpour (~30mm). Plant in rows for correct spacing. Seed rate: 16–30 kg/acre depending on seed size. Recommended spacing: 50×10 cm for mono-cropping; for intercropping with maize, plant 2 bean rows between maize rows at 15 cm within rows, one seed per hill.</t>
  </si>
  <si>
    <t>Planting too early before adequate moisture may cause poor germination; incorrect spacing reduces yield potential; large-seeded varieties require higher seed rates—using insufficient seed lowers plant population; intercropping spacing must be adjusted to avoid competition with maize.</t>
  </si>
  <si>
    <t>Seed rate, row spacing, planting time, intercropping, germination</t>
  </si>
  <si>
    <t>Crop Nutrition (dry bean production)</t>
  </si>
  <si>
    <t>Beans need sufficient macro and micronutrients. Apply organic manure (6–8 tons/acre) evenly or in furrows mixed with soil one week before planting. Inorganic fertilizer: 50 kg/acre of NPK (20:20:0 or 23:23:0) at planting. Foliar fertilizers can be applied during vegetative, flowering, and early podding stages. Soil testing is recommended.</t>
  </si>
  <si>
    <t>Over-application of nitrogen can reduce nodulation and yield; manure must be well-decomposed to avoid burning roots; foliar application at wrong stage may cause leaf scorch; soil testing is essential but may not be accessible to all farmers.</t>
  </si>
  <si>
    <t>NPK fertilizer, organic manure, foliar feeding, soil testing, nutrient management</t>
  </si>
  <si>
    <t>Weed Management (dry bean production)</t>
  </si>
  <si>
    <t>First weeding: 10–14 days after emergence. Second weeding: just before flowering. Avoid weeding during flowering to prevent flower drop. In semi-arid areas, weeds may not establish enough to warrant weeding. Weeding can be manual (hoe) or using post-emergence herbicides.</t>
  </si>
  <si>
    <t>Weeding during flowering can significantly reduce pod set; herbicide misuse can damage crop or cause resistance; manual weeding is labour-intensive and may not be timely; in dry areas, late weeding may not be necessary but can harbour pests if neglected.</t>
  </si>
  <si>
    <t>Weed control, flowering stage, manual weeding, herbicides, semi-arid adaptation</t>
  </si>
  <si>
    <t>Integrated Pest and Disease Management (IPM) (dry bean production)</t>
  </si>
  <si>
    <t>IPM combines cultural, biological, chemical control, and resistant/tolerant varieties. Guided by constant scouting for pests and diseases to prevent and control them.</t>
  </si>
  <si>
    <t>Over-reliance on chemical control can harm beneficial insects and lead to resistance; scouting requires training and time; resistant varieties may not be available for all pests; biological control methods may be slower to show results.</t>
  </si>
  <si>
    <t>IPM, pest scouting, disease resistance, biological control, chemical control</t>
  </si>
  <si>
    <t>Harvesting and processing (dry bean production)</t>
  </si>
  <si>
    <t>Harvest when pods turn yellow and moisture drops to 15–16%. Hand uprooting is common. Dry pods in sun or solar drier before threshing. Thresh on tarpaulin or use a threshing rack to avoid contamination. Bean threshers improve efficiency. Winnow to remove chaff. Dry grain to ≤13% moisture (test via moisture meter, teeth, pinch, or salt method). Dust with storage pesticides or use Hermetic Storage Technology (HST) as a healthier option. Package in clean gunny bags.</t>
  </si>
  <si>
    <t>Harvesting too early or too late reduces quality and storage life; threshing on bare ground causes contamination with stones and soil; over-drying can make beans brittle and prone to breakage; chemical pesticides for storage require careful handling and may pose health risks; HST may not be readily available.</t>
  </si>
  <si>
    <t>Harvest timing, threshing, moisture content, hermetic storage, post-harvest handling</t>
  </si>
  <si>
    <t>INTRODUCTION (Seed System)</t>
  </si>
  <si>
    <t>The formal seed system is one of two systems in Kenya, alongside the informal system. It encompasses all legally recognized seed supply activities by public and private bodies, including research, breeding, certification, multiplication, distribution, and marketing. It is governed by CAP 326 Laws of Kenya, which defines "Seed" broadly as any plant part used for propagation.</t>
  </si>
  <si>
    <t>This is a legal overview; specific regulations may have been updated since the document's publication., The CAP 326 definition is broad and covers many plant parts, not just grain., The distinction between formal and informal systems is fundamental but may not cover all seed exchange practices.</t>
  </si>
  <si>
    <t>Seed System, CAP 326, Legislation, Seed Definition, Agricultural Law</t>
  </si>
  <si>
    <t>CLASSES OF SEED IN KENYA (Seed System)</t>
  </si>
  <si>
    <t>Seed certification class shows the generations of seed multiplication from the original breeder seed. The model depends on genetic deterioration rate, multiplication ratio, and seed demand. Two main nomenclature systems are recognized: Organization for Economic Cooperation and Development (OECD) and Association of Official Seed Certifying Agencies (AOSCA).</t>
  </si>
  <si>
    <t>The specific generation limits may vary for different crop species., Not all seed sold in Kenya is certified; informal seed systems are prevalent., Farmers should confirm the seed class they are purchasing for their specific needs.</t>
  </si>
  <si>
    <t>Seed Classes, Seed Certification, OECD, AOSCA, Seed Multiplication</t>
  </si>
  <si>
    <t>FORMAL SEED CLASSES (Seed System)</t>
  </si>
  <si>
    <t>This section details the specific seed classes. Breeder Seed is the progenitor, 99.9% genetically pure, produced under breeder supervision. Pre-basic Seed is the progeny of breeder seed, also high status, and not for general cultivation. Basic Seed is produced from pre-basic seed and is used by seed companies to produce certified seed. Certified Generation Seed is the progeny of basic seed and is available to farmers for general cultivation. Standard Seed is only allowed during drought when the Minister declares a crop failure.</t>
  </si>
  <si>
    <t>Breeder and Pre-basic seed are not for direct use by farmers for general cultivation., Standard seed is a temporary measure and may have lower quality standards., Farmers should always seek Certified Generation seed for general planting., Using a lower-generation seed than required may not be cost-effective or may not be legally available.</t>
  </si>
  <si>
    <t>Seed Classes, Breeder Seed, Basic Seed, Certified Seed, Standard Seed</t>
  </si>
  <si>
    <t>ISOLATION DISTANCES (Seed System)</t>
  </si>
  <si>
    <t>This section provides a table of isolation distances for different seed classes. For example, isolation distances for dry beans are: Breeders (50m), Pre-basic (50m), Basic (50m), and C1-C4 (25m).</t>
  </si>
  <si>
    <t>Isolation distances are crop-specific and mandatory for maintaining genetic purity., These distances are for dry beans specifically; other crops have different requirements., Non-compliance can lead to seed certification failure.</t>
  </si>
  <si>
    <t>Isolation Distance, Seed Purity, Crop Production, Dry Bean, KEPHIS</t>
  </si>
  <si>
    <t>REQUIREMENTS TO BE A SEED MERCHANT OR GROWER (Seed System)</t>
  </si>
  <si>
    <t>This section outlines the legal requirements for operating in the seed industry. A Merchant must apply to KEPHIS (SR1), have premises inspected, pay registration (Ksh 75,000) and annual renewal (Ksh 10,000) fees, provide professional certificates, and have at least 12 acres of land for rotation. A Seed Grower must be appointed by a merchant and registered with KEPHIS.</t>
  </si>
  <si>
    <t>Registration requirements are mandatory and subject to change., The fees mentioned are for the "Merchant"; growers have different fees., Failure to renew registration is an offense.</t>
  </si>
  <si>
    <t>Seed Merchant, Seed Grower, KEPHIS, Registration, Seed Legislation</t>
  </si>
  <si>
    <t>COMMON OFFENCES AND PENALTIES (Seed System)</t>
  </si>
  <si>
    <t>Lists common offences under the Seeds and Plant Varieties Act CAP. 326. These include giving false information, obstructing a seed inspector, making false statements, selling seed that doesn't match its description, or selling seed that fails to meet standards. Upon conviction, penalties can be a fine of up to one million shillings, imprisonment for up to two years, or both.</t>
  </si>
  <si>
    <t>Penalties for seed-related offenses are severe., Farmers should always buy seed from registered merchants., Keep all receipts and records of seed purchases., Offences can be prosecuted for up to two years after commission.</t>
  </si>
  <si>
    <t>Offences, Penalties, Seed Legislation, CAP 326, KEPHIS</t>
  </si>
  <si>
    <t>INTRODUCTION (Bean, Powdery Mildew)</t>
  </si>
  <si>
    <t>Powdery mildew disease appears on the top part of the bean crop during cold periods. Without control, the crop can lose over 90% of its yield. Integrated disease management (IDM) using a combination of biological, chemical, and cultural/physical methods is necessary.</t>
  </si>
  <si>
    <t>Yield loss can be catastrophic (over 90%) if left unchecked., The disease is highly prevalent during cold, not hot, periods., Early detection is crucial for effective management.</t>
  </si>
  <si>
    <t>Powdery Mildew, Bean, Yield Loss, Disease Control, Cold Period</t>
  </si>
  <si>
    <t>Integrated Pest Management (IPM) principles for Powdery mildew disease (Bean, Powdery Mildew)</t>
  </si>
  <si>
    <t>Cultural options: Growing beans in a greenhouse to increase temperatures and using wood ash as a traditional method can help control the disease. Biological agent enrichment: Research is ongoing to find beneficial fungi to displace the mildew. Judicious use of chemicals: Suitable fungicides based on Chlorothalonil, Copper, or Sulfur can be used.</t>
  </si>
  <si>
    <t>Wood ash application is an indigenous practice with variable results., Chemical use must be judicious to avoid resistance and environmental harm., Applying chemicals during a cold period may be less effective if leaves are wet.</t>
  </si>
  <si>
    <t>IPM, Cultural Control, Biological Control, Chemical Control, Greenhouse</t>
  </si>
  <si>
    <t>Mandate Centres for bean crop are (Bean, Powdery Mildew)</t>
  </si>
  <si>
    <t>Lists the KALRO centres responsible for bean research: KALRO-Kakamega, KALRO-Katumani, KALRO-Kitale, and KALRO-Embu.</t>
  </si>
  <si>
    <t>Farmers should contact the correct centre for their region., Contact information may change., These centres may have additional, up-to-date advice.</t>
  </si>
  <si>
    <t>KALRO, Research Centres, Bean Research, Kenya, Agricultural Extension</t>
  </si>
  <si>
    <t>Major bean producing counties (Bean, Powdery Mildew)</t>
  </si>
  <si>
    <t>Lists major bean-producing counties in Kenya: Nyeri, Laikipia, Murang'a, Kiambu, Kakamega, Machakos, Narok, Nakuru, Meru, Embu.</t>
  </si>
  <si>
    <t>The list may not be exhaustive., The prevalence of powdery mildew may vary across these counties., The disease risk may be higher in cooler areas within these counties.</t>
  </si>
  <si>
    <t>Beans, Kenya, Counties, Agriculture, Crop Production</t>
  </si>
  <si>
    <t>Control options (Bean, Powdery Mildew)</t>
  </si>
  <si>
    <t>Farmers in the respective counties are advised to choose control components based on the intensity of the pest attack. They are directed to seek advice from agricultural extension officers or KALRO centres.</t>
  </si>
  <si>
    <t>The choice of control method should be based on the severity of the disease., It is recommended to combine methods for integrated management., Always follow the advice of qualified experts.</t>
  </si>
  <si>
    <t>Integrated Pest Management, Decision Making, Extension Services, Expert Advice, KALRO</t>
  </si>
  <si>
    <t>INTRODUCTION (Bean, Anthracnose)</t>
  </si>
  <si>
    <t>Anthracnose disease starts as chlorotic lesions on leaves that become circular brown rotting areas. The pods are later attacked, lowering yield by affecting kernel/grain development. Integrated disease management (IDM) is needed, exploiting biological, chemical, and cultural/physical methods.</t>
  </si>
  <si>
    <t>The disease affects both leaves and pods, directly reducing yield., Early infection may not be visible on seeds, making seed selection a key factor., The disease is easily spread through infected seed.</t>
  </si>
  <si>
    <t>Anthracnose, Bean, Yield Loss, Fungal Disease, Crop Rot</t>
  </si>
  <si>
    <t>Integrated Pest Management (IPM) principles for Anthracnose disease (Bean, Anthracnose)</t>
  </si>
  <si>
    <t>Cultural options: Plant in a fresh field that has been planted with non-Leguminosae crops or left fallow for 2-3 years to break the infection cycle. Fertilizer should be applied at planting. Biological agent enrichment: There are no tested beneficial organisms, so farmers should look for possible candidates. Judicious use of chemicals: The chosen fungicide should be highly biodegradable to minimize environmental pollution and harm to non-target organisms.</t>
  </si>
  <si>
    <t>Crop rotation is critical; planting beans after beans is a major risk factor., Using a highly biodegradable fungicide may mean it requires more frequent application., There may be no recommended fungicide for Anthracnose on beans; consult an expert.</t>
  </si>
  <si>
    <t>IPM, Cultural Control, Crop Rotation, Biological Control, Chemical Control</t>
  </si>
  <si>
    <t>Mandate Centres for bean crop are (Bean, Anthracnose)</t>
  </si>
  <si>
    <t>Major bean producing counties (Bean, Anthracnose)</t>
  </si>
  <si>
    <t>The list may not be exhaustive., The prevalence of Anthracnose may vary across these counties., The disease risk is higher in wet and cool conditions.</t>
  </si>
  <si>
    <t>Control options (Bean, Anthracnose)</t>
  </si>
  <si>
    <t>INTRODUCTION (Bean, Bacterial Blight)</t>
  </si>
  <si>
    <t>Bacterial blight disease lesions are abundant during wet periods. The disease causes high leaf rot, reducing photosynthetic area and leading to yield loss. It can also cause pod rotting. Integrated disease management (IDM) is necessary, exploiting biological, chemical, and cultural/physical methods.</t>
  </si>
  <si>
    <t>The disease is most severe in wet and humid conditions., The bacteria can survive in plant debris and seeds., Yield loss is a direct result of reduced photosynthesis and pod damage.</t>
  </si>
  <si>
    <t>Bacterial Blight, Bean, Yield Loss, Disease Control, Wet Period</t>
  </si>
  <si>
    <t>Integrated Pest Management (IPM) principles for Bacterial blight disease (Bean, Bacterial Blight)</t>
  </si>
  <si>
    <t>Cultural options: Establish new crop in a field without previous Leguminosae crops and plant resistant varieties. Biological agent enrichment: Consider incorporating an antibiotic-producing bacterium into the field. Judicious use of chemicals: The selected antibiotic should not be broad-spectrum to avoid harming beneficial bacteria in the soil.</t>
  </si>
  <si>
    <t>Resistant varieties are the most effective and economical option., Avoid using broad-spectrum antibiotics as they can harm soil health., The use of chemical antibiotics in agriculture may be restricted.</t>
  </si>
  <si>
    <t>IPM, Cultural Control, Resistant Varieties, Biological Control, Chemical Control</t>
  </si>
  <si>
    <t>Mandate Centres for bean crop are (Bean, Bacterial Blight)</t>
  </si>
  <si>
    <t>Major bean producing counties (Bean, Bacterial Blight)</t>
  </si>
  <si>
    <t>The list may not be exhaustive., The prevalence of Bacterial Blight may vary across these counties., The disease risk is highest in areas with high rainfall.</t>
  </si>
  <si>
    <t>Control options (Bean, Bacterial Blight)</t>
  </si>
  <si>
    <t>INTRODUCTION (Bean, Common Mosaic Virus)</t>
  </si>
  <si>
    <t>Common mosaic virus disease causes curled leaves with a light green look (mosaic), reducing the leaf tissue's photosynthetic area. An integrated disease management (IDM) approach can be used, exploiting biological, chemical, and cultural/physical methods.</t>
  </si>
  <si>
    <t>This is a viral disease; fungicides will not be effective., The virus is often spread by insects like aphids or through infected seed., Visual symptoms are the primary method of identification.</t>
  </si>
  <si>
    <t>Common Mosaic Virus, Bean, Viral Disease, Photosynthesis, Leaf Curl</t>
  </si>
  <si>
    <t>Integrated Pest Management (IPM) principles for Common mosaic virus disease (Bean, Common Mosaic Virus)</t>
  </si>
  <si>
    <t>Cultural options: There is no soil infection, so the virus is only on leaves. Fertilize at planting for fast growth, and uproot all infected plants at an early stage. A resistant variety is the most ideal solution. Biological agent enrichment: There are no tested beneficial organisms, so look for possible candidates. Judicious use of chemicals: No economic value is achieved by using chemical sprays.</t>
  </si>
  <si>
    <t>No chemical or fungicide will cure a viral infection., The best control is prevention through resistant varieties and removing infected plants., Insects can quickly spread the virus to healthy plants after you remove infected ones.</t>
  </si>
  <si>
    <t>IPM, Cultural Control, Resistant Varieties, Virus Control, Uprooting</t>
  </si>
  <si>
    <t>Mandate Centres for bean crop are (Bean, Common Mosaic Virus)</t>
  </si>
  <si>
    <t>Major bean producing counties (Bean, Common Mosaic Virus)</t>
  </si>
  <si>
    <t>The list may not be exhaustive., The prevalence of Common Mosaic Virus may vary across these counties., The virus is widespread and can be a problem almost anywhere beans are grown.</t>
  </si>
  <si>
    <t>Control options (Bean, Common Mosaic Virus)</t>
  </si>
  <si>
    <t>Cultural options input (Rust disease)</t>
  </si>
  <si>
    <t>Investigate the history of the cropping type to choose an appropriate cultural method. Fertilize the crop at planting time.</t>
  </si>
  <si>
    <t>May not be effective if the field has a long history of the disease, Requires knowledge of field history, Fertilizer application alone is not a cure</t>
  </si>
  <si>
    <t>Crop Rotation, Field History, Fertilization, Cultural Control, Disease Suppression</t>
  </si>
  <si>
    <t>Biological agent enrichment (Rust disease)</t>
  </si>
  <si>
    <t>With no immediate tested beneficial organism, it is important to look for possible candidates or start with a suitable fungicide.</t>
  </si>
  <si>
    <t>Biocontrol agents may not be locally available, Effectiveness is unproven for this specific disease, May require time to establish</t>
  </si>
  <si>
    <t>Biological Control, Beneficial Organisms, Fungicide, Agroecosystem, Biodegradation</t>
  </si>
  <si>
    <t>Judicious use of chemicals (Rust disease)</t>
  </si>
  <si>
    <t>The selected fungicide should be short-lasting and highly biodegradable to prevent environmental pollution and harm to non-target organisms.</t>
  </si>
  <si>
    <t>Re-application may be necessary, The specific fungicide is not named, Over-reliance on chemicals can lead to resistance</t>
  </si>
  <si>
    <t>Biodegradable, Fungicide, Environmental Safety, Non-target Organisms, Chemical Control</t>
  </si>
  <si>
    <t>Cultural options input (Angular leaf spot)</t>
  </si>
  <si>
    <t>Establish the next crop in a field that has not recently been planted with any Leguminosae crop or has been left fallow for 2-3 years. Fertilize at planting.</t>
  </si>
  <si>
    <t>Land may be scarce, Fallowing for 2-3 years may not be economically feasible, Pathogen can persist in soil for a long time</t>
  </si>
  <si>
    <t>Crop Rotation, Leguminosae, Fallow, Soil Pathogen, Cultural Control</t>
  </si>
  <si>
    <t>Biological agent enrichment (Angular leaf spot)</t>
  </si>
  <si>
    <t>Look for possible candidates for biological control or start with a suitable fungicide choice.</t>
  </si>
  <si>
    <t>Untested agents may be ineffective or cause unintended harm, Fungicide use may negate biological control efforts</t>
  </si>
  <si>
    <t>Biological Control, Fungicide, Beneficial Organisms, Agroecosystem, Pathogen Suppression</t>
  </si>
  <si>
    <t>Judicious use of chemicals (Angular leaf spot)</t>
  </si>
  <si>
    <t>The selected fungicide should be short-lasting and highly biodegradable to protect the environment and non-target organisms.</t>
  </si>
  <si>
    <t>Specific fungicides are not recommended, Risk of fungicide resistance, Must adhere to safety guidelines for application</t>
  </si>
  <si>
    <t>Cultural options input (Aphids)</t>
  </si>
  <si>
    <t>Aphids suck plant juice, causing wilting during heavy infestations and reducing flowering.</t>
  </si>
  <si>
    <t>Cultural controls are not detailed, Early detection is critical, Can cause rapid yield loss</t>
  </si>
  <si>
    <t>Aphids, Wilting, Vegetative Stage, Flowering, Sucking Pests</t>
  </si>
  <si>
    <t>Biological agent enrichment (Aphids)</t>
  </si>
  <si>
    <t>Conserve beneficial bio-agents by using a one-time spray of soft chemicals or biological insecticides to ensure natural enemies like spiders and parasitoids remain.</t>
  </si>
  <si>
    <t>Requires accurate timing of pesticide application, May not work in heavily infested fields, Identifying natural enemies can be difficult</t>
  </si>
  <si>
    <t>Biological Control, Natural Enemies, Parasitoids, Spiders, Soft Chemicals</t>
  </si>
  <si>
    <t>Judicious use of chemicals (Aphids)</t>
  </si>
  <si>
    <t>Use highly biodegradable 'soft chemicals' to minimize harm to beneficial organisms. Only one or two sprays within a month to allow for predator recovery.</t>
  </si>
  <si>
    <t>Product choice is critical, Incorrect timing can harm beneficial populations, May need multiple applications if pest pressure is high</t>
  </si>
  <si>
    <t>Soft Chemicals, Biodegradable, Beneficial Organisms, Chemical Control, Integrated Pest Management (IPM)</t>
  </si>
  <si>
    <t>Biological agent enrichment (Sucking Bugs)</t>
  </si>
  <si>
    <t>Conservation of beneficial bio-agents through one-time sprays of soft chemicals or biological insecticides is a pillar of biological control.</t>
  </si>
  <si>
    <t>May not provide immediate control, Requires preservation of existing beneficials, The specific types of beneficial bugs are not detailed</t>
  </si>
  <si>
    <t>Biological Control, Beneficial Organisms, Soft Chemicals, Predators, Biological Insecticides</t>
  </si>
  <si>
    <t>Judicious use of chemicals (Sucking Bugs)</t>
  </si>
  <si>
    <t>Use highly biodegradable 'soft chemicals' to minimize harm to beneficial organisms. One or two sprays within a month allow beneficials like spiders and other predators to recover.</t>
  </si>
  <si>
    <t>Must correctly identify the pest to apply the correct spray, Risk of resurgence if natural enemies are harmed, The specific 'soft chemicals' are not named</t>
  </si>
  <si>
    <t>Soft Chemicals, Biodegradable, Spiders, Predators, Chemical Control</t>
  </si>
  <si>
    <t>Judicious use of chemicals (Blister Beetle)</t>
  </si>
  <si>
    <t>Use highly biodegradable 'soft chemicals'. One or two sprays within a month enable recovery of beneficial organisms like wasps, ants, predators, and parasitoids.</t>
  </si>
  <si>
    <t>Beetles can be highly mobile and re-infest quickly, Hand-picking may be needed for severe outbreaks, The specific 'soft chemical' is not identified</t>
  </si>
  <si>
    <t>Blister Beetle, Soft Chemicals, Beneficial Organisms, Parasitoids, Chemical Control</t>
  </si>
  <si>
    <t>Cultural options input (Bollworm)</t>
  </si>
  <si>
    <t>Intercrop with onion to reduce bollworm numbers. The critical stage of damage is from vegetative to seed formation. Fertilizer should be applied.</t>
  </si>
  <si>
    <t>Intercropping may not be practical for all farmers, Intercropping alone may not provide complete control, Requires careful field planning</t>
  </si>
  <si>
    <t>Intercropping, Onion, Vegetative Stage, Seed Formation, Cultural Control</t>
  </si>
  <si>
    <t>Biological agent enrichment (Bollworm)</t>
  </si>
  <si>
    <t>Use short-duration systemic sprays instead of contact insecticides. Augment predators like ants and hymenopteran parasitoids to suppress bollworm.</t>
  </si>
  <si>
    <t>Systemic pesticides can still be toxic to beneficials, Augmentation of predators may be complex, Requires identification of specific parasitoids</t>
  </si>
  <si>
    <t>Systemic Insecticide, Predators, Parasitoids, Ants, Biological Control</t>
  </si>
  <si>
    <t>Judicious use of chemicals (Bollworm)</t>
  </si>
  <si>
    <t>Use highly biodegradable 'soft chemicals'. One or two sprays within a month allow beneficial organisms (wasps, ants, predators, parasitoids) to recover.</t>
  </si>
  <si>
    <t>The specific insecticide is not named, Over-reliance can lead to resistance, Spray must be timed correctly for larva, not eggs</t>
  </si>
  <si>
    <t>Soft Chemicals, Beneficial Organisms, Wasps, Biodegradable, Chemical Control</t>
  </si>
  <si>
    <t>Cultural options input (Desert Locust)</t>
  </si>
  <si>
    <t>Little cultural control exists. Beating drums may help, but only national governments can effectively suppress migratory swarms.</t>
  </si>
  <si>
    <t>Farmer-level control is largely ineffective, Government response may be slow, Damage is rapid and devastating</t>
  </si>
  <si>
    <t>Desert Locust, Cultural Control, Government Intervention, Migratory Pest, Swarm</t>
  </si>
  <si>
    <t>Biological agent enrichment (Desert Locust)</t>
  </si>
  <si>
    <t>A large flock of birds could help, but cannot match the insect population.</t>
  </si>
  <si>
    <t>Biological control is not a practical solution for swarms, Bird flocks are unpredictable, Will not prevent significant damage</t>
  </si>
  <si>
    <t>Biological Control, Birds, Swarm, Locust, Predation</t>
  </si>
  <si>
    <t>Judicious use of chemicals (Desert Locust)</t>
  </si>
  <si>
    <t>The most viable option for swarms. Aerial spraying with highly biodegradable 'soft chemicals' is needed, but logistics are challenging and damage may occur before spraying.</t>
  </si>
  <si>
    <t>Aerial spraying is expensive and requires government coordination, Risk of off-target drift and environmental contamination, Damage is often inevitable before control is implemented</t>
  </si>
  <si>
    <t>Aerial Spraying, Soft Chemicals, Chemical Control, Environmental Safety, Emergency Response</t>
  </si>
  <si>
    <t>Cultural options input (Red Spider Mite)</t>
  </si>
  <si>
    <t>Red spider mites are susceptible to wet environments; irrigation and rain cause high mortalities. Planning irrigation in dry conditions can suppress populations.</t>
  </si>
  <si>
    <t>Over-irrigation can lead to other problems (e.g., fungal diseases), May not be effective in all climates, Timing of irrigation is critical</t>
  </si>
  <si>
    <t>Red Spider Mite, Irrigation, Wet Environment, Cultural Control, Population Suppression</t>
  </si>
  <si>
    <t>Biological agent enrichment (Red Spider Mite)</t>
  </si>
  <si>
    <t>Enrich predatory mites by maintaining optimum temperature and humidity through irrigation. Introduce predatory mites from an infested leaf to establish equilibrium.</t>
  </si>
  <si>
    <t>Requires careful monitoring, The specific predatory mite species is not named, May take time to achieve control equilibrium</t>
  </si>
  <si>
    <t>Predatory Mites, Biological Control, Microclimate, Irrigation, Equilibrium</t>
  </si>
  <si>
    <t>Judicious use of chemicals (Red Spider Mite)</t>
  </si>
  <si>
    <t>Apply a single spray of Abamectin and monitor. A second spray should only be done if necessary, allowing predatory mite populations to grow as the chemical biodegrades.</t>
  </si>
  <si>
    <t>Abamectin can be toxic to some beneficials, Resistance to Abamectin is a risk, Requires careful scouting to determine if a second spray is necessary</t>
  </si>
  <si>
    <t>Abamectin, Chemical Control, Monitoring, Predatory Mites, Biodegradable</t>
  </si>
  <si>
    <t>Integrated weed management of Black Jack weed in beans (Weed)</t>
  </si>
  <si>
    <t>Black Jack is a fast-growing and competitive weed that can cause 40-90% yield loss if not controlled within two weeks of crop establishment.</t>
  </si>
  <si>
    <t>Early intervention is critical, The specific control methods (cultural, chemical) are not detailed, Yield loss can be massive if the critical window is missed</t>
  </si>
  <si>
    <t>Black Jack Weed, Yield Loss, Competition, Critical Stage, Weed Control</t>
  </si>
  <si>
    <t>Ready to Certify</t>
  </si>
  <si>
    <t>Screening Summary (live count)</t>
  </si>
  <si>
    <t>Updates automatically as each group screens and classifies its items.</t>
  </si>
  <si>
    <t>Group</t>
  </si>
  <si>
    <t>Total Items</t>
  </si>
  <si>
    <t>Needs Review</t>
  </si>
  <si>
    <t>Needs Update</t>
  </si>
  <si>
    <t>High Risk</t>
  </si>
  <si>
    <t>Crop</t>
  </si>
  <si>
    <t>TOTAL</t>
  </si>
  <si>
    <t>Seed is an essential component in green gram production. Clean seed and planting materials are a basic resource for crop production and have a direct contribution to the harvest attained. Bulking of quality seed informally in communities ensures that farmers have improved seed availability, ensure household food security and increased income through sale of surplus food. The seed bulking is also important in maintenance of germplasm in communities.</t>
  </si>
  <si>
    <t>Integrated Management of root rot in Green gram</t>
  </si>
  <si>
    <t>Conservation agriculture is a farming approach that sustainably increases crop yields while conserving soil, soil moisture and nutrients, stabilising production and reducing production costs. It is based on three key principles: (1) minimal soil disturbance, such as zero tillage, ripping or planting in basins and planting holes; (2) permanent soil cover using crop residues, mulch or cover crops; and (3) crop diversification through rotation and intercropping, for example rotating Green gram with cereals such as maize or sorghum. Together, these practices improve soil structure and organic matter, reduce erosion and increase tolerance to drought, which is important for the ASALs.</t>
  </si>
  <si>
    <t>Integrated management of scab combines cultural practices and chemical control. Cultural practices: Use clean, certified seed; practise crop rotation with non-legumes such as cereals for 2-3 seasons; practise good field sanitation and hygiene by collecting and disposing of infected plants and crop residues; observe proper spacing, regular weeding and other good agronomic practices to improve air circulation; avoid working in the field when plants are wet. Chemical management: Where the disease is severe, apply fungicides from the flower-bud formation stage until the pods are half-grown. Effective options include copper-based fungicides and trifloxystrobin + tebuconazole based fungicides. Use only products registered by the Pest Control Products Board (PCPB) and follow the label instructions on rates, spray interval and pre-harvest interval.</t>
  </si>
  <si>
    <t>Prophylactic spraying from flower-bud formation is a costly schedule, Copper-based fungicides can be phytotoxic at certain temperatures, Specific products  must be registered and available, Strict adherence to timing (up to pod half-grown) is vital, Use PCPB-registered products, all must be used according to label</t>
  </si>
  <si>
    <t>Integrated bruchid management consists of various approaches to prevent grain damage in the field and in storage. Cultural practices: Harvest promptly when pods are mature and dry, because infestation starts in the field; dry grain to 10% moisture content; sort and remove damaged grain before storage; clean and disinfect stores and storage containers; and do not mix new grain with old grain. Physical and hermetic storage: Store dry grain in hermetic bags such as PICS bags, which suffocate the insects without chemicals. Botanical options: Mix grain with dry neem leaf or seed powder, or with fine wood ash, to reduce egg laying and insect development. Chemical control: Where necessary, use only PCPB-registered grain protectants, applied strictly according to the label and the recommended waiting period before consumption.</t>
  </si>
  <si>
    <t>Integrated management of pod sucking bugs consists of various approaches to prevent pod and grain damage. Cultural control: Plant early and uniformly with recommended varieties so that podding does not coincide with high bug populations; keep the field and its surroundings free of weeds and alternative host plants; rotate with non-host crops such as maize or sorghum; scout the crop regularly from flowering through pod filling; hand pick and destroy bugs in small plots; and harvest on time. Biological control: Conserve natural enemies, such as egg parasitoids, by avoiding unnecessary spraying, and use botanical products such as neem-based formulations (e.g. Nimbecidine, Achook) or Beauveria bassiana based products. Chemical control: Where infestation exceeds the economic threshold, spray a PCPB-registered insecticide (e.g. lambda-cyhalothrin based products) at flowering and early podding. Spray in the early morning or late evening, and observe the label rate and pre-harvest interval.</t>
  </si>
  <si>
    <t>Integrated management of root rot consists of various approaches that help to break the disease cycle. They include cultural management, biological control and chemical control. Root rot is caused by soil-borne fungi that attack the roots and the base of the stem, and it is worst in waterlogged, poorly drained and compacted soils. Cultural practices: Plant in well-drained fields and avoid waterlogging, using raised beds or ridges where drainage is poor; use clean, certified seed; rotate with non-legumes such as cereals for 2-3 seasons; avoid planting in fields with a history of the disease; uproot and destroy infected plants; avoid injuring roots during weeding; and disinfect farm tools. Biological control: Apply Trichoderma-based products (e.g. Rootgard, Trianum P, Trichotech) to the soil or seed, following the label. Chemical management: Dress seed with a PCPB-registered fungicide before planting, and where necessary drench the soil around affected plants with carbendazim based products (e.g. Rodazim) as per the manufacturer's recommendations.</t>
  </si>
  <si>
    <t>Root rot is mainly managed through good drainage and soil health, not insect control, Fields with a history of the disease need long rotations with non-legumes, Infected plants cannot be cured and should be removed early, Biological products need moist soil and correct timing for effectiveness, Use only PCPB-registered fungicides and follow label instructions and pre-harvest intervals</t>
  </si>
  <si>
    <t>Root rot, Soil-borne disease, Cultural management, Drainage, Biological control (Trichoderma), Chemical control</t>
  </si>
  <si>
    <t>o</t>
  </si>
  <si>
    <t>Status</t>
  </si>
  <si>
    <t>Validated</t>
  </si>
  <si>
    <t>KALRO/Wasike V.W., et al. (2022)</t>
  </si>
  <si>
    <t>Inventory of Climate Smart Agriculture Technologies, Innovations and Management Practices for Green Gram Value Chain</t>
  </si>
  <si>
    <t>Elgon Cream Pumpkin Variety</t>
  </si>
  <si>
    <t>Elgon cream is an improved open pollinated dual purpose variety. It is high yielding (50-75MT/ha) because produces more female flowers (flowers that bear fruits) than male flowers. Its fruits are smooth textured (non-fibrous) with sugary taste and a long shelf life. This variety is tolerant to diseases and performs well in altitudes of 100-1800 meters above sea level. Maturity period is between 100-150 days after planting. Average leaf yield is 5 -9 MT/ha.</t>
  </si>
  <si>
    <t>Verify altitude suitability (100-1800 m asl) before planting, Disease tolerance does not eliminate the need for regular monitoring, Female to male flower ratio (70:30) may be affected by environmental stress, Long maturity period requires proper planning before planting, Get certified seeds from approved sources/suppliers.</t>
  </si>
  <si>
    <t>high yielding, open pollinated, disease tolerance, long shelf life, sugary taste, dual purpose</t>
  </si>
  <si>
    <t>KAT Pumpkin 1</t>
  </si>
  <si>
    <t>This variety is a medium maturing variety (140 days) with medium sized fruit (3-3.5 kg) fresh weight. The colour is predominantly green with light creamish speckles. Fruit shape is ovoid round soft and tasty. Vines spreading extensively. It is a highly nutritious variety which contains vitamins A, B complex, C, D, E, K calcium, iron, phosphorus, magnesium, potassium and zinc. KAT Pumpkin 1 is high in dietary fibre, and protein and low in calories. Other qualities are drought tolerance, fast growth making it a food security crop. It requires minimal inputs, has a yield potential of 30 t/ha-1.</t>
  </si>
  <si>
    <t>Extended vine growth requires adequate spacing and land area, Drought tolerance does not eliminate need for irrigation during extreme dry spells, Nutritional content varies with soil fertility and agronomic practices, Requires official release and seed availability confirmation</t>
  </si>
  <si>
    <t>drought tolerant, high nutrition, minimal inputs, food security, medium maturing, ovoid fruit</t>
  </si>
  <si>
    <t>KAT Pumpkin 2</t>
  </si>
  <si>
    <t>This variety is a medium maturing variety (140 days) with medium sized fruit (3-3.5 kg) fresh weight. The colour is predominantly green with light creamish speckles. Fruit shape is ovoid round soft and tasty. Vines spreading extensively. It is a highly nutritious variety which contains vitamins A, B complex, C, D, E, K calcium, iron, phosphorus, magnesium, potassium and zinc. KAT Pumpkin 2 is high in dietary fibre, and protein and low in calories. Other qualities are drought tolerance, fast growth making it a food security crop. It requires minimal inputs, has a yield potential of 30 t/ha-1.</t>
  </si>
  <si>
    <t>Formal Pumpkin Seed System</t>
  </si>
  <si>
    <t>A Seed System is a set of activities contributing to variety development and seed production and delivery to farmers. The formal Pumpkin Seed System is characterized by a well-regulated and organized set of activities, from breeding to delivering certified seeds of known and registered varieties to farmers and other stakeholders. It ensures continuous production, processing, supply and distribution of quality Pumpkin seeds to farmers through organized marketing channels.</t>
  </si>
  <si>
    <t>Certified seeds may be more expensive than informal sources, Verify seed authenticity through KEPHIS certification labels, Formal Seed Systems may have limited variety options, Plan seed purchases in advance of planting seasons</t>
  </si>
  <si>
    <t>certified seeds, quality assurance, KEPHIS, breeding, seed distribution, marketing channels</t>
  </si>
  <si>
    <t>Informal Pumpkin Seed System</t>
  </si>
  <si>
    <t>A Seed System is a set of activities contributing to variety development and seed production and delivery to farmers. The informal Pumpkin Seed System entails seed selection, treatment, storage, multiplication, and distribution. The informal Pumpkin Seed System is outside the control of government agencies, with no external seed quality control. This system includes farmer-saved seed, gifts, barter, exchange and seed purchasing from local markets.</t>
  </si>
  <si>
    <t>No quality assurance for seed health, purity and viability, Higher risk of seed-borne diseases and pests, Lack of traceability for variety authenticity</t>
  </si>
  <si>
    <t>farmer-saved seed, seed exchange, local markets, seed selection, seed health, seed viability, informal system</t>
  </si>
  <si>
    <t>Semi-Informal Pumpkin seed production system</t>
  </si>
  <si>
    <t>A Seed System is a set of activities contributing to variety development and seed production and delivery to farmers. The semi-formal Seed System (termed community-based) is at the interface of formal and informal Seed Systems. A community-based seed production system involves individual farmers, farmer groups or cooperatives producing quality seed of improved varieties for farmers using the formal seed production guidelines.</t>
  </si>
  <si>
    <t>Requires training and capacity building for quality seed production, Community-based systems need strong group governance, Quality standards are less stringent than formal certified seed, Market acceptance may vary for community-produced seed</t>
  </si>
  <si>
    <t>community-based, seed production, farmer groups, quality guidelines, variety testing, semi-formal system, interface</t>
  </si>
  <si>
    <t>Selection of a suitable Pumpkin variety, Seed acquisition or Own Seed Selection, Planting, Weeding, Thinning, Fertilizer Application, Pest and Disease Management and Harvesting.</t>
  </si>
  <si>
    <t>Select adapted varieties such as Elgon Cream or drought-tolerant KAT Pumpkin 1 suited to local agro-ecological zones. Acquire certified seed from accredited sources to avoid seed-borne viruses like CMV, or select seed from healthy, fully mature fruit. Plant 2–3 seeds per hill at 2 cm depth with 2×2 m spacing for Elgon Cream, or 5×3 m for larger varieties. Thin to 2–3 vigorous seedlings per hill after emergence. Apply well-decomposed manure before planting, then top-dress with CAN at 50 kg N/ha three weeks after emergence, splitting a second dose at flowering</t>
  </si>
  <si>
    <t>Choosing the right variety must be guided by agroecological zone suitability for optimal performance and intended use (fruits or leaves or both), Rain-fed planting timing must align with reliable rainfall patterns, Soil must be deep and of fine tilth before planting. Fertilizer application must follow expert recommendations</t>
  </si>
  <si>
    <t>variety selection, certified seed, planting, land preparation, rain-fed farming,</t>
  </si>
  <si>
    <t>Mobile soil testing services (Pumpkin)</t>
  </si>
  <si>
    <t>Mobile van mounted with the necessary soil testing equipment for rapid and on the spot soil testing services.</t>
  </si>
  <si>
    <t>Soil testing equipment requires regular calibration for accuracy, Samples must be collected properly to represent the field, Rapid testing may provide limited nutrient analysis compared to lab testing, Results should be interpreted with expert guidance</t>
  </si>
  <si>
    <t>mobile testing, soil analysis, rapid results, farm gate service, nutrient assessment, soil fertility</t>
  </si>
  <si>
    <t>Integrated Soil Fertility management (ISFM) for Pumpkins</t>
  </si>
  <si>
    <t>This is a set of soil fertility management practices that include the use of inorganic fertilizer, organic inputs and improved germplasm combined with the knowledge on how to adapt these practices to local conditions with an aim of maximizing the agronomic use efficiency of the applied nutrients and improving crop yields.</t>
  </si>
  <si>
    <t>Requires soil testing to determine specific nutrient needs, Avoid over-application of inorganic fertilizers to prevent environmental pollution, Organic inputs need proper composting before application, Site-specific adaptation is critical for success</t>
  </si>
  <si>
    <t>soil fertility, inorganic fertilizer, organic inputs, improved germplasm, nutrient efficiency, crop yields</t>
  </si>
  <si>
    <t>Integrated Manure Management (IMM) (Pumpkin)</t>
  </si>
  <si>
    <t>Integrated Manure Management (IMM) is the optimal, site-specific handling of livestock manure from collection, through treatment and storage up to application to crops. Manure is obtained from different animals (poultry, cow, sheep, goat, horse) on the farm, but it can also be bought from other farmers or at the market. When managed properly, it provides plant nutrients, builds soil organic matter, and improves soil physical properties all of which are important for soil quality and crop production.</t>
  </si>
  <si>
    <t>Improperly composted manure may contain pathogens and viable weed seeds, Fresh manure can burn plant roots if applied directly, Manure quality varies by animal type, health and feed, GHG emissions can occur if manure is not properly managed</t>
  </si>
  <si>
    <t>manure management, soil organic matter, nutrient cycling, composting, soil health, crop production</t>
  </si>
  <si>
    <t>Rain water Roof water catchment (Pumpkin)</t>
  </si>
  <si>
    <t>Rain water harvesting is a technique of collection and storage of rainwater into natural reservoirs or tanks, or the infiltration of surface water into subsurface aquifers (before it is lost as surface run off). A vast number of techniques allow flexibility and adaptability to site-specific situations to best fight water scarcity and make agricultural production more resilient. Examples of rainwater harvesting are rooftop harvesting and harvesting through earth dams.</t>
  </si>
  <si>
    <t>Requires regular maintenance of gutters and storage systems, Mosquito breeding can occur in uncovered water storage, Initial investment costs may be high for some households, Water quality may be affected by roof materials and debris</t>
  </si>
  <si>
    <t>water harvesting, rainwater collection, storage tanks, irrigation, water scarcity, climate resilience</t>
  </si>
  <si>
    <t>Mulching (Pumpkin - Soil/Water)</t>
  </si>
  <si>
    <t>The practice of covering the soil/ground with materials such as straw, dead leaves, polythene sheets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 decomposes).</t>
  </si>
  <si>
    <t>Organic mulch may harbor pests and diseases therefore continue scouting after mulching, Plastic mulch requires proper disposal to prevent environmental pollution, Mulch can compete with livestock feed and fuelwood needs, Excessive organic mulch may harbor rodents and slugs</t>
  </si>
  <si>
    <t>mulching, soil moisture conservation, weed suppression, temperature regulation, soil fertility, organic matter</t>
  </si>
  <si>
    <t>Solar Irrigation Systems for smallholder farmers (Pumpkin)</t>
  </si>
  <si>
    <t>This is a technology that uses solar power in the pumping of irrigation water and running of the irrigation systems.</t>
  </si>
  <si>
    <t>High initial investment costs for solar panels and pumps, Requires adequate sunlight for optimal performance, System components need regular maintenance, Battery storage may be needed for cloudy periods</t>
  </si>
  <si>
    <t>solar irrigation, renewable energy, water pumping, smallholder farming, climate smart, green technology</t>
  </si>
  <si>
    <t>Drip irrigation (Pumpkin)</t>
  </si>
  <si>
    <t>The technology involves dripping water onto the soil at very low rates from a system of small diameter plastic pipes fitted with outlets called emitters or drippers. The technology delivers water and nutrients directly to the plant's root zone, in the right amounts, at the right time, so each plant gets exactly what it needs, when it needs it, to grow optimally. Drip irrigation is well suited for small holder farm units.</t>
  </si>
  <si>
    <t>Emitters can clog with sediment, Requires regular filter cleaning and maintenance, High initial cost for quality drip systems, Poly tubing can collapse or be damaged by rodents, so continue scouting after installing drip lines.</t>
  </si>
  <si>
    <t>drip irrigation, water efficiency, fertigation, root zone, smallholder farming, water conservation</t>
  </si>
  <si>
    <t>Integrated management of Melon/cotton Aphid (Aphis gossypii) in Pumpkin</t>
  </si>
  <si>
    <t>This is an integrated approach of various control methods to suppress the aphids below economic injury levels. Cultural Control: Prepare land well and apply 10 kg CAN/acre and 14 kg/acre DAP to increase plant vigour; Remove weeds which may provide additional breeding grounds for aphids, Conserve natural enemies by planting lantana hedges to act as breeding grounds for predators; Rotate with non-host crops; Remove heavily infested plant parts and destroy by burning; Spray with soapy water solution.</t>
  </si>
  <si>
    <t>Over-fertilization can attract aphids to nitrogen-rich plants, Soapy water sprays may damage plants if concentration is too high, Natural enemy conservation requires reduced pesticide use</t>
  </si>
  <si>
    <t>aphids, cultural control, natural enemies, soap spray, crop rotation, integrated pest management</t>
  </si>
  <si>
    <t>Integrated management of Pickle worm/melon worm (Diaphania hyalinata) in Pumpkin</t>
  </si>
  <si>
    <t>Integrated management of melon Pickle worm/melon worm includes the use of various pest control strategies. The strategies include cultural, biological and chemical control. Cultural practises: Early planting; Sanitation and weed control; Trap cropping with squash. Biological management: Spray neem oil solution. Chemical management: Use of appropriate contact insecticide such as malathion (2ml/l of water).</t>
  </si>
  <si>
    <t>Neem oil requires proper mixing and timing for effectiveness, Trap cropping requires additional land and management, Early planting must align with weather patterns, Always follow manufacturer's instructions for chemical application</t>
  </si>
  <si>
    <t>pickle worm, melon worm, cultural control, trap cropping, neem oil, integrated pest management</t>
  </si>
  <si>
    <t>Integrated management of melon Leaf cutting beetle includes the use of various pest control strategies. The strategies include cultural, biological and chemical control.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Nimbeidine EC (Azadirachtin 0.03%).</t>
  </si>
  <si>
    <t>Hand picking is labor-intensive and may not be practical for large farms, Domestic chickens may damage young plants when foraging, Biopesticides require proper timing for effectiveness, Always wear protective gear when applying chemical pesticides</t>
  </si>
  <si>
    <t>leaf cutting beetle, cultural control, biological control, biopesticides, sanitation, pest management</t>
  </si>
  <si>
    <t>Integrated management of thrips includes the use of various pest control strategies. The strategies include cultural, biological and chemical control. Cultural practises: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Use blue sticky cardboard traps to attract thrips.</t>
  </si>
  <si>
    <t>Overhead irrigation may promote fungal diseases in some conditions, Blue sticky traps need regular replacement, Mulch may harbor other pests if not properly managed, Soapy sprays require correct concentration to avoid crop damage</t>
  </si>
  <si>
    <t>thrips, cultural control, sticky traps, overhead irrigation, mulching, integrated pest management</t>
  </si>
  <si>
    <t>This is an integrated approach of various control methods to suppress the white flies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Remove heavily infested plant parts and destroy by burning; Spray with soapy water solution. Bio-control: Apply neem based products (e.g. neem oil 40ml/20lts of water, Achook) 2 times/month.</t>
  </si>
  <si>
    <t>Over-fertilization can attract white flies, Neem products require proper mixing and regular application, Soapy water sprays may damage plants if concentration is too high, Natural enemy conservation requires reduced broad-spectrum pesticide use</t>
  </si>
  <si>
    <t>white fly, cultural control, biological control, neem products, crop rotation, integrated pest management</t>
  </si>
  <si>
    <t>Integrated management of Rind worm in Pumpkin</t>
  </si>
  <si>
    <t>Integrated management of Rind worm applies a combination of several approaches to manage the pest cycle. These include: cultural, biological and chemical control. Cultural Control: Plant clean seedlings free from all stages of the moth; Rotate with non-host crops such as maize, beans and cabbages; Remove and bury all infested plants, foliage and infected crop residues in a deep pit (over 1m); Remove infested leaves before the caterpillar pupates inside and becomes an egg-laying adult. Bio-control: Use of Bacillus thuringiensis at recommended rates; Use of Pheromone traps; Use sticky traps - 24 pcs/acre.</t>
  </si>
  <si>
    <t>Pheromone traps require regular monitoring and replacement, Deep burial of infested plant parts (over 1m) requires significant labor, Bt products require proper timing for effectiveness, Crop rotation requires long-term planning</t>
  </si>
  <si>
    <t>rind worm, cultural control, biological control, Bt, pheromone traps, crop rotation</t>
  </si>
  <si>
    <t>Integrated management of Leaf miner (Liriomyza sp) in Pumpkin</t>
  </si>
  <si>
    <t>Pheromone traps require regular monitoring and replacement, Deep burial (over 1m) requires significant labor, Bt products require proper timing for effectiveness, Crop rotation requires long-term planning</t>
  </si>
  <si>
    <t>leaf miner, cultural control, biological control, Bt, pheromone traps, crop rotation</t>
  </si>
  <si>
    <t>Integrated management of Melon fly in Pumpkin</t>
  </si>
  <si>
    <t>Integrated management of Melon fly applies a combination of several approaches to manage the pest cycle. These include: cultural, biological and chemical control. Cultural Control: Rotate with non-host crops such as maize, beans and cabbages; Remove and bury all infested plants, foliage and infected crop residues in a deep pit (over 1m). Bio-control: Use of Bacillus thuringiensis at recommended rates; Use of Pheromone traps; Use sticky traps - 24 pcs/acre.</t>
  </si>
  <si>
    <t>Pheromone traps require regular monitoring and replacement, Deep burial of infested plants (over 1m) requires significant labor, Bt products require proper timing for effectiveness, Crop rotation requires long-term planning</t>
  </si>
  <si>
    <t>melon fly, cultural control, biological control, Bt, pheromone traps, crop rotation</t>
  </si>
  <si>
    <t>Integrated management of Red spider mite in Pumpkin</t>
  </si>
  <si>
    <t>Integrated management of Red spider mites consists of several approaches applied simultaneously to break the cycle of the insect. Cultural Control: Keep the farm weed free from the alternative hosts such as solanum family crops that may harbour red spider mites; Avoid planting Pumpkin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t>
  </si>
  <si>
    <t>Overhead irrigation may promote fungal diseases, Purchasing predatory mites adds to production costs, Neem extract requires proper preparation and timing, Pruning requires knowledge to avoid reducing yield</t>
  </si>
  <si>
    <t>red spider mite, cultural control, biological control, predatory mites, overhead irrigation, neem extract</t>
  </si>
  <si>
    <t>Integrated management of Root Knot nematodes in Pumpkin</t>
  </si>
  <si>
    <t>Nematodes affecting Pumpkin are controlled through cultural management practices and chemical control. Cultural practices: Crop rotation with non-cucurbitaceae crops i.e. crops in the grass family for 4-6 seasons; Avoidance of surface run off as it spreads the pest to non-infected areas, uprooting affected plants and burying; Soil solarization during dry months of the year on severely affected fields; Cleaning of farm tools and equipments after use; Incorporate Tithonia or Mexican marigold as green manure into the infested soil during planting. Biological control: Drench infested soil with neem based products e.g. Nimbecidine at a rate of 60ml/20L.</t>
  </si>
  <si>
    <t>Long crop rotation (4-6 seasons) may not be feasible for small farms, Soil solarization requires specific climatic conditions (hot dry months), Follow label instructions carefully when using neem products, Tool cleaning requires consistent practice</t>
  </si>
  <si>
    <t>nematode management, crop rotation, soil solarization, biological control, neem products, green manure</t>
  </si>
  <si>
    <t>Integrated management of Cut worm in Pumpkin</t>
  </si>
  <si>
    <t>Cut worm affecting Pumpkin is controlled through cultural management practises and chemical control. Cultural practices: Crop rotation with non-cucurbitaceae crops such as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t>
  </si>
  <si>
    <t>Long crop rotation (4-6 seasons) may not be feasible for small farms, Soil solarization requires specific climatic conditions, Follow label instructions carefully when using neem products, Uprooting affected plants requires early detection</t>
  </si>
  <si>
    <t>cutworms, crop rotation, soil solarization, biological control, neem products, cultural control</t>
  </si>
  <si>
    <t>Integrated management of Leaf eating caterpillar in Pumpkin</t>
  </si>
  <si>
    <t>Leaf eating caterpillar affecting Pumpkin is controlled through cultural management practises and chemical control. Cultural practices: Crop rotation with non-cucurbitaceae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t>
  </si>
  <si>
    <t>leaf eating caterpillar, crop rotation, soil solarization, biological control, neem products, cultural control</t>
  </si>
  <si>
    <t>Integrated Management of Anthracnose disease in Pumpkin</t>
  </si>
  <si>
    <t>Integrated management of anthracnose applies various approaches in management of the diseases. They include: cultural and chemical control. Cultural practices: Use certified seeds; Practice crop rotation with non-cucurbitaceae; Work in uninfected parts of the field first before the infected area; Avoid unnecessary movement in infected areas to minimize spread of the disease, disinfect farm implements after working from one field before proceeding to the other; Hot water treatment of Pumpkins at 54°C for 10min. Chemical management: Applying fungicides from flower-bud formation stage until when pods are fully developed; Spraying Carbendazim 500g or Mancozeb 2kg/ha soon after the appearance of disease and repeat after 15 days.</t>
  </si>
  <si>
    <t>Hot water treatment requires precise temperature control (54°C), Fungicide timing (flower-bud stage) requires accurate crop monitoring, Overuse of fungicides can lead to resistance, Always observe pre-harvest intervals</t>
  </si>
  <si>
    <t>anthracnose, cultural control, chemical control, hot water treatment, crop rotation, fungicides</t>
  </si>
  <si>
    <t>Integrated Management of Powdery mildew disease in Pumpkin</t>
  </si>
  <si>
    <t>Integrated management of powdery mildew applies a combination of several approaches to break the disease cycle. These include: cultural management and chemical control. Cultural management options: Plant early using certified seeds; Practice crop rotation with non-cucurbitaceae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</si>
  <si>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Copper-based fungicides require careful application to avoid phytotoxicity, Early planting may not be possible in all areas, Walking through wet fields should be avoided to prevent spread, Disease symptoms must be detected early for effective control</t>
  </si>
  <si>
    <t>powdery mildew, cultural control, chemical control, copper fungicides, crop rotation, field sanitation</t>
  </si>
  <si>
    <t>Integrated Management of Alternaria leaf spot disease in Pumpkin</t>
  </si>
  <si>
    <t>Integrated disease management of Alternaria leaf spot applies cultural management practices, deployment of tolerant varieties and chemical control in the management of the disease in Pumpkin. Cultural practices: Practice good field sanitation and hygiene practices by collecting and safely disposing infected plants; Regular weeding. Grow tolerant varieties: Grow varieties that are less susceptible to the disease such as KAT60/80 and Mbaazi 2. Chemical management: Spray Mancozeb based products (Oshothane or Farmcozeb at 2kg/ha or Carbendazim 500 g/ha).</t>
  </si>
  <si>
    <t>Tolerant varieties may still require disease monitoring, Field sanitation and weeding require consistent effort, Fungicide application timing is critical for effectiveness, Mancozeb products have pre-harvest intervals to observe</t>
  </si>
  <si>
    <t>Alternaria leaf spot, tolerant varieties, cultural control, chemical control, field sanitation, Mancozeb</t>
  </si>
  <si>
    <t>Integrated Management of Cucumber Mosaic Viral disease in Pumpkin</t>
  </si>
  <si>
    <t>Virus diseases are not curable once infection occurs, Vector control requires consistent and timely pesticide application, Certified seeds reduce but do not eliminate virus risk, Always follow label instructions for chemical application</t>
  </si>
  <si>
    <t>cucumber mosaic virus, viral disease, white fly vector, certified seeds, seed treatment, vector control</t>
  </si>
  <si>
    <t>Integrated Management of Yellow Mosaic Viral disease in Pumpkin</t>
  </si>
  <si>
    <t>Integrated management of Yellow Mosaic Viral disease of Pumpkins is the combined application of cultural and chemical management practices against the disease. The virus is transmitted by White flies (Bemisia tabaci) as they suck sap from plant tissues. Cultural practices: Use of certified seed; Monitoring and control of vectors (White flies) that transmit the viruses; Avoiding work on fields when wet to prevent spread; Uprooting weeds that could serve as alternative hosts. Chemical management: Treat the seeds with CELEST TOP 312 FS Flowable Concentrate, MARSHAL 350 STD Dry seed treatment; Spray Thiamethoxam-25WG @ 100g or Imidacloprid 17.8% SL @ 100 ml in 500 lit of water.</t>
  </si>
  <si>
    <t>yellow mosaic virus, viral disease, white fly vector, certified seeds, seed treatment, vector control</t>
  </si>
  <si>
    <t>Integrated Management of Phytophthora blight in Pumpkins</t>
  </si>
  <si>
    <t>Integrated management of Phytophthora blight applies cultural and chemical practices to manage the disease. Cultural practices: Crop rotation with non-cucurbitaceae for a period of 2 to 3 seasons; Rogueing out infected plants from the farm and burying them deeply; Good drainage in the fields and the plants should be protected from stem injury; Crop rotation should be followed; Avoidance of working in the fields when plants are wet to minimize spread; Disinfecting farm tools in jik solution (50 ml: litre); Practicing good field sanitation and hygiene practices by collecting and disposing infected plants. Chemical management: Seed treated with Metalaxyl 35 WS @3 g/ kg of seed.</t>
  </si>
  <si>
    <t>Good field drainage is essential and may require land preparation, Jik solution (1:20 ratio) must be prepared correctly, Seed treatment with Metalaxyl requires proper mixing, Crop rotation (2-3 seasons) requires long-term planning</t>
  </si>
  <si>
    <t>Phytophthora blight, cultural control, chemical control, drainage, seed treatment, crop rotation</t>
  </si>
  <si>
    <t>Integrated Management of Fusarium wilt in Pumpkin</t>
  </si>
  <si>
    <t>Integrated management of Fusarium wilt applies cultural and chemical practices to manage the disease. Cultural practices: A three-year crop rotation schedule with non-cucurbitaceae and the planting of resistant varieties is advised; Field sanitation by removing or rouging infected plants and burning them should be done; A soil sample analysis should be done before planting of Pumpkins at each and every season; Disinfecting farm tools in jik solution (50 ml: litre). Chemical management: Suspected infected soils can be drenched with Carbendazim based products like Rodazim SC or Bendazim SC as per the manufacturers' recommendations.</t>
  </si>
  <si>
    <t>Three-year crop rotation may not be feasible for small farms, Soil drenching requires proper application rate and timing, Jik solution (1:20 ratio) must be prepared correctly, Resistant varieties may not be available locally</t>
  </si>
  <si>
    <t>Fusarium wilt, crop rotation, field sanitation, soil drenching, resistant varieties, Carbendazim</t>
  </si>
  <si>
    <t>Integrated management of seedling blight disease in Pumpkin</t>
  </si>
  <si>
    <t>Integrated management of seedling blight consists of several approaches applied in an integrated manner to break the disease cycle. These include: cultural management and chemical control. Cultural management options: Plant early using certified seeds; Use quality certified seeds; Remove and destroy infected seedlings by burning; Practice crop rotation with non-cucurbitaceae crops for a period of 2-3 seasons; Ensure that field sanitation and hygiene practices are adhered to by collecting and safely disposing infected plants by deeply burying them. Chemical control options: Dressed seeds with Imidacloprid based fungicides such as 'Gaucho', Thiamethoxam based products "Poncho", Thiram based products "Moncerene" at recommended rates; Drench using carbendazim based products e.g. Rodazim or Mancozeb based products.</t>
  </si>
  <si>
    <t>Seed dressing requires proper mixing and handling, Early planting may not be possible in all areas, Destroying infected seedlings by burning requires proper disposal, Certified seeds reduce but do not eliminate disease risk</t>
  </si>
  <si>
    <t>seedling blight, seed dressing, cultural control, chemical control, crop rotation, field sanitation</t>
  </si>
  <si>
    <t>Integrated management of Rind and Bud Necrosis in Pumpkin</t>
  </si>
  <si>
    <t>Integrated management of Rind and Bud Necrosis disease a combination of various cultural practices against the disease. Cultural practices: Control the thrips; Use disease free seeds; Avoid unnecessary handling of plants to limit the spread of the disease; Plow-down or thoroughly compost field debris and cull piles after each growing cycle; Maintaining a clean buffer zone free of weeds of at least 25 m between a virus source and a susceptible crop can considerably reduce virus levels.</t>
  </si>
  <si>
    <t>Thrips control requires integrated pest management, 25m buffer zone may not be feasible on small farms, Thorough composting requires proper technique and time, Disease-free seeds must be sourced from certified suppliers</t>
  </si>
  <si>
    <t>rind necrosis, bud necrosis, thrips control, buffer zone, disease-free seeds, field sanitation</t>
  </si>
  <si>
    <t>Integrated management of Bacterial Fruit Blotch disease in Pumpkin</t>
  </si>
  <si>
    <t>Integrated management of Bacterial Fruit Blotch disease encompasses the use of various approaches in management of the diseases. They include: cultural and chemical practices. Cultural practices: Use disease free seeds; Providing good drainage (raised beds, properly graded fields); Maintain low humidity and eliminate free water using sub-irrigation of flats to control spread of the bacterium; Avoid overhead irrigation; Do not handle plants while the foliage is wet; Segregate seed lots to reduce the chance of lot-to-lot; Avoid unnecessary handling of plants to limit the spread of the disease; Plow-down or thoroughly compost field debris and cull piles after each growing cycle. Chemical management: Apply etridiazole and metalaxyl; benomyl, mancozeb, maneb, and thiophanate methyl based fungicides at recommended rates.</t>
  </si>
  <si>
    <t>Avoiding overhead irrigation may require irrigation system changes, Sub-irrigation requires specific infrastructure, Seed lot segregation requires careful record keeping, Chemical application requires adherence to label instructions</t>
  </si>
  <si>
    <t>bacterial fruit blotch, cultural control, chemical control, drainage, seed selection, field sanitation</t>
  </si>
  <si>
    <t>Integrated management of Damping off disease in Pumpkin</t>
  </si>
  <si>
    <t>Integrated management of Damping off disease encompasses the use of various approaches in management of the diseases. They include: cultural, biological and chemical practices. Cultural practices: Use disease free seeds; Providing good drainage (raised beds, properly graded fields); Plant when soil and air temperatures are favorable for rapid seedling emergence. Biological: Apply Trichoderma spp. and Gliocladium spp. or bacteria such as Pseudomonas spp. and Bacillus spp. at recommended rates. Chemical management: Apply etridiazole and metalaxyl; benomyl, mancozeb, maneb, and thiophanate methyl based fungicides at recommended rates against Fusarium wilt pathogens.</t>
  </si>
  <si>
    <t>Biological control agents require proper handling and storage, Soil temperature must be monitored for optimal germination, Raised beds require additional labor for preparation, Chemical application should be the last resort</t>
  </si>
  <si>
    <t>damping off, cultural control, biological control, chemical control, Trichoderma, seed treatment</t>
  </si>
  <si>
    <t>Integrated Weed Management (Pumpkin)</t>
  </si>
  <si>
    <t>Integrated weed management (IWM) is using of several weed approaches such as preventive, physical control, biological control, use of biodegradable mulch, cultural, mechanical and chemical control the management of weeds. Physical control is the removal of weeds manually or mechanical means, such as hand weeding or mowing. Biological control is the use of selected weeds as animal feed e.g. grasses. Chemical control is where appropriate herbicides are used to control weeds. Cultural control includes the practice of crop rotation since various crops may influence the diversity and abundance of particular weed flora.</t>
  </si>
  <si>
    <t>Herbicide misuse can damage crops and harm the environment, Manual weeding is labor-intensive and costly, Biological control through grazing requires careful management to avoid crop damage and exposure of livestock to poisonous weeds such as datura, Some weeds may develop resistance to herbicides</t>
  </si>
  <si>
    <t>integrated weed management, physical control, biological control, chemical control, cultural control, crop rotation</t>
  </si>
  <si>
    <t>Land Preparation Practices to control weeds in AIVs (Pumpkin)</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</si>
  <si>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Pumpkin seeds.</t>
  </si>
  <si>
    <t>Land preparation in steep areas can lead to soil erosion, Herbicide use in no-till systems requires careful application, Mechanical tillage may damage soil structure if done improperly, Dry weather preparation requires planning before rains begin</t>
  </si>
  <si>
    <t>land preparation, zero tillage, ploughing, harrowing, ridging, weed control</t>
  </si>
  <si>
    <t>Legume Intercropping System (Pumpkin)</t>
  </si>
  <si>
    <t>Innovative Legume Intercropping System is the growing of legumes crops such as Cowpea with Pumpkin in a field at the same time, as a tool to enhance agricultural production and to obtain efficient land use. Legumes benefit the main crop (Pumpkin) by replenishing soil nitrogen, smothering weeds and retaining soil moisture.</t>
  </si>
  <si>
    <t>Competition between Cowpea and Pumpkin for water, nutrients and light can reduce Pumpkin yields, Increased labor for management and harvesting, May complicate mechanization and pesticide application</t>
  </si>
  <si>
    <t>intercropping, legume, mixed cropping, strip cropping, relay cropping, alley cropping</t>
  </si>
  <si>
    <t>Pumpkin Intercropping</t>
  </si>
  <si>
    <t>Intercropping of Pumpkin is the practice of planting Pumpkin between other crops between rows such as cereal (maize, millets), tubers (cassava), and bananas. Intercropping must be planned to use space available and smother the weeds.</t>
  </si>
  <si>
    <t>Competition for resources may reduce yields of both crops, Requires proper spacing to avoid shading, May complicate pest management and harvesting, Not suitable for all cropping systems</t>
  </si>
  <si>
    <t>intercropping, companion planting, weed suppression, space utilization, crop diversification</t>
  </si>
  <si>
    <t>Mulching (Weed Control) (Pumpkin)</t>
  </si>
  <si>
    <t>The practice of covering the soil/ground with natural or synthetic materials to control weeds from seeds that germinate near or at the soil surface. There are two types of mulch: biodegradable or natural mulch including straw, dead leaves and compost to make more favourable conditions for plant growth, development and efficient crop production. The mulch should be between 2-4 inches deep to be effective. Non degradable or synthetic mulches can be used in growing for long season Pumpkin. Only black mulch should be used to control weeds.</t>
  </si>
  <si>
    <t>Organic mulches may introduce weed seeds if not properly prepared, Plastic mulches require proper disposal to prevent environmental damage, Mulch thickness should not exceed 4 inches to prevent oxygen deprivation, Black plastic may overheat soil in hot climates</t>
  </si>
  <si>
    <t>mulching, weed control, organic mulch, synthetic mulch, black plastic, soil coverage</t>
  </si>
  <si>
    <t>Chemical Weed Control (Pumpkin)</t>
  </si>
  <si>
    <t>Chemical weed control refers a technique that involves the application of herbicide to control the growth of weeds or to kill emerging weed seedlings and/or weed seeds. Herbicide technology requires knowledge on herbicides required for specific crops, weeds occurring and the environmental conditions in the cropping system. Use ONLY Recommended herbicides where need be.</t>
  </si>
  <si>
    <t>Use only PCPB-approved herbicides for Pumpkin, Follow label instructions strictly to avoid crop damage, Apply herbicides during recommended weather conditions, Wear appropriate personal protective equipment</t>
  </si>
  <si>
    <t>herbicides, weed control, PCPB, pre-emergence, post-emergence, crop safety</t>
  </si>
  <si>
    <t>Mechanical weeding (Pumpkin)</t>
  </si>
  <si>
    <t>This is where an implement is used to weed after having planted clean certified seeds in weed free well prepared ground. Planting should be done in rows to facilitate inter row weeding. Two weedings at 15 and 30 days after sowing (DAS). These implements are used to weed between the rows. The intra row weeds are removed by hand pulling.</t>
  </si>
  <si>
    <t>Mechanical weeders may damage crop roots if not properly adjusted, Requires row planting which may not suit all farmers, Equipment can be expensive for smallholder farmers, Manual hand pulling of intra-row weeds is labor-intensive</t>
  </si>
  <si>
    <t>mechanical weeding, row weeder, inter-row weeding, timeliness, labor saving, implements</t>
  </si>
  <si>
    <t>Safe Use of Agrochemicals (Pumpkin)</t>
  </si>
  <si>
    <t>This refers to the correct application of agrochemicals based on manufacturer's instructions. It includes capacity building of stakeholders and crop protection teams on safe handling, application, use of pesticides right from transportation from the agro-dealers to storage in a special store, mixing procedures and their application in the field in order to ensure safety of the crop, the person handling them and the environment at large and community surrounding. It also covers proper methodologies for pesticide disposal to minimize pollution of the environment.</t>
  </si>
  <si>
    <t>Always wear appropriate Personal Protective Equipment (PPE), Never store pesticides in food or drink containers, Follow pre-harvest intervals (PHI) strictly, Dispose of pesticide containers properly through designated collection centers</t>
  </si>
  <si>
    <t>agrochemical safety, pesticide handling, PPE, storage, disposal, pre-harvest interval</t>
  </si>
  <si>
    <t>Power tiller (Pumpkin)</t>
  </si>
  <si>
    <t>A Power Tiller is a two-wheeled agricultural implement fitted with rotary tillers, disk harrow, moldboard plough, trailer, water pump or chisel at alternate times for easing farm operations. It can complete 1ha per day by one operator in about two hours. This will vary depending on the climatic conditions, soil types, soil moisture content, stamina and experience of the operator. Fuel consumption is about 15 liters per ha. Though these results vary with the technical ability of the operator.</t>
  </si>
  <si>
    <t>Requires training for safe operation, High initial investment cost, Maintenance costs can be significant, Not suitable for very small or rocky fields</t>
  </si>
  <si>
    <t>power tiller, mechanization, tillage, land preparation, two-wheel tractor</t>
  </si>
  <si>
    <t>Wheeled Tractor less than 50Hp (Pumpkin)</t>
  </si>
  <si>
    <t>A tractor is an engineering vehicle specifically designed to deliver a high tractive effort (or torque) at slow speeds, for the purposes of hauling a trailer or machinery such as that used in agriculture. Most commonly, the term is used to describe a farm vehicle that provides the power and traction to mechanize agricultural tasks, especially (and originally) tillage, trailer towing, planting, weeding, ridging, planting, spraying, harvesting, ground grading and much more agricultural functions.</t>
  </si>
  <si>
    <t>High initial purchase cost, Requires regular maintenance and fuel, Operator needs proper training and licensing, May not be feasible for smallholder farms</t>
  </si>
  <si>
    <t>tractor, mechanization, tillage, planting, spraying, harvesting</t>
  </si>
  <si>
    <t>Mould board plough (Pumpkin)</t>
  </si>
  <si>
    <t>Mouldboard plough is an agricultural implement and is generally considered to be an important tillage implement. Mouldboard ploughs are available for power tiller and tractor operation. A mouldboard plough does four jobs namely a) cutting the furrow slice, b) lifting the furrow slice, c) inverting the furrow slice and d) pulverizing the furrow slice. Ploughing accounts for more traction energy than any other field operation. The plough conserves moisture and biomass while pulverizing the soil hence climate smart.</t>
  </si>
  <si>
    <t>Requires proper adjustment for desired depth, May cause soil erosion on slopes, Inverts soil layers which can bring weed seeds to surface, Requires significant tractor power to operate</t>
  </si>
  <si>
    <t>mouldboard plough, tillage, furrow, soil inversion, ploughing, climate smart</t>
  </si>
  <si>
    <t>Disc Harrow (Pumpkin)</t>
  </si>
  <si>
    <t>A harrow, farm implement used to pulverize soil, break up crop residues, uproot weeds and cover seed. It is a farm implement used for surface tillage. It is used after ploughing for breaking up and smoothing out the surface of the soil. The purpose of harrowing is to break up clods and to provide a smooth soil structure, called tilth, that is suitable for planting seeds. Coarser harrowing may also be used to remove weeds and to cover seed after sowing.</t>
  </si>
  <si>
    <t>Requires multiple passes for effective soil preparation, May not work well in heavy clay soils, Can cause soil compaction if used when soil is wet, Regular maintenance of discs is required</t>
  </si>
  <si>
    <t>disc harrow, tillage, seedbed preparation, clod breaking, soil smoothing, weed uprooting</t>
  </si>
  <si>
    <t>AIV Planter (Pumpkin)</t>
  </si>
  <si>
    <t>A seed drill is a farm implement that sow seeds at a desired seeding rate and depth, ensuring that the seeds are covered and compacted under soil. This saves them from being eaten by birds and animals, or being dried up due to exposure to sun. With seed drill machines, seeds are distributed in rows, however the distance between seeds along the row can be adjusted by the user. This allows plants to get sufficient sunlight, nutrients, and water from the soil.</t>
  </si>
  <si>
    <t>Requires calibration for different seed types and sizes, Adjustable row spacing needs proper settings, Equipment is expensive for smallholder farmers, Requires training for proper operation</t>
  </si>
  <si>
    <t>seed drill, planter, seeding rate, row spacing, mechanized planting, seed placement</t>
  </si>
  <si>
    <t>Motorized Sprayer (Pumpkin)</t>
  </si>
  <si>
    <t>A motorized sprayer is a device used to spray a liquid, where sprayers are commonly used for projection of water, weed killers, crop performance materials, pest maintenance chemicals, as well as manufacturing and production line ingredients. In agriculture, a sprayer is a piece of equipment that is used to apply herbicides, pesticides and fertilizers on agricultural crops. Sprayers are man-portable units typically backpacks with spray guns.</t>
  </si>
  <si>
    <t>Requires proper calibration to avoid over/under application, Regular maintenance of nozzle and filters needed, Always wear PPE when handling chemicals, Follow wind direction to avoid spray drift</t>
  </si>
  <si>
    <t>motorized sprayer, pest control, herbicide application, fertilizer application, crop protection, spray equipment</t>
  </si>
  <si>
    <t>Power weeder (Pumpkin)</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</si>
  <si>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Pumpkin farmers. It is designed to weed specified spacing inter raw within Pumpkin.</t>
  </si>
  <si>
    <t>Requires specific row spacing to operate effectively, Fuel and maintenance costs can be significant, May damage crop roots if not carefully operated, Not suitable for all soil types and conditions</t>
  </si>
  <si>
    <t>power weeder, mechanical weeding, soil cultivation, inter-row weeding, self-propelled, weed control</t>
  </si>
  <si>
    <t>Back Pack Weeder (Pumpkin)</t>
  </si>
  <si>
    <t>It is a hand held machine that simultaneously cut the soil and weeds in AIV and is an intermediate technology machine appropriate for Small Holder Farmers. It is designed to weed specified spacing inter raw within Pumpkin.</t>
  </si>
  <si>
    <t>Manual operation can be physically demanding, Requires proper technique to avoid crop damage, Regular blade maintenance needed for effective cutting, May not be suitable for large-scale operations</t>
  </si>
  <si>
    <t>backpack weeder, hand-held weeder, weed cutting, smallholder, inter-row weeding, manual mechanization</t>
  </si>
  <si>
    <t>Back Pumpkin Harvester</t>
  </si>
  <si>
    <t>It is a hand held machine that simultaneously cut the vegetable leaves and is an intermediate technology machine appropriate for Small Holder Farmers. It is designed to harvest specified spacing inter raw within Pumpkin.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</si>
  <si>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Requires electricity or battery power source, May not be suitable for all leaf vegetable types, Cutting height needs proper adjustment, Initial investment cost may be high for smallholders</t>
  </si>
  <si>
    <t>leaf harvester, vegetable harvesting, electric motor, leaf cutting, mechanized harvesting, smallholder</t>
  </si>
  <si>
    <t>Sorting and Grading of Pumpkin</t>
  </si>
  <si>
    <t>Sorting involves removal of diseased, rotten, nutrient deficiencies signs (e.g. yellowing spots), weeds and debris. Grading is grouping of Pumpkin according to weight, maturity, turgidity, physical damage, and market demand.</t>
  </si>
  <si>
    <t>Requires training to identify quality defects consistently, Can be labor-intensive and time-consuming, Market specifications may vary between buyers, Rejected produce needs proper disposal or alternative use</t>
  </si>
  <si>
    <t>sorting, grading, quality control, postharvest, market standards, value addition</t>
  </si>
  <si>
    <t>Zero Energy Brick Cooler (Pumpkin)</t>
  </si>
  <si>
    <t>The Zero Energy Brick Cooler consists of a double brick wall filled with sand in between, and a storage chamber. The sand is kept moist with water. The inside chamber is cooled through the water in the sand.</t>
  </si>
  <si>
    <t>Requires constant water supply to maintain moisture, Most effective in dry and windy environments, Regular maintenance and sand replacement needed, Construction requires specific materials and skills</t>
  </si>
  <si>
    <t>zero energy cooler, evaporative cooling, brick cooler, postharvest storage, shelf life extension</t>
  </si>
  <si>
    <t>CoolBot™ (Pumpkin)</t>
  </si>
  <si>
    <t>It is a low cost postharvest temperature management that improved the shelf life of Pumpkin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</si>
  <si>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Requires reliable electricity supply for operation, Room must be properly insulated for effectiveness, Initial cost includes air conditioner and installation, Temperature needs regular monitoring</t>
  </si>
  <si>
    <t>CoolBot, cold storage, postharvest, temperature management, shelf life, electricity saving</t>
  </si>
  <si>
    <t>Wakati™ technology (Pumpkin)</t>
  </si>
  <si>
    <t>Wakati™ is a simple and innovative solution where altered environment in the chamber contributes to shelf life extension. Altered environment is due to: High relative humidity; Oxidation of ethylene from the storage environment by oxidizing (ozone oxidation). It is a 1m by 1m canvas tent with a solar powered fan at one corner. The fan is placed in a cuplike reservoir. As it rotates, it picks up water into mist droplets, which are distributed in the tent by air currents. When a moisture concentration of 80% is achieved, the surface of the fruit or vegetables remain fresh because there is no loss of water. This low-cost solution helps produce last up to 10 times longer without any refrigeration.</t>
  </si>
  <si>
    <t>Requires adequate sunlight for solar fan operation, Water reservoir needs regular refilling, Limited capacity (1m x 1m tent), Most effective in warm and dry climates</t>
  </si>
  <si>
    <t>Wakati, postharvest, humidity control, ethylene oxidation, solar-powered, shelf life extension</t>
  </si>
  <si>
    <t>Modified Atmosphere Packaging of Pumpkin (Ziploc® and Xtend® bag packaging)</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</si>
  <si>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Pumpkin for between 5-7 days.</t>
  </si>
  <si>
    <t>Bags require proper sealing to maintain modified atmosphere, Only suitable for short-term storage (5-7 days), May not be cost-effective for large quantities, Requires cool and stable storage conditions</t>
  </si>
  <si>
    <t>modified atmosphere packaging, shelf life, moisture control, Xtend bags, postharvest, vegetable storage</t>
  </si>
  <si>
    <t>Pumpkin solar drying</t>
  </si>
  <si>
    <t>The technology includes use of different solar dryers in removing excess water from Pumpkin. The methods include cabinet solar, greenhouse solar dryer and DeHytray.</t>
  </si>
  <si>
    <t>Weather conditions affect drying time and quality, Risk of contamination during open drying, Quality deterioration if moisture is not fully removed, Requires training on proper drying techniques</t>
  </si>
  <si>
    <t>solar drying, preservation, cabinet drier, greenhouse drier, DeHytray, postharvest</t>
  </si>
  <si>
    <t>Pumpkin Fruit Flour</t>
  </si>
  <si>
    <t>Diversification of processing of Pumpkin fruit through dehydration of sliced fruit and milling to produce Pumpkin flour.</t>
  </si>
  <si>
    <t>Requires proper dehydration to prevent spoilage, Milling equipment needed for flour production, Nutritional content varies with processing method, Proper storage needed to maintain flour quality</t>
  </si>
  <si>
    <t>Pumpkin flour, value addition, dehydration, milling, food processing, utilization</t>
  </si>
  <si>
    <t>Nature – Super Pumpkin Cake</t>
  </si>
  <si>
    <t>The Pumpkin cake is a product developed by blending Pumpkin flour with wheat flour. 20% of the flour is Pumpkin flour while 80% is wheat flour.</t>
  </si>
  <si>
    <t>Recipe may require adaptation to local tastes, Nutritional content varies with preparation methods, Allergens and dietary restrictions should be considered, Food safety practices must be followed</t>
  </si>
  <si>
    <t>Pumpkin cake, value addition, flour blending, processed food, nutrition, recipe development</t>
  </si>
  <si>
    <t>Nature – Super Pumpkin Cookies</t>
  </si>
  <si>
    <t>The Pumpkin cookies is a product developed by blending Pumpkin flour with wheat flour. 5% of the flour is Pumpkin flour while 95% is wheat flour.</t>
  </si>
  <si>
    <t>Pumpkin cookies, value addition, flour blending, processed food, nutrition, recipe development</t>
  </si>
  <si>
    <t>Nature – Super Pumpkin Mandazi</t>
  </si>
  <si>
    <t>The Pumpkin mandazi is a product developed by blending Pumpkin flour with wheat flour. 5% of the flour is Pumpkin flour while 95% is wheat flour.</t>
  </si>
  <si>
    <t>Pumpkin mandazi, value addition, flour blending, processed food, nutrition, recipe development</t>
  </si>
  <si>
    <t>Nature – Super Pumpkin Scones</t>
  </si>
  <si>
    <t>Pumpkin scones are made of composite Pumpkin flour (5%) and wheat flour and are highly nutritious.</t>
  </si>
  <si>
    <t>Pumpkin scones, value addition, flour blending, processed food, nutrition, recipe development</t>
  </si>
  <si>
    <t>Nature – Super Pumpkin Bread</t>
  </si>
  <si>
    <t>Pumpkin bread is made from Pumpkin flour (5%) combined with wheat flour.</t>
  </si>
  <si>
    <t>Pumpkin bread, value addition, flour blending, processed food, nutrition, recipe development</t>
  </si>
  <si>
    <t>Transformative Model of Pumpkin production</t>
  </si>
  <si>
    <t>An approach to transform smallholder farmers from low improved inputs to high and therefore build market linkages. At the fully commercial level, inputs are accessed from the markets and outputs solely for the markets.</t>
  </si>
  <si>
    <t>Requires significant investment in inputs and infrastructure, Market access and price volatility can affect profitability, Farmers need capacity building and support services, Risk of debt if market conditions change</t>
  </si>
  <si>
    <t>market linkages, commercialization, smallholder transformation, input access, output marketing</t>
  </si>
  <si>
    <t>Building a Business Plan for Pumpkin</t>
  </si>
  <si>
    <t>A business plan is a document that guides the operations in a business. The document contains details such as introduction, business organization, product, marketing strategy, risks, business operation plan, marketing costs, Income streams, profit and loss analysis and financial requirements.</t>
  </si>
  <si>
    <t>Requires understanding of business principles, Markets and prices can change affecting financial projections, Regular review and update of plan is needed, External factors (weather, prices) may impact implementation</t>
  </si>
  <si>
    <t>business planning, farm management, marketing strategy, financial analysis, risk assessment, enterprise development</t>
  </si>
  <si>
    <t>Profitability analysis (Pumpkin)</t>
  </si>
  <si>
    <t>Profitability analysis involves recording of costs and returns and therefore determination of profit which indicates the performance of the Pumpkin agro-enterprise. Profit analysis detects whether the business is operating at a loss or gain, leading to low productivity.</t>
  </si>
  <si>
    <t>Requires accurate record keeping, Prices and costs fluctuate over time, Hidden costs (labor, transport) may be overlooked, Profitability varies with scale and efficiency</t>
  </si>
  <si>
    <t>profitability, cost analysis, returns, record keeping, business performance, enterprise analysis</t>
  </si>
  <si>
    <t>Marketing Innovation model Pumpkin Production and marketing</t>
  </si>
  <si>
    <t>Production and marketing innovation encompasses entrepreneurship where farmers undertake technology modification, finance and business acumen in an effort to transform innovations into economic goods and ultimately profit. An entrepreneur farmer undertakes innovations and finances business acumen in an effort to transform innovations into economic goods and ultimately profit.</t>
  </si>
  <si>
    <t>Innovation involves risk and potential failure, Requires access to finance and credit, Market acceptance of innovations may be uncertain, Continuous learning and adaptation needed</t>
  </si>
  <si>
    <t>marketing innovation, entrepreneurship, value addition, commercialization, business acumen</t>
  </si>
  <si>
    <t>Collective marketing (Pumpkin)</t>
  </si>
  <si>
    <t>A marketing or producer organizations formed by farmers.</t>
  </si>
  <si>
    <t>Requires strong group governance and trust, Members must agree on common standards and prices, Market power depends on group cohesion and volume, Leadership and management capacity are essential</t>
  </si>
  <si>
    <t>collective marketing, farmer organization, bargaining power, group marketing, cooperatives</t>
  </si>
  <si>
    <t>Contracted production (Pumpkin)</t>
  </si>
  <si>
    <t>Contract farming involves private companies extending lines of credit to producers in the form of farming inputs and technical assistance. Under contract farming terms, contractors commit themselves to buy the entire product at an agreed price. On the other hand, producers avail desired produce for sale.</t>
  </si>
  <si>
    <t>Contract terms must be clearly understood before signing, Price and quality specifications must be achievable, Default risk can lead to loss of inputs and income, Power imbalance may disadvantage smallholder farmers</t>
  </si>
  <si>
    <t>contract farming, vertical integration, market access, input credit, quality specifications</t>
  </si>
  <si>
    <t>Digital marketing (Pumpkin)</t>
  </si>
  <si>
    <t>Internet marketing refers to the strategies used to market products and services online and through other digital means. These can include a variety of online platforms, tools, and content delivery systems.</t>
  </si>
  <si>
    <t>Requires digital literacy and access to internet, Quality and consistency of produce must meet online standards, Logistics and delivery costs can be significant, Online market platforms may have fees and terms</t>
  </si>
  <si>
    <t>digital marketing, e-commerce, online platforms, market access, digital literacy, agro-marketing</t>
  </si>
  <si>
    <t>Market research (Pumpkin)</t>
  </si>
  <si>
    <t>An approach by farmers to gather market information.</t>
  </si>
  <si>
    <t>Requires knowledge of research methods, Information may become outdated quickly, Access to market data may be limited, Analysis requires business and marketing skills</t>
  </si>
  <si>
    <t>market research, market intelligence, market information, price discovery, market analysis</t>
  </si>
  <si>
    <t>Advocacy in farmers' participation in the National Agricultural Policy development and implementation (Pumpkin)</t>
  </si>
  <si>
    <t>National Agricultural policy framework includes policies that have framed smallholder farmers, as poor with no agencies and voices. The policies focus on large scale farmers. The National Agricultural policy framework provides objectives.</t>
  </si>
  <si>
    <t>Policy advocacy requires sustained engagement and resources, Institutional barriers may limit participation, Policy changes take time to implement, Coordination among stakeholders is essential</t>
  </si>
  <si>
    <t>policy advocacy, farmer participation, agricultural policy, policy development, smallholder rights</t>
  </si>
  <si>
    <t>Participation in the County Integrated Development Planning (Pumpkin)</t>
  </si>
  <si>
    <t>The County Integrated Development Planning builds a plan for each county in Kenya to be implemented in five years. The planning process is participatory, involving the development stakeholders in the county. It is during this planning period where the issues in Pumpkin production, marketing and processing are considered.</t>
  </si>
  <si>
    <t>Requires active participation and preparation, Planning cycles are fixed (5 years), May require engagement with multiple stakeholders, Implementation depends on available county resources</t>
  </si>
  <si>
    <t>county planning, CIDP, development planning, stakeholder participation, resource allocation</t>
  </si>
  <si>
    <t>Policy instruments related to Pumpkin production</t>
  </si>
  <si>
    <t>Agricultural policy is implemented through instruments which are the intervention points. Therefore, the policy instruments are the means to achieve policy objectives.</t>
  </si>
  <si>
    <t>Policy instruments may not always benefit smallholder farmers, Implementation gaps between policy and practice, Monitoring and evaluation systems may be weak, Advocacy needed for farmer-friendly instruments</t>
  </si>
  <si>
    <t>policy instruments, agricultural policy, intervention, implementation, policy objectives</t>
  </si>
  <si>
    <t>Policy cycle (Pumpkin)</t>
  </si>
  <si>
    <t>Policy cycle involves problem definition or concerns, formulation, implementation and evaluation components.</t>
  </si>
  <si>
    <t>Policy cycle can be lengthy and political, Farmer participation may be limited at key stages, Evaluation may not lead to policy revision, Implementation depends on available resources</t>
  </si>
  <si>
    <t>policy cycle, formulation, implementation, evaluation, policy analysis, stakeholder engagement</t>
  </si>
  <si>
    <t>Good Agricultural Practices (GAP) (Pumpkin)</t>
  </si>
  <si>
    <t>It is a systematic process of implementing a standardized production system globally designed to reassure consumers about how food is produced on the farm, pre-farm gate or on-farm standards (It is not about a specific crop production, but the process through which production takes). The four 'pillars' of GAP (economic viability, environmental sustainability, social acceptability and food safety and quality) are included in most private and public sector standards.</t>
  </si>
  <si>
    <t>Requires training and certification for compliance, Documentation and record keeping are essential, Market premiums may not always cover implementation costs, Smallholders may face barriers to certification</t>
  </si>
  <si>
    <t>Good Agricultural Practices, food safety, quality standards, certification, traceability, sustainable agriculture</t>
  </si>
  <si>
    <t>Food Safety Management System: Hazard Analysis Critical Control Points (HACCP) Plan for Pumpkin Value Chain in Kenya</t>
  </si>
  <si>
    <t>Food safety management system (FSMS) through Hazard Analysis and Critical Control Point (HACCP) in Pumpkin value chain is a system of food safety monitoring and control based on the systematic identification and assessment of various hazards. It is a preventive, rather than a reactive, tool that places the protection of the Pumpkin supply from biological, chemical and physical hazards into the hands of food management systems. The system is designed to minimize the risk of food safety hazards by identifying the hazards, establishing controls and monitoring these controls.</t>
  </si>
  <si>
    <t>Requires identification and monitoring of all CCPs, Knowledge of hazard analysis is essential, Documentation and record keeping is critical, HACCP plan needs regular review and updates</t>
  </si>
  <si>
    <t>HACCP, food safety, hazard analysis, critical control points, monitoring, quality assurance</t>
  </si>
  <si>
    <t>Purple Stem (PS) Spider Plant</t>
  </si>
  <si>
    <t>An improved high yielding (12 t/ha-1) variety, that is mild in taste. It grows tall and can be harvested for long (1 month).</t>
  </si>
  <si>
    <t>Verify variety suitability for your specific agro-ecological zone, Ensure proper soil preparation and fertilization for optimal yields, Monitor for pests and diseases despite variety tolerance, Source certified seeds from reputable suppliers</t>
  </si>
  <si>
    <t>high yielding, mild taste, tall growth, long harvest, improved variety, Spider Plant</t>
  </si>
  <si>
    <t>Spider Plant variety Abukutsa Spider Plant 1</t>
  </si>
  <si>
    <t>A high yielding (20-40 t/ha), tall variety, High Iron content, maturity period 4-5 weeks, areas of production (100-1800 m asl).</t>
  </si>
  <si>
    <t>Confirm altitude suitability (100-1800 m asl) before planting, Iron content varies with soil conditions and agronomic practices, Early maturity requires timely harvesting to prevent quality loss, High yields depend on proper soil fertility management</t>
  </si>
  <si>
    <t>high yielding, tall variety, high iron, early maturity, wide altitude range, Spider Plant</t>
  </si>
  <si>
    <t>Formal Spider Plant Seed System</t>
  </si>
  <si>
    <t>A Seed System is a set of activities contributing to variety development and seed production and delivery to farmers. The formal Spider Plant Seed System is characterized by a well-regulated and organized set of activities, from breeding to delivering certified seeds of known and registered varieties to farmers and other stakeholders. It ensures continuous production, processing, supply and distribution of quality Spider Plant seeds to farmers through organized marketing channels.</t>
  </si>
  <si>
    <t>Certified seeds may be more expensive than informal sources, Verify seed authenticity through KEPHIS certification labels, Formal Seed Systems may have limited variety options, Farmers should plan seed purchases in advance of planting seasons</t>
  </si>
  <si>
    <t>certified seeds, quality assurance, regulated system, breeding, seed distribution, marketing channels</t>
  </si>
  <si>
    <t>Informal Spider Plant Seed System</t>
  </si>
  <si>
    <t>A Seed System is a set of activities contributing to variety development and seed production and delivery to farmers. The informal Spider Plant Seed System entails seed selection, treatment, storage, multiplication, and distribution. The informal Spider Plant Seed System is outside the control of government agencies, with no external seed quality control. This system includes farmer-saved seed, gifts, barter, exchange and seed purchasing from local markets.</t>
  </si>
  <si>
    <t>No quality assurance for seed health and purity, Higher risk of seed-borne diseases and pests, Seed viability may be compromised by poor storage, Lack of traceability for variety authenticity</t>
  </si>
  <si>
    <t>farmer-saved seed, seed exchange, local markets, seed selection, seed storage, informal system</t>
  </si>
  <si>
    <t>Semi-Informal Spider Plant seed production system</t>
  </si>
  <si>
    <t>The semi-formal Seed System (termed community-based) is at the interface of formal and informal Seed Systems. A community-based seed production system involves individual farmers or farmer groups or cooperatives producing quality seed of farmers and improved varieties (at testing and sensitization stage) using the formal seed production guidelines.</t>
  </si>
  <si>
    <t>community-based, seed production, farmer groups, quality guidelines, variety testing, semi-formal system</t>
  </si>
  <si>
    <t>Spider Plant agronomic practices</t>
  </si>
  <si>
    <t>Spider Plant is a nutritious green leafy African Indigenous Vegetable. It contains proteins, minerals (iron, calcium) and vitamins such as A and C required to complement the staple food diets. It is easy to grow, early maturing and requires little external input. Most African Indigenous vegetables such as Spider Plant can grow well in a wide range of environments during the warm and cool seasons. These vegetables are climate smart and well adapted and can be grown from sea level up to 2400 m above sea level.</t>
  </si>
  <si>
    <t>Avoid waterlogged or shaded areas for planting, Nutrient content varies with soil fertility and agronomic practices, Early maturity requires timely harvesting to prevent bitterness, Despite being climate-smart, irrigation may be needed during dry spells</t>
  </si>
  <si>
    <t>agronomic practices, leafy vegetable, nutritional value, early maturing, climate smart, wide adaptability</t>
  </si>
  <si>
    <t>Mobile soil testing services</t>
  </si>
  <si>
    <t>Integrated Soil Fertility Management (Spider Plant)</t>
  </si>
  <si>
    <t>This is a set of soil fertility management practices that include the use of inorganic fertilizer, organic inputs and improved germplasm combined with the knowledge on how to adapt these practices to local conditions in aim of maximizing the agronomic use efficiency of the applied nutrients and improving crop productivity.</t>
  </si>
  <si>
    <t>soil fertility, inorganic fertilizer, organic inputs, improved germplasm, nutrient efficiency, crop productivity</t>
  </si>
  <si>
    <t>Integrated Manure Management (IMM) (Spider Plant)</t>
  </si>
  <si>
    <t>Improperly composted manure may contain pathogens and weed seeds, Fresh manure can burn plant roots if applied directly, Manure quality varies by animal type and feed, GHG emissions can occur if manure is not properly managed</t>
  </si>
  <si>
    <t>Rain water Roof water catchment (Spider Plant)</t>
  </si>
  <si>
    <t>Mulching (Spider Plant - Soil/Water)</t>
  </si>
  <si>
    <t>The practice of covering the soil/ground with natural materials such as straw, dead leaves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mulches decompose).</t>
  </si>
  <si>
    <t>Organic mulches may harbor pests and diseases if not managed, Plastic mulches require proper disposal to prevent environmental pollution, Mulch can compete with livestock feed and fuelwood needs, Excessive mulch may harbor rodents and slugs</t>
  </si>
  <si>
    <t>Solar Irrigation Systems for smallholder farmers (Spider Plant)</t>
  </si>
  <si>
    <t>Drip irrigation system (Spider Plant)</t>
  </si>
  <si>
    <t>Emitters can clog with sediment or salt buildup, Requires regular filter cleaning and maintenance, High initial cost for quality drip systems, Poly tubing can collapse or be damaged by rodents</t>
  </si>
  <si>
    <t>Integrated Management of Root Knot nematodes in Spider Plant</t>
  </si>
  <si>
    <t>Root knot nematodes affecting Spider Plants are controlled through cultural management practises and chemical control. Cultural practices: Crop rotation with non-host crops such as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 e.g. Trianum P at a rate of 45g/15L of water.</t>
  </si>
  <si>
    <t>Long crop rotation (4-6 seasons) may not be feasible for small farms, Soil solarization requires specific climatic conditions (hot dry months), Follow label instructions carefully when using neem products, Trichoderma spp products require proper storage and handling</t>
  </si>
  <si>
    <t>nematode management, crop rotation, soil solarization, biological control, neem products, Trichoderma</t>
  </si>
  <si>
    <t>Integrated Management of Flea beetle (Spider Plant)</t>
  </si>
  <si>
    <t>Integrated Flea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Pest Control Products Board (PCPB).</t>
  </si>
  <si>
    <t>flea beetle, cultural control, biological control, biopesticides, PCPB, pest management</t>
  </si>
  <si>
    <t>Integrated Management of Aphids (Spider Plant)</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</si>
  <si>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Remove heavily infested plant parts and destroy by burning. Biological control: Apply neem based products (e.g. neem oil 40ml/20lts of water, Achook) 2 times/month; Spray with soapy water solution.</t>
  </si>
  <si>
    <t>Over-fertilization can attract aphids to nitrogen-rich plants, Flooding may not be suitable for all soil types, Neem products require proper mixing and timing, Soapy water sprays may damage plants if concentration is too high</t>
  </si>
  <si>
    <t>aphids, cultural control, natural enemies, neem products, soap spray, integrated pest management</t>
  </si>
  <si>
    <t>Integrated Management of Desert locust (Schistocerca gregaria) (Spider Plant)</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</si>
  <si>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t>
  </si>
  <si>
    <t>Requires coordinated regional response, Chemical pesticides must be applied following DLCO-EA guidelines, Biological control (Metarhizium spp) requires specific weather conditions, Early warning systems need reliable communication networks</t>
  </si>
  <si>
    <t>desert locust, early warning system, DLCO-EA, remote sensing, regional coordination, biological control</t>
  </si>
  <si>
    <t>Integrated management of Cotton Jassids (Spider Plant)</t>
  </si>
  <si>
    <t>Integrated management of Cotton Jassids consist of various approaches to prevent grain damage. Cultural practises: Predatory bugs like ladybird beetles and spiders will attack jassids; Clean cultivation: avoid excessive use of fertilizer (no more then 3-4 bags of urea) as Jassids will be attracted to crops higher in nitrogen, as they will be tastier; Grow cotton from 15 April to 31 May to escape jassid attack.</t>
  </si>
  <si>
    <t>Avoid excessive nitrogen fertilization to prevent attraction, Planting dates may need adjustment based on local climate, Natural predators require conservation practices, Neem powder may need frequent reapplication</t>
  </si>
  <si>
    <t>cotton jassids, predatory insects, nitrogen management, planting date, neem powder, pest management</t>
  </si>
  <si>
    <t>Integrated management of Cut worms in Spider Plant</t>
  </si>
  <si>
    <t>Integrated cutworm management consist of various approaches to prevent grain damage. Cultural practises: Ploughing exposes caterpillars to predators and to desiccation by the sun; Prepare field and vegetation and weeds destroyed 14 days before planting; Delaying transplanting slightly until the stems are too wide for the cutworm to encircle and/or too hard for it to cut may reduce cutworm damage; Hand picking of caterpillars at night by torch or very early morning before they return into the soil is useful at the beginning of the infestation; Flooding of the field for a few days before sowing or transplanting. Biological management: Use repellent neem extract 3 times at weekly intervals; Use of ash on the seedbed; Use of molasses at the base of each plant.</t>
  </si>
  <si>
    <t>Hand picking is labor-intensive and requires vigilance, Flooding is not suitable for all soil types or crops, Ash application may alter soil pH, Molasses can attract other pests</t>
  </si>
  <si>
    <t>cutworms, cultural control, ploughing, hand picking, neem extract, biological management</t>
  </si>
  <si>
    <t>Integrated management of Hurricane bugs on Spider Plant</t>
  </si>
  <si>
    <t>Integrated management of Hurricane bugs consist of various approaches to prevent plant damage. Cultural Control: Bugs can be collected by hand regularly and killed, especially during flowering and pod formation; Conserve natural enemies such as assassin bugs, spiders, praying mantises and ants. Biological control: Spray Neem products in the morning when the immature stages are exposed.</t>
  </si>
  <si>
    <t>Hand collection is labor-intensive for large fields, Natural enemy conservation requires reduced pesticide use, Neem spray timing is critical (morning applications), Monitor populations regularly before infestation becomes severe</t>
  </si>
  <si>
    <t>hurricane bugs, hand collection, natural enemies, neem spray, flowering stage, pod formation</t>
  </si>
  <si>
    <t>Integrated Weed Management (Spider Plant)</t>
  </si>
  <si>
    <t>Herbicide misuse can damage crops and harm the environment, Manual weeding is labor-intensive and costly, Biological control through grazing requires careful management to avoid crop damage, Some weeds may develop resistance to herbicides</t>
  </si>
  <si>
    <t>Land Preparation Practices to control weeds in Spider Plant</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</si>
  <si>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Spider Plant seeds.</t>
  </si>
  <si>
    <t>Legume Intercropping System (Spider Plant)</t>
  </si>
  <si>
    <t>Innovative Legume Intercropping System is the growing of legumes crops such as Cowpea with Spider Plant in a field at the same time, as a tool to enhance agricultural production and to obtain efficient land use. Legumes benefit the main crop (Pumpkin) by replenishing soil nitrogen, smothering weeds and retaining soil moisture.</t>
  </si>
  <si>
    <t>Competition between crops for water, nutrients and light can reduce yields, Increased labor for management and harvesting, May complicate mechanization and pesticide application</t>
  </si>
  <si>
    <t>Spider Plant Intercropping</t>
  </si>
  <si>
    <t>Intercropping of Spider Plant is the practice of planting Spider Plant between other crops between rows such as cereal (maize, millets), tubers (cassava), and bananas. Intercropping must be planned to use space available and smother the weeds.</t>
  </si>
  <si>
    <t>Mulching (Spider Plant - Weed Control)</t>
  </si>
  <si>
    <t>The practice of covering the soil/ground with natural materials or synthetic materials to control weeds from seeds that germinate near or at the soil surface. There are two types of mulch: biodegradable or natural mulches including straw, dead leaves and compost to make more favourable conditions for plant growth, development and efficient crop production. The mulch should be between 2-4 inches deep to be effective. Non degradable or synthetic mulches can be used in growing for long season Spider Plant. Only black mulch should be used to control weeds.</t>
  </si>
  <si>
    <t>Chemical Weed Control (Spider Plant)</t>
  </si>
  <si>
    <t>Chemical weed control refers a technique that involves the application of herbicide to control the growth of weeds or to soil to kill emerging weed seedlings and/or weed seeds. Herbicide technology requires knowledge on herbicides required for specific crops, weeds occurring and the environmental conditions in the cropping system. Use ONLY Recommended herbicides where need be.</t>
  </si>
  <si>
    <t>Use only PCPB-approved herbicides for Spider Plant, Follow label instructions strictly to avoid crop damage, Apply herbicides during recommended weather conditions, Wear appropriate personal protective equipment</t>
  </si>
  <si>
    <t>Mechanical weeding (Spider Plant)</t>
  </si>
  <si>
    <t>Safe Use of Agrochemicals (Spider Plant)</t>
  </si>
  <si>
    <t>Power tiller (Spider Plant)</t>
  </si>
  <si>
    <t>Wheeled Tractor less than 50Hp (Spider Plant)</t>
  </si>
  <si>
    <t>Mould board plough (Spider Plant)</t>
  </si>
  <si>
    <t>Disc Harrow (Spider Plant)</t>
  </si>
  <si>
    <t>AIV Planter (Spider Plant)</t>
  </si>
  <si>
    <t>Motorized Sprayer (Spider Plant)</t>
  </si>
  <si>
    <t>Power weeder (Spider Plant)</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</si>
  <si>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Spider Plant farmers. It is designed to weed specified spacing inter raw within Spider Plant.</t>
  </si>
  <si>
    <t>Back Pack Weeder (Spider Plant)</t>
  </si>
  <si>
    <t>It is a hand held machine that simultaneously cut the soil and weeds in AIV and is an intermediate technology machine appropriate for Small Holder Farmers. It is designed to weed specified spacing inter raw within Spider Plant.</t>
  </si>
  <si>
    <t>Back Spider Plant Harvester</t>
  </si>
  <si>
    <t>It is a hand held machine that simultaneously cut the vegetable leaves and is an intermediate technology machine appropriate for Small Holder Farmers. It is designed to harvest specified spacing inter raw within Spider Plant.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</si>
  <si>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Sorting and grading of Spider Plant</t>
  </si>
  <si>
    <t>Sorting is removal of diseased vegetables, vegetables with nutrient deficiencies symptoms (e.g. yellowing spots), weeds and debris. Grading is categorizing Spider Plant according to leaf size, weight, maturity, turgidity, physical damage, and market demand.</t>
  </si>
  <si>
    <t>Zero Energy Brick Cooler (Spider Plant)</t>
  </si>
  <si>
    <t>CoolBot™ (Spider Plant)</t>
  </si>
  <si>
    <t>It is a low cost postharvest temperature management that improved the shelf life of Spider Plant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</si>
  <si>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(Spider Plant)</t>
  </si>
  <si>
    <t>Modified Atmosphere Packaging of Spider Plant (Ziploc® and Xtend® bag packaging)</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</si>
  <si>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Spider Plant leaves for between 5-7 days.</t>
  </si>
  <si>
    <t>Postharvest handling and preservation (Spider Plant)</t>
  </si>
  <si>
    <t>Solar drying is a technique for preserving farm produce using solar energy either directly or indirectly. Indirect sun drying is recommended to enhance retention of nutrients. Two types of dryers are used which include cabinet solar drier and high tunnel/greenhouse solar dryers.</t>
  </si>
  <si>
    <t>solar drying, preservation, cabinet drier, greenhouse drier, nutrient retention, postharvest</t>
  </si>
  <si>
    <t>Spider Plant vegetable drying</t>
  </si>
  <si>
    <t>The technology involves drying of Spider Plant vegetables to remove excess moisture thus improving their shelf life.</t>
  </si>
  <si>
    <t>Proper drying prevents mold growth and spoilage, Temperature control is critical for nutrient retention, Rehydration quality depends on drying method, Storage conditions after drying affect shelf life</t>
  </si>
  <si>
    <t>vegetable drying, moisture removal, shelf life, preservation, solar drying, postharvest</t>
  </si>
  <si>
    <t>Recipe development for Spider Plant</t>
  </si>
  <si>
    <t>Recipes for the utilization and values added products for home consumption.</t>
  </si>
  <si>
    <t>Recipes may require adaptation to local tastes and ingredients, Nutritional content varies with preparation methods, Allergens and dietary restrictions should be considered, Food safety practices must be followed</t>
  </si>
  <si>
    <t>recipes, value addition, utilization, home consumption, food processing, nutrition</t>
  </si>
  <si>
    <t>Transformative Model of AIV production (Spider Plant)</t>
  </si>
  <si>
    <t>Building a Business Plan for Spider Plant</t>
  </si>
  <si>
    <t>Profitability analysis (Spider Plant)</t>
  </si>
  <si>
    <t>Profitability analysis involves recording of costs and returns and therefore determination of profit which indicates the performance of the Spider Plant agro-enterprise. Profit analysis detects whether the business is operating at a loss or gain, leading to low productivity.</t>
  </si>
  <si>
    <t>Marketing Innovation model Spider Plant Production and marketing</t>
  </si>
  <si>
    <t>Collective marketing (Spider Plant)</t>
  </si>
  <si>
    <t>Contracted production (Spider Plant)</t>
  </si>
  <si>
    <t>Digital marketing (Spider Plant)</t>
  </si>
  <si>
    <t>Market research (Spider Plant)</t>
  </si>
  <si>
    <t>Advocacy in farmers' participation in the National Agricultural Policy development and implementation (Spider Plant)</t>
  </si>
  <si>
    <t>Participation in the County Integrated Development Planning (Spider Plant)</t>
  </si>
  <si>
    <t>The County Integrated Development Planning builds a plan for each county in Kenya to be implemented in five years. The planning process is participatory, involving the development stakeholders in the county. It is during this planning period where the issues in Spider Plant production, marketing and processing are considered.</t>
  </si>
  <si>
    <t>Policy instruments related to Spider Plant production</t>
  </si>
  <si>
    <t>Policy cycle (Spider Plant)</t>
  </si>
  <si>
    <t>Good Agricultural Practices (GAP) (Spider Plant)</t>
  </si>
  <si>
    <t>Food Safety Management System: Hazard Analysis Critical Control Points (HACCP) Plan for Spider Plant Value Chain in Kenya</t>
  </si>
  <si>
    <t>Food safety management system (FSMS) through Hazard Analysis and Critical Control Point (HACCP) in Spider Plant value chain is a system of food safety monitoring and control based on the systematic identification and assessment of various hazards. It is a preventive, rather than a reactive, tool that places the protection of the Spider Plant supply from biological, chemical and physical hazards into the hands of food management systems. The system is designed to minimize the risk of food safety hazards by identifying the hazards, establishing controls and monitoring these controls.</t>
  </si>
  <si>
    <t>Cowpea Variety K80</t>
  </si>
  <si>
    <t>K80: - Released in 1998. Yield potential of 1.2 -1.8 t/ha under good management. Maturity period 80 -90 days. Creamy brown in color. Dual purpose variety for both grain and vegetable use.</t>
  </si>
  <si>
    <t>Verify variety suitability for your specific agro-ecological zone, Yield potential depends on good management practices including proper fertilization, Dual purpose use requires different harvesting approaches for grain vs leaves, Source certified seeds from reputable suppliers</t>
  </si>
  <si>
    <t>Cowpea K80, dual purpose, high yielding, creamy brown, 80-90 days, released 1998</t>
  </si>
  <si>
    <t>High yielding KVU27-1 (Cowpea)</t>
  </si>
  <si>
    <t>KVU27-1: - Released in 1998. Yield potential of 1.2 -1.8 t/ha under good management. Maturity period 80 -90 days. Red in colour. Dual purpose variety for both grain and vegetable use.</t>
  </si>
  <si>
    <t>KVU27-1, dual purpose, high yielding, red colour, 80-90 days, released 1998</t>
  </si>
  <si>
    <t>High yielding Kunde Tumaini (Cowpea)</t>
  </si>
  <si>
    <t>Kunde Tumaini: - Released in June, 2017. Yield potential of 1.5 -2.0 t/ha under good management. Maturity period 80 -90 days. Tolerant to Alectra vogelii parasitic weed which is a common in dry regions of eastern Kenya. Large seeded grain, deep brown in color with brown eye. Dual purpose variety for both grain and vegetable use. Developed using Farmer participatory variety selection.</t>
  </si>
  <si>
    <t>Alectra tolerance reduces but does not eliminate the need for field monitoring, Yield potential requires good management including proper weed control, Farmer participatory selection indicates good local adaptation, Large seeded grain may have specific market preferences</t>
  </si>
  <si>
    <t>Kunde Tumaini, Alectra tolerant, dual purpose, large seeded, farmer participatory, deep brown</t>
  </si>
  <si>
    <t>High yielding Kunde Faulu (Cowpea)</t>
  </si>
  <si>
    <t>Kunde Faulu, Alectra tolerant, dual purpose, large seeded, farmer participatory, deep brown</t>
  </si>
  <si>
    <t>High yielding Kunde soko (Cowpea)</t>
  </si>
  <si>
    <t>Kunde Soko, Alectra tolerant, dual purpose, large seeded, farmer participatory, creamy brown</t>
  </si>
  <si>
    <t>High yielding Kunde Tamu (Cowpea)</t>
  </si>
  <si>
    <t>Kunde Tamu: - Released in June, 2017. Yield potential of 1.5 -2.0 t/ha under good management. Early maturing takes 70 -80 days. Tolerant to Alectra vogelii parasitic weed which is a common in dry regions of eastern Kenya. Brown coat color with purple splashes and greenish eye around the hilum. Dual purpose variety for both grain and vegetable use. Developed using Farmer participatory variety selection.</t>
  </si>
  <si>
    <t>Alectra tolerance reduces but does not eliminate the need for field monitoring, Early maturity requires timely harvesting to prevent shattering, Farmer participatory selection indicates good local adaptation, Purple splashes may affect market acceptability in some regions</t>
  </si>
  <si>
    <t>Kunde Tamu, Alectra tolerant, dual purpose, early maturing, farmer participatory, purple splashes</t>
  </si>
  <si>
    <t>High yielding KAT Kunde (Cowpea)</t>
  </si>
  <si>
    <t>Alectra tolerance reduces but does not eliminate the need for field monitoring, Yield potential requires good management including proper weed control, Farmer participatory selection indicates good local adaptation, Verify official release status and seed availability</t>
  </si>
  <si>
    <t>KAT Kunde, Alectra tolerant, dual purpose, farmer participatory, creamy brown, greenish eye</t>
  </si>
  <si>
    <t>Formal Cowpea Seed System</t>
  </si>
  <si>
    <t>A Seed System is a set of activities contributing to variety development and seed production and delivery to farmers. The formal Cowpea Seed System is characterized by a well-regulated and organized set of activities, from breeding to delivering certified seeds of known and registered varieties to farmers and other stakeholders. It ensures continuous production, processing, supply and distribution of quality Cowpea seeds to farmers through organized marketing channels.</t>
  </si>
  <si>
    <t>Informal Cowpea Seed System (Cowpea)</t>
  </si>
  <si>
    <t>A Seed System is a set of activities contributing to variety development and seed production and delivery to farmers. The informal Cowpea Seed System entails seed selection, treatment, storage, multiplication, and distribution. The informal Cowpea Seed System is outside the control of government agencies, with no external seed quality control. This system includes farmer-saved seed, gifts, barter, exchange and seed purchasing from local markets.</t>
  </si>
  <si>
    <t>Semi-Informal Cowpea seed production system (Cowpea)</t>
  </si>
  <si>
    <t>Variety selection, Seed acquisition or Own Seed Selection, Planting, Weeding, Thinning, Fertilizer Application, Pest and Disease Management, Harvesting, Storage (Cowpea)</t>
  </si>
  <si>
    <t>This includes: Variety selection: Planting the recommended improved Cowpea variety suitable for target area and end use; Seed acquisition: Certified seed or training on proper own selection; Planting: Fine land preparation and early planting. May be planted on the flat. Spacing: mono-cropping 60cm x 20cm (semi-arid areas), High rainfall areas (30cm x 10-20cm). Plant 3-4 seeds per hill. Depth 4-5 cm. Seed rate 10-12 kg/acre. Weeding: Two weeks after germination. Thereafter the field should be kept weed free until the plants form own canopy. Thinning: 2-3 weeks after germination thin to 1-2 per hill. Harvesting: May be done by uprooting whole plants or over extended period. Whole plants may be harvested 4-5 weeks after germination. For prolonged leaf harvesting commences at 4-6 weeks after germination, then once every 2 weeks until onset of flowering. Seeds should be harvested at physiological maturity.</t>
  </si>
  <si>
    <t>Spacing varies significantly between semi-arid and high rainfall areas, Proper thinning is critical to avoid overcrowding and yield reduction, Harvest timing differs for leaf vs grain production, Physiological maturity for seed harvesting requires careful observation</t>
  </si>
  <si>
    <t>agronomic practices, spacing, thinning, weeding, harvesting, seed rate</t>
  </si>
  <si>
    <t>Mobile soil testing services (Cowpea)</t>
  </si>
  <si>
    <t>Integrated Soil Fertility Management (Cowpea)</t>
  </si>
  <si>
    <t>Integrated Manure Management (IMM) (Cowpea)</t>
  </si>
  <si>
    <t>Integrated Manure Management (IMM) is the optimal, site-specific handling of livestock manure from collection, through treatment and storage up to application to crops. Manure is obtained from different animals (poultry, cow, goat, horse) on the farm, but it can also be bought from other farmers or at the market. When managed properly, it provides plant nutrients, builds soil organic matter, and improves soil physical properties all of which are important for soil quality and crop production.</t>
  </si>
  <si>
    <t>Rain water Roof water catchment (Cowpea)</t>
  </si>
  <si>
    <t>Mulching (Cowpea)</t>
  </si>
  <si>
    <t>The practice of covering the soil/ground with natural materials such as straw, dead leaves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mulche decomposes).</t>
  </si>
  <si>
    <t>Solar Irrigation Systems for smallholder farmers (Cowpea)</t>
  </si>
  <si>
    <t>Drip irrigation system (Cowpea)</t>
  </si>
  <si>
    <t>Integrated Management of anthracnose disease in Cowpea</t>
  </si>
  <si>
    <t>Integrated management of anthracnose encompasses the use of various approaches in management of the diseases and are applied during pre-harvest stage. They include: cultural management, deployment of tolerant varieties and chemical control. Cultural practices: Use certified seeds; Practice crop rotation with non-legumes; Work in uninfected parts of the field first before the infected area; Avoid unnecessary movement in infected areas to minimize spread of the disease, disinfect farm implements after working from one field before proceeding to the other; Hot water treatment of grains at 54° for 10min. Chemical management: Applying fungicides from flower-bud formation stage until when pods are fully developed. The most susceptible stage is bud-formation, flowering period and early pod development. Spraying Carbendazim 500g or Mancozeb 2kg/ha soon after the appearance of disease and repeat after 15 days.</t>
  </si>
  <si>
    <t>Integrated Management of powdery mildew disease in Cowpea</t>
  </si>
  <si>
    <t>Integrated management of powdery mildew consists of several approaches applied in an integrated manner to break the disease cycle. These include: cultural management and chemical control. Cultural management options: Plant early using certified seeds; Practice crop rotation with non-legumes for a period of 2-3 seasons; Uproot and destroy severely affected plants, including weeds and volunteer crops by burying them deeply; Do not walk through your field during wet weather to prevent the spread of the disease from one plant to another. Chemical management options: Spraying copper based products such as copper oxychloride once initial symptoms are observed.</t>
  </si>
  <si>
    <t>Integrated Management of Cercospora leaf spot disease in Cowpea</t>
  </si>
  <si>
    <t>Integrated disease management for Cercospora leaf spot comprises of the use of cultural management practices, deployment of tolerant varieties and chemical control in the management of the disease in Cowpea. Cultural practices: Practice good field sanitation and hygiene practices by collecting and safely disposing infected plants; Regular weeding. Chemical management: Spray Mancozeb 2kg/ha or Carbendazim 500 g/ha.</t>
  </si>
  <si>
    <t>Cercospora leaf spot, tolerant varieties, cultural control, chemical control, field sanitation, Mancozeb</t>
  </si>
  <si>
    <t>Integrated Management of Cowpea Mosaic Virus (Cowpea)</t>
  </si>
  <si>
    <t>Integrated management of Cowpea Mosaic Virus consists of various approaches that help to break the disease cycle. They include cultural management and chemical control. Cowpea Mosaic Virus is associated with insect infestations that transmit the pathogen while sacking sap from plant tissues. The disease is effectively managed by controlling insect infestations. Cultural practices: Use of certified seed; Monitoring insect vectors that transmit the viruses; Avoiding work on fields when wet to prevent spread; Uprooting weeds that could serve as alternative hosts; Increase the seed rate (25 kg/ha). Chemical management: Treat the seeds with Thiomethoxam-70WS or Imidacloprid-70WS @4g/kg; Spray Thiamethoxam25WG @ 100g or Imidacloprid 17.8% SL @ 100 ml in 500 lit of water.</t>
  </si>
  <si>
    <t>Cowpea mosaic virus, viral disease, insect vectors, certified seeds, seed treatment, vector control</t>
  </si>
  <si>
    <t>Integrated Management of Bacterial blight disease in Cowpea</t>
  </si>
  <si>
    <t>Integrated management of Bacterial blight consists of various approaches that help to break the disease cycle. They cultural management and chemical control. Cultural practices: Use of certified seed; Practicing crop rotation with non-legume crops for 3-4 years; Uprooting and destroying infected plants/volunteers by burying deeply; Disinfecting farm tools in jik solution (50ml : litre); Avoidance of working in wet fields will be validated. Chemical management: To suppress the disease, spray copper oxychloride once initial symptoms are observed.</t>
  </si>
  <si>
    <t>Jik solution (1:20 ratio) must be prepared correctly, Long crop rotation (3-4 years) may not be feasible for small farms, Copper oxychloride requires careful application to avoid phytotoxicity, Certified seed reduces but does not eliminate disease risk</t>
  </si>
  <si>
    <t>bacterial blight, cultural control, chemical control, crop rotation, jik disinfection, copper oxychloride</t>
  </si>
  <si>
    <t>Integrated Management of Macrophomina root rot disease in Cowpea</t>
  </si>
  <si>
    <t>Integrated Management of Macrophomina root rot disease consists of various approaches that help to break the disease cycle. They include cultural management and chemical control. Cultural practices: Crop rotation with non-legumes for 6-8 seasons; Practicing field hygiene; Avoidance of excessive watering when irrigating; Avoid surface run off as it spreads the pathogen to non-infected areas; Uprooting infected plants and burying deeply to reduce inoculum; Disinfecting farm tools in jik solution (50 ml : litre) to prevent spread; Apply farm yard manure or green leaf manure (Gliricidia maculate) at 10 t/ha. Biological management: Applying rootgard, Trianum P and Trichotech. Chemical management: Treat the seeds with Carbendazim + Thiram at 2 g/kg or pellet the seeds with Trichoderma viride at 4 g/kg or Pseudomonas fluorescens @ 10g/kg of seed; Applying neem cake at 150 kg/ha.</t>
  </si>
  <si>
    <t>Long crop rotation (6-8 seasons) may not be feasible for small farms, Biological control agents require proper handling and storage, Seed treatment requires proper mixing and application, Neem cake application requires significant quantities</t>
  </si>
  <si>
    <t>Macrophomina root rot, cultural control, biological control, seed treatment, Trichoderma, crop rotation</t>
  </si>
  <si>
    <t>Integrated Management of Root Knot nematodes in Cowpea</t>
  </si>
  <si>
    <t>Root knot nematodes affecting Cowpeas are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</si>
  <si>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Integrated Management of White flies (Bemisia tabaci) (Cowpea)</t>
  </si>
  <si>
    <t>Timely application of integrated management options is required. The following cultural and chemical strategies are involved: Cultural practises: Ploughing in previous crop residue in the soil; Intercropping with non-host crop i.e. onion, garlic. Chemical management: Limited chemical use pesticides will conserve black ants that are predators and feed on nymphal stages of the whiteflies; Use of yellow sticky traps at the rate of 10-12 traps/ha to trap; Neem-based derivative products such as Nimbeidine, Achook, Neemark that do not contaminate the environment.</t>
  </si>
  <si>
    <t>Yellow sticky traps require regular monitoring and replacement, Intercropping requires additional land and management, Neem products require proper mixing and timing for effectiveness, Limited chemical use requires careful pest monitoring</t>
  </si>
  <si>
    <t>white flies, sticky traps, intercropping, neem products, biological control, integrated pest management</t>
  </si>
  <si>
    <t>Integrated Management of Blossom beetle (Cowpea)</t>
  </si>
  <si>
    <t>Integrated Blossom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Pest Control Products Board (PCPB). Synthetic pesticides should be used as the last option since most of them are detrimental to the environment.</t>
  </si>
  <si>
    <t>blossom beetle, cultural control, biological control, biopesticides, PCPB, integrated pest management</t>
  </si>
  <si>
    <t>Integrated Management of Cowpea Aphids (Cowpea)</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</si>
  <si>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Remove heavily infested plant parts and destroy by burning; Apply neem based products (e.g. neem oil 40ml/20lts of water, Achook) 2 times/month; Spray with soapy water solution. Chemical Control: Use only pest control products recommended by Pest Control Products Board (PCPB).</t>
  </si>
  <si>
    <t>Over-fertilization can attract aphids to nitrogen-rich plants, Flooding may not be suitable for all soil types, Neem products require proper mixing and regular application, Soapy water sprays may damage plants if concentration is too high</t>
  </si>
  <si>
    <t>Integrated Management of blister beetle (Cowpea)</t>
  </si>
  <si>
    <t>Integrated management of the beetle includes the use of various pest control strategies. The strategies include cultural, biological and chemical control. In order to realize an effective management program for this insect, one has to start chronologically from preventive to curative pest control measures i.e. from cultural to chemical control. It begins with the most environmentally friendly (cultural) strategy as you move towards harsh (chemical) pest control methods. This management practice starts with pest scouting/monitoring, pest identification and establishment of economic threshold and finally a decision is made on which pest control measures to use.</t>
  </si>
  <si>
    <t>Pest scouting requires regular and systematic monitoring, Economic threshold determination requires knowledge of pest damage levels, Cultural methods require consistent implementation, Chemical control should be the last resort</t>
  </si>
  <si>
    <t>blister beetle, pest scouting, economic threshold, cultural control, biological control, integrated pest management</t>
  </si>
  <si>
    <t>Integrated Management of Desert locust (Schistocerca gregaria) (Cowpea)</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</si>
  <si>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 Scouting and control of DL in recession (traditional breeding) regions will prevent infestation in invasion (non-traditional) regions. Scouting should be synchronized with early warning systems reports from FAO. Spray hopper bands using Metarhizium anisopliae based products.</t>
  </si>
  <si>
    <t>Requires coordinated regional response, Chemical pesticides must be applied following DLCO-EA guidelines, Biological control (Metarhizium) requires specific weather conditions, Early warning systems need reliable communication networks</t>
  </si>
  <si>
    <t>Integrated management of Bruchid on Cowpea (Cowpea)</t>
  </si>
  <si>
    <t>Integrated bean bruchid management consist of various approaches to prevent grain damage. Cultural practises: Sort grains and remove visibly damaged; Cover with plastic or store grains with husks; Use pheromone traps to attract weevils. Chemical management: Use repellent neem powder to repel.</t>
  </si>
  <si>
    <t>Sorting grains is labor-intensive and requires attention to detail, Plastic covering must be properly sealed to be effective, Pheromone traps require regular monitoring and replacement, Neem powder may need frequent reapplication</t>
  </si>
  <si>
    <t>bruchid, grain storage, pheromone traps, neem powder, sorting, pest management</t>
  </si>
  <si>
    <t>Integrated management of Cut worms on Cowpea</t>
  </si>
  <si>
    <t>Hand picking is labor-intensive and requires vigilance, Flooding is not suitable for all soil types, Ash application may alter soil pH, Molasses can attract other pests</t>
  </si>
  <si>
    <t>Integrated Management of Thrips on Cowpea</t>
  </si>
  <si>
    <t>Integrated management (IPM) of thrips involves the use of a combination of cultural, biological and chemical control methods. These are: Cultural Control: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Use blue sticky cardboard traps to attract thrips. Biological control: Apply biocontrol agents e.g Beauivtech WP (Beauveria bassiana) or Bio-Power 1.5L (Beauveria bassiana), or Botanigard ES (Azadirachtin); Spray neem based products like neemroc EC and nimbecidine (Azadirachtin) use 1 lts/acre. Chemical Control: Spray with Spinosad based products eg tracer 480 SC at 4mls per 20lts of water or lambda cyhalothrin products at 7ml per 20l of water or duduthrin at 65mls per 20l of water or Karate at 20gms/20l. Use synthetic insecticides with PHI of 3 days or less since garden pea is harvesting at very short intervals.</t>
  </si>
  <si>
    <t>Overhead irrigation may promote fungal diseases in some conditions, Blue sticky traps need regular replacement, Biocontrol agents require proper handling and storage, Always observe pre-harvest intervals when applying synthetic insecticides</t>
  </si>
  <si>
    <t>thrips, sticky traps, biocontrol, neem products, overhead irrigation, integrated pest management</t>
  </si>
  <si>
    <t>Integrated management of leaf and pod sucking bugs on Cowpea</t>
  </si>
  <si>
    <t>Integrated management of Pod sucking bugs consist of various approaches to prevent plant damage. Cultural Control: Bugs can be collected by hand regularly and killed, especially during flowering and pod formation; Conserve natural enemies such as assassin bugs, spiders, praying mantises and ants. Biological control: Spray Neem products in the morning when the immature stages are exposed.</t>
  </si>
  <si>
    <t>pod sucking bugs, hand collection, natural enemies, neem spray, flowering stage, pod formation</t>
  </si>
  <si>
    <t>Integrated management of red spider mites on Cowpea</t>
  </si>
  <si>
    <t>Integrated management of spider mites consists of several approaches applied in an integrated manner to break the cycle of the insect. These include: Cultural Control: Keep the farm weed free from the alternative hosts such as solanum family crops that may harbour red spider mites; Avoid planting Cowpea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Conserve natural enemies. Chemical Control: Spray with abamectin 18g/kg based synthetic pesticides or Amitraz 200g/L based miticides.</t>
  </si>
  <si>
    <t>red spider mites, cultural control, biological control, predatory mites, overhead irrigation, neem extract</t>
  </si>
  <si>
    <t>Safe Use of Agrochemicals (Cowpea)</t>
  </si>
  <si>
    <t>Power tiller (Cowpea)</t>
  </si>
  <si>
    <t>Wheeled Tractor less than 50Hp (Cowpea)</t>
  </si>
  <si>
    <t>Mould board plough (Cowpea)</t>
  </si>
  <si>
    <t>Disc Harrow (Cowpea)</t>
  </si>
  <si>
    <t>AIV Planter (Cowpea)</t>
  </si>
  <si>
    <t>Motorized Sprayer (Cowpea)</t>
  </si>
  <si>
    <t>Power weeder (Cowpea)</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</si>
  <si>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Cowpea farmers. It is designed to weed specified spacing inter raw within Cowpea.</t>
  </si>
  <si>
    <t>Back Pack Weeder (Cowpea)</t>
  </si>
  <si>
    <t>It is a hand held machine that simultaneously cut the soil and weeds in Cowpea and is an intermediate technology machine appropriate for Small Holder Farmers. It is designed to weed specified spacing inter raw within Cowpea.</t>
  </si>
  <si>
    <t>Back AIVs Harvester (Cowpea)</t>
  </si>
  <si>
    <t>It is a hand held machine that simultaneously cut the vegetable leaves and is an intermediate technology machine appropriate for Small Holder Farmers. It is designed to harvest specified spacing inter raw within Cowpea.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</si>
  <si>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Cowpea sorting and grading (Cowpea)</t>
  </si>
  <si>
    <t>Sorting involves removal of diseased vegetables, vegetables with nutrient deficiencies signs (e.g. yellowing spots), weeds and debris. Grading is categorization of vegetables according to leaf size, weight, maturity, turgidity, physical damage, and market demand.</t>
  </si>
  <si>
    <t>Zero Energy Brick Cooler (Cowpea)</t>
  </si>
  <si>
    <t>CoolBot™ (Cowpea)</t>
  </si>
  <si>
    <t>It is a low cost postharvest temperature management that improved the shelf life of banana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</si>
  <si>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(Cowpea)</t>
  </si>
  <si>
    <t>Modified Atmosphere Packaging of cow pea (Ziploc® and Xtend® bag packaging) (Cowpea)</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</si>
  <si>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Cowpea vegetables to between 5-7 days.</t>
  </si>
  <si>
    <t>Cowpea solar drying (Cowpea)</t>
  </si>
  <si>
    <t>Solar drying involves removal of excess moisture in Cowpea leaves hence increase the shelf life and reduce bulkiness during marketing. The methods used in drying include cabinet solar dryer, greenhouse solar dryer and De-hytray.</t>
  </si>
  <si>
    <t>Utilization of Cowpea leaves for high nutritional and medicinal properties (Cowpea)</t>
  </si>
  <si>
    <t>Value addition of Cowpea leaves increases available products that can be consumed. Value addition also improves palatability of Cowpea.</t>
  </si>
  <si>
    <t>Nutritional content varies with preparation methods, Palatability improvements may require recipe adaptation, Allergens and dietary restrictions should be considered, Food safety practices must be followed</t>
  </si>
  <si>
    <t>value addition, Cowpea leaves, nutrition, palatability, food processing, utilization</t>
  </si>
  <si>
    <t>Transformative Model of AIV production (Cowpea)</t>
  </si>
  <si>
    <t>Building a Business Plan for AIVs (Cowpea)</t>
  </si>
  <si>
    <t>Profitability analysis (Cowpea)</t>
  </si>
  <si>
    <t>Profitability analysis involves recording of costs and returns and therefore determination of profit which indicates the performance of the agro-enterprise. Profit analysis detects whether the business is operating at a loss or gain, leading to low productivity.</t>
  </si>
  <si>
    <t>Marketing Innovation model for the AIV Production and marketing (Cowpea)</t>
  </si>
  <si>
    <t>Collective marketing (Cowpea)</t>
  </si>
  <si>
    <t>Contracted production (Cowpea)</t>
  </si>
  <si>
    <t>Digital marketing (Cowpea)</t>
  </si>
  <si>
    <t>Market research (Cowpea)</t>
  </si>
  <si>
    <t>Advocacy in farmers' participation in the National Agricultural Policy development and implementation (Cowpea)</t>
  </si>
  <si>
    <t>Participation in the County Integrated Development Planning (Cowpea)</t>
  </si>
  <si>
    <t>The County Integrated Development Planning builds a plan for each county in Kenya to be implemented in five years. The planning process is participatory, involving the development stakeholders in the county. It is during this planning period where the issues in Cowpea production, marketing and processing are considered.</t>
  </si>
  <si>
    <t>Policy instruments related to AIV production (Cowpea)</t>
  </si>
  <si>
    <t>Policy cycle (Cowpea)</t>
  </si>
  <si>
    <t>Good Agricultural Practices (GAP) (Cowpea)</t>
  </si>
  <si>
    <t>Food Safety Management System: Hazard Analysis Critical Control Points (HACCP) Plan for AIVs Value Chain in Kenya (Cowpea)</t>
  </si>
  <si>
    <t>Food safety management system (FSMS) through Hazard Analysis and Critical Control Point (HACCP) in AIVs value chain is a system of food safety monitoring and control based on the systematic identification and assessment of various hazards. It is a preventive, rather than a reactive, tool that places the protection of the Cowpea supply from biological, chemical and physical hazards into the hands of food management systems. The system is designed to minimize the risk of food safety hazards by identifying the hazards, establishing controls and monitoring these controls.</t>
  </si>
  <si>
    <t>KK Mrambi (Ex-Zim) Amaranth</t>
  </si>
  <si>
    <t>Improved variety: High yielding at 5-10 t/ha. Long periods of harvesting (2 months). Tall variety. Area of production 200-2000 masl. High calcium, magnesium and zinc contents.</t>
  </si>
  <si>
    <t>Verify altitude suitability (200-2000 masl) before planting, High yields depend on good management including proper fertilization, Long harvesting period requires regular leaf plucking to maintain productivity, Nutritional content varies with soil fertility and agronomic practices</t>
  </si>
  <si>
    <t>high yielding, tall variety, long harvest, high calcium, magnesium, zinc</t>
  </si>
  <si>
    <t>KK Livokoyi (AC 38) (Amaranth)</t>
  </si>
  <si>
    <t>Yield 5-10 t/ha. High calcium, magnesium and zinc contents. Long periods of harvesting (2 months). Not bitter in taste. Area of production 200-2000 masl.</t>
  </si>
  <si>
    <t>Verify altitude suitability (200-2000 masl) before planting, Mild taste may vary with growing conditions and soil type, Long harvesting period requires regular maintenance and pest monitoring, Nutritional content varies with soil fertility</t>
  </si>
  <si>
    <t>high yielding, mild taste, long harvest, high calcium, magnesium, zinc</t>
  </si>
  <si>
    <t>KATVeg Amaranth 1 (Amaranth)</t>
  </si>
  <si>
    <t>Highly nutritious variety which contains vitamins A, B complex, C, D, E and K, calcium, iron, phosphorus, potassium magnesium and zinc. Drought tolerant. Fast growing (food security crop). Require minimal inputs. High yielding - 10 t/ha-1. High consumer acceptability – very tasty. Widely adopted. Wide harvesting intervals. Attacked by few pests and diseases.</t>
  </si>
  <si>
    <t>Drought tolerance does not eliminate need for irrigation during extreme dry spells, Minimal inputs still require basic soil fertility management, Wide harvesting intervals require regular monitoring for optimal harvest timing, Verify variety availability and official release status</t>
  </si>
  <si>
    <t>highly nutritious, drought tolerant, fast growing, high yielding, wide harvesting, consumer acceptability</t>
  </si>
  <si>
    <t>Formal Amaranth Seed System</t>
  </si>
  <si>
    <t>A Seed System is a set of activities contributing to variety development and seed production and delivery to farmers. The formal Amaranth Seed System is characterized by a well-regulated and organized set of activities, from breeding to delivering certified seeds of known and registered varieties to farmers and other stakeholders. It ensures continuous production, processing, supply and distribution of quality Amaranth seeds to farmers through organized marketing channels.</t>
  </si>
  <si>
    <t>Informal Amaranth Seed System</t>
  </si>
  <si>
    <t>A Seed System is a set of activities contributing to variety development and seed production and delivery to farmers. The informal Amaranth Seed System entails seed selection, treatment, storage, multiplication, and distribution. The informal Amaranth Seed System is outside the control of government agencies, with no external seed quality control. This system includes farmer-saved seed, gifts, barter, exchange and seed purchasing from local markets.</t>
  </si>
  <si>
    <t>Semi-Informal Amaranth seed production system</t>
  </si>
  <si>
    <t>Variety selection, Seed acquisition or Own Seed Selection, Planting, Weeding, Thinning, Fertilizer Application, Pest and Disease Management and Harvesting (Amaranth)</t>
  </si>
  <si>
    <t>This includes: Seed acquisition: Certified seed or training on proper own selection. Land preparation: Vegetable amaranth is small seeded hence fine seedbed is required for excellent crop emergence. Two operations, ploughing and Harrowing are necessary to achieve fine tilth. Soil fertility Management: Farm yard manure application at the rate of 10 ton/ha-1. Planting: Early planting before on-set rains is highly recommended. Seed rate 2-3 Kg/acre. Since Amaranth seeds are very small, seeds are mixed with sand at a ratio of 1g seed to 100g sand for easy sowing &amp; uniform stand. For drilling, make furrows 0.5 to 1.0 cm deep &amp; space rows 10 cm apart on the bed. Drill the seeds in the furrows and cover with soil mixed with compost. Weeding: Keep the crop weed free until it is well established. Thereafter weed as necessary. Thinning: Subsequent thinning should be done until the onset of heading, leaving one plant at an intra-row spacing of 25 cm apart. Harvesting: Leaf harvesting commences at four weeks after germination, then once every 2 weeks for two months. Seed harvesting and drying.</t>
  </si>
  <si>
    <t>Fine seedbed preparation is critical due to small seed size, Seed-sand mixing ratio (1:100) must be accurate for uniform sowing, Shallow planting depth (0.5-1.0 cm) requires careful execution, Thinning to 25 cm spacing is essential to avoid overcrowding</t>
  </si>
  <si>
    <t>agronomic practices, fine seedbed, seed-sand mixing, thinning, farm yard manure, harvesting</t>
  </si>
  <si>
    <t>Rapid Soil Testing Services (Amaranth)</t>
  </si>
  <si>
    <t>This is a dry method for soil testing using the interaction of electromagnetic radiation with matter to characterize biochemical composition of a soil and/or plant tissue. It does not require the routine laboratory analysis using chemicals. When a sample is run through a scanner, soil testing results are generated with accompanying recommendations instantly. However, the method requires partners involved (ICRAF, iSDA and SoilCares) to work closely with KALRO and county agricultural officers to sensitize farmers to embrace the testing method. This innovation will involve working closely with agronomists to generate specific fertilizer recommendation driven by soil and crop data obtained.</t>
  </si>
  <si>
    <t>Soil scanners require regular calibration for accuracy, Samples must be collected properly to represent the field, Results should be interpreted with expert guidance, Technology requires collaboration with multiple partners for effectiveness</t>
  </si>
  <si>
    <t>rapid soil testing, dry method, scanner technology, fertilizer recommendation, agronomists, soil fertility</t>
  </si>
  <si>
    <t>Integrated Soil Fertility Management (ISFM) (Amaranth)</t>
  </si>
  <si>
    <t>A set of soil fertility management practices that include the use of fertilizers, locally available organic inputs and improved seed and good agronomic practices to adapt to local conditions. ISFM places emphasis on the importance of using often scarce resources like fertilizer and organic inputs efficiently through techniques such as fertilizer banding (field application of fertilizer directly in area of root-zone to increase the potential for uptake) and micro dosing (applying small quantities of fertilizer with the seed at planting time and a few weeks after emergence).</t>
  </si>
  <si>
    <t>Requires soil testing to determine specific nutrient needs, Fertilizer banding requires careful placement to avoid root damage, Micro dosing requires accurate measurement of small quantities, Site-specific adaptation is critical for success</t>
  </si>
  <si>
    <t>soil fertility, fertilizer banding, micro dosing, organic inputs, improved seed, agronomic practices</t>
  </si>
  <si>
    <t>Integrated Manure Management (IMM) (Amaranth)</t>
  </si>
  <si>
    <t>Rain water Roof water catchment (Amaranth)</t>
  </si>
  <si>
    <t>Mulching (Amaranth)</t>
  </si>
  <si>
    <t>The practice of covering the soil/ground with natural materials such as straw, dead leaves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 decomposes).</t>
  </si>
  <si>
    <t>Solar Irrigation Systems for smallholder farmers (Amaranth)</t>
  </si>
  <si>
    <t>Drip Irrigation Systems for smallholder farmers (Amaranth)</t>
  </si>
  <si>
    <t>This is a technology that supplies water to plants grown in solid substrates in small controlled drops. It allows the optimal usage of the limited water resource by dripping water slowly into the crop roots at low pressure through a number of emission points (drippers). Drip system saves water by minimizing evaporation losses and delivering water at the root zone where it is required. It also provides the opportunity for farmers to increase crop yields. It's easy to design and operated. The layout can either be above surface or buried below the surface. System provides efficient fertilizer usage (fertigation) with irrigation water.</t>
  </si>
  <si>
    <t>Integrated Management of anthracnose disease in Amaranth</t>
  </si>
  <si>
    <t>Integrated management of anthracnose encompasses the use of various approaches in management of the diseases and are applied during pre-harvest stage. They include: cultural management, deployment of tolerant varieties and chemical control. Cultural practices: Use certified seeds; Practice crop rotation with non-legumes; Work in uninfected parts of the field first before the infected area; Avoid unnecessary movement in infected areas to minimize spread of the disease, disinfect farm implements after working from one field before proceeding to the other; Hot water treatment of grains at 54° for 10min. Chemical management: Applying fungicides from flower-bud formation stage until when pods are fully developed; Spraying Carbendazim 500g or Mancozeb 2kg/ha soon after the appearance of disease and repeat after 15 days; Spraying other fungicides such as Copper based fungicides, Trifloxystrobin + Tebuconazole based fungicides, or Carbendazim based fungicides in strict adherence to manufacturer's instructions.</t>
  </si>
  <si>
    <t>Integrated Management of powdery mildew disease in Amaranth</t>
  </si>
  <si>
    <t>Integrated management of powdery mildew consists of several approaches applied in an integrated manner to break the disease cycle. These include: cultural management and chemical control. Cultural management options: Plant early using certified seeds; Practice crop rotation with non-legumes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</si>
  <si>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Integrated Management of Bacterial blight disease (Amaranth)</t>
  </si>
  <si>
    <t>Integrated Management of Wet rot disease of Amaranths</t>
  </si>
  <si>
    <t>Integrated sooty mold management consists of various approaches that help to break the disease cycle. They cultural management and chemical control. Sooty mold is associated with insect infestations that excreta sugary excreta which provides sugars for fungal growth on the plant. Disease is effectively managed by controlling insect infestations. Cultural practices: Crop rotation with non-legumes for 6-8 seasons; Practicing field hygiene; Avoidance of excessive watering when irrigating; Avoid surface run off as it spreads the pathogen to non-infected areas; Uprooting infected plants and burying deeply to reduce inoculum; Disinfecting farm tools in jik solution (50 ml : litre) to prevent spread; Apply farm yard manure or green leaf manure (Gliricidia maculate) at 10 t/ha. Biological management: Applying rootgard, Trianum P and Trichotech. Chemical management: Treat the seeds with Carbendazim + Thiram at 2 g/kg or pellet the seeds with Trichoderma viride at 4 g/kg or Pseudomonas fluorescens @ 10g/kg of seed; Applying neem cake at 150 kg/ha.</t>
  </si>
  <si>
    <t>wet rot, cultural control, biological control, seed treatment, Trichoderma, crop rotation</t>
  </si>
  <si>
    <t>Integrated management of Damping off disease in Amaranth</t>
  </si>
  <si>
    <t>Integrated management of Panicle black mold (Amaranth)</t>
  </si>
  <si>
    <t>Integrated management of head and kernel smut diseases consists of several approaches applied in an integrated manner to break the disease cycle. These include: cultural management and chemical control. Cultural management options: Plant early using certified seeds; Practice crop rotation with non-legumes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</si>
  <si>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Copper-based fungicides require careful application, Early planting may not be possible in all areas, Field sanitation requires consistent effort, Disease symptoms must be detected early for effective control</t>
  </si>
  <si>
    <t>panicle black mold, cultural control, chemical control, copper fungicides, field sanitation, crop rotation</t>
  </si>
  <si>
    <t>Integrated Management of Root Knot nematodes in Amaranth</t>
  </si>
  <si>
    <t>Root knot nematodes affecting Amaranths are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</si>
  <si>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Integrated Management of Pig weed beetle (Amaranth)</t>
  </si>
  <si>
    <t>Integrated pig weed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Pest Control Products Board (PCPB). Synthetic pesticides should be used as the last option since most of them are detrimental to the environment.</t>
  </si>
  <si>
    <t>pig weed beetle, cultural control, biological control, biopesticides, PCPB, integrated pest management</t>
  </si>
  <si>
    <t>Integrated Management of Aphids (Amaranth)</t>
  </si>
  <si>
    <t>Integrated Management of Desert locust (Schistocerca gregaria) (Amaranth)</t>
  </si>
  <si>
    <t>Integrated management of Cut worms on Amaranth</t>
  </si>
  <si>
    <t>Integrated management of red spider mites on Amaranth</t>
  </si>
  <si>
    <t>Integrated management of spider mites consists of several approaches applied in an integrated manner to break the cycle of the insect. These include: Cultural Control: Keep the farm weed free from the alternative hosts such as solanum family crops that may harbour red spider mites; Avoid planting Amaranth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Conserve natural enemies. Chemical Control: Spray with abamectin 18g/kg based synthetic pesticides or Amitraz 200g/L based miticides.</t>
  </si>
  <si>
    <t>Integrated management of Leaf miner (Liriomyza sp) (Amaranth)</t>
  </si>
  <si>
    <t>Integrated management of leaf miner applies a combination of several approaches to manage the pest cycle. These include: cultural, biological and chemical control. Cultural Control: Plant clean seedlings free from all stages of the moth; Rotate with non-host crops such as maize, beans and cabbages; Remove and bury all infested plants, foliage and infected crop residues in a deep pit (over 1m); Remove infested leaves before the caterpillar pupates inside and becomes an egg-laying adult. Bio-control: Use of Bacillus thuringiensis at recommended rates; Use of Pheromone traps; Use sticky traps - 24 pcs/acre. Chemical Control: Spray spinetoram (Radiant 120 SC(R)) at rate of 18-30ml/20lts of water; Chlorantraniliprol (Corragen 20 SC(R)) at rate of 2ml/20lts of water; Belt insecticide.</t>
  </si>
  <si>
    <t>Integrated management of leaf caterpillar in Amaranth</t>
  </si>
  <si>
    <t>Leaf eating caterpillar affecting amaranth is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</si>
  <si>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leaf caterpillar, crop rotation, soil solarization, biological control, neem products, cultural control</t>
  </si>
  <si>
    <t>Integrated Weed Management (AIVs) (Amaranth)</t>
  </si>
  <si>
    <t>Integrated weed management (IWM) is using of several weed approaches such as preventive, physical control, biological control, use of biodegradable mulch, cultural, mechanical and chemical control the management of weeds. Physical control is the removal of weeds manually or mechanical means, such as hand weeding or mowing. Biological control is where you graze by big animals. Chemical control is where appropriate herbicides are used to control weeds. Cultural control includes the practice of crop rotation since various crops may influence the diversity and abundance of particular weed flora.</t>
  </si>
  <si>
    <t>Land Preparation Practices to control weeds in AIVs (Amaranth)</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</si>
  <si>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Amaranth seeds. We recommended this to be 3-4 weeks before the rain commence. For no till choose appropriate herbicides and follow the manufacturers label and recommendations specific to each herbicide.</t>
  </si>
  <si>
    <t>Legume Intercropping System (AIVs) (Amaranth)</t>
  </si>
  <si>
    <t>Innovative Legume Intercropping System is the growing of legumes crops such as Cowpea with Amaranth in a field at the same time, as a tool to enhance agricultural production and to obtain efficient land use. Legumes benefit the main crop (Amaranth) by replenishing soil nitrogen, smothering weeds and retaining soil moisture.</t>
  </si>
  <si>
    <t>Competition between crops for water, nutrients and light can reduce yields, Requires careful selection of compatible crop varieties, Increased labor for management and harvesting, May complicate mechanization and pesticide application</t>
  </si>
  <si>
    <t>AIVs Intercropping (Amaranth)</t>
  </si>
  <si>
    <t>Intercropping of Amaranth is the practice of planting Amaranth between other crops between rows such as cereal (maize, millets), tubers (cassava), and bananas. Intercropping must be planned to use space available and smother the weeds.</t>
  </si>
  <si>
    <t>Mulching (AIVs Weed Control) (Amaranth)</t>
  </si>
  <si>
    <t>The practice of covering the soil/ground with natural materials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Amaranth. Only black mulches should be used to control weeds. Benefits: Organic mulches suppress weeds while retaining moisture in the soil; keep the soil cool; improve soil fertility (as the mulches decompose) and improves microclimate hence increasing biodiversity. Synthetic mulches will solarize soils, control weed seedlings and weed seeds.</t>
  </si>
  <si>
    <t>Chemical Weed Control (AIVs) (Amaranth)</t>
  </si>
  <si>
    <t>Use only PCPB-approved herbicides for amaranth, Follow label instructions strictly to avoid crop damage, Apply herbicides during recommended weather conditions, Wear appropriate personal protective equipment</t>
  </si>
  <si>
    <t>Mechanical weeding (AIVs) (Amaranth)</t>
  </si>
  <si>
    <t>Safe Use of Agrochemicals (AIVs) (Amaranth)</t>
  </si>
  <si>
    <t>Power tiller (AIVs) (Amaranth)</t>
  </si>
  <si>
    <t>Wheeled Tractor less than 50Hp (AIVs) (Amaranth)</t>
  </si>
  <si>
    <t>Mould board plough (AIVs) (Amaranth)</t>
  </si>
  <si>
    <t>Disc Harrow (AIVs) (Amaranth)</t>
  </si>
  <si>
    <t>AIV Planter (Amaranth)</t>
  </si>
  <si>
    <t>Motorized Sprayer (AIVs) (Amaranth)</t>
  </si>
  <si>
    <t>Power weeder (AIVs) (Amaranth)</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</si>
  <si>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Amaranth farmers. It is designed to weed specified spacing inter raw within Amaranthus.</t>
  </si>
  <si>
    <t>Back Pack Weeder (AIVs) (Amaranth)</t>
  </si>
  <si>
    <t>It is a hand held machine that simultaneously cut the soil and weeds in Amaranth and is an intermediate technology machine appropriate for Small Holder Farmers. It is designed to weed specified spacing inter raw within Amaranth.</t>
  </si>
  <si>
    <t>Back AIVs Harvester (Amaranth)</t>
  </si>
  <si>
    <t>It is a hand held machine that simultaneously cut the vegetable leaves and is an intermediate technology machine appropriate for Small Holder Farmers. It is designed to harvest specified spacing inter raw within Amaranth.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</si>
  <si>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Amaranth sorting and grading</t>
  </si>
  <si>
    <t>Sorting is removal of infected vegetables, vegetables with yellowing spots, weeds and debris. Grading is grouping of Amaranth according to leaf size, weight, maturity, turgidity, physical damage, and market demand.</t>
  </si>
  <si>
    <t>Zero Energy Brick Cooler (Amaranth)</t>
  </si>
  <si>
    <t>CoolBot™ (Amaranth)</t>
  </si>
  <si>
    <t>It is a low cost postharvest temperature management that improved the shelf life of Amaranth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</si>
  <si>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(Amaranth)</t>
  </si>
  <si>
    <t>Modified Atmosphere Packaging of AIVs (Ziploc® and Xtend® bag packaging) (Amaranth)</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</si>
  <si>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African Nightshade for between 5-7 days.</t>
  </si>
  <si>
    <t>Amaranth solar drying</t>
  </si>
  <si>
    <t>Solar drying involves drying of Amaranth where cabinet solar dryer, greenhouse solar dryer and dehytray are used.</t>
  </si>
  <si>
    <t>Transformative Model of AIV  production (Amaranth)</t>
  </si>
  <si>
    <t>Building a Business Plan for AIVs (Amaranth)</t>
  </si>
  <si>
    <t>Profitability analysis for AIVs (Amaranth)</t>
  </si>
  <si>
    <t>Marketing Innovation model for AIVs: Production and marketing (Amaranth)</t>
  </si>
  <si>
    <t>Collective marketing of AIVs (Amaranth)</t>
  </si>
  <si>
    <t>Contracted production of AIVs (Amaranth)</t>
  </si>
  <si>
    <t>Digital marketing of AIVs (Amaranth)</t>
  </si>
  <si>
    <t>Market research for AIVs (Amaranth)</t>
  </si>
  <si>
    <t>Advocacy in farmers' participation in the National Agricultural Policy development and implementation (Amaranth)</t>
  </si>
  <si>
    <t>Participation in the County Integrated Development Planning (Amaranth)</t>
  </si>
  <si>
    <t>The County Integrated Development Planning builds a plan for each county in Kenya to be implemented in five years. The planning process is participatory, involving the development stakeholders in the county. It is during this planning period where the issues in Amaranth production, marketing and processing are considered.</t>
  </si>
  <si>
    <t>Policy instruments related to AIV production (Amaranth)</t>
  </si>
  <si>
    <t>Policy cycle for AIVs (Amaranth)</t>
  </si>
  <si>
    <t>Good Agricultural Practices (GAP) (Amaranth)</t>
  </si>
  <si>
    <t>Food Safety Management System: Hazard Analysis Critical Control Points (HACCP) Plan for AIVs Value Chain in Kenya (Amaranth)</t>
  </si>
  <si>
    <t>Food safety management system (FSMS) through Hazard Analysis and Critical Control Point (HACCP) in Amaranth value chain is a system of food safety monitoring and control based on the systematic identification and assessment of various hazards. It is a preventive, rather than a reactive, tool that places the protection of the Amaranth supply from biological, chemical and physical hazards into the hands of food management systems. The system is designed to minimize the risk of food safety hazards by identifying the hazards, establishing controls and monitoring these controls.</t>
  </si>
  <si>
    <t>KK Bigi (African Nightshade)</t>
  </si>
  <si>
    <t>An improved African Nightshade variety released in 2017. Has large green leaves, is high yielding (15 t/ha-1) and can be harvested for 2 months. Very nutritious and rich in calcium, zinc and magnesium. Has a mild taste. Area of production is 250-2000 masl.</t>
  </si>
  <si>
    <t>Verify altitude suitability (250-2000 masl) before planting, High yields depend on good management including proper fertilization, Long harvesting period requires regular leaf plucking to maintain productivity, Nutritional content varies with soil fertility and agronomic practices</t>
  </si>
  <si>
    <t>high yielding, large leaves, mild taste, 2-month harvest, calcium rich, released 2017</t>
  </si>
  <si>
    <t>KK Ayaro (African Nightshade)</t>
  </si>
  <si>
    <t>Has large green leaves. It is high yielding (15 t/ha-1). It is early maturing with short harvesting period. Very nutritious and rich in calcium, iron, magnesium. Has mild taste.</t>
  </si>
  <si>
    <t>Early maturity requires timely harvesting to prevent quality loss, Short harvesting period may limit total yield, Nutritional content varies with soil fertility, Verify variety availability and official release status</t>
  </si>
  <si>
    <t>large leaves, high yielding, early maturing, mild taste, calcium iron magnesium, nutritious</t>
  </si>
  <si>
    <t>Abuku mnavu-1 (African Nightshade)</t>
  </si>
  <si>
    <t>Green Scrabrum. High yielding (20-40 t/ha-1). Maturity time 5 weeks. Harvesting duration 8 weeks. Very high anti-oxidant activity. Has a mild taste. Released in 2016. Growing area 100-2500 masl.</t>
  </si>
  <si>
    <t>Verify altitude suitability (100-2500 masl) before planting, High yields depend on good management including proper fertilization, High anti-oxidant content may vary with growing conditions, Source certified seeds from reputable suppliers</t>
  </si>
  <si>
    <t>Green Scrabrum, high yielding, 5-week maturity, high anti-oxidant, mild taste, released 2016</t>
  </si>
  <si>
    <t>Abuku Mnavu2 (African Nightshade)</t>
  </si>
  <si>
    <t>High leaf yields (20-40 t/ha-1). Maturity time 5 weeks. Harvesting duration 8 weeks. Very high anti-oxidant activity. Purple Scrabrum. Areas of production 250-2000 masl.</t>
  </si>
  <si>
    <t>Verify altitude suitability (250-2000 masl) before planting, Purple coloration may affect market acceptability in some regions, High anti-oxidant content may vary with growing conditions, Source certified seeds from reputable suppliers</t>
  </si>
  <si>
    <t>Purple Scrabrum, high yielding, 5-week maturity, high anti-oxidant, 8-week harvest, 250-2000 masl</t>
  </si>
  <si>
    <t>Formal African Nightshade Seed System</t>
  </si>
  <si>
    <t>A Seed System is a set of activities contributing to variety development and seed production and delivery to farmers. The formal African Nightshade Seed System is characterized by a well-regulated and organized set of activities, from breeding to delivering certified seeds of known and registered varieties to farmers and other stakeholders. It ensures continuous production, processing, supply and distribution of quality African Nightshade seeds to farmers through organized marketing channels.</t>
  </si>
  <si>
    <t>Informal African Nightshade Seed System</t>
  </si>
  <si>
    <t>A Seed System is a set of activities contributing to variety development and seed production and delivery to farmers. The informal African Nightshade Seed System entails seed selection, treatment, storage, multiplication, and distribution. The informal African Nightshade Seed System is outside the control of government agencies, with no external seed quality control. This system includes farmer-saved seed, gifts, barter, exchange and seed purchasing from local markets.</t>
  </si>
  <si>
    <t>Semi-Informal African Nightshade seed production system</t>
  </si>
  <si>
    <t>Variety selection, Seed acquisition or Own Seed Selection, Planting, Weeding, Thinning, Fertilizer Application, Pest and Disease Management, Harvesting, Storage (African Nightshade)</t>
  </si>
  <si>
    <t>This includes: seed acquisition: Certified seed or training on proper own selection. Land preparation: Plough deeply and harrow to obtain fine seedbed. Raising Seedlings: Use of clean seed is recommended due to high incidences of seed borne diseases. Seed Rate: 50 g per acre. Nursery Site Selection: The nursery should be located in a plot that has not been planted with crops in the Solanaceae family for at least three (3) years. Nursery Establishment: Involves site preparation, construction of nursery infrastructure and basic nursery tools. Management of Nursery: Adequate watering is essential for proper growth. Weeding: Keep the crop weed free until it is well established. Thinning: Subsequent thinning should be done until the onset of heading, leaving one plant at an intra-row spacing of 30 to 40 cm apart depending on varieties. Harvesting: Maturity Period: 60 days after direct seed sowing in the field or 30 days after transplanting.</t>
  </si>
  <si>
    <t>Nursery site must avoid Solanaceae family crops for at least 3 years to prevent soil-borne diseases, Seed rate (50 g/acre) requires accurate measurement for optimal establishment, Thinning to 30-40 cm spacing is critical to avoid overcrowding, Regular removal of flowers ensures longer harvesting period</t>
  </si>
  <si>
    <t>nursery establishment, seed rate, Solanaceae rotation, thinning, transplanting, harvesting</t>
  </si>
  <si>
    <t>Rapid Soil Testing Services (African Nightshade)</t>
  </si>
  <si>
    <t>This is a dry method for soil testing using the interaction of electromagnetic radiation with matter to characterize biochemical composition of a soil and/or plant tissue. It does not require the routine laboratory analysis using chemicals. When a sample is run through a scanner, soil testing results are generated with accompanying recommendations instantly. However, the method requires partners involved (ICRAF, iSDA and SoilCares) to work closely with KALRO and county agricultural officers to sensitize farmers to embrace the testing method.</t>
  </si>
  <si>
    <t>rapid soil testing, dry method, scanner technology, fertilizer recommendation, ICRAF, SoilCares</t>
  </si>
  <si>
    <t>Integrated Soil Fertility Management (ISFM) (African Nightshade)</t>
  </si>
  <si>
    <t>Integrated Manure Management (IMM) (African Nightshade)</t>
  </si>
  <si>
    <t>Rain water Roof water catchment (African Nightshade)</t>
  </si>
  <si>
    <t>Mulching (African Nightshade)</t>
  </si>
  <si>
    <t>Solar Irrigation Systems for smallholder farmers (African Nightshade)</t>
  </si>
  <si>
    <t>Drip Irrigation Systems for smallholder farmers (African Nightshade)</t>
  </si>
  <si>
    <t>Integrated Management of Early blight disease in African Nightshade</t>
  </si>
  <si>
    <t>Integrated management comprises the use of cultural management practices and chemical control in its management. Cultural practices: Crop rotation with non-solanaceae for a period of 2 to 3 seasons; Rogueing out infected plants from the farm and burying them deeply; Avoidance of working in the fields when plants are wet to minimize spread; Disinfecting farm tools in jik solution (50 ml: litre); Practicing good field sanitation and hygiene practices by collecting and disposing infected plants. Chemical management: To suppress the disease, spray copper oxychloride once initial symptoms are observed.</t>
  </si>
  <si>
    <t>Jik solution (1:20 ratio) must be prepared correctly, Copper oxychloride requires careful application to avoid phytotoxicity, Crop rotation (2-3 seasons) requires long-term planning, Disease symptoms must be detected early for effective control</t>
  </si>
  <si>
    <t>early blight, cultural control, chemical control, crop rotation, jik disinfection, copper oxychloride</t>
  </si>
  <si>
    <t>Integrated Management of Root Knot nematodes in African Nightshade</t>
  </si>
  <si>
    <t>Root knot nematodes affecting African Nightshades are controlled through cultural management practises and chemical control. Cultural practices: Crop rotation with non-solanaceae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</si>
  <si>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Integrated Management of Black aphids (African Nightshade)</t>
  </si>
  <si>
    <t>black aphids, cultural control, natural enemies, neem products, soap spray, integrated pest management</t>
  </si>
  <si>
    <t>Integrated Management of Flea beetle (African Nightshade)</t>
  </si>
  <si>
    <t>Integrated management of the beetle includes the use of various pest control strategies. The strategies include cultural, biological and chemical control. In order to realize an effective management program for this insect, one has to start chronologically from preventive to curative pest control measures i.e. from cultural to chemical control.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PCPB. Synthetic pesticides should be used as the last option.</t>
  </si>
  <si>
    <t>Pest scouting requires regular and systematic monitoring, Hand picking is labor-intensive and may not be practical for large farms, Domestic chickens may damage young plants when foraging, Biopesticides require proper timing for effectiveness</t>
  </si>
  <si>
    <t>flea beetle, cultural control, biological control, biopesticides, PCPB, integrated pest management</t>
  </si>
  <si>
    <t>Integrated Management of Desert locust (Schistocerca gregaria) (African Nightshade)</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</si>
  <si>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 Scouting and control of DL in recession (traditional breeding) regions will prevent infestation in invasion (non-traditional) regions. Spray hopper bands using Metarhizium anisopliae based products.</t>
  </si>
  <si>
    <t>Integrated management of Cut worms on African Nightshade</t>
  </si>
  <si>
    <t>Integrated management of red spider mites on African Nightshade</t>
  </si>
  <si>
    <t>Integrated management of spider mites consists of several approaches applied in an integrated manner to break the cycle of the insect. Cultural Control: Keep the farm free from the weeds and alternative hosts such as solanum family crops that may harbour red spider mites; Avoid planting African Nightshade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Conserve natural enemies. Chemical Control: Spray with abamectin 18g/kg based synthetic pesticides or Amitraz 200g/L based miticides.</t>
  </si>
  <si>
    <t>Integrated Weed Management (African Nightshade)</t>
  </si>
  <si>
    <t>Land Preparation Practices to control weeds in AIVs (African Nightshade)</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</si>
  <si>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AIVs seeds.</t>
  </si>
  <si>
    <t>Legume Intercropping System (African Nightshade)</t>
  </si>
  <si>
    <t>Innovative Legume Intercropping System is the growing of legumes crops such as Cowpea with African Nightshade in a field at the same time, as a tool to enhance agricultural production and to obtain efficient land use. Legumes benefit the main crop (African Nightshade) by replenishing soil nitrogen, smothering weeds and retaining soil moisture.</t>
  </si>
  <si>
    <t>AIVs Intercropping (African Nightshade)</t>
  </si>
  <si>
    <t>Intercropping of African Nightshade is the practice of planting African Nightshade between other crops between rows such as cereal (maize, millets), tubers (cassava), and bananas. Intercropping must be planned to use space available and smother the weeds.</t>
  </si>
  <si>
    <t>Mulching (African Nightshade - Weed Control)</t>
  </si>
  <si>
    <t>The practice of covering the soil/ground with natural materials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African Nightshade. Only black mulches should be used to control weeds.</t>
  </si>
  <si>
    <t>Chemical Weed Control (African Nightshade)</t>
  </si>
  <si>
    <t>Use only PCPB-approved herbicides for African Nightshade, Follow label instructions strictly to avoid crop damage, Apply herbicides during recommended weather conditions, Wear appropriate personal protective equipment</t>
  </si>
  <si>
    <t>Mechanical weeding (African Nightshade)</t>
  </si>
  <si>
    <t>Safe Use of Agrochemicals (African Nightshade)</t>
  </si>
  <si>
    <t>Power tiller (African Nightshade)</t>
  </si>
  <si>
    <t>Wheeled Tractor less than 50Hp (African Nightshade)</t>
  </si>
  <si>
    <t>Mould board plough (African Nightshade)</t>
  </si>
  <si>
    <t>Disc Harrow (African Nightshade)</t>
  </si>
  <si>
    <t>AIV Planter (African Nightshade)</t>
  </si>
  <si>
    <t>Motorized Sprayer (African Nightshade)</t>
  </si>
  <si>
    <t>Power weeder (African Nightshade)</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</si>
  <si>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African Nightshade farmers. It is designed to weed specified spacing inter raw within African Nightshade.</t>
  </si>
  <si>
    <t>Back Pack Weeder (African Nightshade)</t>
  </si>
  <si>
    <t>It is a hand held machine that simultaneously cut the soil and weeds in AIV and is an intermediate technology machine appropriate for Small Holder Farmers. It is designed to weed specified spacing inter raw within African Nightshade.</t>
  </si>
  <si>
    <t>Back AIVs Harvester (African Nightshade)</t>
  </si>
  <si>
    <t>It is a hand held machine that simultaneously cut the vegetable leaves and is an intermediate technology machine appropriate for Small Holder Farmers. It is designed to harvest specified spacing inter raw within African Nightshade.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</si>
  <si>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African Nightshade sorting and grading</t>
  </si>
  <si>
    <t>Sorting is removal of infected vegetables, vegetables with yellowing spots, weeds and debris. Grading is grouping of vegetables according to leaf size, weight, maturity, turgidity, physical damage, and market demand.</t>
  </si>
  <si>
    <t>Zero Energy Brick Cooler (African Nightshade)</t>
  </si>
  <si>
    <t>CoolBot™ (African Nightshade)</t>
  </si>
  <si>
    <t>It is a low cost postharvest temperature management that improved the shelf life of African Nightshade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</si>
  <si>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(African Nightshade)</t>
  </si>
  <si>
    <t>Modified Atmosphere Packaging of AIVs (Ziploc® and Xtend® bag packaging) (African Nightshade)</t>
  </si>
  <si>
    <t>African Nightshade solar drying</t>
  </si>
  <si>
    <t>Solar drying involves drying of Africa nightshade where cabinet solar dryer, greenhouse solar dryer and dehytray are used.</t>
  </si>
  <si>
    <t>Transformative Model of AIV production (African Nightshade)</t>
  </si>
  <si>
    <t>Building a Business Plan for AIVs (African Nightshade)</t>
  </si>
  <si>
    <t>Profitability analysis (African Nightshade)</t>
  </si>
  <si>
    <t>Marketing Innovation model for AIV production and marketing (African Nightshade)</t>
  </si>
  <si>
    <t>Collective marketing (African Nightshade)</t>
  </si>
  <si>
    <t>Contracted production (African Nightshade)</t>
  </si>
  <si>
    <t>Digital marketing (African Nightshade)</t>
  </si>
  <si>
    <t>Market research (African Nightshade)</t>
  </si>
  <si>
    <t>Advocacy in farmers' participation in the National Agricultural Policy development and implementation (African Nightshade)</t>
  </si>
  <si>
    <t>Participation in the County Integrated Development Planning (African Nightshade)</t>
  </si>
  <si>
    <t>The County Integrated Development Planning builds a plan for each county in Kenya to be implemented in five years. The planning process is participatory, involving the development stakeholders in the county. It is during this planning period where the issues in African Nightshade production, marketing and processing are considered.</t>
  </si>
  <si>
    <t>Policy instruments related to AIV production (African Nightshade)</t>
  </si>
  <si>
    <t>Policy cycle (African Nightshade)</t>
  </si>
  <si>
    <t>Good Agricultural Practices (GAP) (African Nightshade)</t>
  </si>
  <si>
    <t>Food Safety Management System: Hazard Analysis Critical Control Points (HACCP) Plan for AIVs Value Chain in Kenya (African Nightshade)</t>
  </si>
  <si>
    <t>Food safety management system (FSMS) through Hazard Analysis and Critical Control Point (HACCP) in African Nightshade value chain is a system of food safety monitoring and control based on the systematic identification and assessment of various hazards. It is a preventive, rather than a reactive, tool that places the protection of the African Nightshade supply from biological, chemical and physical hazards into the hands of food management systems. The system is designed to minimize the risk of food safety hazards by identifying the hazards, establishing controls and monitoring these controls.</t>
  </si>
  <si>
    <t>KATMrenda 1 (Jute Mallow)</t>
  </si>
  <si>
    <t>High yielding - 10 t/ha-1. High consumer acceptability – very tasty. Affected by few pests and disease. It is late maturing (6 months) hence wide harvesting interval. Does not require much attention. Highly nutritious variety which contains dietary fiber, calcium, protein, iron, potassium, copper, magnesium, zinc Vitamin C, Vitamin E, Vitamin B1, Vitamin B2 and Beta carotene.</t>
  </si>
  <si>
    <t>Late maturity (6 months) requires long-term planning and patience, Wide harvesting interval requires regular monitoring for optimal harvest timing, Nutritional content varies with soil fertility and agronomic practices, Verify variety availability and official release status</t>
  </si>
  <si>
    <t>high yielding, late maturing, wide harvesting, highly nutritious, consumer acceptability, minimal inputs</t>
  </si>
  <si>
    <t>Formal Jute Mallow Seed System</t>
  </si>
  <si>
    <t>A Seed System is a set of activities contributing to variety development and seed production and delivery to farmers. The formal Jute Mallow Seed System is characterized by a well-regulated and organized set of activities, from breeding to delivering certified seeds of known and registered varieties to farmers and other stakeholders. It ensures continuous production, processing, supply and distribution of quality Jute Mallow seeds to farmers through organized marketing channels.</t>
  </si>
  <si>
    <t>Informal Jute Mallow Seed System</t>
  </si>
  <si>
    <t>A Seed System is a set of activities contributing to variety development and seed production and delivery to farmers. The informal Jute Mallow Seed System entails seed selection, treatment, storage, multiplication, and distribution. The informal Jute Mallow Seed System is outside the control of government agencies, with no external seed quality control. This system includes farmer-saved seed, gifts, barter, exchange and seed purchasing from local markets.</t>
  </si>
  <si>
    <t>Semi-Informal Jute Mallow seed production system</t>
  </si>
  <si>
    <t>Variety selection, Seed acquisition or Own Seed Selection, Planting, Weeding, Thinning, Fertilizer Application, Pest and Disease Management, Harvesting, Storage (Jute Mallow)</t>
  </si>
  <si>
    <t>This includes: seed acquisition: Certified seed or training on proper own selection. Land preparation: Ploughing; Harrowing is necessary; Preparation of a fine seedbed. Soil fertility Management: Farm yard manure application at the rate of 5 ton/ha-1. Planting and seed rate: Early planting at onset of rains; Depth 5 cm; Seed rate 2-3 Kg/acre; Mix Jute Mallow seeds with dry sand or soil at the rate of 1 part seed: 3-5 parts dry soil/sand. Spacing: Make drills at a spacing of 45-60 cm x 10-20 cm apart, thinly sow the seeds in the drills and cover lightly with soil. Weeding: Keep the crop weed free until it is well established. Thinning: Subsequent thinning should be done 2-3 times until leaving one plant at an intra-row spacing of 15-20 cm apart. Harvesting: Leaf harvesting commences at four weeks after germination, then once every 2 weeks for 3-4 months.</t>
  </si>
  <si>
    <t>Fine seedbed preparation is critical for small seeds, Seed-sand mixing ratio (1:3-5) must be accurate for uniform sowing, Thinning 2-3 times requires careful scheduling and labor planning, Farm yard manure (5 ton/ha) requires proper composting before application</t>
  </si>
  <si>
    <t>Rapid Soil Testing Services (Jute Mallow)</t>
  </si>
  <si>
    <t>Integrated Soil Fertility Management (ISFM) (Jute Mallow)</t>
  </si>
  <si>
    <t>A set of soil fertility management practices that include the use of fertilizers, locally available organic inputs and improved seed and good agronomic practices to adapt to local conditions. ISFM places emphasis on the importance of using often scarce resources like fertilizer and organic inputs efficiently through techniques such as fertilizer banding and micro dosing.</t>
  </si>
  <si>
    <t>Integrated Manure Management (IMM) (Jute Mallow)</t>
  </si>
  <si>
    <t>Rain Water Roof Water Catchment (Jute Mallow)</t>
  </si>
  <si>
    <t>Mulching (Jute Mallow)</t>
  </si>
  <si>
    <t>Solar irrigation systems for smallholder farmers (Jute Mallow)</t>
  </si>
  <si>
    <t>Drip Irrigation Systems for smallholder farmers (Jute Mallow)</t>
  </si>
  <si>
    <t>This is a technology that supplies water to plants grown in solid substrates in small controlled drops. It allows the optimal usage of the limited water resource by dripping water slowly into the crop roots at low pressure through a number of emission points (drippers). Drip system saves water by minimizing evaporation losses and delivering water at the root zone where it is required. It also provides the opportunity for farmers to increase crop yields. It's easy to design and operated.</t>
  </si>
  <si>
    <t>Integrated Weed Management (Jute Mallow)</t>
  </si>
  <si>
    <t>Land Preparation Practices to control weeds in AIVs (Jute Mallow)</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</si>
  <si>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Jute Mallow seeds.</t>
  </si>
  <si>
    <t>Legume Intercropping System (Jute Mallow)</t>
  </si>
  <si>
    <t>Innovative Legume Intercropping Systems is the growing of a legume crop and Jute Mallow in a field at the same time, as a tool to enhance agricultural production and to obtain efficient land use. Intercropping systems are defined based on the temporal and spatial arrangements of the crops. There are several intercropping systems such as mixed, strip, row intercropping patterns, Relay and Alley intercropping.</t>
  </si>
  <si>
    <t>AIVs Intercropping (Jute Mallow)</t>
  </si>
  <si>
    <t>Intercropping in Jute Mallow is the practice of planting Jute Mallow between other crops between rows such as cereal (maize, millets), tubers (cassava), and bananas. Intercropping must be planned to use space available and smother the weeds.</t>
  </si>
  <si>
    <t>Mulching (Jute Mallow - Weed Control)</t>
  </si>
  <si>
    <t>The practice of covering the soil/ground with natural materials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Jute Mallow. Only black mulches should be used to control weeds.</t>
  </si>
  <si>
    <t>Chemical Weed Control (Jute Mallow)</t>
  </si>
  <si>
    <t>Use only PCPB-approved herbicides for Jute Mallow, Follow label instructions strictly to avoid crop damage, Apply herbicides during recommended weather conditions, Wear appropriate personal protective equipment</t>
  </si>
  <si>
    <t>Mechanical weeding (Jute Mallow)</t>
  </si>
  <si>
    <t>Safe Use of Agrochemicals (Jute Mallow)</t>
  </si>
  <si>
    <t>Power tiller (Jute Mallow)</t>
  </si>
  <si>
    <t>A Power Tiller is a two-wheeled agricultural implement fitted with rotary tillers, disk harrow, moldboard plough, trailer, water pump or chisel at alternate times for easing farm operations. It can complete 1ha per day by one operator in about two hours. This will vary depending on the climatic conditions, soil types, soil moisture content, stamina and experience of the operator. Fuel consumption is about 15 liters per ha.</t>
  </si>
  <si>
    <t>Wheeled Tractor less than 50Hp (Jute Mallow)</t>
  </si>
  <si>
    <t>Mould board plough (Jute Mallow)</t>
  </si>
  <si>
    <t>Disc Harrow (Jute Mallow)</t>
  </si>
  <si>
    <t>AIV Planter (Jute Mallow)</t>
  </si>
  <si>
    <t>Motorized Sprayer (Jute Mallow)</t>
  </si>
  <si>
    <t>Power weeder (Jute Mallow)</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</si>
  <si>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Jute Mallow farmers. It is designed to weed specified spacing inter raw within Jute Mallow.</t>
  </si>
  <si>
    <t>Back Pack Weeder (Jute Mallow)</t>
  </si>
  <si>
    <t>It is a hand held machine that simultaneously cut the soil and weeds in Jute Mallow and is an intermediate technology machine appropriate for Small Holder Farmers. It is designed to weed specified spacing inter raw within Jute Mallow.</t>
  </si>
  <si>
    <t>Back AIVs Harvester (Jute Mallow)</t>
  </si>
  <si>
    <t>It is a hand held machine that simultaneously cut the vegetable leaves and is an intermediate technology machine appropriate for Small Holder Farmers. It is designed to harvest specified spacing inter raw within Jute Mallow.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</si>
  <si>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Jute Mallow Sorting and Grading</t>
  </si>
  <si>
    <t>Sorting is done to remove diseased vegetables, vegetables with yellowing spots, weeds and debris. Grading is categorization of Jute Mallow according to leaf size, weight, maturity, turgidity, physical damage, and market demand.</t>
  </si>
  <si>
    <t>Zero Energy Brick Cooler (Jute Mallow)</t>
  </si>
  <si>
    <t>CoolBot™ (Jute Mallow)</t>
  </si>
  <si>
    <t>Wakati™ technology (Jute Mallow)</t>
  </si>
  <si>
    <t>Jute Mallow solar drying (Jute Mallow)</t>
  </si>
  <si>
    <t>Drying of Jute Mallow removes excess water thus extending their shelf leading to reduced postharvest losses.</t>
  </si>
  <si>
    <t>solar drying, preservation, moisture removal, shelf life extension, postharvest, drying techniques</t>
  </si>
  <si>
    <t>Transformative Model of AIV production (Jute Mallow)</t>
  </si>
  <si>
    <t>Building a Business Plan for AIVs (Jute Mallow)</t>
  </si>
  <si>
    <t>Profitability analysis (Jute Mallow)</t>
  </si>
  <si>
    <t>Marketing Innovation model for AIV production and marketing (Jute Mallow)</t>
  </si>
  <si>
    <t>Collective marketing (Jute Mallow)</t>
  </si>
  <si>
    <t>Contracted production (Jute Mallow)</t>
  </si>
  <si>
    <t>Digital marketing (Jute Mallow)</t>
  </si>
  <si>
    <t>Market research (Jute Mallow)</t>
  </si>
  <si>
    <t>Advocacy in farmers' participation in the National Agricultural Policy development and implementation (Jute Mallow)</t>
  </si>
  <si>
    <t>Participation in the County Integrated Development Planning (Jute Mallow)</t>
  </si>
  <si>
    <t>The County Integrated Development Planning builds a plan for each county in Kenya to be implemented in five years. The planning process is participatory, involving the development stakeholders in the county. It is during this planning period where the issues in Jute Mallow production, marketing and processing are considered.</t>
  </si>
  <si>
    <t>Policy instruments related to AIV production (Jute Mallow)</t>
  </si>
  <si>
    <t>Policy cycle (Jute Mallow)</t>
  </si>
  <si>
    <t>Good Agricultural Practices (GAP) (Jute Mallow)</t>
  </si>
  <si>
    <t>Food Safety Management System: Hazard Analysis Critical Control Points (HACCP) Plan for AIVs Value Chain in Kenya (Jute Mallow)</t>
  </si>
  <si>
    <t>Food safety management system (FSMS) through Hazard Analysis and Critical Control Point (HACCP) in Jute Mallow value chain is a system of food safety monitoring and control based on the systematic identification and assessment of various hazards. It is a preventive, rather than a reactive, tool that places the protection of the AIVs supply from biological, chemical and physical hazards into the hands of food management systems. The system is designed to minimize the risk of food safety hazards by identifying the hazards, establishing controls and monitoring these controls.</t>
  </si>
  <si>
    <t>Katumani Mito 1 (Slenderleaf)</t>
  </si>
  <si>
    <t>High yielding - 8 t/ha-1. Wide harvesting intervals. Attacked by few pests and diseases. The vegetable is a rich source Vitamin A and C which improve blood circulation and immunity. It also contains calcium responsible for strong bones. It has zinc which helps to repair worn out tissues. It is a good source of iron, beta carotene, flavonoids. It has a mild taste.</t>
  </si>
  <si>
    <t>Over-reliance on a single variety, Potential for nutrient depletion in soil, Market price fluctuations for high yields, Need for proper harvesting techniques to maintain quality, Verify yield claims with local conditions</t>
  </si>
  <si>
    <t>High-yielding, Vitamin A, Vitamin C, Calcium, Iron, Mild taste</t>
  </si>
  <si>
    <t>Katumani Mito 2 (Slenderleaf)</t>
  </si>
  <si>
    <t>The Slenderleaf vegetable is a rich source of Vitamin A and C and proteins. It also contains minerals like calcium, zinc and iron. It is a good source of antioxidants. It has a bitter taste. High yielding - 8 t/ha-1. Wide harvesting intervals. Attacked by few pests and diseases.</t>
  </si>
  <si>
    <t>Bitter taste may affect marketability, Over-reliance on a single variety, Potential for nutrient depletion in soil, Market price fluctuations for high yields, Verify yield claims with local conditions</t>
  </si>
  <si>
    <t>Slenderleaf, Vitamin A, Vitamin C, Protein, Bitter taste, Antioxidants</t>
  </si>
  <si>
    <t>Formal Slenderleaf Seed System (Slenderleaf)</t>
  </si>
  <si>
    <t>A Seed System is a set of activities contributing to variety development and seed production and delivery to farmers. The formal Slenderleaf Seed System is characterized by a well-regulated and organized set of activities, from breeding to delivering certified seeds of known and registered varieties to farmers and other stakeholders. It ensures continuous production, processing, supply and distribution of quality Slenderleaf seeds to farmers through organized marketing channels.</t>
  </si>
  <si>
    <t>Higher cost of certified seeds, Dependence on external suppliers, Potential for supply chain disruptions, Requires strict adherence to regulations, May not be accessible to all farmers</t>
  </si>
  <si>
    <t>Formal Seed System, Certified seeds, Quality control, Seed distribution, Regulated, Slenderleaf</t>
  </si>
  <si>
    <t>Informal Slenderleaf Seed System (Slenderleaf)</t>
  </si>
  <si>
    <t>A Seed System is a set of activities contributing to variety development and seed production and delivery to farmers. The informal Slenderleaf Seed System entails seed selection, treatment, storage, multiplication, and distribution. The informal Slenderleaf Seed System is outside the control of government agencies, with no external seed quality control. This system includes farmer-saved seed, gifts, barter, exchange and seed purchasing from local markets.</t>
  </si>
  <si>
    <t>No external quality control, Risk of poor seed quality or disease, Limited access to new/improved varieties, Reliance on traditional knowledge, Potential for seed-borne pests</t>
  </si>
  <si>
    <t>Informal Seed System, Farmer-saved seed, Seed exchange, Local markets, No quality control, Traditional knowledge</t>
  </si>
  <si>
    <t>Semi-Informal Slenderleaf seed production system (Slenderleaf)</t>
  </si>
  <si>
    <t>Requires strong community organization, May lack resources for quality testing, Potential for conflict over seed sharing, Dependence on external training, Quality may be inconsistent</t>
  </si>
  <si>
    <t>Community-based, Seed production, Farmer groups, Improved varieties, Quality guidelines, Cooperatives</t>
  </si>
  <si>
    <t>Variety selection, Seed acquisition or Own Seed Selection, Planting, Weeding, Thinning, Fertilizer Application, Pest and Disease Management, Harvesting, Storage (Slenderleaf)</t>
  </si>
  <si>
    <t>This includes: seed acquisition: Certified seed or training on proper own selection. Rainfall: Requires well distributed rainfall with annual average of 500mm-2700mm. Temperature: Thrives well at 12-300c. Land preparation: Ploughing and Harrowing operations are necessary. Planting and seed rate: Early planting; Depth 5 cm; Seed rate 2-3 Kg/acre; Mix seeds with dry sand or soil at the rate of 1 part Seed to 3 parts dry soil/sand. Spacing: Make shallow drills spaced 45 - 60cm apart. Weeding: Keep the crop weed free until it is well established. Thinning: Subsequent thinning should be done after the fourth week of planting. Harvesting: Thinned plants are used as the first harvest. Harvesting begins at week 8 and continues up to four months.</t>
  </si>
  <si>
    <t>Incorrect seed rate or spacing reduces yield, Poor timing of thinning affects plant growth, Inadequate weeding leads to competition, Improper harvesting damages plants, Climate variability (rainfall/temperature) can affect growth</t>
  </si>
  <si>
    <t>Seed acquisition, Planting depth, Seed rate, Spacing, Thinning, Harvesting time</t>
  </si>
  <si>
    <t>Rapid Soil Testing Services (Slenderleaf)</t>
  </si>
  <si>
    <t>Requires specialized equipment and training, May not be widely available to all farmers, Recommendations may be generic, Dependence on partner organizations, Potential for technology failure</t>
  </si>
  <si>
    <t>Rapid soil testing, Dry method, Scanner, Instant results, Biochemical composition, ICRAF/KALRO</t>
  </si>
  <si>
    <t>Integrated Soil Fertility Management (ISFM) (Slenderleaf)</t>
  </si>
  <si>
    <t>Requires knowledge of specific techniques, Improper use of fertilizers can harm crops, Organic inputs may be inconsistent in quality, High initial cost for inputs, Soil variability requires adapted approaches</t>
  </si>
  <si>
    <t>Soil fertility, Fertilizers, Organic inputs, Agronomic practices, Micro dosing, Resource efficiency</t>
  </si>
  <si>
    <t>Integrated Manure Management (IMM) (Slenderleaf)</t>
  </si>
  <si>
    <t>Improperly stored manure causes nutrient loss, Risk of weed seeds or pathogens in manure, Over-application can burn crops, Variable nutrient content depending on source, Requires labor for handling and application</t>
  </si>
  <si>
    <t>Manure management, Soil organic matter, Nutrient supply, Crop production, Animal manure, Soil quality</t>
  </si>
  <si>
    <t>Rain water Roof water catchment (Slenderleaf)</t>
  </si>
  <si>
    <t>Requires initial investment in structures, Seasonal water availability, Water quality issues (contamination), Maintenance of storage systems, Inadequate rainfall in dry seasons</t>
  </si>
  <si>
    <t>Rainwater harvesting, Rooftop catchment, Water storage, Subsurface aquifers, Water scarcity, Resilience</t>
  </si>
  <si>
    <t>Mulching (Slenderleaf)</t>
  </si>
  <si>
    <t>Improper mulching can harbor pests, Plastic mulch creates disposal issues, Natural mulch may introduce weed seeds, Can be labor-intensive to apply, Over-mulching can cause root rot</t>
  </si>
  <si>
    <t>Mulching, Moisture retention, Weed suppression, Soil temperature, Soil fertility, Natural materials</t>
  </si>
  <si>
    <t>Solar irrigation systems for smallholder farmers (Slenderleaf)</t>
  </si>
  <si>
    <t>High initial cost of solar panels/pumps, Dependence on sunlight (cloudy days reduce efficiency), Requires technical maintenance, Theft/vandalism of equipment, Needs adequate water source</t>
  </si>
  <si>
    <t>Solar irrigation, Solar power, Water pumping, Smallholder farmers, Renewable energy, Irrigation technology</t>
  </si>
  <si>
    <t>Drip Irrigation Systems for smallholder farmers (Slenderleaf)</t>
  </si>
  <si>
    <t>Higher initial cost than traditional methods, Risk of clogging of drippers, Requires regular maintenance, Needs clean water source, Dependence on spare parts availability</t>
  </si>
  <si>
    <t>Drip irrigation, Water efficiency, Root-zone watering, Yield increase, Smallholder farmers, Low pressure</t>
  </si>
  <si>
    <t>Integrated Management of powdery mildew disease in Slenderleaf</t>
  </si>
  <si>
    <t>Integrated management of powdery mildew consists of several approaches applied in an integrated manner to break the disease cycle. These include: cultural management and chemical control. Cultural management options: Plant early using certified seeds; Practice crop rotation with non-host crops e.g grasses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</si>
  <si>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Copper-based sprays can be phytotoxic if misapplied, Chemical control may affect beneficial organisms, Requires timely application for effectiveness, Crop rotation may not be feasible for all, Walking in wet fields spreads disease</t>
  </si>
  <si>
    <t>Powdery mildew, Integrated management, Cultural control, Chemical control, Crop rotation, Copper oxychloride</t>
  </si>
  <si>
    <t>Integrated Management of Bacterial blight disease in Slenderleaf</t>
  </si>
  <si>
    <t>Integrated management of Bacterial blight consists of various approaches that help to break the disease cycle. They cultural management and chemical control. Cultural practices: Use of certified seed; Practicing crop rotation with non-host crops e.g. grasses for 3-4 years; Uprooting and destroying infected plants/volunteers by burying deeply; Disinfecting farm tools in jik solution (50ml : litre); Avoidance of working in wet fields will be validated. Chemical management: To suppress the disease, spray copper oxychloride once initial symptoms are observed.</t>
  </si>
  <si>
    <t>Long crop rotation (3-4 years) may not be practical, Copper sprays can be harmful if overused, Disinfection of tools is often neglected, Working in wet fields increases disease spread, Requires diligent monitoring</t>
  </si>
  <si>
    <t>Bacterial blight, Integrated management, Certified seed, Crop rotation, Tool disinfection, Copper oxychloride</t>
  </si>
  <si>
    <t>Integrated Management of Root Knot nematodes in Slenderleaf</t>
  </si>
  <si>
    <t>Root knot nematodes affecting Crotalarias are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</si>
  <si>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Long crop rotation (4-6 seasons) may be impractical, Soil solarization is weather-dependent, Neem products may not be effective in all soils, Biopesticides require proper application, Surface runoff can spread nematodes rapidly</t>
  </si>
  <si>
    <t>Root knot nematodes, Integrated management, Crop rotation, Soil solarization, Biopesticides, Green manure</t>
  </si>
  <si>
    <t>Integrated Management of Aphids in Slenderleaf</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</si>
  <si>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e.g. grasses. Remove heavily infested plant parts and destroy by burning; Apply neem based products (e.g. neem oil 40ml/20lts of water, Achook) 2 times/month; Spray with soapy water solution. Chemical Control: Use only pest control products recommended by Pest Control Products Board (PCPB).</t>
  </si>
  <si>
    <t>Over-fertilization can worsen aphid damage, Burning infested plants must be done safely, Neem oil requires frequent application, Chemical pesticides can harm natural enemies, Lantana may become invasive</t>
  </si>
  <si>
    <t>Aphids, Integrated management, Cultural control, Natural enemies, Neem products, Chemical control</t>
  </si>
  <si>
    <t>Integrated Management of Desert locust (Schistocerca gregaria) in Slenderleaf</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</si>
  <si>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 Spray hopper bands using Metarhizium anisopliae based products.</t>
  </si>
  <si>
    <t>Relies on regional cooperation (may be slow), Biopesticides may require specific conditions, Farmers lack direct control over the response, Locust swarms can overwhelm efforts, Requires continuous monitoring</t>
  </si>
  <si>
    <t>Desert locust, Integrated management, Early warning system, DLCO-EA, Remote sensing, Metarhizium anisopliae</t>
  </si>
  <si>
    <t>Integrated management of Cut worms on Slenderleaf</t>
  </si>
  <si>
    <t>Hand picking is labor-intensive for large fields, Flooding may not be feasible in dry areas, Neem extract requires frequent reapplication, Ash may alter soil pH, Delaying transplanting may not suit all crops</t>
  </si>
  <si>
    <t>Cutworms, Integrated management, Cultural control, Hand picking, Neem extract, Flooding</t>
  </si>
  <si>
    <t>Integrated Management of Thrips on Slenderleaf</t>
  </si>
  <si>
    <t>Integrated management (IPM) of thrips involves the use of a combination of cultural, biological and chemical control methods. Cultural Control: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Use blue sticky cardboard traps to attract thrips. Biological control: Apply biocontrol agents e.g Beauvitech WP (Beauveria bassiana) or Bio-Power 1.5L (Beauveria bassiana), or Botanigard ES (Azadirachtin); Spray neem based products like neemroc EC and nimbecidine. Chemical Control: Spray with Spinosad based products eg tracer 480 SC at 4mls per 20lts of water or lambda cyhalothrin products at 7ml per 20l of water.</t>
  </si>
  <si>
    <t>Overhead irrigation can worsen fungal diseases, Sticky traps require regular replacement, Biocontrol agents may be expensive, Chemical pesticides can harm beneficial insects, Burning infested material must be done safely</t>
  </si>
  <si>
    <t>Thrips, Integrated management, Cultural control, Biological control, Chemical control, Sticky traps</t>
  </si>
  <si>
    <t>Integrated management of pod borer on Slenderleaf</t>
  </si>
  <si>
    <t>Hand collection is labor-intensive, Neem products require frequent and timely application, Natural enemies may not control heavy infestations, Timing of sprays is critical, Pod damage may be noticed too late</t>
  </si>
  <si>
    <t>Pod borer, Integrated management, Hand collection, Natural enemies, Neem products, Biological control</t>
  </si>
  <si>
    <t>Integrated Weed Management (Slenderleaf)</t>
  </si>
  <si>
    <t>Grazing animals may damage crops, Improper herbicide use can harm crops, Mechanical weeding can damage crop roots, Crop rotation may not be suitable for all, Requires multiple strategies for effectiveness</t>
  </si>
  <si>
    <t>Integrated weed management, Physical control, Biological control, Chemical control, Cultural control, Mulching</t>
  </si>
  <si>
    <t>Land Preparation Practices to control weeds in AIVs (Slenderleaf)</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</si>
  <si>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Slenderleaf seeds.</t>
  </si>
  <si>
    <t>Ploughing can cause soil erosion, Harrowing may not eliminate deep-rooted weeds, Dry weather may delay planting, Over-tillage can degrade soil structure, Manual labor is intensive</t>
  </si>
  <si>
    <t>Land preparation, Ploughing, Harrowing, Weed control, Soil tillage, Ridging</t>
  </si>
  <si>
    <t>Legume Intercropping System (Slenderleaf)</t>
  </si>
  <si>
    <t>Innovative Legume Intercropping Systems is the application of growing more than one crop in a field at the same time, as a tool to enhance agricultural production and to obtain efficient land use. Intercropping systems are defined based on the temporal and spatial arrangements of the crops. There are several intercropping systems such as mixed, strip, row intercropping patterns, Relay and Alley intercropping.</t>
  </si>
  <si>
    <t>Competition between crops for resources, Complex management, Requires careful planning, May reduce yield of main crop, Pest attraction can increase</t>
  </si>
  <si>
    <t>Intercropping, Legumes, Land use efficiency, Mixed cropping, Strip cropping, Alley cropping</t>
  </si>
  <si>
    <t>AIVs Intercropping (Slenderleaf)</t>
  </si>
  <si>
    <t>Intercropping is the practice of planting Slenderleaf between other crops between rows such as cereal (maize, millets), tubers (cassava), and bananas. Intercropping must be planned to use space available and smother the weeds.</t>
  </si>
  <si>
    <t>Shading from main crop may reduce yield, Competition for water/nutrients, Complex management, Not all crops are compatible, May increase pest pressure</t>
  </si>
  <si>
    <t>AIV intercropping, Weed suppression, Space utilization, Cereals, Tubers, Bananas</t>
  </si>
  <si>
    <t>Mulching (Slenderleaf - Weed Control)</t>
  </si>
  <si>
    <t>The practice of covering the soil/ground with natural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Slenderleaf. Only black mulches should be used to control weeds.</t>
  </si>
  <si>
    <t>Synthetic mulches create disposal issues, Natural mulches may contain weed seeds, Incorrect depth reduces effectiveness, Black plastic can heat soil excessively, May harbor pests under mulch</t>
  </si>
  <si>
    <t>Mulching, Weed control, Biodegradable mulch, Synthetic mulch, Black plastic, Natural materials</t>
  </si>
  <si>
    <t>Chemical Weed Control (Slenderleaf)</t>
  </si>
  <si>
    <t>Risk of crop damage from misapplication, Herbicide resistance development, Environmental pollution, Requires protective equipment, May harm non-target organisms</t>
  </si>
  <si>
    <t>Chemical weed control, Herbicides, Recommended use, Crop safety, Environmental conditions, Application technique</t>
  </si>
  <si>
    <t>Mechanical weeding (Slenderleaf)</t>
  </si>
  <si>
    <t>Can damage crop roots if not careful, Hand pulling is labor-intensive, Requires well-prepared soil, Not effective for all weed types, Implements may not be accessible to all</t>
  </si>
  <si>
    <t>Mechanical weeding, Row planting, Inter-row weeding, Hand pulling, Timely weeding, Implements</t>
  </si>
  <si>
    <t>Safe Use of Agrochemicals (Slenderleaf)</t>
  </si>
  <si>
    <t>Pesticide poisoning risk, Environmental contamination, Improper disposal, Residues on crops, Lack of protective gear, Need for regular training</t>
  </si>
  <si>
    <t>Agrochemical safety, Pesticide handling, Storage, Application, Personal protective equipment, Disposal</t>
  </si>
  <si>
    <t>Power tiller (Slenderleaf)</t>
  </si>
  <si>
    <t>High fuel cost, Maintenance and repairs, Operator fatigue, Soil compaction risk, Not suitable for all soil types, Requires skilled operator</t>
  </si>
  <si>
    <t>Power tiller, Two-wheeled, Farm operations, Fuel consumption, Soil preparation, Mechanization</t>
  </si>
  <si>
    <t>Wheeled Tractor less than 50Hp (Slenderleaf)</t>
  </si>
  <si>
    <t>High purchase/maintenance cost, Requires skilled operator, Risk of accidents, Soil compaction, Fuel consumption, Not affordable for smallholders</t>
  </si>
  <si>
    <t>Tractor, Mechanization, Traction, Tillage, Hauling, Agricultural tasks</t>
  </si>
  <si>
    <t>Mould board plough (Slenderleaf)</t>
  </si>
  <si>
    <t>High tractor/tiller requirement, Can cause soil erosion, Inverts soil, burying organic matter, Fuel intensive, Requires depth control, Not suitable for all soils</t>
  </si>
  <si>
    <t>Mouldboard plough, Tillage, Furrow slice, Soil inversion, Moisture conservation, Climate-smart</t>
  </si>
  <si>
    <t>Disc Harrow (Slenderleaf)</t>
  </si>
  <si>
    <t>Requires tractor/tiller, Can cause soil compaction, Not effective on hard soils, May spread perennial weeds, Needs careful depth adjustment</t>
  </si>
  <si>
    <t>Disc harrow, Soil pulverization, Surface tillage, Weed control, Seed covering, Tilth</t>
  </si>
  <si>
    <t>AIV Planter (Slenderleaf)</t>
  </si>
  <si>
    <t>Requires calibration for each crop, High cost for smallholders, Mechanical breakdowns, Needs clean, uniform seeds, Not suitable for all field shapes</t>
  </si>
  <si>
    <t>Seed drill, Seeding rate, Row planting, Depth control, Seed coverage, Mechanization</t>
  </si>
  <si>
    <t>Motorized Sprayer (Slenderleaf)</t>
  </si>
  <si>
    <t>Risk of chemical exposure, Drift to non-target areas, Requires calibration, Maintenance of nozzles/pump, Can be heavy for prolonged use</t>
  </si>
  <si>
    <t>Motorized sprayer, Pesticide application, Herbicide application, Spray drift, Calibration, Backpack sprayer</t>
  </si>
  <si>
    <t>Power weeder (Slenderleaf)</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</si>
  <si>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Slenderleaf farmers. It is designed to weed specified spacing inter raw within Slenderleaf.</t>
  </si>
  <si>
    <t>High cost for smallholders, Can damage crop roots if misused, Requires operator skill, Fuel or electricity needed, Maintenance required</t>
  </si>
  <si>
    <t>Power weeder, Mechanical weeding, Inter-row weeding, Soil loosening, AIVs, Self-propelled</t>
  </si>
  <si>
    <t>Back Pack Weeder (Slenderleaf)</t>
  </si>
  <si>
    <t>It is a hand held machine that simultaneously cut the soil and weeds in Slenderleaf and is an intermediate technology machine appropriate for Small Holder Farmers. It is designed to weed specified spacing inter raw within Slenderleaf.</t>
  </si>
  <si>
    <t>Requires physical effort, May be ineffective in hard soils, Can damage crop roots, Needs regular maintenance, Not suitable for large fields</t>
  </si>
  <si>
    <t>Backpack weeder, Hand-held, Smallholder farmers, Inter-row weeding, Soil cutting, AIVs</t>
  </si>
  <si>
    <t>Back AIVs Harvester (Slenderleaf)</t>
  </si>
  <si>
    <t>It is a hand held machine that simultaneously cut the vegetable leaves and is an intermediate technology machine appropriate for Small Holder Farmers. It is designed to harvest specified spacing inter raw within Slenderleaf.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</si>
  <si>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Requires electricity source, High initial cost, Maintenance of motor/blades, May not handle all crop types, Operator training needed</t>
  </si>
  <si>
    <t>Back harvester, Electric, Leaf harvesting, Smallholder farmers, Low labor, AIVs</t>
  </si>
  <si>
    <t>Slender leaf sorting and grading (Slenderleaf)</t>
  </si>
  <si>
    <t>Slender leaf vegetables are sorted to remove infected vegetables, yellowing spotted vegetables, weeds and debris. Grading vegetables according to leaf size, weight, maturity, turgidity, physical damage, and market demand.</t>
  </si>
  <si>
    <t>Labor-intensive, Subjective grading, Requires training, Market demands may vary, Discarded produce is waste</t>
  </si>
  <si>
    <t>Sorting, Grading, Leaf size, Market demand, Quality control, Postharvest</t>
  </si>
  <si>
    <t>Zero Energy Brick Cooler (Slenderleaf)</t>
  </si>
  <si>
    <t>Requires regular watering, Brick construction cost, Limited storage capacity, Performance depends on humidity, Needs proper site</t>
  </si>
  <si>
    <t>Zero energy cooler, Brick cooler, Evaporative cooling, Postharvest, Storage, Moisture</t>
  </si>
  <si>
    <t>CoolBot™ (Slenderleaf)</t>
  </si>
  <si>
    <t>Requires electricity, Needs a well-insulated room, Installation requires some skill, Air conditioner maintenance, Not portable</t>
  </si>
  <si>
    <t>CoolBot, Cold room, Energy efficient, Postharvest, Temperature management, Air conditioner</t>
  </si>
  <si>
    <t>Wakati™ technology (Slenderleaf)</t>
  </si>
  <si>
    <t>Wakati™ is a simple and innovative solution where altered environment in the chamber contributes to shelf life extension. Altered environment is due to: High relative humidity; Oxidation of ethylene from the storage environment by oxidizing (ozone oxidation). It is a 1m by 1m canvas tent with a solar powered fan to one corner. The fan is placed in a cuplike reservoir. As it rotates, it picks up water into mist droplets, which are distributed in the tent by air currents. When a moisture concentration of 80% is achieved, the surface of the fruit or vegetables remain fresh because there is no loss of water. This low-cost solution helps produce last up to 10 times longer without any refrigeration.</t>
  </si>
  <si>
    <t>Limited capacity (1m x 1m tent), Requires solar power (weather dependent), Needs water refilling, Not for all crop types, May not suit large volumes</t>
  </si>
  <si>
    <t>Wakati, Solar-powered, Humidity control, Ethylene oxidation, Shelf life extension, Canvas tent</t>
  </si>
  <si>
    <t>Modified Atmosphere Packaging of AIVs (Ziploc® and Xtend® bag packaging) (Slenderleaf)</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</si>
  <si>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Slenderleaf for between 5-7 days.</t>
  </si>
  <si>
    <t>Packaging material cost, Requires proper sealing, Not reusable, May not suit all AIVs, Storage conditions affect effectiveness</t>
  </si>
  <si>
    <t>Modified atmosphere, Xtend bags, Shelf life extension, Moisture control, Postharvest, Nutrient retention</t>
  </si>
  <si>
    <t>Solar drying of Slender leaf vegetables (Slenderleaf)</t>
  </si>
  <si>
    <t>The technology involves removal of excess moisture from slender leaf vegetables. This is done by use of Dehytray, green house dryer or cabinet solar drier.</t>
  </si>
  <si>
    <t>Weather-dependent, Requires space, Risk of over-drying, Product contamination, Initial cost of dryer</t>
  </si>
  <si>
    <t>Solar drying, Moisture removal, Dehytray, Greenhouse dryer, Cabinet dryer, Preservation</t>
  </si>
  <si>
    <t>Transformative Model of AIV production (Slenderleaf)</t>
  </si>
  <si>
    <t>Requires high capital investment, Market price volatility, Dependency on market access, Risk of overproduction, Requires business skills</t>
  </si>
  <si>
    <t>Transformative model, Commercial farming, Market linkages, High inputs, Smallholder farmers, Business approach</t>
  </si>
  <si>
    <t>Building a Business Plan for AIVs (Slenderleaf)</t>
  </si>
  <si>
    <t>Time-consuming to develop, Requires financial knowledge, Market conditions may change, Unrealistic projections, Implementation challenges</t>
  </si>
  <si>
    <t>Business plan, Marketing strategy, Profit analysis, Financial requirements, Risk assessment, Income streams</t>
  </si>
  <si>
    <t>Profitability analysis (Slenderleaf)</t>
  </si>
  <si>
    <t>Requires accurate record-keeping, Fluctuating prices, Hidden costs, Time-consuming, May not capture non-monetary benefits</t>
  </si>
  <si>
    <t>Profitability analysis, Cost recording, Returns, Agro-enterprise, Loss/gain, Productivity</t>
  </si>
  <si>
    <t>Marketing Innovation model for AIV production and marketing (Slenderleaf)</t>
  </si>
  <si>
    <t>High risk, Need for business skills, Market uncertainty, Capital requirement, Adapting to new technologies</t>
  </si>
  <si>
    <t>Marketing innovation, Entrepreneurship, Business acumen, Technology adoption, Economic goods, Profit</t>
  </si>
  <si>
    <t>Collective marketing (Slenderleaf)</t>
  </si>
  <si>
    <t>Requires group coordination, Potential for internal conflicts, Shared profits, Dependence on group decisions, May exclude some farmers</t>
  </si>
  <si>
    <t>Collective marketing, Producer organization, Farmer group, Shared profits, Group coordination, Marketing</t>
  </si>
  <si>
    <t>Contracted production (Slenderleaf)</t>
  </si>
  <si>
    <t>Price may be lower than market, Dependency on contractor, Risk of contract breach, Limited flexibility, Quality requirements</t>
  </si>
  <si>
    <t>Contract farming, Production credit, Technical assistance, Agreed price, Market guarantee, Quality standards</t>
  </si>
  <si>
    <t>Digital marketing (Slenderleaf)</t>
  </si>
  <si>
    <t>Requires internet access, Digital literacy, Online platform fees, Delivery logistics, Competition from other sellers</t>
  </si>
  <si>
    <t>Digital marketing, Internet marketing, Online platforms, Digital tools, Market access, Delivery systems</t>
  </si>
  <si>
    <t>Market research (Slenderleaf)</t>
  </si>
  <si>
    <t>Time-consuming, May require skills, Information may be inaccurate, Access to markets, Costs of research</t>
  </si>
  <si>
    <t>Market research, Market information, Farmers, Market access, Information gathering, Decision making</t>
  </si>
  <si>
    <t>Advocacy in farmers' participation in the National Agricultural Policy development and implementation (Slenderleaf)</t>
  </si>
  <si>
    <t>Requires collective action, Time-consuming, Political process, Limited farmer awareness, May not reflect all needs</t>
  </si>
  <si>
    <t>Advocacy, National agricultural policy, Farmer participation, Policy development, Implementation, Smallholder farmers</t>
  </si>
  <si>
    <t>Participation in the County Integrated Development Planning (Slenderleaf)</t>
  </si>
  <si>
    <t>The County Integrated Development Planning builds a plan for each county in Kenya to be implemented in five years. The planning process is participatory, involving the development stakeholders in the county. It is during this planning period where the issues in Slenderleaf production, marketing and processing are considered.</t>
  </si>
  <si>
    <t>Requires active participation, Limited county resources, Bureaucracy, Political influences, May not prioritize agriculture</t>
  </si>
  <si>
    <t>County planning, CIDP, Participatory planning, Stakeholders, Five-year plan, Agricultural issues</t>
  </si>
  <si>
    <t>Policy instruments related to AIV production (Slenderleaf)</t>
  </si>
  <si>
    <t>Instruments may not be enforced, Lack of farmer awareness, Inconsistent implementation, Resources for instruments, Policy gaps</t>
  </si>
  <si>
    <t>Policy instruments, Agricultural policy, Intervention points, Policy objectives, Implementation, Enforcement</t>
  </si>
  <si>
    <t>Policy cycle (Slenderleaf)</t>
  </si>
  <si>
    <t>May be slow, Political interference, Inadequate resources, Lack of stakeholder input, Evaluation gaps</t>
  </si>
  <si>
    <t>Policy cycle, Problem definition, Formulation, Implementation, Evaluation, Policy process</t>
  </si>
  <si>
    <t>Good Agricultural Practices (GAP) (Slenderleaf)</t>
  </si>
  <si>
    <t>Certification cost, Documentation burden, Market access may require GAP, Labor training, Compliance monitoring</t>
  </si>
  <si>
    <t>Good Agricultural Practices, Standardization, Food safety, Environmental sustainability, Economic viability, Consumer reassurance</t>
  </si>
  <si>
    <t>Food Safety Management System: Hazard Analysis Critical Control Points (HACCP) Plan for AIVs Value Chain in Kenya (Slenderleaf)</t>
  </si>
  <si>
    <t>Food safety management system (FSMS) through Hazard Analysis and Critical Control Point (HACCP) in Slenderleaf value chain is a system of food safety monitoring and control based on the systematic identification and assessment of various hazards. It is a preventive, rather than a reactive, tool that places the protection of the Slenderleaf supply from biological, chemical and physical hazards into the hands of food management systems. The system is designed to minimize the risk of food safety hazards by identifying the hazards, establishing controls and monitoring these controls.</t>
  </si>
  <si>
    <t>Requires technical expertise, Detailed documentation, Implementation cost, Continuous monitoring, May be too complex for smallholders</t>
  </si>
  <si>
    <t>HACCP, Food safety, Hazard analysis, Critical control points, Preventive tool, Value chain</t>
  </si>
  <si>
    <r>
      <t>Integrated management of Leaf cutting beetle (</t>
    </r>
    <r>
      <rPr>
        <i/>
        <sz val="12"/>
        <rFont val="Times New Roman"/>
        <family val="1"/>
      </rPr>
      <t>Diabrotica seporata</t>
    </r>
    <r>
      <rPr>
        <sz val="12"/>
        <rFont val="Times New Roman"/>
        <family val="1"/>
      </rPr>
      <t>) in Pumpkin</t>
    </r>
  </si>
  <si>
    <r>
      <t>Integrated management of thrips (</t>
    </r>
    <r>
      <rPr>
        <i/>
        <sz val="12"/>
        <rFont val="Times New Roman"/>
        <family val="1"/>
      </rPr>
      <t>Thrips palmi</t>
    </r>
    <r>
      <rPr>
        <sz val="12"/>
        <rFont val="Times New Roman"/>
        <family val="1"/>
      </rPr>
      <t>) in Pumpkin</t>
    </r>
  </si>
  <si>
    <r>
      <t>Integrated management of white fly (</t>
    </r>
    <r>
      <rPr>
        <i/>
        <sz val="12"/>
        <rFont val="Times New Roman"/>
        <family val="1"/>
      </rPr>
      <t>Bemisia tabaci</t>
    </r>
    <r>
      <rPr>
        <sz val="12"/>
        <rFont val="Times New Roman"/>
        <family val="1"/>
      </rPr>
      <t>) in Pumpkin</t>
    </r>
  </si>
  <si>
    <r>
      <t xml:space="preserve">Integrated management of leaf miner applies a combination of several approaches to manage the pest cycle. These include: cultural, biological and chemical control. Cultural Control: Plant clean seedlings free from all stages of the moth; Rotate with non-host crops such as maize, beans and cabbages; Remove and bury all infested plants, foliage and infected crop residues in a deep pit (over 1m); Remove infested leaves before the caterpillar pupates inside and becomes an egg-laying adult. Bio-control: Use of </t>
    </r>
    <r>
      <rPr>
        <i/>
        <sz val="12"/>
        <rFont val="Times New Roman"/>
        <family val="1"/>
      </rPr>
      <t>Bacillus thuringiensis</t>
    </r>
    <r>
      <rPr>
        <sz val="12"/>
        <rFont val="Times New Roman"/>
        <family val="1"/>
      </rPr>
      <t xml:space="preserve"> at recommended rates; Use of Pheromone traps; Use sticky traps - 24 pcs/acre.</t>
    </r>
  </si>
  <si>
    <r>
      <t>Integrated management of Cucumber Mosaic Viral disease of Pumpkins is the combined application of cultural and chemical management practices against the disease. The virus is transmitted by White flies (</t>
    </r>
    <r>
      <rPr>
        <i/>
        <sz val="12"/>
        <rFont val="Times New Roman"/>
        <family val="1"/>
      </rPr>
      <t>Bemisia tabaci</t>
    </r>
    <r>
      <rPr>
        <sz val="12"/>
        <rFont val="Times New Roman"/>
        <family val="1"/>
      </rPr>
      <t>) as they suck sap from plant tissues. Cultural practices: Use of certified seed; Monitoring and control of vectors (White flies) that transmit the viruses; Avoiding work on fields when wet to prevent spread; Uprooting weeds that could serve as alternative hosts. Chemical management: Treat the seeds with CELEST TOP 312 FS Flowable Concentrate, MARSHAL 350 STD Dry seed treatment; Spray Thiamethoxam-25WG @ 100g or Imidacloprid 17.8% SL @ 100 ml in 500 lit of water.</t>
    </r>
  </si>
  <si>
    <r>
      <t xml:space="preserve">Kunde Faulu: - Released in June, 2017. Yield potential of 1.5 -2.2 t/ha under good management. Maturity period 80 -90 days. Tolerant to </t>
    </r>
    <r>
      <rPr>
        <i/>
        <sz val="12"/>
        <rFont val="Times New Roman"/>
        <family val="1"/>
      </rPr>
      <t>Alectra vogelii</t>
    </r>
    <r>
      <rPr>
        <sz val="12"/>
        <rFont val="Times New Roman"/>
        <family val="1"/>
      </rPr>
      <t xml:space="preserve"> parasitic weed which is a common in dry regions of eastern Kenya. Large seeded grain, deep brown in color with brown eye. Dual purpose variety for both grain and vegetable use. Developed using Farmer participatory variety selection.</t>
    </r>
  </si>
  <si>
    <r>
      <t xml:space="preserve">Kunde Soko: - Released in June 2017. Yield potential of 1.5 -2.2 t under good management. Maturity period 80 -90 days. Tolerant to </t>
    </r>
    <r>
      <rPr>
        <i/>
        <sz val="12"/>
        <rFont val="Times New Roman"/>
        <family val="1"/>
      </rPr>
      <t xml:space="preserve">Alectra vogelii </t>
    </r>
    <r>
      <rPr>
        <sz val="12"/>
        <rFont val="Times New Roman"/>
        <family val="1"/>
      </rPr>
      <t>a parasitic weed which is a common in dry regions of eastern Kenya. Large seeded grain, creamy brown in color with greenish eye. Dual purpose variety for both grain and vegetable use. Developed using Farmer participatory variety selection.</t>
    </r>
  </si>
  <si>
    <r>
      <t xml:space="preserve">Kat-Kunde: - Released in June, 2017. Yield potential of 1.5 -2.0 t/ha under good management. Maturity period 80 -90 days. Tolerant to </t>
    </r>
    <r>
      <rPr>
        <i/>
        <sz val="12"/>
        <rFont val="Times New Roman"/>
        <family val="1"/>
      </rPr>
      <t xml:space="preserve">Alectra vogelii </t>
    </r>
    <r>
      <rPr>
        <sz val="12"/>
        <rFont val="Times New Roman"/>
        <family val="1"/>
      </rPr>
      <t>parasitic weed which is a common in dry regions of eastern Kenya. Creamy brown in color with greenish eye. Dual purpose variety for both grain and vegetable use. Developed using Farmer participatory variety selection.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</si>
</sst>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7" x14ac:knownFonts="1">
    <font>
      <sz val="11"/>
      <color theme="1"/>
      <name val="Calibri"/>
      <family val="2"/>
      <charset val="1"/>
    </font>
    <font>
      <b/>
      <sz val="20"/>
      <color rgb="FF1B3D1C"/>
      <name val="Calibri"/>
      <family val="2"/>
    </font>
    <font>
      <i/>
      <sz val="11"/>
      <color rgb="FF5A5A50"/>
      <name val="Calibri"/>
      <family val="2"/>
    </font>
    <font>
      <b/>
      <sz val="13"/>
      <color rgb="FF2C5F2D"/>
      <name val="Calibri"/>
      <family val="2"/>
    </font>
    <font>
      <sz val="10.5"/>
      <color rgb="FF2B2B26"/>
      <name val="Calibri"/>
      <family val="2"/>
    </font>
    <font>
      <b/>
      <sz val="11"/>
      <color rgb="FF1B3D1C"/>
      <name val="Calibri"/>
      <family val="2"/>
    </font>
    <font>
      <i/>
      <sz val="10"/>
      <color rgb="FF8A8A80"/>
      <name val="Calibri"/>
      <family val="2"/>
    </font>
    <font>
      <b/>
      <sz val="18"/>
      <color rgb="FF1B3D1C"/>
      <name val="Calibri"/>
      <family val="2"/>
    </font>
    <font>
      <b/>
      <sz val="10.5"/>
      <color rgb="FFFFFFFF"/>
      <name val="Calibri"/>
      <family val="2"/>
    </font>
    <font>
      <sz val="10"/>
      <color rgb="FF8A8A80"/>
      <name val="Calibri"/>
      <family val="2"/>
    </font>
    <font>
      <sz val="11"/>
      <color rgb="FF2B2B26"/>
      <name val="Calibri"/>
      <family val="2"/>
    </font>
    <font>
      <sz val="12"/>
      <color theme="1"/>
      <name val="Times New Roman"/>
      <family val="1"/>
    </font>
    <font>
      <sz val="11"/>
      <color theme="1"/>
      <name val="Calibri"/>
      <family val="2"/>
    </font>
    <font>
      <u/>
      <sz val="11"/>
      <color theme="10"/>
      <name val="Calibri"/>
      <family val="2"/>
      <charset val="1"/>
    </font>
    <font>
      <b/>
      <sz val="12"/>
      <name val="Times New Roman"/>
      <family val="1"/>
    </font>
    <font>
      <b/>
      <sz val="12"/>
      <color theme="0"/>
      <name val="Times New Roman"/>
      <family val="1"/>
    </font>
    <font>
      <sz val="11"/>
      <name val="Calibri"/>
      <family val="2"/>
    </font>
    <font>
      <u/>
      <sz val="11"/>
      <name val="Calibri"/>
      <family val="2"/>
    </font>
    <font>
      <sz val="10.5"/>
      <name val="Calibri"/>
      <family val="2"/>
    </font>
    <font>
      <sz val="12"/>
      <name val="Times New Roman"/>
      <family val="1"/>
    </font>
    <font>
      <b/>
      <sz val="10"/>
      <name val="Calibri"/>
      <family val="2"/>
    </font>
    <font>
      <sz val="11"/>
      <name val="Calibri"/>
      <family val="2"/>
      <charset val="1"/>
    </font>
    <font>
      <i/>
      <sz val="12"/>
      <name val="Times New Roman"/>
      <family val="1"/>
    </font>
    <font>
      <b/>
      <sz val="10.5"/>
      <color theme="0"/>
      <name val="Calibri"/>
      <family val="2"/>
    </font>
    <font>
      <sz val="11"/>
      <color theme="0"/>
      <name val="Calibri"/>
      <family val="2"/>
    </font>
    <font>
      <sz val="12"/>
      <color theme="0"/>
      <name val="Times New Roman"/>
      <family val="1"/>
    </font>
    <font>
      <b/>
      <sz val="11"/>
      <name val="Calibri"/>
      <family val="2"/>
    </font>
  </fonts>
  <fills count="9">
    <fill>
      <patternFill patternType="none"/>
    </fill>
    <fill>
      <patternFill patternType="gray125"/>
    </fill>
    <fill>
      <patternFill patternType="solid">
        <fgColor rgb="FFF7F7F2"/>
        <bgColor rgb="FFF2F2EC"/>
      </patternFill>
    </fill>
    <fill>
      <patternFill patternType="solid">
        <fgColor rgb="FFFFF6DF"/>
        <bgColor rgb="FFF7F7F2"/>
      </patternFill>
    </fill>
    <fill>
      <patternFill patternType="solid">
        <fgColor rgb="FFF2F2EC"/>
        <bgColor rgb="FFF7F7F2"/>
      </patternFill>
    </fill>
    <fill>
      <patternFill patternType="solid">
        <fgColor rgb="FF2C5F2D"/>
        <bgColor rgb="FF5A5A50"/>
      </patternFill>
    </fill>
    <fill>
      <patternFill patternType="solid">
        <fgColor theme="9" tint="0.79998168889431442"/>
        <bgColor indexed="64"/>
      </patternFill>
    </fill>
    <fill>
      <patternFill patternType="solid">
        <fgColor theme="9" tint="0.79998168889431442"/>
        <bgColor rgb="FFF7F7F2"/>
      </patternFill>
    </fill>
    <fill>
      <patternFill patternType="solid">
        <fgColor rgb="FF004821"/>
        <bgColor indexed="64"/>
      </patternFill>
    </fill>
  </fills>
  <borders count="16">
    <border>
      <left/>
      <right/>
      <top/>
      <bottom/>
      <diagonal/>
    </border>
    <border>
      <left style="thin">
        <color rgb="FFE0E0D8"/>
      </left>
      <right style="thin">
        <color rgb="FFE0E0D8"/>
      </right>
      <top style="thin">
        <color rgb="FFE0E0D8"/>
      </top>
      <bottom style="thin">
        <color rgb="FFE0E0D8"/>
      </bottom>
      <diagonal/>
    </border>
    <border>
      <left style="thin">
        <color indexed="64"/>
      </left>
      <right style="thin">
        <color indexed="64"/>
      </right>
      <top style="thin">
        <color indexed="64"/>
      </top>
      <bottom style="thin">
        <color indexed="64"/>
      </bottom>
      <diagonal/>
    </border>
    <border>
      <left style="thin">
        <color rgb="FFE0E0D8"/>
      </left>
      <right style="thin">
        <color rgb="FFE0E0D8"/>
      </right>
      <top style="thin">
        <color rgb="FFE0E0D8"/>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rgb="FFE0E0D8"/>
      </left>
      <right/>
      <top style="thin">
        <color rgb="FFE0E0D8"/>
      </top>
      <bottom/>
      <diagonal/>
    </border>
    <border>
      <left/>
      <right/>
      <top style="medium">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13" fillId="0" borderId="0"/>
  </cellStyleXfs>
  <cellXfs count="81">
    <xf numFmtId="0" fontId="0" fillId="0" borderId="0" xfId="0"/>
    <xf numFmtId="0" fontId="5" fillId="0" borderId="0" xfId="0" applyFont="1" applyAlignment="1">
      <alignment vertical="top" wrapText="1"/>
    </xf>
    <xf numFmtId="0" fontId="4" fillId="3" borderId="1" xfId="0" applyFont="1" applyFill="1" applyBorder="1"/>
    <xf numFmtId="0" fontId="4" fillId="0" borderId="0" xfId="0" applyFont="1"/>
    <xf numFmtId="0" fontId="6" fillId="4" borderId="1" xfId="0" applyFont="1" applyFill="1" applyBorder="1"/>
    <xf numFmtId="0" fontId="8" fillId="5"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5" fillId="2" borderId="1" xfId="0" applyFont="1" applyFill="1" applyBorder="1"/>
    <xf numFmtId="0" fontId="5" fillId="2" borderId="1" xfId="0" applyFont="1" applyFill="1" applyBorder="1" applyAlignment="1">
      <alignment horizontal="center" vertical="center"/>
    </xf>
    <xf numFmtId="0" fontId="9" fillId="0" borderId="2" xfId="0" applyFont="1" applyBorder="1" applyAlignment="1">
      <alignment vertical="top"/>
    </xf>
    <xf numFmtId="0" fontId="4" fillId="3" borderId="2" xfId="0" applyFont="1" applyFill="1" applyBorder="1" applyAlignment="1">
      <alignment vertical="top" wrapText="1"/>
    </xf>
    <xf numFmtId="164" fontId="4" fillId="3" borderId="2" xfId="0" applyNumberFormat="1" applyFont="1" applyFill="1" applyBorder="1" applyAlignment="1">
      <alignment vertical="top" wrapText="1"/>
    </xf>
    <xf numFmtId="0" fontId="0" fillId="0" borderId="2" xfId="0" applyBorder="1" applyAlignment="1">
      <alignment vertical="top"/>
    </xf>
    <xf numFmtId="0" fontId="0" fillId="0" borderId="2" xfId="0" applyBorder="1" applyAlignment="1">
      <alignment vertical="top" wrapText="1"/>
    </xf>
    <xf numFmtId="0" fontId="12" fillId="0" borderId="2" xfId="0" applyFont="1" applyBorder="1" applyAlignment="1">
      <alignment vertical="top"/>
    </xf>
    <xf numFmtId="0" fontId="12" fillId="0" borderId="2" xfId="0" applyFont="1" applyBorder="1" applyAlignment="1">
      <alignment vertical="top" wrapText="1"/>
    </xf>
    <xf numFmtId="0" fontId="4" fillId="0" borderId="0" xfId="0" applyFont="1" applyAlignment="1">
      <alignment vertical="top" wrapText="1"/>
    </xf>
    <xf numFmtId="0" fontId="0" fillId="0" borderId="12" xfId="0" applyBorder="1" applyAlignment="1">
      <alignment vertical="top" wrapText="1"/>
    </xf>
    <xf numFmtId="0" fontId="15" fillId="8" borderId="0" xfId="0" applyFont="1" applyFill="1" applyAlignment="1">
      <alignment vertical="center"/>
    </xf>
    <xf numFmtId="164" fontId="10" fillId="0" borderId="2" xfId="0" applyNumberFormat="1" applyFont="1" applyBorder="1" applyAlignment="1">
      <alignment vertical="top" wrapText="1"/>
    </xf>
    <xf numFmtId="0" fontId="16" fillId="6" borderId="2" xfId="0" applyFont="1" applyFill="1" applyBorder="1" applyAlignment="1">
      <alignment vertical="top"/>
    </xf>
    <xf numFmtId="0" fontId="16" fillId="7" borderId="2" xfId="0" applyFont="1" applyFill="1" applyBorder="1" applyAlignment="1">
      <alignment vertical="top" wrapText="1"/>
    </xf>
    <xf numFmtId="164" fontId="16" fillId="7" borderId="2" xfId="0" applyNumberFormat="1" applyFont="1" applyFill="1" applyBorder="1" applyAlignment="1">
      <alignment vertical="top" wrapText="1"/>
    </xf>
    <xf numFmtId="0" fontId="18" fillId="7" borderId="2" xfId="0" applyFont="1" applyFill="1" applyBorder="1" applyAlignment="1">
      <alignment vertical="top" wrapText="1"/>
    </xf>
    <xf numFmtId="164" fontId="18" fillId="7" borderId="2" xfId="0" applyNumberFormat="1" applyFont="1" applyFill="1" applyBorder="1" applyAlignment="1">
      <alignment vertical="top" wrapText="1"/>
    </xf>
    <xf numFmtId="0" fontId="16" fillId="6" borderId="0" xfId="0" applyFont="1" applyFill="1"/>
    <xf numFmtId="0" fontId="16" fillId="6" borderId="2" xfId="0" applyFont="1" applyFill="1" applyBorder="1" applyAlignment="1">
      <alignment vertical="top" wrapText="1"/>
    </xf>
    <xf numFmtId="0" fontId="17" fillId="7" borderId="2" xfId="1" applyFont="1" applyFill="1" applyBorder="1" applyAlignment="1">
      <alignment vertical="top" wrapText="1"/>
    </xf>
    <xf numFmtId="0" fontId="17" fillId="6" borderId="2" xfId="1" applyFont="1" applyFill="1" applyBorder="1" applyAlignment="1">
      <alignment vertical="top"/>
    </xf>
    <xf numFmtId="0" fontId="16" fillId="6" borderId="0" xfId="1" applyFont="1" applyFill="1" applyAlignment="1">
      <alignment vertical="top" wrapText="1"/>
    </xf>
    <xf numFmtId="0" fontId="16" fillId="0" borderId="0" xfId="0" applyFont="1"/>
    <xf numFmtId="0" fontId="4" fillId="0" borderId="0" xfId="0" applyFont="1" applyAlignment="1">
      <alignment vertical="top" wrapText="1"/>
    </xf>
    <xf numFmtId="0" fontId="0" fillId="0" borderId="0" xfId="0"/>
    <xf numFmtId="0" fontId="3" fillId="2" borderId="0" xfId="0" applyFont="1" applyFill="1"/>
    <xf numFmtId="0" fontId="1" fillId="0" borderId="0" xfId="0" applyFont="1"/>
    <xf numFmtId="0" fontId="2" fillId="0" borderId="0" xfId="0" applyFont="1"/>
    <xf numFmtId="0" fontId="7" fillId="0" borderId="0" xfId="0" applyFont="1"/>
    <xf numFmtId="0" fontId="23" fillId="5" borderId="3" xfId="0" applyFont="1" applyFill="1" applyBorder="1" applyAlignment="1">
      <alignment horizontal="center" vertical="center" wrapText="1"/>
    </xf>
    <xf numFmtId="0" fontId="23" fillId="5" borderId="9" xfId="0" applyFont="1" applyFill="1" applyBorder="1" applyAlignment="1">
      <alignment horizontal="center" vertical="center" wrapText="1"/>
    </xf>
    <xf numFmtId="0" fontId="23" fillId="5" borderId="2" xfId="0" applyFont="1" applyFill="1" applyBorder="1" applyAlignment="1">
      <alignment horizontal="center" vertical="center" wrapText="1"/>
    </xf>
    <xf numFmtId="0" fontId="24" fillId="0" borderId="0" xfId="0" applyFont="1"/>
    <xf numFmtId="0" fontId="25" fillId="0" borderId="0" xfId="0" applyFont="1"/>
    <xf numFmtId="0" fontId="15" fillId="5" borderId="3" xfId="0" applyFont="1" applyFill="1" applyBorder="1" applyAlignment="1">
      <alignment horizontal="center" vertical="center" wrapText="1"/>
    </xf>
    <xf numFmtId="0" fontId="23" fillId="5" borderId="13" xfId="0" applyFont="1" applyFill="1" applyBorder="1" applyAlignment="1">
      <alignment horizontal="center" vertical="center" wrapText="1"/>
    </xf>
    <xf numFmtId="0" fontId="18" fillId="0" borderId="2" xfId="0" applyFont="1" applyFill="1" applyBorder="1" applyAlignment="1">
      <alignment vertical="top" wrapText="1"/>
    </xf>
    <xf numFmtId="0" fontId="21" fillId="0" borderId="2" xfId="0" applyFont="1" applyFill="1" applyBorder="1" applyAlignment="1">
      <alignment vertical="top" wrapText="1"/>
    </xf>
    <xf numFmtId="0" fontId="0" fillId="0" borderId="2" xfId="0" applyFill="1" applyBorder="1" applyAlignment="1">
      <alignment vertical="top" wrapText="1"/>
    </xf>
    <xf numFmtId="0" fontId="0" fillId="0" borderId="0" xfId="0" applyFill="1"/>
    <xf numFmtId="0" fontId="19" fillId="0" borderId="4" xfId="0" applyFont="1" applyFill="1" applyBorder="1" applyAlignment="1">
      <alignment vertical="top" wrapText="1"/>
    </xf>
    <xf numFmtId="0" fontId="19" fillId="0" borderId="5" xfId="0" applyFont="1" applyFill="1" applyBorder="1" applyAlignment="1">
      <alignment vertical="top" wrapText="1"/>
    </xf>
    <xf numFmtId="0" fontId="20" fillId="0" borderId="2" xfId="0" applyFont="1" applyFill="1" applyBorder="1" applyAlignment="1">
      <alignment vertical="top"/>
    </xf>
    <xf numFmtId="0" fontId="19" fillId="0" borderId="10" xfId="0" applyFont="1" applyFill="1" applyBorder="1" applyAlignment="1">
      <alignment vertical="top" wrapText="1"/>
    </xf>
    <xf numFmtId="0" fontId="19" fillId="0" borderId="2" xfId="0" applyFont="1" applyFill="1" applyBorder="1" applyAlignment="1">
      <alignment vertical="top" wrapText="1"/>
    </xf>
    <xf numFmtId="0" fontId="19" fillId="0" borderId="6" xfId="0" applyFont="1" applyFill="1" applyBorder="1" applyAlignment="1">
      <alignment vertical="top" wrapText="1"/>
    </xf>
    <xf numFmtId="0" fontId="19" fillId="0" borderId="7" xfId="0" applyFont="1" applyFill="1" applyBorder="1" applyAlignment="1">
      <alignment vertical="top" wrapText="1"/>
    </xf>
    <xf numFmtId="0" fontId="19" fillId="0" borderId="11" xfId="0" applyFont="1" applyFill="1" applyBorder="1" applyAlignment="1">
      <alignment vertical="top" wrapText="1"/>
    </xf>
    <xf numFmtId="0" fontId="21" fillId="0" borderId="2" xfId="0" applyFont="1" applyFill="1" applyBorder="1" applyAlignment="1">
      <alignment vertical="top"/>
    </xf>
    <xf numFmtId="0" fontId="16" fillId="0" borderId="5" xfId="0" applyFont="1" applyFill="1" applyBorder="1" applyAlignment="1">
      <alignment vertical="top" wrapText="1"/>
    </xf>
    <xf numFmtId="0" fontId="19" fillId="0" borderId="0" xfId="0" applyFont="1" applyFill="1"/>
    <xf numFmtId="0" fontId="14" fillId="0" borderId="2" xfId="0" applyFont="1" applyFill="1" applyBorder="1" applyAlignment="1">
      <alignment vertical="top" wrapText="1"/>
    </xf>
    <xf numFmtId="0" fontId="19" fillId="0" borderId="12" xfId="0" applyFont="1" applyFill="1" applyBorder="1" applyAlignment="1">
      <alignment vertical="top" wrapText="1"/>
    </xf>
    <xf numFmtId="0" fontId="19" fillId="0" borderId="13" xfId="0" applyFont="1" applyFill="1" applyBorder="1" applyAlignment="1">
      <alignment vertical="top"/>
    </xf>
    <xf numFmtId="0" fontId="11" fillId="0" borderId="0" xfId="0" applyFont="1" applyFill="1"/>
    <xf numFmtId="0" fontId="19" fillId="0" borderId="14" xfId="0" applyFont="1" applyFill="1" applyBorder="1" applyAlignment="1">
      <alignment vertical="top"/>
    </xf>
    <xf numFmtId="0" fontId="19" fillId="0" borderId="2" xfId="0" applyFont="1" applyFill="1" applyBorder="1" applyAlignment="1">
      <alignment vertical="top" wrapText="1" shrinkToFit="1"/>
    </xf>
    <xf numFmtId="0" fontId="14" fillId="0" borderId="5" xfId="0" applyFont="1" applyFill="1" applyBorder="1" applyAlignment="1">
      <alignment vertical="top" wrapText="1"/>
    </xf>
    <xf numFmtId="0" fontId="14" fillId="0" borderId="7" xfId="0" applyFont="1" applyFill="1" applyBorder="1" applyAlignment="1">
      <alignment vertical="top" wrapText="1"/>
    </xf>
    <xf numFmtId="0" fontId="14" fillId="0" borderId="8" xfId="0" applyFont="1" applyFill="1" applyBorder="1" applyAlignment="1">
      <alignment vertical="top" wrapText="1"/>
    </xf>
    <xf numFmtId="0" fontId="19" fillId="0" borderId="4" xfId="0" applyFont="1" applyFill="1" applyBorder="1" applyAlignment="1">
      <alignment vertical="center" wrapText="1"/>
    </xf>
    <xf numFmtId="0" fontId="14" fillId="0" borderId="4" xfId="0" applyFont="1" applyFill="1" applyBorder="1" applyAlignment="1">
      <alignment vertical="top" wrapText="1"/>
    </xf>
    <xf numFmtId="0" fontId="19" fillId="0" borderId="0" xfId="0" applyFont="1" applyFill="1" applyAlignment="1">
      <alignment vertical="top" wrapText="1"/>
    </xf>
    <xf numFmtId="0" fontId="19" fillId="0" borderId="15" xfId="0" applyFont="1" applyFill="1" applyBorder="1" applyAlignment="1">
      <alignment vertical="top"/>
    </xf>
    <xf numFmtId="0" fontId="11" fillId="0" borderId="2" xfId="0" applyFont="1" applyFill="1" applyBorder="1" applyAlignment="1">
      <alignment vertical="top" wrapText="1"/>
    </xf>
    <xf numFmtId="0" fontId="26" fillId="0" borderId="7" xfId="0" applyFont="1" applyFill="1" applyBorder="1" applyAlignment="1">
      <alignment vertical="top" wrapText="1"/>
    </xf>
    <xf numFmtId="0" fontId="19" fillId="0" borderId="14" xfId="0" applyFont="1" applyFill="1" applyBorder="1" applyAlignment="1">
      <alignment vertical="top" wrapText="1"/>
    </xf>
    <xf numFmtId="0" fontId="21" fillId="0" borderId="0" xfId="0" applyFont="1" applyFill="1"/>
    <xf numFmtId="0" fontId="14" fillId="0" borderId="4" xfId="0" applyFont="1" applyFill="1" applyBorder="1" applyAlignment="1">
      <alignment vertical="center" wrapText="1"/>
    </xf>
    <xf numFmtId="0" fontId="14" fillId="0" borderId="6" xfId="0" applyFont="1" applyFill="1" applyBorder="1" applyAlignment="1">
      <alignment vertical="center" wrapText="1"/>
    </xf>
    <xf numFmtId="0" fontId="21" fillId="0" borderId="12" xfId="0" applyFont="1" applyFill="1" applyBorder="1" applyAlignment="1">
      <alignment vertical="top" wrapText="1"/>
    </xf>
    <xf numFmtId="0" fontId="21" fillId="0" borderId="14" xfId="0" applyFont="1" applyFill="1" applyBorder="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C5F2D"/>
      <rgbColor rgb="FF000080"/>
      <rgbColor rgb="FF808000"/>
      <rgbColor rgb="FF800080"/>
      <rgbColor rgb="FF008080"/>
      <rgbColor rgb="FFC0C0C0"/>
      <rgbColor rgb="FF8A8A80"/>
      <rgbColor rgb="FF9999FF"/>
      <rgbColor rgb="FF993366"/>
      <rgbColor rgb="FFFFF6DF"/>
      <rgbColor rgb="FFF2F2EC"/>
      <rgbColor rgb="FF660066"/>
      <rgbColor rgb="FFFF8080"/>
      <rgbColor rgb="FF0066CC"/>
      <rgbColor rgb="FFE0E0D8"/>
      <rgbColor rgb="FF000080"/>
      <rgbColor rgb="FFFF00FF"/>
      <rgbColor rgb="FFFFFF00"/>
      <rgbColor rgb="FF00FFFF"/>
      <rgbColor rgb="FF800080"/>
      <rgbColor rgb="FF800000"/>
      <rgbColor rgb="FF008080"/>
      <rgbColor rgb="FF0000FF"/>
      <rgbColor rgb="FF00CCFF"/>
      <rgbColor rgb="FFF7F7F2"/>
      <rgbColor rgb="FFCCFFCC"/>
      <rgbColor rgb="FFFFFF99"/>
      <rgbColor rgb="FF99CCFF"/>
      <rgbColor rgb="FFFF99CC"/>
      <rgbColor rgb="FFCC99FF"/>
      <rgbColor rgb="FFFBE3E0"/>
      <rgbColor rgb="FF3366FF"/>
      <rgbColor rgb="FF33CCCC"/>
      <rgbColor rgb="FF99CC00"/>
      <rgbColor rgb="FFFFCC00"/>
      <rgbColor rgb="FFD9A441"/>
      <rgbColor rgb="FFFF6600"/>
      <rgbColor rgb="FF5A5A50"/>
      <rgbColor rgb="FF97BC62"/>
      <rgbColor rgb="FF003366"/>
      <rgbColor rgb="FF339966"/>
      <rgbColor rgb="FF003300"/>
      <rgbColor rgb="FF1B3D1C"/>
      <rgbColor rgb="FFC0392B"/>
      <rgbColor rgb="FF993366"/>
      <rgbColor rgb="FF333399"/>
      <rgbColor rgb="FF2B2B26"/>
      <rgbColor rgb="00003366"/>
      <rgbColor rgb="00339966"/>
      <rgbColor rgb="00003300"/>
      <rgbColor rgb="00333300"/>
      <rgbColor rgb="00993300"/>
      <rgbColor rgb="00993366"/>
      <rgbColor rgb="00333399"/>
      <rgbColor rgb="00333333"/>
    </indexedColors>
    <mruColors>
      <color rgb="FF0048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navcdp.kalro.org/kalroknowledgebank/factsheets/COMMUNITY%20SEED%20BULKING%20Karanja.pdf" TargetMode="External"/><Relationship Id="rId2" Type="http://schemas.openxmlformats.org/officeDocument/2006/relationships/hyperlink" Target="https://navcdp.kalro.org/docs/kcsap/Final%20Dry-Beans-TIMPs%20for%20upload.pdf" TargetMode="External"/><Relationship Id="rId1" Type="http://schemas.openxmlformats.org/officeDocument/2006/relationships/hyperlink" Target="https://navcdp.kalro.org/docs/kcsap/AIV%20Volume%20I.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A441"/>
    <pageSetUpPr fitToPage="1"/>
  </sheetPr>
  <dimension ref="B2:C44"/>
  <sheetViews>
    <sheetView showGridLines="0" topLeftCell="A23" zoomScaleNormal="100" workbookViewId="0"/>
  </sheetViews>
  <sheetFormatPr defaultColWidth="8.54296875" defaultRowHeight="14.5" x14ac:dyDescent="0.35"/>
  <cols>
    <col min="1" max="1" width="2.453125" customWidth="1"/>
    <col min="2" max="2" width="30" customWidth="1"/>
    <col min="3" max="3" width="62" customWidth="1"/>
  </cols>
  <sheetData>
    <row r="2" spans="2:3" ht="26.25" customHeight="1" x14ac:dyDescent="0.6">
      <c r="B2" s="35" t="s">
        <v>0</v>
      </c>
      <c r="C2" s="33"/>
    </row>
    <row r="3" spans="2:3" x14ac:dyDescent="0.35">
      <c r="B3" s="36" t="s">
        <v>1</v>
      </c>
      <c r="C3" s="33"/>
    </row>
    <row r="5" spans="2:3" ht="21.75" customHeight="1" x14ac:dyDescent="0.4">
      <c r="B5" s="34" t="s">
        <v>2</v>
      </c>
      <c r="C5" s="33"/>
    </row>
    <row r="6" spans="2:3" ht="27.75" customHeight="1" x14ac:dyDescent="0.35">
      <c r="B6" s="32" t="s">
        <v>3</v>
      </c>
      <c r="C6" s="33"/>
    </row>
    <row r="7" spans="2:3" ht="27.75" customHeight="1" x14ac:dyDescent="0.35">
      <c r="B7" s="32" t="s">
        <v>4</v>
      </c>
      <c r="C7" s="33"/>
    </row>
    <row r="9" spans="2:3" ht="21.75" customHeight="1" x14ac:dyDescent="0.4">
      <c r="B9" s="34" t="s">
        <v>5</v>
      </c>
      <c r="C9" s="33"/>
    </row>
    <row r="10" spans="2:3" ht="27.75" customHeight="1" x14ac:dyDescent="0.35">
      <c r="B10" s="32" t="s">
        <v>6</v>
      </c>
      <c r="C10" s="33"/>
    </row>
    <row r="11" spans="2:3" ht="27.75" customHeight="1" x14ac:dyDescent="0.35">
      <c r="B11" s="32" t="s">
        <v>7</v>
      </c>
      <c r="C11" s="33"/>
    </row>
    <row r="12" spans="2:3" ht="27.75" customHeight="1" x14ac:dyDescent="0.35">
      <c r="B12" s="32" t="s">
        <v>8</v>
      </c>
      <c r="C12" s="33"/>
    </row>
    <row r="13" spans="2:3" ht="27.75" customHeight="1" x14ac:dyDescent="0.35">
      <c r="B13" s="32" t="s">
        <v>9</v>
      </c>
      <c r="C13" s="33"/>
    </row>
    <row r="14" spans="2:3" ht="27.75" customHeight="1" x14ac:dyDescent="0.35">
      <c r="B14" s="32" t="s">
        <v>10</v>
      </c>
      <c r="C14" s="33"/>
    </row>
    <row r="16" spans="2:3" ht="21.75" customHeight="1" x14ac:dyDescent="0.4">
      <c r="B16" s="34" t="s">
        <v>11</v>
      </c>
      <c r="C16" s="33"/>
    </row>
    <row r="17" spans="2:3" ht="27.75" customHeight="1" x14ac:dyDescent="0.35">
      <c r="B17" s="32" t="s">
        <v>12</v>
      </c>
      <c r="C17" s="33"/>
    </row>
    <row r="18" spans="2:3" ht="27.75" customHeight="1" x14ac:dyDescent="0.35">
      <c r="B18" s="32" t="s">
        <v>13</v>
      </c>
      <c r="C18" s="33"/>
    </row>
    <row r="19" spans="2:3" ht="27.75" customHeight="1" x14ac:dyDescent="0.35">
      <c r="B19" s="32" t="s">
        <v>14</v>
      </c>
      <c r="C19" s="33"/>
    </row>
    <row r="20" spans="2:3" ht="27.75" customHeight="1" x14ac:dyDescent="0.35">
      <c r="B20" s="32" t="s">
        <v>15</v>
      </c>
      <c r="C20" s="33"/>
    </row>
    <row r="22" spans="2:3" ht="21.75" customHeight="1" x14ac:dyDescent="0.4">
      <c r="B22" s="34" t="s">
        <v>16</v>
      </c>
      <c r="C22" s="33"/>
    </row>
    <row r="23" spans="2:3" ht="27.75" customHeight="1" x14ac:dyDescent="0.35">
      <c r="B23" s="1" t="s">
        <v>17</v>
      </c>
      <c r="C23" s="17" t="s">
        <v>18</v>
      </c>
    </row>
    <row r="24" spans="2:3" ht="27.75" customHeight="1" x14ac:dyDescent="0.35">
      <c r="B24" s="1" t="s">
        <v>19</v>
      </c>
      <c r="C24" s="17" t="s">
        <v>20</v>
      </c>
    </row>
    <row r="25" spans="2:3" ht="27.75" customHeight="1" x14ac:dyDescent="0.35">
      <c r="B25" s="1" t="s">
        <v>21</v>
      </c>
      <c r="C25" s="17" t="s">
        <v>22</v>
      </c>
    </row>
    <row r="26" spans="2:3" ht="27.75" customHeight="1" x14ac:dyDescent="0.35">
      <c r="B26" s="1" t="s">
        <v>23</v>
      </c>
      <c r="C26" s="17" t="s">
        <v>24</v>
      </c>
    </row>
    <row r="27" spans="2:3" ht="27.75" customHeight="1" x14ac:dyDescent="0.35">
      <c r="B27" s="1" t="s">
        <v>25</v>
      </c>
      <c r="C27" s="17" t="s">
        <v>26</v>
      </c>
    </row>
    <row r="28" spans="2:3" ht="27.75" customHeight="1" x14ac:dyDescent="0.35">
      <c r="B28" s="1" t="s">
        <v>27</v>
      </c>
      <c r="C28" s="17" t="s">
        <v>28</v>
      </c>
    </row>
    <row r="29" spans="2:3" ht="27.75" customHeight="1" x14ac:dyDescent="0.35">
      <c r="B29" s="1" t="s">
        <v>29</v>
      </c>
      <c r="C29" s="17" t="s">
        <v>30</v>
      </c>
    </row>
    <row r="30" spans="2:3" ht="27.75" customHeight="1" x14ac:dyDescent="0.35">
      <c r="B30" s="1" t="s">
        <v>31</v>
      </c>
      <c r="C30" s="17" t="s">
        <v>32</v>
      </c>
    </row>
    <row r="31" spans="2:3" ht="27.75" customHeight="1" x14ac:dyDescent="0.35">
      <c r="B31" s="1" t="s">
        <v>33</v>
      </c>
      <c r="C31" s="17" t="s">
        <v>34</v>
      </c>
    </row>
    <row r="32" spans="2:3" ht="27.75" customHeight="1" x14ac:dyDescent="0.35">
      <c r="B32" s="1" t="s">
        <v>35</v>
      </c>
      <c r="C32" s="17" t="s">
        <v>36</v>
      </c>
    </row>
    <row r="33" spans="2:3" ht="27.75" customHeight="1" x14ac:dyDescent="0.35">
      <c r="B33" s="1" t="s">
        <v>37</v>
      </c>
      <c r="C33" s="17" t="s">
        <v>38</v>
      </c>
    </row>
    <row r="34" spans="2:3" ht="27.75" customHeight="1" x14ac:dyDescent="0.35">
      <c r="B34" s="1" t="s">
        <v>39</v>
      </c>
      <c r="C34" s="17" t="s">
        <v>40</v>
      </c>
    </row>
    <row r="35" spans="2:3" ht="27.75" customHeight="1" x14ac:dyDescent="0.35">
      <c r="B35" s="1" t="s">
        <v>41</v>
      </c>
      <c r="C35" s="17" t="s">
        <v>42</v>
      </c>
    </row>
    <row r="36" spans="2:3" ht="27.75" customHeight="1" x14ac:dyDescent="0.35">
      <c r="B36" s="1" t="s">
        <v>43</v>
      </c>
      <c r="C36" s="17" t="s">
        <v>44</v>
      </c>
    </row>
    <row r="37" spans="2:3" ht="27.75" customHeight="1" x14ac:dyDescent="0.35">
      <c r="B37" s="1" t="s">
        <v>45</v>
      </c>
      <c r="C37" s="17" t="s">
        <v>46</v>
      </c>
    </row>
    <row r="38" spans="2:3" ht="27.75" customHeight="1" x14ac:dyDescent="0.35">
      <c r="B38" s="1" t="s">
        <v>47</v>
      </c>
      <c r="C38" s="17" t="s">
        <v>48</v>
      </c>
    </row>
    <row r="39" spans="2:3" ht="27.75" customHeight="1" x14ac:dyDescent="0.35">
      <c r="B39" s="1" t="s">
        <v>49</v>
      </c>
      <c r="C39" s="17" t="s">
        <v>50</v>
      </c>
    </row>
    <row r="40" spans="2:3" ht="27.75" customHeight="1" x14ac:dyDescent="0.35">
      <c r="B40" s="1" t="s">
        <v>51</v>
      </c>
      <c r="C40" s="17" t="s">
        <v>52</v>
      </c>
    </row>
    <row r="42" spans="2:3" ht="21.75" customHeight="1" x14ac:dyDescent="0.4">
      <c r="B42" s="34" t="s">
        <v>53</v>
      </c>
      <c r="C42" s="33"/>
    </row>
    <row r="43" spans="2:3" x14ac:dyDescent="0.35">
      <c r="B43" s="2" t="s">
        <v>54</v>
      </c>
      <c r="C43" s="3" t="s">
        <v>55</v>
      </c>
    </row>
    <row r="44" spans="2:3" x14ac:dyDescent="0.35">
      <c r="B44" s="4" t="s">
        <v>56</v>
      </c>
      <c r="C44" s="3" t="s">
        <v>57</v>
      </c>
    </row>
  </sheetData>
  <mergeCells count="18">
    <mergeCell ref="B20:C20"/>
    <mergeCell ref="B19:C19"/>
    <mergeCell ref="B10:C10"/>
    <mergeCell ref="B42:C42"/>
    <mergeCell ref="B22:C22"/>
    <mergeCell ref="B14:C14"/>
    <mergeCell ref="B17:C17"/>
    <mergeCell ref="B18:C18"/>
    <mergeCell ref="B12:C12"/>
    <mergeCell ref="B13:C13"/>
    <mergeCell ref="B6:C6"/>
    <mergeCell ref="B16:C16"/>
    <mergeCell ref="B2:C2"/>
    <mergeCell ref="B7:C7"/>
    <mergeCell ref="B11:C11"/>
    <mergeCell ref="B3:C3"/>
    <mergeCell ref="B5:C5"/>
    <mergeCell ref="B9:C9"/>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2C5F2D"/>
    <pageSetUpPr fitToPage="1"/>
  </sheetPr>
  <dimension ref="A1:T648"/>
  <sheetViews>
    <sheetView showGridLines="0" zoomScale="70" zoomScaleNormal="70" workbookViewId="0">
      <pane xSplit="6" ySplit="1" topLeftCell="G2" activePane="bottomRight" state="frozen"/>
      <selection pane="topRight" activeCell="G1" sqref="G1"/>
      <selection pane="bottomLeft" activeCell="A2" sqref="A2"/>
      <selection pane="bottomRight" activeCell="G7" sqref="G7"/>
    </sheetView>
  </sheetViews>
  <sheetFormatPr defaultColWidth="8.54296875" defaultRowHeight="14.5" x14ac:dyDescent="0.35"/>
  <cols>
    <col min="1" max="1" width="2.453125" customWidth="1"/>
    <col min="2" max="2" width="12.7265625" customWidth="1"/>
    <col min="3" max="3" width="32" customWidth="1"/>
    <col min="4" max="4" width="25.7265625" customWidth="1"/>
    <col min="5" max="5" width="24" customWidth="1"/>
    <col min="6" max="6" width="13" customWidth="1"/>
    <col min="7" max="7" width="21.81640625" customWidth="1"/>
    <col min="8" max="8" width="26" customWidth="1"/>
    <col min="9" max="9" width="16" customWidth="1"/>
    <col min="10" max="10" width="13" customWidth="1"/>
    <col min="11" max="11" width="20" customWidth="1"/>
    <col min="12" max="13" width="22" customWidth="1"/>
    <col min="14" max="14" width="15" customWidth="1"/>
    <col min="15" max="15" width="16" customWidth="1"/>
    <col min="16" max="16" width="18" customWidth="1"/>
    <col min="17" max="17" width="16" customWidth="1"/>
    <col min="18" max="18" width="12" customWidth="1"/>
    <col min="19" max="19" width="16" customWidth="1"/>
    <col min="20" max="20" width="38" customWidth="1"/>
  </cols>
  <sheetData>
    <row r="1" spans="1:20" ht="42.75" customHeight="1" x14ac:dyDescent="0.35">
      <c r="B1" s="5" t="s">
        <v>58</v>
      </c>
      <c r="C1" s="5" t="s">
        <v>17</v>
      </c>
      <c r="D1" s="5" t="s">
        <v>19</v>
      </c>
      <c r="E1" s="5" t="s">
        <v>21</v>
      </c>
      <c r="F1" s="5" t="s">
        <v>23</v>
      </c>
      <c r="G1" s="5" t="s">
        <v>25</v>
      </c>
      <c r="H1" s="5" t="s">
        <v>27</v>
      </c>
      <c r="I1" s="5" t="s">
        <v>29</v>
      </c>
      <c r="J1" s="5" t="s">
        <v>31</v>
      </c>
      <c r="K1" s="5" t="s">
        <v>33</v>
      </c>
      <c r="L1" s="5" t="s">
        <v>35</v>
      </c>
      <c r="M1" s="5" t="s">
        <v>37</v>
      </c>
      <c r="N1" s="5" t="s">
        <v>59</v>
      </c>
      <c r="O1" s="5" t="s">
        <v>41</v>
      </c>
      <c r="P1" s="5" t="s">
        <v>43</v>
      </c>
      <c r="Q1" s="5" t="s">
        <v>45</v>
      </c>
      <c r="R1" s="5" t="s">
        <v>47</v>
      </c>
      <c r="S1" s="5" t="s">
        <v>49</v>
      </c>
      <c r="T1" s="5" t="s">
        <v>51</v>
      </c>
    </row>
    <row r="2" spans="1:20" s="26" customFormat="1" ht="75" customHeight="1" x14ac:dyDescent="0.35">
      <c r="A2" s="31"/>
      <c r="B2" s="21" t="s">
        <v>60</v>
      </c>
      <c r="C2" s="22" t="s">
        <v>61</v>
      </c>
      <c r="D2" s="30" t="s">
        <v>62</v>
      </c>
      <c r="E2" s="22" t="s">
        <v>63</v>
      </c>
      <c r="F2" s="23"/>
      <c r="G2" s="22" t="s">
        <v>64</v>
      </c>
      <c r="H2" s="22"/>
      <c r="I2" s="22" t="s">
        <v>65</v>
      </c>
      <c r="J2" s="22" t="s">
        <v>66</v>
      </c>
      <c r="K2" s="24"/>
      <c r="L2" s="24"/>
      <c r="M2" s="24"/>
      <c r="N2" s="25"/>
      <c r="O2" s="24"/>
      <c r="P2" s="24"/>
      <c r="Q2" s="24"/>
      <c r="R2" s="24"/>
      <c r="S2" s="24"/>
      <c r="T2" s="24"/>
    </row>
    <row r="3" spans="1:20" s="26" customFormat="1" ht="61.5" customHeight="1" x14ac:dyDescent="0.35">
      <c r="A3" s="31"/>
      <c r="B3" s="21" t="s">
        <v>137</v>
      </c>
      <c r="C3" s="22" t="s">
        <v>1173</v>
      </c>
      <c r="D3" s="27" t="s">
        <v>138</v>
      </c>
      <c r="E3" s="22" t="s">
        <v>1172</v>
      </c>
      <c r="F3" s="23"/>
      <c r="G3" s="22" t="s">
        <v>64</v>
      </c>
      <c r="H3" s="22"/>
      <c r="I3" s="22" t="s">
        <v>65</v>
      </c>
      <c r="J3" s="22" t="s">
        <v>66</v>
      </c>
      <c r="K3" s="21"/>
      <c r="L3" s="21"/>
      <c r="M3" s="21"/>
      <c r="N3" s="21"/>
      <c r="O3" s="21"/>
      <c r="P3" s="21"/>
      <c r="Q3" s="21"/>
      <c r="R3" s="21"/>
      <c r="S3" s="21"/>
      <c r="T3" s="21"/>
    </row>
    <row r="4" spans="1:20" s="26" customFormat="1" ht="105" customHeight="1" x14ac:dyDescent="0.35">
      <c r="A4" s="31"/>
      <c r="B4" s="21" t="s">
        <v>67</v>
      </c>
      <c r="C4" s="22" t="s">
        <v>68</v>
      </c>
      <c r="D4" s="22" t="s">
        <v>69</v>
      </c>
      <c r="E4" s="22" t="s">
        <v>70</v>
      </c>
      <c r="F4" s="23"/>
      <c r="G4" s="22" t="s">
        <v>71</v>
      </c>
      <c r="H4" s="22"/>
      <c r="I4" s="22" t="s">
        <v>72</v>
      </c>
      <c r="J4" s="22" t="s">
        <v>66</v>
      </c>
      <c r="K4" s="24"/>
      <c r="L4" s="24"/>
      <c r="M4" s="24"/>
      <c r="N4" s="25"/>
      <c r="O4" s="24"/>
      <c r="P4" s="24"/>
      <c r="Q4" s="24"/>
      <c r="R4" s="24"/>
      <c r="S4" s="24"/>
      <c r="T4" s="24"/>
    </row>
    <row r="5" spans="1:20" s="26" customFormat="1" ht="75" customHeight="1" x14ac:dyDescent="0.35">
      <c r="A5" s="31"/>
      <c r="B5" s="21" t="s">
        <v>73</v>
      </c>
      <c r="C5" s="22" t="s">
        <v>74</v>
      </c>
      <c r="D5" s="22" t="s">
        <v>75</v>
      </c>
      <c r="E5" s="22" t="s">
        <v>63</v>
      </c>
      <c r="F5" s="23"/>
      <c r="G5" s="22" t="s">
        <v>71</v>
      </c>
      <c r="H5" s="22"/>
      <c r="I5" s="22" t="s">
        <v>72</v>
      </c>
      <c r="J5" s="22" t="s">
        <v>66</v>
      </c>
      <c r="K5" s="24"/>
      <c r="L5" s="24"/>
      <c r="M5" s="24"/>
      <c r="N5" s="25"/>
      <c r="O5" s="24"/>
      <c r="P5" s="24"/>
      <c r="Q5" s="24"/>
      <c r="R5" s="24"/>
      <c r="S5" s="24"/>
      <c r="T5" s="24"/>
    </row>
    <row r="6" spans="1:20" s="26" customFormat="1" ht="90" customHeight="1" x14ac:dyDescent="0.35">
      <c r="A6" s="31"/>
      <c r="B6" s="21" t="s">
        <v>76</v>
      </c>
      <c r="C6" s="22" t="s">
        <v>77</v>
      </c>
      <c r="D6" s="22" t="s">
        <v>78</v>
      </c>
      <c r="E6" s="22" t="s">
        <v>79</v>
      </c>
      <c r="F6" s="23">
        <v>44348</v>
      </c>
      <c r="G6" s="22" t="s">
        <v>71</v>
      </c>
      <c r="H6" s="22"/>
      <c r="I6" s="22" t="s">
        <v>72</v>
      </c>
      <c r="J6" s="22" t="s">
        <v>66</v>
      </c>
      <c r="K6" s="24"/>
      <c r="L6" s="24"/>
      <c r="M6" s="24"/>
      <c r="N6" s="25"/>
      <c r="O6" s="24"/>
      <c r="P6" s="24"/>
      <c r="Q6" s="24"/>
      <c r="R6" s="24"/>
      <c r="S6" s="24"/>
      <c r="T6" s="24"/>
    </row>
    <row r="7" spans="1:20" s="26" customFormat="1" ht="90" customHeight="1" x14ac:dyDescent="0.35">
      <c r="A7" s="31"/>
      <c r="B7" s="21" t="s">
        <v>80</v>
      </c>
      <c r="C7" s="22" t="s">
        <v>81</v>
      </c>
      <c r="D7" s="22" t="s">
        <v>82</v>
      </c>
      <c r="E7" s="22" t="s">
        <v>79</v>
      </c>
      <c r="F7" s="23">
        <v>44348</v>
      </c>
      <c r="G7" s="22" t="s">
        <v>71</v>
      </c>
      <c r="H7" s="22"/>
      <c r="I7" s="22" t="s">
        <v>72</v>
      </c>
      <c r="J7" s="22" t="s">
        <v>66</v>
      </c>
      <c r="K7" s="24"/>
      <c r="L7" s="24"/>
      <c r="M7" s="24"/>
      <c r="N7" s="25"/>
      <c r="O7" s="24"/>
      <c r="P7" s="24"/>
      <c r="Q7" s="24"/>
      <c r="R7" s="24"/>
      <c r="S7" s="24"/>
      <c r="T7" s="24"/>
    </row>
    <row r="8" spans="1:20" s="26" customFormat="1" ht="90" customHeight="1" x14ac:dyDescent="0.35">
      <c r="A8" s="31"/>
      <c r="B8" s="21" t="s">
        <v>83</v>
      </c>
      <c r="C8" s="22" t="s">
        <v>84</v>
      </c>
      <c r="D8" s="22" t="s">
        <v>85</v>
      </c>
      <c r="E8" s="22" t="s">
        <v>79</v>
      </c>
      <c r="F8" s="23">
        <v>44348</v>
      </c>
      <c r="G8" s="22" t="s">
        <v>71</v>
      </c>
      <c r="H8" s="22"/>
      <c r="I8" s="22" t="s">
        <v>72</v>
      </c>
      <c r="J8" s="22" t="s">
        <v>66</v>
      </c>
      <c r="K8" s="24"/>
      <c r="L8" s="24"/>
      <c r="M8" s="24"/>
      <c r="N8" s="25"/>
      <c r="O8" s="24"/>
      <c r="P8" s="24"/>
      <c r="Q8" s="24"/>
      <c r="R8" s="24"/>
      <c r="S8" s="24"/>
      <c r="T8" s="24"/>
    </row>
    <row r="9" spans="1:20" s="26" customFormat="1" ht="105" customHeight="1" x14ac:dyDescent="0.35">
      <c r="A9" s="31"/>
      <c r="B9" s="21" t="s">
        <v>86</v>
      </c>
      <c r="C9" s="22" t="s">
        <v>87</v>
      </c>
      <c r="D9" s="22" t="s">
        <v>88</v>
      </c>
      <c r="E9" s="22" t="s">
        <v>79</v>
      </c>
      <c r="F9" s="23">
        <v>44348</v>
      </c>
      <c r="G9" s="22" t="s">
        <v>71</v>
      </c>
      <c r="H9" s="22"/>
      <c r="I9" s="22" t="s">
        <v>72</v>
      </c>
      <c r="J9" s="22" t="s">
        <v>66</v>
      </c>
      <c r="K9" s="24"/>
      <c r="L9" s="24"/>
      <c r="M9" s="24"/>
      <c r="N9" s="25"/>
      <c r="O9" s="24"/>
      <c r="P9" s="24"/>
      <c r="Q9" s="24"/>
      <c r="R9" s="24"/>
      <c r="S9" s="24"/>
      <c r="T9" s="24"/>
    </row>
    <row r="10" spans="1:20" s="26" customFormat="1" ht="90" customHeight="1" x14ac:dyDescent="0.35">
      <c r="A10" s="31"/>
      <c r="B10" s="21" t="s">
        <v>89</v>
      </c>
      <c r="C10" s="22" t="s">
        <v>90</v>
      </c>
      <c r="D10" s="22" t="s">
        <v>91</v>
      </c>
      <c r="E10" s="22" t="s">
        <v>79</v>
      </c>
      <c r="F10" s="23">
        <v>44348</v>
      </c>
      <c r="G10" s="22" t="s">
        <v>71</v>
      </c>
      <c r="H10" s="22"/>
      <c r="I10" s="22" t="s">
        <v>72</v>
      </c>
      <c r="J10" s="22" t="s">
        <v>66</v>
      </c>
      <c r="K10" s="24"/>
      <c r="L10" s="24"/>
      <c r="M10" s="24"/>
      <c r="N10" s="25"/>
      <c r="O10" s="24"/>
      <c r="P10" s="24"/>
      <c r="Q10" s="24"/>
      <c r="R10" s="24"/>
      <c r="S10" s="24"/>
      <c r="T10" s="24"/>
    </row>
    <row r="11" spans="1:20" s="26" customFormat="1" ht="75" customHeight="1" x14ac:dyDescent="0.35">
      <c r="A11" s="31"/>
      <c r="B11" s="21" t="s">
        <v>92</v>
      </c>
      <c r="C11" s="22" t="s">
        <v>93</v>
      </c>
      <c r="D11" s="22" t="s">
        <v>94</v>
      </c>
      <c r="E11" s="22" t="s">
        <v>79</v>
      </c>
      <c r="F11" s="23">
        <v>44348</v>
      </c>
      <c r="G11" s="22" t="s">
        <v>71</v>
      </c>
      <c r="H11" s="22"/>
      <c r="I11" s="22" t="s">
        <v>72</v>
      </c>
      <c r="J11" s="22" t="s">
        <v>66</v>
      </c>
      <c r="K11" s="24"/>
      <c r="L11" s="24"/>
      <c r="M11" s="24"/>
      <c r="N11" s="25"/>
      <c r="O11" s="24"/>
      <c r="P11" s="24"/>
      <c r="Q11" s="24"/>
      <c r="R11" s="24"/>
      <c r="S11" s="24"/>
      <c r="T11" s="24"/>
    </row>
    <row r="12" spans="1:20" s="26" customFormat="1" ht="105" customHeight="1" x14ac:dyDescent="0.35">
      <c r="A12" s="31"/>
      <c r="B12" s="21" t="s">
        <v>95</v>
      </c>
      <c r="C12" s="22" t="s">
        <v>96</v>
      </c>
      <c r="D12" s="22" t="s">
        <v>97</v>
      </c>
      <c r="E12" s="22" t="s">
        <v>79</v>
      </c>
      <c r="F12" s="23">
        <v>44348</v>
      </c>
      <c r="G12" s="22" t="s">
        <v>71</v>
      </c>
      <c r="H12" s="22"/>
      <c r="I12" s="22" t="s">
        <v>72</v>
      </c>
      <c r="J12" s="22" t="s">
        <v>66</v>
      </c>
      <c r="K12" s="24"/>
      <c r="L12" s="24"/>
      <c r="M12" s="24"/>
      <c r="N12" s="25"/>
      <c r="O12" s="24"/>
      <c r="P12" s="24"/>
      <c r="Q12" s="24"/>
      <c r="R12" s="24"/>
      <c r="S12" s="24"/>
      <c r="T12" s="24"/>
    </row>
    <row r="13" spans="1:20" s="26" customFormat="1" ht="105" customHeight="1" x14ac:dyDescent="0.35">
      <c r="A13" s="31"/>
      <c r="B13" s="21" t="s">
        <v>98</v>
      </c>
      <c r="C13" s="22" t="s">
        <v>99</v>
      </c>
      <c r="D13" s="22" t="s">
        <v>100</v>
      </c>
      <c r="E13" s="22" t="s">
        <v>79</v>
      </c>
      <c r="F13" s="23">
        <v>44348</v>
      </c>
      <c r="G13" s="22" t="s">
        <v>71</v>
      </c>
      <c r="H13" s="22"/>
      <c r="I13" s="22" t="s">
        <v>72</v>
      </c>
      <c r="J13" s="22" t="s">
        <v>66</v>
      </c>
      <c r="K13" s="24"/>
      <c r="L13" s="24"/>
      <c r="M13" s="24"/>
      <c r="N13" s="25"/>
      <c r="O13" s="24"/>
      <c r="P13" s="24"/>
      <c r="Q13" s="24"/>
      <c r="R13" s="24"/>
      <c r="S13" s="24"/>
      <c r="T13" s="24"/>
    </row>
    <row r="14" spans="1:20" s="26" customFormat="1" ht="105" customHeight="1" x14ac:dyDescent="0.35">
      <c r="A14" s="31"/>
      <c r="B14" s="21" t="s">
        <v>101</v>
      </c>
      <c r="C14" s="22" t="s">
        <v>102</v>
      </c>
      <c r="D14" s="22" t="s">
        <v>103</v>
      </c>
      <c r="E14" s="22" t="s">
        <v>79</v>
      </c>
      <c r="F14" s="23">
        <v>44348</v>
      </c>
      <c r="G14" s="22" t="s">
        <v>71</v>
      </c>
      <c r="H14" s="22"/>
      <c r="I14" s="22" t="s">
        <v>72</v>
      </c>
      <c r="J14" s="22" t="s">
        <v>66</v>
      </c>
      <c r="K14" s="24"/>
      <c r="L14" s="24"/>
      <c r="M14" s="24"/>
      <c r="N14" s="25"/>
      <c r="O14" s="24"/>
      <c r="P14" s="24"/>
      <c r="Q14" s="24"/>
      <c r="R14" s="24"/>
      <c r="S14" s="24"/>
      <c r="T14" s="24"/>
    </row>
    <row r="15" spans="1:20" s="26" customFormat="1" ht="90" customHeight="1" x14ac:dyDescent="0.35">
      <c r="A15" s="31"/>
      <c r="B15" s="21" t="s">
        <v>104</v>
      </c>
      <c r="C15" s="22" t="s">
        <v>105</v>
      </c>
      <c r="D15" s="22" t="s">
        <v>106</v>
      </c>
      <c r="E15" s="22" t="s">
        <v>79</v>
      </c>
      <c r="F15" s="23">
        <v>44348</v>
      </c>
      <c r="G15" s="22" t="s">
        <v>71</v>
      </c>
      <c r="H15" s="22"/>
      <c r="I15" s="22" t="s">
        <v>72</v>
      </c>
      <c r="J15" s="22" t="s">
        <v>66</v>
      </c>
      <c r="K15" s="24"/>
      <c r="L15" s="24"/>
      <c r="M15" s="24"/>
      <c r="N15" s="25"/>
      <c r="O15" s="24"/>
      <c r="P15" s="24"/>
      <c r="Q15" s="24"/>
      <c r="R15" s="24"/>
      <c r="S15" s="24"/>
      <c r="T15" s="24"/>
    </row>
    <row r="16" spans="1:20" s="26" customFormat="1" ht="105" customHeight="1" x14ac:dyDescent="0.35">
      <c r="A16" s="31"/>
      <c r="B16" s="21" t="s">
        <v>107</v>
      </c>
      <c r="C16" s="22" t="s">
        <v>108</v>
      </c>
      <c r="D16" s="22" t="s">
        <v>109</v>
      </c>
      <c r="E16" s="22" t="s">
        <v>79</v>
      </c>
      <c r="F16" s="23">
        <v>44348</v>
      </c>
      <c r="G16" s="22" t="s">
        <v>71</v>
      </c>
      <c r="H16" s="22"/>
      <c r="I16" s="22" t="s">
        <v>72</v>
      </c>
      <c r="J16" s="22" t="s">
        <v>66</v>
      </c>
      <c r="K16" s="24"/>
      <c r="L16" s="24"/>
      <c r="M16" s="24"/>
      <c r="N16" s="25"/>
      <c r="O16" s="24"/>
      <c r="P16" s="24"/>
      <c r="Q16" s="24"/>
      <c r="R16" s="24"/>
      <c r="S16" s="24"/>
      <c r="T16" s="24"/>
    </row>
    <row r="17" spans="1:20" s="26" customFormat="1" ht="90" customHeight="1" x14ac:dyDescent="0.35">
      <c r="A17" s="31"/>
      <c r="B17" s="21" t="s">
        <v>110</v>
      </c>
      <c r="C17" s="22" t="s">
        <v>111</v>
      </c>
      <c r="D17" s="22" t="s">
        <v>112</v>
      </c>
      <c r="E17" s="22" t="s">
        <v>79</v>
      </c>
      <c r="F17" s="23">
        <v>44348</v>
      </c>
      <c r="G17" s="22" t="s">
        <v>71</v>
      </c>
      <c r="H17" s="22"/>
      <c r="I17" s="22" t="s">
        <v>72</v>
      </c>
      <c r="J17" s="22" t="s">
        <v>66</v>
      </c>
      <c r="K17" s="24"/>
      <c r="L17" s="24"/>
      <c r="M17" s="24"/>
      <c r="N17" s="25"/>
      <c r="O17" s="24"/>
      <c r="P17" s="24"/>
      <c r="Q17" s="24"/>
      <c r="R17" s="24"/>
      <c r="S17" s="24"/>
      <c r="T17" s="24"/>
    </row>
    <row r="18" spans="1:20" s="26" customFormat="1" ht="105" customHeight="1" x14ac:dyDescent="0.35">
      <c r="A18" s="31"/>
      <c r="B18" s="21" t="s">
        <v>113</v>
      </c>
      <c r="C18" s="22" t="s">
        <v>114</v>
      </c>
      <c r="D18" s="22" t="s">
        <v>115</v>
      </c>
      <c r="E18" s="22" t="s">
        <v>79</v>
      </c>
      <c r="F18" s="23">
        <v>44348</v>
      </c>
      <c r="G18" s="22" t="s">
        <v>71</v>
      </c>
      <c r="H18" s="22"/>
      <c r="I18" s="22" t="s">
        <v>72</v>
      </c>
      <c r="J18" s="22" t="s">
        <v>66</v>
      </c>
      <c r="K18" s="24"/>
      <c r="L18" s="24"/>
      <c r="M18" s="24"/>
      <c r="N18" s="25"/>
      <c r="O18" s="24"/>
      <c r="P18" s="24"/>
      <c r="Q18" s="24"/>
      <c r="R18" s="24"/>
      <c r="S18" s="24"/>
      <c r="T18" s="24"/>
    </row>
    <row r="19" spans="1:20" s="26" customFormat="1" ht="45" customHeight="1" x14ac:dyDescent="0.35">
      <c r="A19" s="31"/>
      <c r="B19" s="21" t="s">
        <v>116</v>
      </c>
      <c r="C19" s="22" t="s">
        <v>117</v>
      </c>
      <c r="D19" s="28" t="s">
        <v>118</v>
      </c>
      <c r="E19" s="22" t="s">
        <v>119</v>
      </c>
      <c r="F19" s="23">
        <v>44866</v>
      </c>
      <c r="G19" s="22" t="s">
        <v>120</v>
      </c>
      <c r="H19" s="22"/>
      <c r="I19" s="22" t="s">
        <v>121</v>
      </c>
      <c r="J19" s="22" t="s">
        <v>66</v>
      </c>
      <c r="K19" s="24"/>
      <c r="L19" s="24"/>
      <c r="M19" s="24"/>
      <c r="N19" s="25"/>
      <c r="O19" s="24"/>
      <c r="P19" s="24"/>
      <c r="Q19" s="24"/>
      <c r="R19" s="24"/>
      <c r="S19" s="24"/>
      <c r="T19" s="24"/>
    </row>
    <row r="20" spans="1:20" s="26" customFormat="1" ht="45" customHeight="1" x14ac:dyDescent="0.35">
      <c r="A20" s="31"/>
      <c r="B20" s="21" t="s">
        <v>122</v>
      </c>
      <c r="C20" s="22" t="s">
        <v>123</v>
      </c>
      <c r="D20" s="22" t="s">
        <v>124</v>
      </c>
      <c r="E20" s="22" t="s">
        <v>119</v>
      </c>
      <c r="F20" s="23">
        <v>44866</v>
      </c>
      <c r="G20" s="22" t="s">
        <v>120</v>
      </c>
      <c r="H20" s="22"/>
      <c r="I20" s="22" t="s">
        <v>121</v>
      </c>
      <c r="J20" s="22" t="s">
        <v>66</v>
      </c>
      <c r="K20" s="24"/>
      <c r="L20" s="24"/>
      <c r="M20" s="24"/>
      <c r="N20" s="25"/>
      <c r="O20" s="24"/>
      <c r="P20" s="24"/>
      <c r="Q20" s="24"/>
      <c r="R20" s="24"/>
      <c r="S20" s="24"/>
      <c r="T20" s="24"/>
    </row>
    <row r="21" spans="1:20" hidden="1" x14ac:dyDescent="0.35">
      <c r="B21" s="10" t="str">
        <f>"CROP-"&amp;TEXT(19,"000")</f>
        <v>CROP-019</v>
      </c>
      <c r="C21" s="11"/>
      <c r="D21" s="11"/>
      <c r="E21" s="11"/>
      <c r="F21" s="12"/>
      <c r="G21" s="11"/>
      <c r="H21" s="11"/>
      <c r="I21" s="11"/>
      <c r="J21" s="11"/>
      <c r="K21" s="11"/>
      <c r="L21" s="11"/>
      <c r="M21" s="11"/>
      <c r="N21" s="12"/>
      <c r="O21" s="11"/>
      <c r="P21" s="11"/>
      <c r="Q21" s="11"/>
      <c r="R21" s="11"/>
      <c r="S21" s="11"/>
      <c r="T21" s="11"/>
    </row>
    <row r="22" spans="1:20" hidden="1" x14ac:dyDescent="0.35">
      <c r="B22" s="10" t="str">
        <f>"CROP-"&amp;TEXT(20,"000")</f>
        <v>CROP-020</v>
      </c>
      <c r="C22" s="11"/>
      <c r="D22" s="11"/>
      <c r="E22" s="11"/>
      <c r="F22" s="12"/>
      <c r="G22" s="11"/>
      <c r="H22" s="11"/>
      <c r="I22" s="11"/>
      <c r="J22" s="11"/>
      <c r="K22" s="11"/>
      <c r="L22" s="11"/>
      <c r="M22" s="11"/>
      <c r="N22" s="12"/>
      <c r="O22" s="11"/>
      <c r="P22" s="11"/>
      <c r="Q22" s="11"/>
      <c r="R22" s="11"/>
      <c r="S22" s="11"/>
      <c r="T22" s="11"/>
    </row>
    <row r="23" spans="1:20" s="26" customFormat="1" ht="45" customHeight="1" x14ac:dyDescent="0.35">
      <c r="A23" s="31"/>
      <c r="B23" s="21" t="s">
        <v>125</v>
      </c>
      <c r="C23" s="22" t="s">
        <v>126</v>
      </c>
      <c r="D23" s="27" t="s">
        <v>127</v>
      </c>
      <c r="E23" s="22" t="s">
        <v>119</v>
      </c>
      <c r="F23" s="23">
        <v>44866</v>
      </c>
      <c r="G23" s="22" t="s">
        <v>120</v>
      </c>
      <c r="H23" s="22"/>
      <c r="I23" s="22" t="s">
        <v>121</v>
      </c>
      <c r="J23" s="22" t="s">
        <v>66</v>
      </c>
      <c r="K23" s="24"/>
      <c r="L23" s="24"/>
      <c r="M23" s="24"/>
      <c r="N23" s="25"/>
      <c r="O23" s="24"/>
      <c r="P23" s="24"/>
      <c r="Q23" s="24"/>
      <c r="R23" s="24"/>
      <c r="S23" s="24"/>
      <c r="T23" s="24"/>
    </row>
    <row r="24" spans="1:20" s="26" customFormat="1" ht="30" customHeight="1" x14ac:dyDescent="0.35">
      <c r="A24" s="31"/>
      <c r="B24" s="21" t="s">
        <v>565</v>
      </c>
      <c r="C24" s="21" t="s">
        <v>128</v>
      </c>
      <c r="D24" s="29" t="s">
        <v>129</v>
      </c>
      <c r="E24" s="27" t="s">
        <v>130</v>
      </c>
      <c r="F24" s="23">
        <v>44835</v>
      </c>
      <c r="G24" s="21" t="s">
        <v>131</v>
      </c>
      <c r="H24" s="22"/>
      <c r="I24" s="22" t="s">
        <v>121</v>
      </c>
      <c r="J24" s="22" t="s">
        <v>66</v>
      </c>
      <c r="K24" s="24"/>
      <c r="L24" s="24"/>
      <c r="M24" s="24"/>
      <c r="N24" s="25"/>
      <c r="O24" s="24"/>
      <c r="P24" s="24"/>
      <c r="Q24" s="24"/>
      <c r="R24" s="24"/>
      <c r="S24" s="24"/>
      <c r="T24" s="24"/>
    </row>
    <row r="25" spans="1:20" s="26" customFormat="1" ht="45" customHeight="1" x14ac:dyDescent="0.35">
      <c r="A25" s="31"/>
      <c r="B25" s="21" t="s">
        <v>132</v>
      </c>
      <c r="C25" s="22" t="s">
        <v>133</v>
      </c>
      <c r="D25" s="27" t="s">
        <v>134</v>
      </c>
      <c r="E25" s="27" t="s">
        <v>135</v>
      </c>
      <c r="F25" s="23">
        <v>44835</v>
      </c>
      <c r="G25" s="22" t="s">
        <v>136</v>
      </c>
      <c r="H25" s="22"/>
      <c r="I25" s="22" t="s">
        <v>121</v>
      </c>
      <c r="J25" s="22" t="s">
        <v>66</v>
      </c>
      <c r="K25" s="24"/>
      <c r="L25" s="24"/>
      <c r="M25" s="24"/>
      <c r="N25" s="25"/>
      <c r="O25" s="24"/>
      <c r="P25" s="24"/>
      <c r="Q25" s="24"/>
      <c r="R25" s="24"/>
      <c r="S25" s="24"/>
      <c r="T25" s="24"/>
    </row>
    <row r="26" spans="1:20" x14ac:dyDescent="0.35">
      <c r="B26" s="15"/>
      <c r="C26" s="15"/>
      <c r="D26" s="15"/>
      <c r="E26" s="16"/>
      <c r="F26" s="20"/>
      <c r="G26" s="15"/>
      <c r="H26" s="15"/>
      <c r="I26" s="15"/>
      <c r="J26" s="15"/>
      <c r="K26" s="13"/>
      <c r="L26" s="13"/>
      <c r="M26" s="13"/>
      <c r="N26" s="13"/>
      <c r="O26" s="13"/>
      <c r="P26" s="13"/>
      <c r="Q26" s="13"/>
      <c r="R26" s="13"/>
      <c r="S26" s="13"/>
      <c r="T26" s="13"/>
    </row>
    <row r="27" spans="1:20" x14ac:dyDescent="0.35">
      <c r="B27" s="15"/>
      <c r="C27" s="15"/>
      <c r="D27" s="15"/>
      <c r="E27" s="15"/>
      <c r="F27" s="15"/>
      <c r="G27" s="15"/>
      <c r="H27" s="15"/>
      <c r="I27" s="15"/>
      <c r="J27" s="15"/>
      <c r="K27" s="13"/>
      <c r="L27" s="13"/>
      <c r="M27" s="13"/>
      <c r="N27" s="13"/>
      <c r="O27" s="13"/>
      <c r="P27" s="13"/>
      <c r="Q27" s="13"/>
      <c r="R27" s="13"/>
      <c r="S27" s="13"/>
      <c r="T27" s="13"/>
    </row>
    <row r="28" spans="1:20" x14ac:dyDescent="0.35">
      <c r="B28" s="15"/>
      <c r="C28" s="15"/>
      <c r="D28" s="15"/>
      <c r="E28" s="15"/>
      <c r="F28" s="15"/>
      <c r="G28" s="15"/>
      <c r="H28" s="15"/>
      <c r="I28" s="15"/>
      <c r="J28" s="15"/>
      <c r="K28" s="13"/>
      <c r="L28" s="13"/>
      <c r="M28" s="13"/>
      <c r="N28" s="13"/>
      <c r="O28" s="13"/>
      <c r="P28" s="13"/>
      <c r="Q28" s="13"/>
      <c r="R28" s="13"/>
      <c r="S28" s="13"/>
      <c r="T28" s="13"/>
    </row>
    <row r="29" spans="1:20" x14ac:dyDescent="0.35">
      <c r="B29" s="15"/>
      <c r="C29" s="15"/>
      <c r="D29" s="15"/>
      <c r="E29" s="15"/>
      <c r="F29" s="15"/>
      <c r="G29" s="15"/>
      <c r="H29" s="15"/>
      <c r="I29" s="15"/>
      <c r="J29" s="15"/>
      <c r="K29" s="13"/>
      <c r="L29" s="13"/>
      <c r="M29" s="13"/>
      <c r="N29" s="13"/>
      <c r="O29" s="13"/>
      <c r="P29" s="13"/>
      <c r="Q29" s="13"/>
      <c r="R29" s="13"/>
      <c r="S29" s="13"/>
      <c r="T29" s="13"/>
    </row>
    <row r="30" spans="1:20" x14ac:dyDescent="0.35">
      <c r="B30" s="15"/>
      <c r="C30" s="15"/>
      <c r="D30" s="15"/>
      <c r="E30" s="15"/>
      <c r="F30" s="15"/>
      <c r="G30" s="15"/>
      <c r="H30" s="15"/>
      <c r="I30" s="15"/>
      <c r="J30" s="15"/>
      <c r="K30" s="13"/>
      <c r="L30" s="13"/>
      <c r="M30" s="13"/>
      <c r="N30" s="13"/>
      <c r="O30" s="13"/>
      <c r="P30" s="13"/>
      <c r="Q30" s="13"/>
      <c r="R30" s="13"/>
      <c r="S30" s="13"/>
      <c r="T30" s="13"/>
    </row>
    <row r="31" spans="1:20" x14ac:dyDescent="0.35">
      <c r="B31" s="15"/>
      <c r="C31" s="15"/>
      <c r="D31" s="15"/>
      <c r="E31" s="15"/>
      <c r="F31" s="15"/>
      <c r="G31" s="15"/>
      <c r="H31" s="15"/>
      <c r="I31" s="15"/>
      <c r="J31" s="15"/>
      <c r="K31" s="13"/>
      <c r="L31" s="13"/>
      <c r="M31" s="13"/>
      <c r="N31" s="13"/>
      <c r="O31" s="13"/>
      <c r="P31" s="13"/>
      <c r="Q31" s="13"/>
      <c r="R31" s="13"/>
      <c r="S31" s="13"/>
      <c r="T31" s="13"/>
    </row>
    <row r="32" spans="1:20" x14ac:dyDescent="0.35">
      <c r="B32" s="15"/>
      <c r="C32" s="15"/>
      <c r="D32" s="15"/>
      <c r="E32" s="15"/>
      <c r="F32" s="15"/>
      <c r="G32" s="15"/>
      <c r="H32" s="15"/>
      <c r="I32" s="15"/>
      <c r="J32" s="15"/>
      <c r="K32" s="13"/>
      <c r="L32" s="13"/>
      <c r="M32" s="13"/>
      <c r="N32" s="13"/>
      <c r="O32" s="13"/>
      <c r="P32" s="13"/>
      <c r="Q32" s="13"/>
      <c r="R32" s="13"/>
      <c r="S32" s="13"/>
      <c r="T32" s="13"/>
    </row>
    <row r="33" spans="2:20" x14ac:dyDescent="0.35">
      <c r="B33" s="15"/>
      <c r="C33" s="15"/>
      <c r="D33" s="15"/>
      <c r="E33" s="15"/>
      <c r="F33" s="15"/>
      <c r="G33" s="15"/>
      <c r="H33" s="15"/>
      <c r="I33" s="15"/>
      <c r="J33" s="15"/>
      <c r="K33" s="13"/>
      <c r="L33" s="13"/>
      <c r="M33" s="13"/>
      <c r="N33" s="13"/>
      <c r="O33" s="13"/>
      <c r="P33" s="13"/>
      <c r="Q33" s="13"/>
      <c r="R33" s="13"/>
      <c r="S33" s="13"/>
      <c r="T33" s="13"/>
    </row>
    <row r="34" spans="2:20" x14ac:dyDescent="0.35">
      <c r="B34" s="15"/>
      <c r="C34" s="15"/>
      <c r="D34" s="15"/>
      <c r="E34" s="15"/>
      <c r="F34" s="15"/>
      <c r="G34" s="15"/>
      <c r="H34" s="15"/>
      <c r="I34" s="15"/>
      <c r="J34" s="15"/>
      <c r="K34" s="13"/>
      <c r="L34" s="13"/>
      <c r="M34" s="13"/>
      <c r="N34" s="13"/>
      <c r="O34" s="13"/>
      <c r="P34" s="13"/>
      <c r="Q34" s="13"/>
      <c r="R34" s="13"/>
      <c r="S34" s="13"/>
      <c r="T34" s="13"/>
    </row>
    <row r="35" spans="2:20" x14ac:dyDescent="0.35">
      <c r="B35" s="15"/>
      <c r="C35" s="15"/>
      <c r="D35" s="15"/>
      <c r="E35" s="15"/>
      <c r="F35" s="15"/>
      <c r="G35" s="15"/>
      <c r="H35" s="15"/>
      <c r="I35" s="15"/>
      <c r="J35" s="15"/>
      <c r="K35" s="13"/>
      <c r="L35" s="13"/>
      <c r="M35" s="13"/>
      <c r="N35" s="13"/>
      <c r="O35" s="13"/>
      <c r="P35" s="13"/>
      <c r="Q35" s="13"/>
      <c r="R35" s="13"/>
      <c r="S35" s="13"/>
      <c r="T35" s="13"/>
    </row>
    <row r="36" spans="2:20" x14ac:dyDescent="0.35">
      <c r="B36" s="15"/>
      <c r="C36" s="15"/>
      <c r="D36" s="15"/>
      <c r="E36" s="15"/>
      <c r="F36" s="15"/>
      <c r="G36" s="15"/>
      <c r="H36" s="15"/>
      <c r="I36" s="15"/>
      <c r="J36" s="15"/>
      <c r="K36" s="13"/>
      <c r="L36" s="13"/>
      <c r="M36" s="13"/>
      <c r="N36" s="13"/>
      <c r="O36" s="13"/>
      <c r="P36" s="13"/>
      <c r="Q36" s="13"/>
      <c r="R36" s="13"/>
      <c r="S36" s="13"/>
      <c r="T36" s="13"/>
    </row>
    <row r="37" spans="2:20" x14ac:dyDescent="0.35">
      <c r="B37" s="15"/>
      <c r="C37" s="15"/>
      <c r="D37" s="15"/>
      <c r="E37" s="15"/>
      <c r="F37" s="15"/>
      <c r="G37" s="15"/>
      <c r="H37" s="15"/>
      <c r="I37" s="15"/>
      <c r="J37" s="15"/>
      <c r="K37" s="13"/>
      <c r="L37" s="13"/>
      <c r="M37" s="13"/>
      <c r="N37" s="13"/>
      <c r="O37" s="13"/>
      <c r="P37" s="13"/>
      <c r="Q37" s="13"/>
      <c r="R37" s="13"/>
      <c r="S37" s="13"/>
      <c r="T37" s="13"/>
    </row>
    <row r="38" spans="2:20" x14ac:dyDescent="0.35">
      <c r="B38" s="15"/>
      <c r="C38" s="15"/>
      <c r="D38" s="15"/>
      <c r="E38" s="15"/>
      <c r="F38" s="15"/>
      <c r="G38" s="15"/>
      <c r="H38" s="15"/>
      <c r="I38" s="15"/>
      <c r="J38" s="15"/>
      <c r="K38" s="13"/>
      <c r="L38" s="13"/>
      <c r="M38" s="13"/>
      <c r="N38" s="13"/>
      <c r="O38" s="13"/>
      <c r="P38" s="13"/>
      <c r="Q38" s="13"/>
      <c r="R38" s="13"/>
      <c r="S38" s="13"/>
      <c r="T38" s="13"/>
    </row>
    <row r="39" spans="2:20" x14ac:dyDescent="0.35">
      <c r="B39" s="15"/>
      <c r="C39" s="15"/>
      <c r="D39" s="15"/>
      <c r="E39" s="15"/>
      <c r="F39" s="15"/>
      <c r="G39" s="15"/>
      <c r="H39" s="15"/>
      <c r="I39" s="15"/>
      <c r="J39" s="15"/>
      <c r="K39" s="13"/>
      <c r="L39" s="13"/>
      <c r="M39" s="13"/>
      <c r="N39" s="13"/>
      <c r="O39" s="13"/>
      <c r="P39" s="13"/>
      <c r="Q39" s="13"/>
      <c r="R39" s="13"/>
      <c r="S39" s="13"/>
      <c r="T39" s="13"/>
    </row>
    <row r="40" spans="2:20" x14ac:dyDescent="0.35">
      <c r="B40" s="15"/>
      <c r="C40" s="15"/>
      <c r="D40" s="15"/>
      <c r="E40" s="15"/>
      <c r="F40" s="15"/>
      <c r="G40" s="15"/>
      <c r="H40" s="15"/>
      <c r="I40" s="15"/>
      <c r="J40" s="15"/>
      <c r="K40" s="13"/>
      <c r="L40" s="13"/>
      <c r="M40" s="13"/>
      <c r="N40" s="13"/>
      <c r="O40" s="13"/>
      <c r="P40" s="13"/>
      <c r="Q40" s="13"/>
      <c r="R40" s="13"/>
      <c r="S40" s="13"/>
      <c r="T40" s="13"/>
    </row>
    <row r="41" spans="2:20" x14ac:dyDescent="0.35">
      <c r="B41" s="15"/>
      <c r="C41" s="15"/>
      <c r="D41" s="15"/>
      <c r="E41" s="15"/>
      <c r="F41" s="15"/>
      <c r="G41" s="15"/>
      <c r="H41" s="15"/>
      <c r="I41" s="15"/>
      <c r="J41" s="15"/>
      <c r="K41" s="13"/>
      <c r="L41" s="13"/>
      <c r="M41" s="13"/>
      <c r="N41" s="13"/>
      <c r="O41" s="13"/>
      <c r="P41" s="13"/>
      <c r="Q41" s="13"/>
      <c r="R41" s="13"/>
      <c r="S41" s="13"/>
      <c r="T41" s="13"/>
    </row>
    <row r="42" spans="2:20" x14ac:dyDescent="0.35">
      <c r="B42" s="15"/>
      <c r="C42" s="15"/>
      <c r="D42" s="15"/>
      <c r="E42" s="15"/>
      <c r="F42" s="15"/>
      <c r="G42" s="15"/>
      <c r="H42" s="15"/>
      <c r="I42" s="15"/>
      <c r="J42" s="15"/>
      <c r="K42" s="13"/>
      <c r="L42" s="13"/>
      <c r="M42" s="13"/>
      <c r="N42" s="13"/>
      <c r="O42" s="13"/>
      <c r="P42" s="13"/>
      <c r="Q42" s="13"/>
      <c r="R42" s="13"/>
      <c r="S42" s="13"/>
      <c r="T42" s="13"/>
    </row>
    <row r="43" spans="2:20" x14ac:dyDescent="0.35">
      <c r="B43" s="15"/>
      <c r="C43" s="15"/>
      <c r="D43" s="15"/>
      <c r="E43" s="15"/>
      <c r="F43" s="15"/>
      <c r="G43" s="15"/>
      <c r="H43" s="15"/>
      <c r="I43" s="15"/>
      <c r="J43" s="15"/>
      <c r="K43" s="13"/>
      <c r="L43" s="13"/>
      <c r="M43" s="13"/>
      <c r="N43" s="13"/>
      <c r="O43" s="13"/>
      <c r="P43" s="13"/>
      <c r="Q43" s="13"/>
      <c r="R43" s="13"/>
      <c r="S43" s="13"/>
      <c r="T43" s="13"/>
    </row>
    <row r="44" spans="2:20" x14ac:dyDescent="0.35">
      <c r="B44" s="15"/>
      <c r="C44" s="15"/>
      <c r="D44" s="15"/>
      <c r="E44" s="15"/>
      <c r="F44" s="15"/>
      <c r="G44" s="15"/>
      <c r="H44" s="15"/>
      <c r="I44" s="15"/>
      <c r="J44" s="15"/>
      <c r="K44" s="13"/>
      <c r="L44" s="13"/>
      <c r="M44" s="13"/>
      <c r="N44" s="13"/>
      <c r="O44" s="13"/>
      <c r="P44" s="13"/>
      <c r="Q44" s="13"/>
      <c r="R44" s="13"/>
      <c r="S44" s="13"/>
      <c r="T44" s="13"/>
    </row>
    <row r="45" spans="2:20" x14ac:dyDescent="0.35">
      <c r="B45" s="15"/>
      <c r="C45" s="15"/>
      <c r="D45" s="15"/>
      <c r="E45" s="15"/>
      <c r="F45" s="15"/>
      <c r="G45" s="15"/>
      <c r="H45" s="15"/>
      <c r="I45" s="15"/>
      <c r="J45" s="15"/>
      <c r="K45" s="13"/>
      <c r="L45" s="13"/>
      <c r="M45" s="13"/>
      <c r="N45" s="13"/>
      <c r="O45" s="13"/>
      <c r="P45" s="13"/>
      <c r="Q45" s="13"/>
      <c r="R45" s="13"/>
      <c r="S45" s="13"/>
      <c r="T45" s="13"/>
    </row>
    <row r="46" spans="2:20" x14ac:dyDescent="0.35">
      <c r="B46" s="15"/>
      <c r="C46" s="15"/>
      <c r="D46" s="15"/>
      <c r="E46" s="15"/>
      <c r="F46" s="15"/>
      <c r="G46" s="15"/>
      <c r="H46" s="15"/>
      <c r="I46" s="15"/>
      <c r="J46" s="15"/>
      <c r="K46" s="13"/>
      <c r="L46" s="13"/>
      <c r="M46" s="13"/>
      <c r="N46" s="13"/>
      <c r="O46" s="13"/>
      <c r="P46" s="13"/>
      <c r="Q46" s="13"/>
      <c r="R46" s="13"/>
      <c r="S46" s="13"/>
      <c r="T46" s="13"/>
    </row>
    <row r="47" spans="2:20" x14ac:dyDescent="0.35">
      <c r="B47" s="15"/>
      <c r="C47" s="15"/>
      <c r="D47" s="15"/>
      <c r="E47" s="15"/>
      <c r="F47" s="15"/>
      <c r="G47" s="15"/>
      <c r="H47" s="15"/>
      <c r="I47" s="15"/>
      <c r="J47" s="15"/>
      <c r="K47" s="13"/>
      <c r="L47" s="13"/>
      <c r="M47" s="13"/>
      <c r="N47" s="13"/>
      <c r="O47" s="13"/>
      <c r="P47" s="13"/>
      <c r="Q47" s="13"/>
      <c r="R47" s="13"/>
      <c r="S47" s="13"/>
      <c r="T47" s="13"/>
    </row>
    <row r="48" spans="2:20" x14ac:dyDescent="0.35">
      <c r="B48" s="15"/>
      <c r="C48" s="15"/>
      <c r="D48" s="15"/>
      <c r="E48" s="15"/>
      <c r="F48" s="15"/>
      <c r="G48" s="15"/>
      <c r="H48" s="15"/>
      <c r="I48" s="15"/>
      <c r="J48" s="15"/>
      <c r="K48" s="13"/>
      <c r="L48" s="13"/>
      <c r="M48" s="13"/>
      <c r="N48" s="13"/>
      <c r="O48" s="13"/>
      <c r="P48" s="13"/>
      <c r="Q48" s="13"/>
      <c r="R48" s="13"/>
      <c r="S48" s="13"/>
      <c r="T48" s="13"/>
    </row>
    <row r="49" spans="2:20" x14ac:dyDescent="0.35">
      <c r="B49" s="15"/>
      <c r="C49" s="15"/>
      <c r="D49" s="15"/>
      <c r="E49" s="15"/>
      <c r="F49" s="15"/>
      <c r="G49" s="15"/>
      <c r="H49" s="15"/>
      <c r="I49" s="15"/>
      <c r="J49" s="15"/>
      <c r="K49" s="13"/>
      <c r="L49" s="13"/>
      <c r="M49" s="13"/>
      <c r="N49" s="13"/>
      <c r="O49" s="13"/>
      <c r="P49" s="13"/>
      <c r="Q49" s="13"/>
      <c r="R49" s="13"/>
      <c r="S49" s="13"/>
      <c r="T49" s="13"/>
    </row>
    <row r="50" spans="2:20" x14ac:dyDescent="0.35">
      <c r="B50" s="15"/>
      <c r="C50" s="15"/>
      <c r="D50" s="15"/>
      <c r="E50" s="15"/>
      <c r="F50" s="15"/>
      <c r="G50" s="15"/>
      <c r="H50" s="15"/>
      <c r="I50" s="15"/>
      <c r="J50" s="15"/>
      <c r="K50" s="13"/>
      <c r="L50" s="13"/>
      <c r="M50" s="13"/>
      <c r="N50" s="13"/>
      <c r="O50" s="13"/>
      <c r="P50" s="13"/>
      <c r="Q50" s="13"/>
      <c r="R50" s="13"/>
      <c r="S50" s="13"/>
      <c r="T50" s="13"/>
    </row>
    <row r="51" spans="2:20" x14ac:dyDescent="0.35">
      <c r="B51" s="15"/>
      <c r="C51" s="15"/>
      <c r="D51" s="15"/>
      <c r="E51" s="15"/>
      <c r="F51" s="15"/>
      <c r="G51" s="15"/>
      <c r="H51" s="15"/>
      <c r="I51" s="15"/>
      <c r="J51" s="15"/>
      <c r="K51" s="13"/>
      <c r="L51" s="13"/>
      <c r="M51" s="13"/>
      <c r="N51" s="13"/>
      <c r="O51" s="13"/>
      <c r="P51" s="13"/>
      <c r="Q51" s="13"/>
      <c r="R51" s="13"/>
      <c r="S51" s="13"/>
      <c r="T51" s="13"/>
    </row>
    <row r="52" spans="2:20" x14ac:dyDescent="0.35">
      <c r="B52" s="15"/>
      <c r="C52" s="15"/>
      <c r="D52" s="15"/>
      <c r="E52" s="15"/>
      <c r="F52" s="15"/>
      <c r="G52" s="15"/>
      <c r="H52" s="15"/>
      <c r="I52" s="15"/>
      <c r="J52" s="15"/>
      <c r="K52" s="13"/>
      <c r="L52" s="13"/>
      <c r="M52" s="13"/>
      <c r="N52" s="13"/>
      <c r="O52" s="13"/>
      <c r="P52" s="13"/>
      <c r="Q52" s="13"/>
      <c r="R52" s="13"/>
      <c r="S52" s="13"/>
      <c r="T52" s="13"/>
    </row>
    <row r="53" spans="2:20" x14ac:dyDescent="0.35">
      <c r="B53" s="15"/>
      <c r="C53" s="15"/>
      <c r="D53" s="15"/>
      <c r="E53" s="15"/>
      <c r="F53" s="15"/>
      <c r="G53" s="15"/>
      <c r="H53" s="15"/>
      <c r="I53" s="15"/>
      <c r="J53" s="15"/>
      <c r="K53" s="13"/>
      <c r="L53" s="13"/>
      <c r="M53" s="13"/>
      <c r="N53" s="13"/>
      <c r="O53" s="13"/>
      <c r="P53" s="13"/>
      <c r="Q53" s="13"/>
      <c r="R53" s="13"/>
      <c r="S53" s="13"/>
      <c r="T53" s="13"/>
    </row>
    <row r="54" spans="2:20" x14ac:dyDescent="0.35">
      <c r="B54" s="15"/>
      <c r="C54" s="15"/>
      <c r="D54" s="15"/>
      <c r="E54" s="15"/>
      <c r="F54" s="15"/>
      <c r="G54" s="15"/>
      <c r="H54" s="15"/>
      <c r="I54" s="15"/>
      <c r="J54" s="15"/>
      <c r="K54" s="13"/>
      <c r="L54" s="13"/>
      <c r="M54" s="13"/>
      <c r="N54" s="13"/>
      <c r="O54" s="13"/>
      <c r="P54" s="13"/>
      <c r="Q54" s="13"/>
      <c r="R54" s="13"/>
      <c r="S54" s="13"/>
      <c r="T54" s="13"/>
    </row>
    <row r="55" spans="2:20" x14ac:dyDescent="0.35">
      <c r="B55" s="15"/>
      <c r="C55" s="15"/>
      <c r="D55" s="15"/>
      <c r="E55" s="15"/>
      <c r="F55" s="15"/>
      <c r="G55" s="15"/>
      <c r="H55" s="15"/>
      <c r="I55" s="15"/>
      <c r="J55" s="15"/>
      <c r="K55" s="13"/>
      <c r="L55" s="13"/>
      <c r="M55" s="13"/>
      <c r="N55" s="13"/>
      <c r="O55" s="13"/>
      <c r="P55" s="13"/>
      <c r="Q55" s="13"/>
      <c r="R55" s="13"/>
      <c r="S55" s="13"/>
      <c r="T55" s="13"/>
    </row>
    <row r="56" spans="2:20" x14ac:dyDescent="0.35">
      <c r="B56" s="15"/>
      <c r="C56" s="15"/>
      <c r="D56" s="15"/>
      <c r="E56" s="15"/>
      <c r="F56" s="15"/>
      <c r="G56" s="15"/>
      <c r="H56" s="15"/>
      <c r="I56" s="15"/>
      <c r="J56" s="15"/>
      <c r="K56" s="13"/>
      <c r="L56" s="13"/>
      <c r="M56" s="13"/>
      <c r="N56" s="13"/>
      <c r="O56" s="13"/>
      <c r="P56" s="13"/>
      <c r="Q56" s="13"/>
      <c r="R56" s="13"/>
      <c r="S56" s="13"/>
      <c r="T56" s="13"/>
    </row>
    <row r="57" spans="2:20" x14ac:dyDescent="0.35">
      <c r="B57" s="15"/>
      <c r="C57" s="15"/>
      <c r="D57" s="15"/>
      <c r="E57" s="15"/>
      <c r="F57" s="15"/>
      <c r="G57" s="15"/>
      <c r="H57" s="15"/>
      <c r="I57" s="15"/>
      <c r="J57" s="15"/>
      <c r="K57" s="13"/>
      <c r="L57" s="13"/>
      <c r="M57" s="13"/>
      <c r="N57" s="13"/>
      <c r="O57" s="13"/>
      <c r="P57" s="13"/>
      <c r="Q57" s="13"/>
      <c r="R57" s="13"/>
      <c r="S57" s="13"/>
      <c r="T57" s="13"/>
    </row>
    <row r="58" spans="2:20" x14ac:dyDescent="0.35">
      <c r="B58" s="15"/>
      <c r="C58" s="15"/>
      <c r="D58" s="15"/>
      <c r="E58" s="15"/>
      <c r="F58" s="15"/>
      <c r="G58" s="15"/>
      <c r="H58" s="15"/>
      <c r="I58" s="15"/>
      <c r="J58" s="15"/>
      <c r="K58" s="13"/>
      <c r="L58" s="13"/>
      <c r="M58" s="13"/>
      <c r="N58" s="13"/>
      <c r="O58" s="13"/>
      <c r="P58" s="13"/>
      <c r="Q58" s="13"/>
      <c r="R58" s="13"/>
      <c r="S58" s="13"/>
      <c r="T58" s="13"/>
    </row>
    <row r="59" spans="2:20" x14ac:dyDescent="0.35">
      <c r="B59" s="15"/>
      <c r="C59" s="15"/>
      <c r="D59" s="15"/>
      <c r="E59" s="15"/>
      <c r="F59" s="15"/>
      <c r="G59" s="15"/>
      <c r="H59" s="15"/>
      <c r="I59" s="15"/>
      <c r="J59" s="15"/>
      <c r="K59" s="13"/>
      <c r="L59" s="13"/>
      <c r="M59" s="13"/>
      <c r="N59" s="13"/>
      <c r="O59" s="13"/>
      <c r="P59" s="13"/>
      <c r="Q59" s="13"/>
      <c r="R59" s="13"/>
      <c r="S59" s="13"/>
      <c r="T59" s="13"/>
    </row>
    <row r="60" spans="2:20" x14ac:dyDescent="0.35">
      <c r="B60" s="15"/>
      <c r="C60" s="15"/>
      <c r="D60" s="15"/>
      <c r="E60" s="15"/>
      <c r="F60" s="15"/>
      <c r="G60" s="15"/>
      <c r="H60" s="15"/>
      <c r="I60" s="15"/>
      <c r="J60" s="15"/>
      <c r="K60" s="13"/>
      <c r="L60" s="13"/>
      <c r="M60" s="13"/>
      <c r="N60" s="13"/>
      <c r="O60" s="13"/>
      <c r="P60" s="13"/>
      <c r="Q60" s="13"/>
      <c r="R60" s="13"/>
      <c r="S60" s="13"/>
      <c r="T60" s="13"/>
    </row>
    <row r="61" spans="2:20" x14ac:dyDescent="0.35">
      <c r="B61" s="15"/>
      <c r="C61" s="15"/>
      <c r="D61" s="15"/>
      <c r="E61" s="15"/>
      <c r="F61" s="15"/>
      <c r="G61" s="15"/>
      <c r="H61" s="15"/>
      <c r="I61" s="15"/>
      <c r="J61" s="15"/>
      <c r="K61" s="13"/>
      <c r="L61" s="13"/>
      <c r="M61" s="13"/>
      <c r="N61" s="13"/>
      <c r="O61" s="13"/>
      <c r="P61" s="13"/>
      <c r="Q61" s="13"/>
      <c r="R61" s="13"/>
      <c r="S61" s="13"/>
      <c r="T61" s="13"/>
    </row>
    <row r="62" spans="2:20" x14ac:dyDescent="0.35">
      <c r="B62" s="15"/>
      <c r="C62" s="15"/>
      <c r="D62" s="15"/>
      <c r="E62" s="15"/>
      <c r="F62" s="15"/>
      <c r="G62" s="15"/>
      <c r="H62" s="15"/>
      <c r="I62" s="15"/>
      <c r="J62" s="15"/>
      <c r="K62" s="13"/>
      <c r="L62" s="13"/>
      <c r="M62" s="13"/>
      <c r="N62" s="13"/>
      <c r="O62" s="13"/>
      <c r="P62" s="13"/>
      <c r="Q62" s="13"/>
      <c r="R62" s="13"/>
      <c r="S62" s="13"/>
      <c r="T62" s="13"/>
    </row>
    <row r="63" spans="2:20" x14ac:dyDescent="0.35">
      <c r="B63" s="15"/>
      <c r="C63" s="15"/>
      <c r="D63" s="15"/>
      <c r="E63" s="15"/>
      <c r="F63" s="15"/>
      <c r="G63" s="15"/>
      <c r="H63" s="15"/>
      <c r="I63" s="15"/>
      <c r="J63" s="15"/>
      <c r="K63" s="13"/>
      <c r="L63" s="13"/>
      <c r="M63" s="13"/>
      <c r="N63" s="13"/>
      <c r="O63" s="13"/>
      <c r="P63" s="13"/>
      <c r="Q63" s="13"/>
      <c r="R63" s="13"/>
      <c r="S63" s="13"/>
      <c r="T63" s="13"/>
    </row>
    <row r="64" spans="2:20" x14ac:dyDescent="0.35">
      <c r="B64" s="15"/>
      <c r="C64" s="15"/>
      <c r="D64" s="15"/>
      <c r="E64" s="15"/>
      <c r="F64" s="15"/>
      <c r="G64" s="15"/>
      <c r="H64" s="15"/>
      <c r="I64" s="15"/>
      <c r="J64" s="15"/>
      <c r="K64" s="13"/>
      <c r="L64" s="13"/>
      <c r="M64" s="13"/>
      <c r="N64" s="13"/>
      <c r="O64" s="13"/>
      <c r="P64" s="13"/>
      <c r="Q64" s="13"/>
      <c r="R64" s="13"/>
      <c r="S64" s="13"/>
      <c r="T64" s="13"/>
    </row>
    <row r="65" spans="2:20" x14ac:dyDescent="0.35">
      <c r="B65" s="15"/>
      <c r="C65" s="15"/>
      <c r="D65" s="15"/>
      <c r="E65" s="15"/>
      <c r="F65" s="15"/>
      <c r="G65" s="15"/>
      <c r="H65" s="15"/>
      <c r="I65" s="15"/>
      <c r="J65" s="15"/>
      <c r="K65" s="13"/>
      <c r="L65" s="13"/>
      <c r="M65" s="13"/>
      <c r="N65" s="13"/>
      <c r="O65" s="13"/>
      <c r="P65" s="13"/>
      <c r="Q65" s="13"/>
      <c r="R65" s="13"/>
      <c r="S65" s="13"/>
      <c r="T65" s="13"/>
    </row>
    <row r="66" spans="2:20" x14ac:dyDescent="0.35">
      <c r="B66" s="15"/>
      <c r="C66" s="15"/>
      <c r="D66" s="15"/>
      <c r="E66" s="15"/>
      <c r="F66" s="15"/>
      <c r="G66" s="15"/>
      <c r="H66" s="15"/>
      <c r="I66" s="15"/>
      <c r="J66" s="15"/>
      <c r="K66" s="13"/>
      <c r="L66" s="13"/>
      <c r="M66" s="13"/>
      <c r="N66" s="13"/>
      <c r="O66" s="13"/>
      <c r="P66" s="13"/>
      <c r="Q66" s="13"/>
      <c r="R66" s="13"/>
      <c r="S66" s="13"/>
      <c r="T66" s="13"/>
    </row>
    <row r="67" spans="2:20" x14ac:dyDescent="0.35">
      <c r="B67" s="15"/>
      <c r="C67" s="15"/>
      <c r="D67" s="15"/>
      <c r="E67" s="15"/>
      <c r="F67" s="15"/>
      <c r="G67" s="15"/>
      <c r="H67" s="15"/>
      <c r="I67" s="15"/>
      <c r="J67" s="15"/>
      <c r="K67" s="13"/>
      <c r="L67" s="13"/>
      <c r="M67" s="13"/>
      <c r="N67" s="13"/>
      <c r="O67" s="13"/>
      <c r="P67" s="13"/>
      <c r="Q67" s="13"/>
      <c r="R67" s="13"/>
      <c r="S67" s="13"/>
      <c r="T67" s="13"/>
    </row>
    <row r="68" spans="2:20" x14ac:dyDescent="0.35">
      <c r="B68" s="15"/>
      <c r="C68" s="15"/>
      <c r="D68" s="15"/>
      <c r="E68" s="15"/>
      <c r="F68" s="15"/>
      <c r="G68" s="15"/>
      <c r="H68" s="15"/>
      <c r="I68" s="15"/>
      <c r="J68" s="15"/>
      <c r="K68" s="13"/>
      <c r="L68" s="13"/>
      <c r="M68" s="13"/>
      <c r="N68" s="13"/>
      <c r="O68" s="13"/>
      <c r="P68" s="13"/>
      <c r="Q68" s="13"/>
      <c r="R68" s="13"/>
      <c r="S68" s="13"/>
      <c r="T68" s="13"/>
    </row>
    <row r="69" spans="2:20" x14ac:dyDescent="0.35">
      <c r="B69" s="15"/>
      <c r="C69" s="15"/>
      <c r="D69" s="15"/>
      <c r="E69" s="15"/>
      <c r="F69" s="15"/>
      <c r="G69" s="15"/>
      <c r="H69" s="15"/>
      <c r="I69" s="15"/>
      <c r="J69" s="15"/>
      <c r="K69" s="13"/>
      <c r="L69" s="13"/>
      <c r="M69" s="13"/>
      <c r="N69" s="13"/>
      <c r="O69" s="13"/>
      <c r="P69" s="13"/>
      <c r="Q69" s="13"/>
      <c r="R69" s="13"/>
      <c r="S69" s="13"/>
      <c r="T69" s="13"/>
    </row>
    <row r="70" spans="2:20" x14ac:dyDescent="0.35">
      <c r="B70" s="13"/>
      <c r="C70" s="13"/>
      <c r="D70" s="13"/>
      <c r="E70" s="13"/>
      <c r="F70" s="13"/>
      <c r="G70" s="13"/>
      <c r="H70" s="13"/>
      <c r="I70" s="13"/>
      <c r="J70" s="13"/>
      <c r="K70" s="13"/>
      <c r="L70" s="13"/>
      <c r="M70" s="13"/>
      <c r="N70" s="13"/>
      <c r="O70" s="13"/>
      <c r="P70" s="13"/>
      <c r="Q70" s="13"/>
      <c r="R70" s="13"/>
      <c r="S70" s="13"/>
      <c r="T70" s="13"/>
    </row>
    <row r="71" spans="2:20" x14ac:dyDescent="0.35">
      <c r="B71" s="13"/>
      <c r="C71" s="13"/>
      <c r="D71" s="13"/>
      <c r="E71" s="13"/>
      <c r="F71" s="13"/>
      <c r="G71" s="13"/>
      <c r="H71" s="13"/>
      <c r="I71" s="13"/>
      <c r="J71" s="13"/>
      <c r="K71" s="13"/>
      <c r="L71" s="13"/>
      <c r="M71" s="13"/>
      <c r="N71" s="13"/>
      <c r="O71" s="13"/>
      <c r="P71" s="13"/>
      <c r="Q71" s="13"/>
      <c r="R71" s="13"/>
      <c r="S71" s="13"/>
      <c r="T71" s="13"/>
    </row>
    <row r="72" spans="2:20" x14ac:dyDescent="0.35">
      <c r="B72" s="13"/>
      <c r="C72" s="13"/>
      <c r="D72" s="13"/>
      <c r="E72" s="13"/>
      <c r="F72" s="13"/>
      <c r="G72" s="13"/>
      <c r="H72" s="13"/>
      <c r="I72" s="13"/>
      <c r="J72" s="13"/>
      <c r="K72" s="13"/>
      <c r="L72" s="13"/>
      <c r="M72" s="13"/>
      <c r="N72" s="13"/>
      <c r="O72" s="13"/>
      <c r="P72" s="13"/>
      <c r="Q72" s="13"/>
      <c r="R72" s="13"/>
      <c r="S72" s="13"/>
      <c r="T72" s="13"/>
    </row>
    <row r="73" spans="2:20" x14ac:dyDescent="0.35">
      <c r="B73" s="13"/>
      <c r="C73" s="13"/>
      <c r="D73" s="13"/>
      <c r="E73" s="13"/>
      <c r="F73" s="13"/>
      <c r="G73" s="13"/>
      <c r="H73" s="13"/>
      <c r="I73" s="13"/>
      <c r="J73" s="13"/>
      <c r="K73" s="13"/>
      <c r="L73" s="13"/>
      <c r="M73" s="13"/>
      <c r="N73" s="13"/>
      <c r="O73" s="13"/>
      <c r="P73" s="13"/>
      <c r="Q73" s="13"/>
      <c r="R73" s="13"/>
      <c r="S73" s="13"/>
      <c r="T73" s="13"/>
    </row>
    <row r="74" spans="2:20" x14ac:dyDescent="0.35">
      <c r="B74" s="13"/>
      <c r="C74" s="13"/>
      <c r="D74" s="13"/>
      <c r="E74" s="13"/>
      <c r="F74" s="13"/>
      <c r="G74" s="13"/>
      <c r="H74" s="13"/>
      <c r="I74" s="13"/>
      <c r="J74" s="13"/>
      <c r="K74" s="13"/>
      <c r="L74" s="13"/>
      <c r="M74" s="13"/>
      <c r="N74" s="13"/>
      <c r="O74" s="13"/>
      <c r="P74" s="13"/>
      <c r="Q74" s="13"/>
      <c r="R74" s="13"/>
      <c r="S74" s="13"/>
      <c r="T74" s="13"/>
    </row>
    <row r="75" spans="2:20" x14ac:dyDescent="0.35">
      <c r="B75" s="13"/>
      <c r="C75" s="13"/>
      <c r="D75" s="13"/>
      <c r="E75" s="13"/>
      <c r="F75" s="13"/>
      <c r="G75" s="13"/>
      <c r="H75" s="13"/>
      <c r="I75" s="13"/>
      <c r="J75" s="13"/>
      <c r="K75" s="13"/>
      <c r="L75" s="13"/>
      <c r="M75" s="13"/>
      <c r="N75" s="13"/>
      <c r="O75" s="13"/>
      <c r="P75" s="13"/>
      <c r="Q75" s="13"/>
      <c r="R75" s="13"/>
      <c r="S75" s="13"/>
      <c r="T75" s="13"/>
    </row>
    <row r="76" spans="2:20" x14ac:dyDescent="0.35">
      <c r="B76" s="13"/>
      <c r="C76" s="13"/>
      <c r="D76" s="13"/>
      <c r="E76" s="13"/>
      <c r="F76" s="13"/>
      <c r="G76" s="13"/>
      <c r="H76" s="13"/>
      <c r="I76" s="13"/>
      <c r="J76" s="13"/>
      <c r="K76" s="13"/>
      <c r="L76" s="13"/>
      <c r="M76" s="13"/>
      <c r="N76" s="13"/>
      <c r="O76" s="13"/>
      <c r="P76" s="13"/>
      <c r="Q76" s="13"/>
      <c r="R76" s="13"/>
      <c r="S76" s="13"/>
      <c r="T76" s="13"/>
    </row>
    <row r="77" spans="2:20" x14ac:dyDescent="0.35">
      <c r="B77" s="13"/>
      <c r="C77" s="13"/>
      <c r="D77" s="13"/>
      <c r="E77" s="13"/>
      <c r="F77" s="13"/>
      <c r="G77" s="13"/>
      <c r="H77" s="13"/>
      <c r="I77" s="13"/>
      <c r="J77" s="13"/>
      <c r="K77" s="13"/>
      <c r="L77" s="13"/>
      <c r="M77" s="13"/>
      <c r="N77" s="13"/>
      <c r="O77" s="13"/>
      <c r="P77" s="13"/>
      <c r="Q77" s="13"/>
      <c r="R77" s="13"/>
      <c r="S77" s="13"/>
      <c r="T77" s="13"/>
    </row>
    <row r="78" spans="2:20" x14ac:dyDescent="0.35">
      <c r="B78" s="13"/>
      <c r="C78" s="13"/>
      <c r="D78" s="13"/>
      <c r="E78" s="13"/>
      <c r="F78" s="13"/>
      <c r="G78" s="13"/>
      <c r="H78" s="13"/>
      <c r="I78" s="13"/>
      <c r="J78" s="13"/>
      <c r="K78" s="13"/>
      <c r="L78" s="13"/>
      <c r="M78" s="13"/>
      <c r="N78" s="13"/>
      <c r="O78" s="13"/>
      <c r="P78" s="13"/>
      <c r="Q78" s="13"/>
      <c r="R78" s="13"/>
      <c r="S78" s="13"/>
      <c r="T78" s="13"/>
    </row>
    <row r="79" spans="2:20" x14ac:dyDescent="0.35">
      <c r="B79" s="13"/>
      <c r="C79" s="13"/>
      <c r="D79" s="13"/>
      <c r="E79" s="13"/>
      <c r="F79" s="13"/>
      <c r="G79" s="13"/>
      <c r="H79" s="13"/>
      <c r="I79" s="13"/>
      <c r="J79" s="13"/>
      <c r="K79" s="13"/>
      <c r="L79" s="13"/>
      <c r="M79" s="13"/>
      <c r="N79" s="13"/>
      <c r="O79" s="13"/>
      <c r="P79" s="13"/>
      <c r="Q79" s="13"/>
      <c r="R79" s="13"/>
      <c r="S79" s="13"/>
      <c r="T79" s="13"/>
    </row>
    <row r="80" spans="2:20" x14ac:dyDescent="0.35">
      <c r="B80" s="13"/>
      <c r="C80" s="13"/>
      <c r="D80" s="13"/>
      <c r="E80" s="13"/>
      <c r="F80" s="13"/>
      <c r="G80" s="13"/>
      <c r="H80" s="13"/>
      <c r="I80" s="13"/>
      <c r="J80" s="13"/>
      <c r="K80" s="13"/>
      <c r="L80" s="13"/>
      <c r="M80" s="13"/>
      <c r="N80" s="13"/>
      <c r="O80" s="13"/>
      <c r="P80" s="13"/>
      <c r="Q80" s="13"/>
      <c r="R80" s="13"/>
      <c r="S80" s="13"/>
      <c r="T80" s="13"/>
    </row>
    <row r="81" spans="2:20" x14ac:dyDescent="0.35">
      <c r="B81" s="13"/>
      <c r="C81" s="13"/>
      <c r="D81" s="13"/>
      <c r="E81" s="13"/>
      <c r="F81" s="13"/>
      <c r="G81" s="13"/>
      <c r="H81" s="13"/>
      <c r="I81" s="13"/>
      <c r="J81" s="13"/>
      <c r="K81" s="13"/>
      <c r="L81" s="13"/>
      <c r="M81" s="13"/>
      <c r="N81" s="13"/>
      <c r="O81" s="13"/>
      <c r="P81" s="13"/>
      <c r="Q81" s="13"/>
      <c r="R81" s="13"/>
      <c r="S81" s="13"/>
      <c r="T81" s="13"/>
    </row>
    <row r="82" spans="2:20" x14ac:dyDescent="0.35">
      <c r="B82" s="13"/>
      <c r="C82" s="13"/>
      <c r="D82" s="13"/>
      <c r="E82" s="13"/>
      <c r="F82" s="13"/>
      <c r="G82" s="13"/>
      <c r="H82" s="13"/>
      <c r="I82" s="13"/>
      <c r="J82" s="13"/>
      <c r="K82" s="13"/>
      <c r="L82" s="13"/>
      <c r="M82" s="13"/>
      <c r="N82" s="13"/>
      <c r="O82" s="13"/>
      <c r="P82" s="13"/>
      <c r="Q82" s="13"/>
      <c r="R82" s="13"/>
      <c r="S82" s="13"/>
      <c r="T82" s="13"/>
    </row>
    <row r="83" spans="2:20" x14ac:dyDescent="0.35">
      <c r="B83" s="13"/>
      <c r="C83" s="13"/>
      <c r="D83" s="13"/>
      <c r="E83" s="13"/>
      <c r="F83" s="13"/>
      <c r="G83" s="13"/>
      <c r="H83" s="13"/>
      <c r="I83" s="13"/>
      <c r="J83" s="13"/>
      <c r="K83" s="13"/>
      <c r="L83" s="13"/>
      <c r="M83" s="13"/>
      <c r="N83" s="13"/>
      <c r="O83" s="13"/>
      <c r="P83" s="13"/>
      <c r="Q83" s="13"/>
      <c r="R83" s="13"/>
      <c r="S83" s="13"/>
      <c r="T83" s="13"/>
    </row>
    <row r="84" spans="2:20" x14ac:dyDescent="0.35">
      <c r="B84" s="13"/>
      <c r="C84" s="13"/>
      <c r="D84" s="13"/>
      <c r="E84" s="13"/>
      <c r="F84" s="13"/>
      <c r="G84" s="13"/>
      <c r="H84" s="13"/>
      <c r="I84" s="13"/>
      <c r="J84" s="13"/>
      <c r="K84" s="13"/>
      <c r="L84" s="13"/>
      <c r="M84" s="13"/>
      <c r="N84" s="13"/>
      <c r="O84" s="13"/>
      <c r="P84" s="13"/>
      <c r="Q84" s="13"/>
      <c r="R84" s="13"/>
      <c r="S84" s="13"/>
      <c r="T84" s="13"/>
    </row>
    <row r="85" spans="2:20" x14ac:dyDescent="0.35">
      <c r="B85" s="13"/>
      <c r="C85" s="13"/>
      <c r="D85" s="13"/>
      <c r="E85" s="13"/>
      <c r="F85" s="13"/>
      <c r="G85" s="13"/>
      <c r="H85" s="13"/>
      <c r="I85" s="13"/>
      <c r="J85" s="13"/>
      <c r="K85" s="13"/>
      <c r="L85" s="13"/>
      <c r="M85" s="13"/>
      <c r="N85" s="13"/>
      <c r="O85" s="13"/>
      <c r="P85" s="13"/>
      <c r="Q85" s="13"/>
      <c r="R85" s="13"/>
      <c r="S85" s="13"/>
      <c r="T85" s="13"/>
    </row>
    <row r="86" spans="2:20" x14ac:dyDescent="0.35">
      <c r="B86" s="13"/>
      <c r="C86" s="13"/>
      <c r="D86" s="13"/>
      <c r="E86" s="13"/>
      <c r="F86" s="13"/>
      <c r="G86" s="13"/>
      <c r="H86" s="13"/>
      <c r="I86" s="13"/>
      <c r="J86" s="13"/>
      <c r="K86" s="13"/>
      <c r="L86" s="13"/>
      <c r="M86" s="13"/>
      <c r="N86" s="13"/>
      <c r="O86" s="13"/>
      <c r="P86" s="13"/>
      <c r="Q86" s="13"/>
      <c r="R86" s="13"/>
      <c r="S86" s="13"/>
      <c r="T86" s="13"/>
    </row>
    <row r="87" spans="2:20" x14ac:dyDescent="0.35">
      <c r="B87" s="13"/>
      <c r="C87" s="13"/>
      <c r="D87" s="13"/>
      <c r="E87" s="13"/>
      <c r="F87" s="13"/>
      <c r="G87" s="13"/>
      <c r="H87" s="13"/>
      <c r="I87" s="13"/>
      <c r="J87" s="13"/>
      <c r="K87" s="13"/>
      <c r="L87" s="13"/>
      <c r="M87" s="13"/>
      <c r="N87" s="13"/>
      <c r="O87" s="13"/>
      <c r="P87" s="13"/>
      <c r="Q87" s="13"/>
      <c r="R87" s="13"/>
      <c r="S87" s="13"/>
      <c r="T87" s="13"/>
    </row>
    <row r="88" spans="2:20" x14ac:dyDescent="0.35">
      <c r="B88" s="13"/>
      <c r="C88" s="13"/>
      <c r="D88" s="13"/>
      <c r="E88" s="13"/>
      <c r="F88" s="13"/>
      <c r="G88" s="13"/>
      <c r="H88" s="13"/>
      <c r="I88" s="13"/>
      <c r="J88" s="13"/>
      <c r="K88" s="13"/>
      <c r="L88" s="13"/>
      <c r="M88" s="13"/>
      <c r="N88" s="13"/>
      <c r="O88" s="13"/>
      <c r="P88" s="13"/>
      <c r="Q88" s="13"/>
      <c r="R88" s="13"/>
      <c r="S88" s="13"/>
      <c r="T88" s="13"/>
    </row>
    <row r="89" spans="2:20" x14ac:dyDescent="0.35">
      <c r="B89" s="13"/>
      <c r="C89" s="13"/>
      <c r="D89" s="13"/>
      <c r="E89" s="13"/>
      <c r="F89" s="13"/>
      <c r="G89" s="13"/>
      <c r="H89" s="13"/>
      <c r="I89" s="13"/>
      <c r="J89" s="13"/>
      <c r="K89" s="13"/>
      <c r="L89" s="13"/>
      <c r="M89" s="13"/>
      <c r="N89" s="13"/>
      <c r="O89" s="13"/>
      <c r="P89" s="13"/>
      <c r="Q89" s="13"/>
      <c r="R89" s="13"/>
      <c r="S89" s="13"/>
      <c r="T89" s="13"/>
    </row>
    <row r="90" spans="2:20" x14ac:dyDescent="0.35">
      <c r="B90" s="13"/>
      <c r="C90" s="13"/>
      <c r="D90" s="13"/>
      <c r="E90" s="13"/>
      <c r="F90" s="13"/>
      <c r="G90" s="13"/>
      <c r="H90" s="13"/>
      <c r="I90" s="13"/>
      <c r="J90" s="13"/>
      <c r="K90" s="13"/>
      <c r="L90" s="13"/>
      <c r="M90" s="13"/>
      <c r="N90" s="13"/>
      <c r="O90" s="13"/>
      <c r="P90" s="13"/>
      <c r="Q90" s="13"/>
      <c r="R90" s="13"/>
      <c r="S90" s="13"/>
      <c r="T90" s="13"/>
    </row>
    <row r="91" spans="2:20" x14ac:dyDescent="0.35">
      <c r="B91" s="13"/>
      <c r="C91" s="13"/>
      <c r="D91" s="13"/>
      <c r="E91" s="13"/>
      <c r="F91" s="13"/>
      <c r="G91" s="13"/>
      <c r="H91" s="13"/>
      <c r="I91" s="13"/>
      <c r="J91" s="13"/>
      <c r="K91" s="13"/>
      <c r="L91" s="13"/>
      <c r="M91" s="13"/>
      <c r="N91" s="13"/>
      <c r="O91" s="13"/>
      <c r="P91" s="13"/>
      <c r="Q91" s="13"/>
      <c r="R91" s="13"/>
      <c r="S91" s="13"/>
      <c r="T91" s="13"/>
    </row>
    <row r="92" spans="2:20" x14ac:dyDescent="0.35">
      <c r="B92" s="13"/>
      <c r="C92" s="13"/>
      <c r="D92" s="13"/>
      <c r="E92" s="13"/>
      <c r="F92" s="13"/>
      <c r="G92" s="13"/>
      <c r="H92" s="13"/>
      <c r="I92" s="13"/>
      <c r="J92" s="13"/>
      <c r="K92" s="13"/>
      <c r="L92" s="13"/>
      <c r="M92" s="13"/>
      <c r="N92" s="13"/>
      <c r="O92" s="13"/>
      <c r="P92" s="13"/>
      <c r="Q92" s="13"/>
      <c r="R92" s="13"/>
      <c r="S92" s="13"/>
      <c r="T92" s="13"/>
    </row>
    <row r="93" spans="2:20" x14ac:dyDescent="0.35">
      <c r="B93" s="13"/>
      <c r="C93" s="13"/>
      <c r="D93" s="13"/>
      <c r="E93" s="13"/>
      <c r="F93" s="13"/>
      <c r="G93" s="13"/>
      <c r="H93" s="13"/>
      <c r="I93" s="13"/>
      <c r="J93" s="13"/>
      <c r="K93" s="13"/>
      <c r="L93" s="13"/>
      <c r="M93" s="13"/>
      <c r="N93" s="13"/>
      <c r="O93" s="13"/>
      <c r="P93" s="13"/>
      <c r="Q93" s="13"/>
      <c r="R93" s="13"/>
      <c r="S93" s="13"/>
      <c r="T93" s="13"/>
    </row>
    <row r="94" spans="2:20" x14ac:dyDescent="0.35">
      <c r="B94" s="13"/>
      <c r="C94" s="13"/>
      <c r="D94" s="13"/>
      <c r="E94" s="13"/>
      <c r="F94" s="13"/>
      <c r="G94" s="13"/>
      <c r="H94" s="13"/>
      <c r="I94" s="13"/>
      <c r="J94" s="13"/>
      <c r="K94" s="13"/>
      <c r="L94" s="13"/>
      <c r="M94" s="13"/>
      <c r="N94" s="13"/>
      <c r="O94" s="13"/>
      <c r="P94" s="13"/>
      <c r="Q94" s="13"/>
      <c r="R94" s="13"/>
      <c r="S94" s="13"/>
      <c r="T94" s="13"/>
    </row>
    <row r="95" spans="2:20" x14ac:dyDescent="0.35">
      <c r="B95" s="13"/>
      <c r="C95" s="13"/>
      <c r="D95" s="13"/>
      <c r="E95" s="13"/>
      <c r="F95" s="13"/>
      <c r="G95" s="13"/>
      <c r="H95" s="13"/>
      <c r="I95" s="13"/>
      <c r="J95" s="13"/>
      <c r="K95" s="13"/>
      <c r="L95" s="13"/>
      <c r="M95" s="13"/>
      <c r="N95" s="13"/>
      <c r="O95" s="13"/>
      <c r="P95" s="13"/>
      <c r="Q95" s="13"/>
      <c r="R95" s="13"/>
      <c r="S95" s="13"/>
      <c r="T95" s="13"/>
    </row>
    <row r="96" spans="2:20" x14ac:dyDescent="0.35">
      <c r="B96" s="13"/>
      <c r="C96" s="13"/>
      <c r="D96" s="13"/>
      <c r="E96" s="13"/>
      <c r="F96" s="13"/>
      <c r="G96" s="13"/>
      <c r="H96" s="13"/>
      <c r="I96" s="13"/>
      <c r="J96" s="13"/>
      <c r="K96" s="13"/>
      <c r="L96" s="13"/>
      <c r="M96" s="13"/>
      <c r="N96" s="13"/>
      <c r="O96" s="13"/>
      <c r="P96" s="13"/>
      <c r="Q96" s="13"/>
      <c r="R96" s="13"/>
      <c r="S96" s="13"/>
      <c r="T96" s="13"/>
    </row>
    <row r="97" spans="2:20" x14ac:dyDescent="0.35">
      <c r="B97" s="13"/>
      <c r="C97" s="13"/>
      <c r="D97" s="13"/>
      <c r="E97" s="13"/>
      <c r="F97" s="13"/>
      <c r="G97" s="13"/>
      <c r="H97" s="13"/>
      <c r="I97" s="13"/>
      <c r="J97" s="13"/>
      <c r="K97" s="13"/>
      <c r="L97" s="13"/>
      <c r="M97" s="13"/>
      <c r="N97" s="13"/>
      <c r="O97" s="13"/>
      <c r="P97" s="13"/>
      <c r="Q97" s="13"/>
      <c r="R97" s="13"/>
      <c r="S97" s="13"/>
      <c r="T97" s="13"/>
    </row>
    <row r="98" spans="2:20" x14ac:dyDescent="0.35">
      <c r="B98" s="13"/>
      <c r="C98" s="13"/>
      <c r="D98" s="13"/>
      <c r="E98" s="13"/>
      <c r="F98" s="13"/>
      <c r="G98" s="13"/>
      <c r="H98" s="13"/>
      <c r="I98" s="13"/>
      <c r="J98" s="13"/>
      <c r="K98" s="13"/>
      <c r="L98" s="13"/>
      <c r="M98" s="13"/>
      <c r="N98" s="13"/>
      <c r="O98" s="13"/>
      <c r="P98" s="13"/>
      <c r="Q98" s="13"/>
      <c r="R98" s="13"/>
      <c r="S98" s="13"/>
      <c r="T98" s="13"/>
    </row>
    <row r="99" spans="2:20" x14ac:dyDescent="0.35">
      <c r="B99" s="13"/>
      <c r="C99" s="13"/>
      <c r="D99" s="13"/>
      <c r="E99" s="13"/>
      <c r="F99" s="13"/>
      <c r="G99" s="13"/>
      <c r="H99" s="13"/>
      <c r="I99" s="13"/>
      <c r="J99" s="13"/>
      <c r="K99" s="13"/>
      <c r="L99" s="13"/>
      <c r="M99" s="13"/>
      <c r="N99" s="13"/>
      <c r="O99" s="13"/>
      <c r="P99" s="13"/>
      <c r="Q99" s="13"/>
      <c r="R99" s="13"/>
      <c r="S99" s="13"/>
      <c r="T99" s="13"/>
    </row>
    <row r="100" spans="2:20" x14ac:dyDescent="0.35">
      <c r="B100" s="13"/>
      <c r="C100" s="13"/>
      <c r="D100" s="13"/>
      <c r="E100" s="13"/>
      <c r="F100" s="13"/>
      <c r="G100" s="13"/>
      <c r="H100" s="13"/>
      <c r="I100" s="13"/>
      <c r="J100" s="13"/>
      <c r="K100" s="13"/>
      <c r="L100" s="13"/>
      <c r="M100" s="13"/>
      <c r="N100" s="13"/>
      <c r="O100" s="13"/>
      <c r="P100" s="13"/>
      <c r="Q100" s="13"/>
      <c r="R100" s="13"/>
      <c r="S100" s="13"/>
      <c r="T100" s="13"/>
    </row>
    <row r="101" spans="2:20" x14ac:dyDescent="0.35">
      <c r="B101" s="13"/>
      <c r="C101" s="13"/>
      <c r="D101" s="13"/>
      <c r="E101" s="13"/>
      <c r="F101" s="13"/>
      <c r="G101" s="13"/>
      <c r="H101" s="13"/>
      <c r="I101" s="13"/>
      <c r="J101" s="13"/>
      <c r="K101" s="13"/>
      <c r="L101" s="13"/>
      <c r="M101" s="13"/>
      <c r="N101" s="13"/>
      <c r="O101" s="13"/>
      <c r="P101" s="13"/>
      <c r="Q101" s="13"/>
      <c r="R101" s="13"/>
      <c r="S101" s="13"/>
      <c r="T101" s="13"/>
    </row>
    <row r="102" spans="2:20" x14ac:dyDescent="0.35">
      <c r="B102" s="13"/>
      <c r="C102" s="13"/>
      <c r="D102" s="13"/>
      <c r="E102" s="13"/>
      <c r="F102" s="13"/>
      <c r="G102" s="13"/>
      <c r="H102" s="13"/>
      <c r="I102" s="13"/>
      <c r="J102" s="13"/>
      <c r="K102" s="13"/>
      <c r="L102" s="13"/>
      <c r="M102" s="13"/>
      <c r="N102" s="13"/>
      <c r="O102" s="13"/>
      <c r="P102" s="13"/>
      <c r="Q102" s="13"/>
      <c r="R102" s="13"/>
      <c r="S102" s="13"/>
      <c r="T102" s="13"/>
    </row>
    <row r="103" spans="2:20" x14ac:dyDescent="0.35">
      <c r="B103" s="13"/>
      <c r="C103" s="13"/>
      <c r="D103" s="13"/>
      <c r="E103" s="13"/>
      <c r="F103" s="13"/>
      <c r="G103" s="13"/>
      <c r="H103" s="13"/>
      <c r="I103" s="13"/>
      <c r="J103" s="13"/>
      <c r="K103" s="13"/>
      <c r="L103" s="13"/>
      <c r="M103" s="13"/>
      <c r="N103" s="13"/>
      <c r="O103" s="13"/>
      <c r="P103" s="13"/>
      <c r="Q103" s="13"/>
      <c r="R103" s="13"/>
      <c r="S103" s="13"/>
      <c r="T103" s="13"/>
    </row>
    <row r="104" spans="2:20" x14ac:dyDescent="0.35">
      <c r="B104" s="13"/>
      <c r="C104" s="13"/>
      <c r="D104" s="13"/>
      <c r="E104" s="13"/>
      <c r="F104" s="13"/>
      <c r="G104" s="13"/>
      <c r="H104" s="13"/>
      <c r="I104" s="13"/>
      <c r="J104" s="13"/>
      <c r="K104" s="13"/>
      <c r="L104" s="13"/>
      <c r="M104" s="13"/>
      <c r="N104" s="13"/>
      <c r="O104" s="13"/>
      <c r="P104" s="13"/>
      <c r="Q104" s="13"/>
      <c r="R104" s="13"/>
      <c r="S104" s="13"/>
      <c r="T104" s="13"/>
    </row>
    <row r="105" spans="2:20" x14ac:dyDescent="0.35">
      <c r="B105" s="13"/>
      <c r="C105" s="13"/>
      <c r="D105" s="13"/>
      <c r="E105" s="13"/>
      <c r="F105" s="13"/>
      <c r="G105" s="13"/>
      <c r="H105" s="13"/>
      <c r="I105" s="13"/>
      <c r="J105" s="13"/>
      <c r="K105" s="13"/>
      <c r="L105" s="13"/>
      <c r="M105" s="13"/>
      <c r="N105" s="13"/>
      <c r="O105" s="13"/>
      <c r="P105" s="13"/>
      <c r="Q105" s="13"/>
      <c r="R105" s="13"/>
      <c r="S105" s="13"/>
      <c r="T105" s="13"/>
    </row>
    <row r="106" spans="2:20" x14ac:dyDescent="0.35">
      <c r="B106" s="13"/>
      <c r="C106" s="13"/>
      <c r="D106" s="13"/>
      <c r="E106" s="13"/>
      <c r="F106" s="13"/>
      <c r="G106" s="13"/>
      <c r="H106" s="13"/>
      <c r="I106" s="13"/>
      <c r="J106" s="13"/>
      <c r="K106" s="13"/>
      <c r="L106" s="13"/>
      <c r="M106" s="13"/>
      <c r="N106" s="13"/>
      <c r="O106" s="13"/>
      <c r="P106" s="13"/>
      <c r="Q106" s="13"/>
      <c r="R106" s="13"/>
      <c r="S106" s="13"/>
      <c r="T106" s="13"/>
    </row>
    <row r="107" spans="2:20" x14ac:dyDescent="0.35">
      <c r="B107" s="13"/>
      <c r="C107" s="13"/>
      <c r="D107" s="13"/>
      <c r="E107" s="13"/>
      <c r="F107" s="13"/>
      <c r="G107" s="13"/>
      <c r="H107" s="13"/>
      <c r="I107" s="13"/>
      <c r="J107" s="13"/>
      <c r="K107" s="13"/>
      <c r="L107" s="13"/>
      <c r="M107" s="13"/>
      <c r="N107" s="13"/>
      <c r="O107" s="13"/>
      <c r="P107" s="13"/>
      <c r="Q107" s="13"/>
      <c r="R107" s="13"/>
      <c r="S107" s="13"/>
      <c r="T107" s="13"/>
    </row>
    <row r="108" spans="2:20" x14ac:dyDescent="0.35">
      <c r="B108" s="13"/>
      <c r="C108" s="13"/>
      <c r="D108" s="13"/>
      <c r="E108" s="13"/>
      <c r="F108" s="13"/>
      <c r="G108" s="13"/>
      <c r="H108" s="13"/>
      <c r="I108" s="13"/>
      <c r="J108" s="13"/>
      <c r="K108" s="13"/>
      <c r="L108" s="13"/>
      <c r="M108" s="13"/>
      <c r="N108" s="13"/>
      <c r="O108" s="13"/>
      <c r="P108" s="13"/>
      <c r="Q108" s="13"/>
      <c r="R108" s="13"/>
      <c r="S108" s="13"/>
      <c r="T108" s="13"/>
    </row>
    <row r="109" spans="2:20" x14ac:dyDescent="0.35">
      <c r="B109" s="13"/>
      <c r="C109" s="13"/>
      <c r="D109" s="13"/>
      <c r="E109" s="13"/>
      <c r="F109" s="13"/>
      <c r="G109" s="13"/>
      <c r="H109" s="13"/>
      <c r="I109" s="13"/>
      <c r="J109" s="13"/>
      <c r="K109" s="13"/>
      <c r="L109" s="13"/>
      <c r="M109" s="13"/>
      <c r="N109" s="13"/>
      <c r="O109" s="13"/>
      <c r="P109" s="13"/>
      <c r="Q109" s="13"/>
      <c r="R109" s="13"/>
      <c r="S109" s="13"/>
      <c r="T109" s="13"/>
    </row>
    <row r="110" spans="2:20" x14ac:dyDescent="0.35">
      <c r="B110" s="13"/>
      <c r="C110" s="13"/>
      <c r="D110" s="13"/>
      <c r="E110" s="13"/>
      <c r="F110" s="13"/>
      <c r="G110" s="13"/>
      <c r="H110" s="13"/>
      <c r="I110" s="13"/>
      <c r="J110" s="13"/>
      <c r="K110" s="13"/>
      <c r="L110" s="13"/>
      <c r="M110" s="13"/>
      <c r="N110" s="13"/>
      <c r="O110" s="13"/>
      <c r="P110" s="13"/>
      <c r="Q110" s="13"/>
      <c r="R110" s="13"/>
      <c r="S110" s="13"/>
      <c r="T110" s="13"/>
    </row>
    <row r="111" spans="2:20" x14ac:dyDescent="0.35">
      <c r="B111" s="13"/>
      <c r="C111" s="13"/>
      <c r="D111" s="13"/>
      <c r="E111" s="13"/>
      <c r="F111" s="13"/>
      <c r="G111" s="13"/>
      <c r="H111" s="13"/>
      <c r="I111" s="13"/>
      <c r="J111" s="13"/>
      <c r="K111" s="13"/>
      <c r="L111" s="13"/>
      <c r="M111" s="13"/>
      <c r="N111" s="13"/>
      <c r="O111" s="13"/>
      <c r="P111" s="13"/>
      <c r="Q111" s="13"/>
      <c r="R111" s="13"/>
      <c r="S111" s="13"/>
      <c r="T111" s="13"/>
    </row>
    <row r="112" spans="2:20" x14ac:dyDescent="0.35">
      <c r="B112" s="13"/>
      <c r="C112" s="13"/>
      <c r="D112" s="13"/>
      <c r="E112" s="13"/>
      <c r="F112" s="13"/>
      <c r="G112" s="13"/>
      <c r="H112" s="13"/>
      <c r="I112" s="13"/>
      <c r="J112" s="13"/>
      <c r="K112" s="13"/>
      <c r="L112" s="13"/>
      <c r="M112" s="13"/>
      <c r="N112" s="13"/>
      <c r="O112" s="13"/>
      <c r="P112" s="13"/>
      <c r="Q112" s="13"/>
      <c r="R112" s="13"/>
      <c r="S112" s="13"/>
      <c r="T112" s="13"/>
    </row>
    <row r="113" spans="2:20" x14ac:dyDescent="0.35">
      <c r="B113" s="13"/>
      <c r="C113" s="13"/>
      <c r="D113" s="13"/>
      <c r="E113" s="13"/>
      <c r="F113" s="13"/>
      <c r="G113" s="13"/>
      <c r="H113" s="13"/>
      <c r="I113" s="13"/>
      <c r="J113" s="13"/>
      <c r="K113" s="13"/>
      <c r="L113" s="13"/>
      <c r="M113" s="13"/>
      <c r="N113" s="13"/>
      <c r="O113" s="13"/>
      <c r="P113" s="13"/>
      <c r="Q113" s="13"/>
      <c r="R113" s="13"/>
      <c r="S113" s="13"/>
      <c r="T113" s="13"/>
    </row>
    <row r="114" spans="2:20" x14ac:dyDescent="0.35">
      <c r="B114" s="13"/>
      <c r="C114" s="13"/>
      <c r="D114" s="13"/>
      <c r="E114" s="13"/>
      <c r="F114" s="13"/>
      <c r="G114" s="13"/>
      <c r="H114" s="13"/>
      <c r="I114" s="13"/>
      <c r="J114" s="13"/>
      <c r="K114" s="13"/>
      <c r="L114" s="13"/>
      <c r="M114" s="13"/>
      <c r="N114" s="13"/>
      <c r="O114" s="13"/>
      <c r="P114" s="13"/>
      <c r="Q114" s="13"/>
      <c r="R114" s="13"/>
      <c r="S114" s="13"/>
      <c r="T114" s="13"/>
    </row>
    <row r="115" spans="2:20" x14ac:dyDescent="0.35">
      <c r="B115" s="13"/>
      <c r="C115" s="13"/>
      <c r="D115" s="13"/>
      <c r="E115" s="13"/>
      <c r="F115" s="13"/>
      <c r="G115" s="13"/>
      <c r="H115" s="13"/>
      <c r="I115" s="13"/>
      <c r="J115" s="13"/>
      <c r="K115" s="13"/>
      <c r="L115" s="13"/>
      <c r="M115" s="13"/>
      <c r="N115" s="13"/>
      <c r="O115" s="13"/>
      <c r="P115" s="13"/>
      <c r="Q115" s="13"/>
      <c r="R115" s="13"/>
      <c r="S115" s="13"/>
      <c r="T115" s="13"/>
    </row>
    <row r="116" spans="2:20" x14ac:dyDescent="0.35">
      <c r="B116" s="13"/>
      <c r="C116" s="13"/>
      <c r="D116" s="13"/>
      <c r="E116" s="13"/>
      <c r="F116" s="13"/>
      <c r="G116" s="13"/>
      <c r="H116" s="13"/>
      <c r="I116" s="13"/>
      <c r="J116" s="13"/>
      <c r="K116" s="13"/>
      <c r="L116" s="13"/>
      <c r="M116" s="13"/>
      <c r="N116" s="13"/>
      <c r="O116" s="13"/>
      <c r="P116" s="13"/>
      <c r="Q116" s="13"/>
      <c r="R116" s="13"/>
      <c r="S116" s="13"/>
      <c r="T116" s="13"/>
    </row>
    <row r="117" spans="2:20" x14ac:dyDescent="0.35">
      <c r="B117" s="13"/>
      <c r="C117" s="13"/>
      <c r="D117" s="13"/>
      <c r="E117" s="13"/>
      <c r="F117" s="13"/>
      <c r="G117" s="13"/>
      <c r="H117" s="13"/>
      <c r="I117" s="13"/>
      <c r="J117" s="13"/>
      <c r="K117" s="13"/>
      <c r="L117" s="13"/>
      <c r="M117" s="13"/>
      <c r="N117" s="13"/>
      <c r="O117" s="13"/>
      <c r="P117" s="13"/>
      <c r="Q117" s="13"/>
      <c r="R117" s="13"/>
      <c r="S117" s="13"/>
      <c r="T117" s="13"/>
    </row>
    <row r="118" spans="2:20" x14ac:dyDescent="0.35">
      <c r="B118" s="13"/>
      <c r="C118" s="13"/>
      <c r="D118" s="13"/>
      <c r="E118" s="13"/>
      <c r="F118" s="13"/>
      <c r="G118" s="13"/>
      <c r="H118" s="13"/>
      <c r="I118" s="13"/>
      <c r="J118" s="13"/>
      <c r="K118" s="13"/>
      <c r="L118" s="13"/>
      <c r="M118" s="13"/>
      <c r="N118" s="13"/>
      <c r="O118" s="13"/>
      <c r="P118" s="13"/>
      <c r="Q118" s="13"/>
      <c r="R118" s="13"/>
      <c r="S118" s="13"/>
      <c r="T118" s="13"/>
    </row>
    <row r="119" spans="2:20" x14ac:dyDescent="0.35">
      <c r="B119" s="13"/>
      <c r="C119" s="13"/>
      <c r="D119" s="13"/>
      <c r="E119" s="13"/>
      <c r="F119" s="13"/>
      <c r="G119" s="13"/>
      <c r="H119" s="13"/>
      <c r="I119" s="13"/>
      <c r="J119" s="13"/>
      <c r="K119" s="13"/>
      <c r="L119" s="13"/>
      <c r="M119" s="13"/>
      <c r="N119" s="13"/>
      <c r="O119" s="13"/>
      <c r="P119" s="13"/>
      <c r="Q119" s="13"/>
      <c r="R119" s="13"/>
      <c r="S119" s="13"/>
      <c r="T119" s="13"/>
    </row>
    <row r="120" spans="2:20" x14ac:dyDescent="0.35">
      <c r="B120" s="13"/>
      <c r="C120" s="13"/>
      <c r="D120" s="13"/>
      <c r="E120" s="13"/>
      <c r="F120" s="13"/>
      <c r="G120" s="13"/>
      <c r="H120" s="13"/>
      <c r="I120" s="13"/>
      <c r="J120" s="13"/>
      <c r="K120" s="13"/>
      <c r="L120" s="13"/>
      <c r="M120" s="13"/>
      <c r="N120" s="13"/>
      <c r="O120" s="13"/>
      <c r="P120" s="13"/>
      <c r="Q120" s="13"/>
      <c r="R120" s="13"/>
      <c r="S120" s="13"/>
      <c r="T120" s="13"/>
    </row>
    <row r="121" spans="2:20" x14ac:dyDescent="0.35">
      <c r="B121" s="13"/>
      <c r="C121" s="13"/>
      <c r="D121" s="13"/>
      <c r="E121" s="13"/>
      <c r="F121" s="13"/>
      <c r="G121" s="13"/>
      <c r="H121" s="13"/>
      <c r="I121" s="13"/>
      <c r="J121" s="13"/>
      <c r="K121" s="13"/>
      <c r="L121" s="13"/>
      <c r="M121" s="13"/>
      <c r="N121" s="13"/>
      <c r="O121" s="13"/>
      <c r="P121" s="13"/>
      <c r="Q121" s="13"/>
      <c r="R121" s="13"/>
      <c r="S121" s="13"/>
      <c r="T121" s="13"/>
    </row>
    <row r="122" spans="2:20" x14ac:dyDescent="0.35">
      <c r="B122" s="13"/>
      <c r="C122" s="13"/>
      <c r="D122" s="13"/>
      <c r="E122" s="13"/>
      <c r="F122" s="13"/>
      <c r="G122" s="13"/>
      <c r="H122" s="13"/>
      <c r="I122" s="13"/>
      <c r="J122" s="13"/>
      <c r="K122" s="13"/>
      <c r="L122" s="13"/>
      <c r="M122" s="13"/>
      <c r="N122" s="13"/>
      <c r="O122" s="13"/>
      <c r="P122" s="13"/>
      <c r="Q122" s="13"/>
      <c r="R122" s="13"/>
      <c r="S122" s="13"/>
      <c r="T122" s="13"/>
    </row>
    <row r="123" spans="2:20" x14ac:dyDescent="0.35">
      <c r="B123" s="13"/>
      <c r="C123" s="13"/>
      <c r="D123" s="13"/>
      <c r="E123" s="13"/>
      <c r="F123" s="13"/>
      <c r="G123" s="13"/>
      <c r="H123" s="13"/>
      <c r="I123" s="13"/>
      <c r="J123" s="13"/>
      <c r="K123" s="13"/>
      <c r="L123" s="13"/>
      <c r="M123" s="13"/>
      <c r="N123" s="13"/>
      <c r="O123" s="13"/>
      <c r="P123" s="13"/>
      <c r="Q123" s="13"/>
      <c r="R123" s="13"/>
      <c r="S123" s="13"/>
      <c r="T123" s="13"/>
    </row>
    <row r="124" spans="2:20" x14ac:dyDescent="0.35">
      <c r="B124" s="13"/>
      <c r="C124" s="13"/>
      <c r="D124" s="13"/>
      <c r="E124" s="13"/>
      <c r="F124" s="13"/>
      <c r="G124" s="13"/>
      <c r="H124" s="13"/>
      <c r="I124" s="13"/>
      <c r="J124" s="13"/>
      <c r="K124" s="13"/>
      <c r="L124" s="13"/>
      <c r="M124" s="13"/>
      <c r="N124" s="13"/>
      <c r="O124" s="13"/>
      <c r="P124" s="13"/>
      <c r="Q124" s="13"/>
      <c r="R124" s="13"/>
      <c r="S124" s="13"/>
      <c r="T124" s="13"/>
    </row>
    <row r="125" spans="2:20" x14ac:dyDescent="0.35">
      <c r="B125" s="13"/>
      <c r="C125" s="13"/>
      <c r="D125" s="13"/>
      <c r="E125" s="13"/>
      <c r="F125" s="13"/>
      <c r="G125" s="13"/>
      <c r="H125" s="13"/>
      <c r="I125" s="13"/>
      <c r="J125" s="13"/>
      <c r="K125" s="13"/>
      <c r="L125" s="13"/>
      <c r="M125" s="13"/>
      <c r="N125" s="13"/>
      <c r="O125" s="13"/>
      <c r="P125" s="13"/>
      <c r="Q125" s="13"/>
      <c r="R125" s="13"/>
      <c r="S125" s="13"/>
      <c r="T125" s="13"/>
    </row>
    <row r="126" spans="2:20" x14ac:dyDescent="0.35">
      <c r="B126" s="13"/>
      <c r="C126" s="13"/>
      <c r="D126" s="13"/>
      <c r="E126" s="13"/>
      <c r="F126" s="13"/>
      <c r="G126" s="13"/>
      <c r="H126" s="13"/>
      <c r="I126" s="13"/>
      <c r="J126" s="13"/>
      <c r="K126" s="13"/>
      <c r="L126" s="13"/>
      <c r="M126" s="13"/>
      <c r="N126" s="13"/>
      <c r="O126" s="13"/>
      <c r="P126" s="13"/>
      <c r="Q126" s="13"/>
      <c r="R126" s="13"/>
      <c r="S126" s="13"/>
      <c r="T126" s="13"/>
    </row>
    <row r="127" spans="2:20" x14ac:dyDescent="0.35">
      <c r="B127" s="13"/>
      <c r="C127" s="13"/>
      <c r="D127" s="13"/>
      <c r="E127" s="13"/>
      <c r="F127" s="13"/>
      <c r="G127" s="13"/>
      <c r="H127" s="13"/>
      <c r="I127" s="13"/>
      <c r="J127" s="13"/>
      <c r="K127" s="13"/>
      <c r="L127" s="13"/>
      <c r="M127" s="13"/>
      <c r="N127" s="13"/>
      <c r="O127" s="13"/>
      <c r="P127" s="13"/>
      <c r="Q127" s="13"/>
      <c r="R127" s="13"/>
      <c r="S127" s="13"/>
      <c r="T127" s="13"/>
    </row>
    <row r="128" spans="2:20" x14ac:dyDescent="0.35">
      <c r="B128" s="13"/>
      <c r="C128" s="13"/>
      <c r="D128" s="13"/>
      <c r="E128" s="13"/>
      <c r="F128" s="13"/>
      <c r="G128" s="13"/>
      <c r="H128" s="13"/>
      <c r="I128" s="13"/>
      <c r="J128" s="13"/>
      <c r="K128" s="13"/>
      <c r="L128" s="13"/>
      <c r="M128" s="13"/>
      <c r="N128" s="13"/>
      <c r="O128" s="13"/>
      <c r="P128" s="13"/>
      <c r="Q128" s="13"/>
      <c r="R128" s="13"/>
      <c r="S128" s="13"/>
      <c r="T128" s="13"/>
    </row>
    <row r="129" spans="2:20" x14ac:dyDescent="0.35">
      <c r="B129" s="13"/>
      <c r="C129" s="13"/>
      <c r="D129" s="13"/>
      <c r="E129" s="13"/>
      <c r="F129" s="13"/>
      <c r="G129" s="13"/>
      <c r="H129" s="13"/>
      <c r="I129" s="13"/>
      <c r="J129" s="13"/>
      <c r="K129" s="13"/>
      <c r="L129" s="13"/>
      <c r="M129" s="13"/>
      <c r="N129" s="13"/>
      <c r="O129" s="13"/>
      <c r="P129" s="13"/>
      <c r="Q129" s="13"/>
      <c r="R129" s="13"/>
      <c r="S129" s="13"/>
      <c r="T129" s="13"/>
    </row>
    <row r="130" spans="2:20" x14ac:dyDescent="0.35">
      <c r="B130" s="13"/>
      <c r="C130" s="13"/>
      <c r="D130" s="13"/>
      <c r="E130" s="13"/>
      <c r="F130" s="13"/>
      <c r="G130" s="13"/>
      <c r="H130" s="13"/>
      <c r="I130" s="13"/>
      <c r="J130" s="13"/>
      <c r="K130" s="13"/>
      <c r="L130" s="13"/>
      <c r="M130" s="13"/>
      <c r="N130" s="13"/>
      <c r="O130" s="13"/>
      <c r="P130" s="13"/>
      <c r="Q130" s="13"/>
      <c r="R130" s="13"/>
      <c r="S130" s="13"/>
      <c r="T130" s="13"/>
    </row>
    <row r="131" spans="2:20" x14ac:dyDescent="0.35">
      <c r="B131" s="13"/>
      <c r="C131" s="13"/>
      <c r="D131" s="13"/>
      <c r="E131" s="13"/>
      <c r="F131" s="13"/>
      <c r="G131" s="13"/>
      <c r="H131" s="13"/>
      <c r="I131" s="13"/>
      <c r="J131" s="13"/>
      <c r="K131" s="13"/>
      <c r="L131" s="13"/>
      <c r="M131" s="13"/>
      <c r="N131" s="13"/>
      <c r="O131" s="13"/>
      <c r="P131" s="13"/>
      <c r="Q131" s="13"/>
      <c r="R131" s="13"/>
      <c r="S131" s="13"/>
      <c r="T131" s="13"/>
    </row>
    <row r="132" spans="2:20" x14ac:dyDescent="0.35">
      <c r="B132" s="13"/>
      <c r="C132" s="13"/>
      <c r="D132" s="13"/>
      <c r="E132" s="13"/>
      <c r="F132" s="13"/>
      <c r="G132" s="13"/>
      <c r="H132" s="13"/>
      <c r="I132" s="13"/>
      <c r="J132" s="13"/>
      <c r="K132" s="13"/>
      <c r="L132" s="13"/>
      <c r="M132" s="13"/>
      <c r="N132" s="13"/>
      <c r="O132" s="13"/>
      <c r="P132" s="13"/>
      <c r="Q132" s="13"/>
      <c r="R132" s="13"/>
      <c r="S132" s="13"/>
      <c r="T132" s="13"/>
    </row>
    <row r="133" spans="2:20" x14ac:dyDescent="0.35">
      <c r="B133" s="13"/>
      <c r="C133" s="13"/>
      <c r="D133" s="13"/>
      <c r="E133" s="13"/>
      <c r="F133" s="13"/>
      <c r="G133" s="13"/>
      <c r="H133" s="13"/>
      <c r="I133" s="13"/>
      <c r="J133" s="13"/>
      <c r="K133" s="13"/>
      <c r="L133" s="13"/>
      <c r="M133" s="13"/>
      <c r="N133" s="13"/>
      <c r="O133" s="13"/>
      <c r="P133" s="13"/>
      <c r="Q133" s="13"/>
      <c r="R133" s="13"/>
      <c r="S133" s="13"/>
      <c r="T133" s="13"/>
    </row>
    <row r="134" spans="2:20" x14ac:dyDescent="0.35">
      <c r="B134" s="13"/>
      <c r="C134" s="13"/>
      <c r="D134" s="13"/>
      <c r="E134" s="13"/>
      <c r="F134" s="13"/>
      <c r="G134" s="13"/>
      <c r="H134" s="13"/>
      <c r="I134" s="13"/>
      <c r="J134" s="13"/>
      <c r="K134" s="13"/>
      <c r="L134" s="13"/>
      <c r="M134" s="13"/>
      <c r="N134" s="13"/>
      <c r="O134" s="13"/>
      <c r="P134" s="13"/>
      <c r="Q134" s="13"/>
      <c r="R134" s="13"/>
      <c r="S134" s="13"/>
      <c r="T134" s="13"/>
    </row>
    <row r="135" spans="2:20" x14ac:dyDescent="0.35">
      <c r="B135" s="13"/>
      <c r="C135" s="13"/>
      <c r="D135" s="13"/>
      <c r="E135" s="13"/>
      <c r="F135" s="13"/>
      <c r="G135" s="13"/>
      <c r="H135" s="13"/>
      <c r="I135" s="13"/>
      <c r="J135" s="13"/>
      <c r="K135" s="13"/>
      <c r="L135" s="13"/>
      <c r="M135" s="13"/>
      <c r="N135" s="13"/>
      <c r="O135" s="13"/>
      <c r="P135" s="13"/>
      <c r="Q135" s="13"/>
      <c r="R135" s="13"/>
      <c r="S135" s="13"/>
      <c r="T135" s="13"/>
    </row>
    <row r="136" spans="2:20" x14ac:dyDescent="0.35">
      <c r="B136" s="13"/>
      <c r="C136" s="13"/>
      <c r="D136" s="13"/>
      <c r="E136" s="13"/>
      <c r="F136" s="13"/>
      <c r="G136" s="13"/>
      <c r="H136" s="13"/>
      <c r="I136" s="13"/>
      <c r="J136" s="13"/>
      <c r="K136" s="13"/>
      <c r="L136" s="13"/>
      <c r="M136" s="13"/>
      <c r="N136" s="13"/>
      <c r="O136" s="13"/>
      <c r="P136" s="13"/>
      <c r="Q136" s="13"/>
      <c r="R136" s="13"/>
      <c r="S136" s="13"/>
      <c r="T136" s="13"/>
    </row>
    <row r="137" spans="2:20" x14ac:dyDescent="0.35">
      <c r="B137" s="13"/>
      <c r="C137" s="13"/>
      <c r="D137" s="13"/>
      <c r="E137" s="13"/>
      <c r="F137" s="13"/>
      <c r="G137" s="13"/>
      <c r="H137" s="13"/>
      <c r="I137" s="13"/>
      <c r="J137" s="13"/>
      <c r="K137" s="13"/>
      <c r="L137" s="13"/>
      <c r="M137" s="13"/>
      <c r="N137" s="13"/>
      <c r="O137" s="13"/>
      <c r="P137" s="13"/>
      <c r="Q137" s="13"/>
      <c r="R137" s="13"/>
      <c r="S137" s="13"/>
      <c r="T137" s="13"/>
    </row>
    <row r="138" spans="2:20" x14ac:dyDescent="0.35">
      <c r="B138" s="13"/>
      <c r="C138" s="13"/>
      <c r="D138" s="13"/>
      <c r="E138" s="13"/>
      <c r="F138" s="13"/>
      <c r="G138" s="13"/>
      <c r="H138" s="13"/>
      <c r="I138" s="13"/>
      <c r="J138" s="13"/>
      <c r="K138" s="13"/>
      <c r="L138" s="13"/>
      <c r="M138" s="13"/>
      <c r="N138" s="13"/>
      <c r="O138" s="13"/>
      <c r="P138" s="13"/>
      <c r="Q138" s="13"/>
      <c r="R138" s="13"/>
      <c r="S138" s="13"/>
      <c r="T138" s="13"/>
    </row>
    <row r="139" spans="2:20" x14ac:dyDescent="0.35">
      <c r="B139" s="13"/>
      <c r="C139" s="13"/>
      <c r="D139" s="13"/>
      <c r="E139" s="13"/>
      <c r="F139" s="13"/>
      <c r="G139" s="13"/>
      <c r="H139" s="13"/>
      <c r="I139" s="13"/>
      <c r="J139" s="13"/>
      <c r="K139" s="13"/>
      <c r="L139" s="13"/>
      <c r="M139" s="13"/>
      <c r="N139" s="13"/>
      <c r="O139" s="13"/>
      <c r="P139" s="13"/>
      <c r="Q139" s="13"/>
      <c r="R139" s="13"/>
      <c r="S139" s="13"/>
      <c r="T139" s="13"/>
    </row>
    <row r="140" spans="2:20" x14ac:dyDescent="0.35">
      <c r="B140" s="13"/>
      <c r="C140" s="13"/>
      <c r="D140" s="13"/>
      <c r="E140" s="13"/>
      <c r="F140" s="13"/>
      <c r="G140" s="13"/>
      <c r="H140" s="13"/>
      <c r="I140" s="13"/>
      <c r="J140" s="13"/>
      <c r="K140" s="13"/>
      <c r="L140" s="13"/>
      <c r="M140" s="13"/>
      <c r="N140" s="13"/>
      <c r="O140" s="13"/>
      <c r="P140" s="13"/>
      <c r="Q140" s="13"/>
      <c r="R140" s="13"/>
      <c r="S140" s="13"/>
      <c r="T140" s="13"/>
    </row>
    <row r="141" spans="2:20" x14ac:dyDescent="0.35">
      <c r="B141" s="13"/>
      <c r="C141" s="13"/>
      <c r="D141" s="13"/>
      <c r="E141" s="13"/>
      <c r="F141" s="13"/>
      <c r="G141" s="13"/>
      <c r="H141" s="13"/>
      <c r="I141" s="13"/>
      <c r="J141" s="13"/>
      <c r="K141" s="13"/>
      <c r="L141" s="13"/>
      <c r="M141" s="13"/>
      <c r="N141" s="13"/>
      <c r="O141" s="13"/>
      <c r="P141" s="13"/>
      <c r="Q141" s="13"/>
      <c r="R141" s="13"/>
      <c r="S141" s="13"/>
      <c r="T141" s="13"/>
    </row>
    <row r="142" spans="2:20" x14ac:dyDescent="0.35">
      <c r="B142" s="13"/>
      <c r="C142" s="13"/>
      <c r="D142" s="13"/>
      <c r="E142" s="13"/>
      <c r="F142" s="13"/>
      <c r="G142" s="13"/>
      <c r="H142" s="13"/>
      <c r="I142" s="13"/>
      <c r="J142" s="13"/>
      <c r="K142" s="13"/>
      <c r="L142" s="13"/>
      <c r="M142" s="13"/>
      <c r="N142" s="13"/>
      <c r="O142" s="13"/>
      <c r="P142" s="13"/>
      <c r="Q142" s="13"/>
      <c r="R142" s="13"/>
      <c r="S142" s="13"/>
      <c r="T142" s="13"/>
    </row>
    <row r="143" spans="2:20" x14ac:dyDescent="0.35">
      <c r="B143" s="13"/>
      <c r="C143" s="13"/>
      <c r="D143" s="13"/>
      <c r="E143" s="13"/>
      <c r="F143" s="13"/>
      <c r="G143" s="13"/>
      <c r="H143" s="13"/>
      <c r="I143" s="13"/>
      <c r="J143" s="13"/>
      <c r="K143" s="13"/>
      <c r="L143" s="13"/>
      <c r="M143" s="13"/>
      <c r="N143" s="13"/>
      <c r="O143" s="13"/>
      <c r="P143" s="13"/>
      <c r="Q143" s="13"/>
      <c r="R143" s="13"/>
      <c r="S143" s="13"/>
      <c r="T143" s="13"/>
    </row>
    <row r="144" spans="2:20" x14ac:dyDescent="0.35">
      <c r="B144" s="13"/>
      <c r="C144" s="13"/>
      <c r="D144" s="13"/>
      <c r="E144" s="13"/>
      <c r="F144" s="13"/>
      <c r="G144" s="13"/>
      <c r="H144" s="13"/>
      <c r="I144" s="13"/>
      <c r="J144" s="13"/>
      <c r="K144" s="13"/>
      <c r="L144" s="13"/>
      <c r="M144" s="13"/>
      <c r="N144" s="13"/>
      <c r="O144" s="13"/>
      <c r="P144" s="13"/>
      <c r="Q144" s="13"/>
      <c r="R144" s="13"/>
      <c r="S144" s="13"/>
      <c r="T144" s="13"/>
    </row>
    <row r="145" spans="2:20" x14ac:dyDescent="0.35">
      <c r="B145" s="13"/>
      <c r="C145" s="13"/>
      <c r="D145" s="13"/>
      <c r="E145" s="13"/>
      <c r="F145" s="13"/>
      <c r="G145" s="13"/>
      <c r="H145" s="13"/>
      <c r="I145" s="13"/>
      <c r="J145" s="13"/>
      <c r="K145" s="13"/>
      <c r="L145" s="13"/>
      <c r="M145" s="13"/>
      <c r="N145" s="13"/>
      <c r="O145" s="13"/>
      <c r="P145" s="13"/>
      <c r="Q145" s="13"/>
      <c r="R145" s="13"/>
      <c r="S145" s="13"/>
      <c r="T145" s="13"/>
    </row>
    <row r="146" spans="2:20" x14ac:dyDescent="0.35">
      <c r="B146" s="13"/>
      <c r="C146" s="13"/>
      <c r="D146" s="13"/>
      <c r="E146" s="13"/>
      <c r="F146" s="13"/>
      <c r="G146" s="13"/>
      <c r="H146" s="13"/>
      <c r="I146" s="13"/>
      <c r="J146" s="13"/>
      <c r="K146" s="13"/>
      <c r="L146" s="13"/>
      <c r="M146" s="13"/>
      <c r="N146" s="13"/>
      <c r="O146" s="13"/>
      <c r="P146" s="13"/>
      <c r="Q146" s="13"/>
      <c r="R146" s="13"/>
      <c r="S146" s="13"/>
      <c r="T146" s="13"/>
    </row>
    <row r="147" spans="2:20" x14ac:dyDescent="0.35">
      <c r="B147" s="13"/>
      <c r="C147" s="13"/>
      <c r="D147" s="13"/>
      <c r="E147" s="13"/>
      <c r="F147" s="13"/>
      <c r="G147" s="13"/>
      <c r="H147" s="13"/>
      <c r="I147" s="13"/>
      <c r="J147" s="13"/>
      <c r="K147" s="13"/>
      <c r="L147" s="13"/>
      <c r="M147" s="13"/>
      <c r="N147" s="13"/>
      <c r="O147" s="13"/>
      <c r="P147" s="13"/>
      <c r="Q147" s="13"/>
      <c r="R147" s="13"/>
      <c r="S147" s="13"/>
      <c r="T147" s="13"/>
    </row>
    <row r="148" spans="2:20" x14ac:dyDescent="0.35">
      <c r="B148" s="13"/>
      <c r="C148" s="13"/>
      <c r="D148" s="13"/>
      <c r="E148" s="13"/>
      <c r="F148" s="13"/>
      <c r="G148" s="13"/>
      <c r="H148" s="13"/>
      <c r="I148" s="13"/>
      <c r="J148" s="13"/>
      <c r="K148" s="13"/>
      <c r="L148" s="13"/>
      <c r="M148" s="13"/>
      <c r="N148" s="13"/>
      <c r="O148" s="13"/>
      <c r="P148" s="13"/>
      <c r="Q148" s="13"/>
      <c r="R148" s="13"/>
      <c r="S148" s="13"/>
      <c r="T148" s="13"/>
    </row>
    <row r="149" spans="2:20" x14ac:dyDescent="0.35">
      <c r="B149" s="13"/>
      <c r="C149" s="13"/>
      <c r="D149" s="13"/>
      <c r="E149" s="13"/>
      <c r="F149" s="13"/>
      <c r="G149" s="13"/>
      <c r="H149" s="13"/>
      <c r="I149" s="13"/>
      <c r="J149" s="13"/>
      <c r="K149" s="13"/>
      <c r="L149" s="13"/>
      <c r="M149" s="13"/>
      <c r="N149" s="13"/>
      <c r="O149" s="13"/>
      <c r="P149" s="13"/>
      <c r="Q149" s="13"/>
      <c r="R149" s="13"/>
      <c r="S149" s="13"/>
      <c r="T149" s="13"/>
    </row>
    <row r="150" spans="2:20" x14ac:dyDescent="0.35">
      <c r="B150" s="13"/>
      <c r="C150" s="13"/>
      <c r="D150" s="13"/>
      <c r="E150" s="13"/>
      <c r="F150" s="13"/>
      <c r="G150" s="13"/>
      <c r="H150" s="13"/>
      <c r="I150" s="13"/>
      <c r="J150" s="13"/>
      <c r="K150" s="13"/>
      <c r="L150" s="13"/>
      <c r="M150" s="13"/>
      <c r="N150" s="13"/>
      <c r="O150" s="13"/>
      <c r="P150" s="13"/>
      <c r="Q150" s="13"/>
      <c r="R150" s="13"/>
      <c r="S150" s="13"/>
      <c r="T150" s="13"/>
    </row>
    <row r="151" spans="2:20" x14ac:dyDescent="0.35">
      <c r="B151" s="13"/>
      <c r="C151" s="13"/>
      <c r="D151" s="13"/>
      <c r="E151" s="13"/>
      <c r="F151" s="13"/>
      <c r="G151" s="13"/>
      <c r="H151" s="13"/>
      <c r="I151" s="13"/>
      <c r="J151" s="13"/>
      <c r="K151" s="13"/>
      <c r="L151" s="13"/>
      <c r="M151" s="13"/>
      <c r="N151" s="13"/>
      <c r="O151" s="13"/>
      <c r="P151" s="13"/>
      <c r="Q151" s="13"/>
      <c r="R151" s="13"/>
      <c r="S151" s="13"/>
      <c r="T151" s="13"/>
    </row>
    <row r="152" spans="2:20" x14ac:dyDescent="0.35">
      <c r="B152" s="13"/>
      <c r="C152" s="13"/>
      <c r="D152" s="13"/>
      <c r="E152" s="13"/>
      <c r="F152" s="13"/>
      <c r="G152" s="13"/>
      <c r="H152" s="13"/>
      <c r="I152" s="13"/>
      <c r="J152" s="13"/>
      <c r="K152" s="13"/>
      <c r="L152" s="13"/>
      <c r="M152" s="13"/>
      <c r="N152" s="13"/>
      <c r="O152" s="13"/>
      <c r="P152" s="13"/>
      <c r="Q152" s="13"/>
      <c r="R152" s="13"/>
      <c r="S152" s="13"/>
      <c r="T152" s="13"/>
    </row>
    <row r="153" spans="2:20" x14ac:dyDescent="0.35">
      <c r="B153" s="13"/>
      <c r="C153" s="13"/>
      <c r="D153" s="13"/>
      <c r="E153" s="13"/>
      <c r="F153" s="13"/>
      <c r="G153" s="13"/>
      <c r="H153" s="13"/>
      <c r="I153" s="13"/>
      <c r="J153" s="13"/>
      <c r="K153" s="13"/>
      <c r="L153" s="13"/>
      <c r="M153" s="13"/>
      <c r="N153" s="13"/>
      <c r="O153" s="13"/>
      <c r="P153" s="13"/>
      <c r="Q153" s="13"/>
      <c r="R153" s="13"/>
      <c r="S153" s="13"/>
      <c r="T153" s="13"/>
    </row>
    <row r="154" spans="2:20" x14ac:dyDescent="0.35">
      <c r="B154" s="13"/>
      <c r="C154" s="13"/>
      <c r="D154" s="13"/>
      <c r="E154" s="13"/>
      <c r="F154" s="13"/>
      <c r="G154" s="13"/>
      <c r="H154" s="13"/>
      <c r="I154" s="13"/>
      <c r="J154" s="13"/>
      <c r="K154" s="13"/>
      <c r="L154" s="13"/>
      <c r="M154" s="13"/>
      <c r="N154" s="13"/>
      <c r="O154" s="13"/>
      <c r="P154" s="13"/>
      <c r="Q154" s="13"/>
      <c r="R154" s="13"/>
      <c r="S154" s="13"/>
      <c r="T154" s="13"/>
    </row>
    <row r="155" spans="2:20" x14ac:dyDescent="0.35">
      <c r="B155" s="13"/>
      <c r="C155" s="13"/>
      <c r="D155" s="13"/>
      <c r="E155" s="13"/>
      <c r="F155" s="13"/>
      <c r="G155" s="13"/>
      <c r="H155" s="13"/>
      <c r="I155" s="13"/>
      <c r="J155" s="13"/>
      <c r="K155" s="13"/>
      <c r="L155" s="13"/>
      <c r="M155" s="13"/>
      <c r="N155" s="13"/>
      <c r="O155" s="13"/>
      <c r="P155" s="13"/>
      <c r="Q155" s="13"/>
      <c r="R155" s="13"/>
      <c r="S155" s="13"/>
      <c r="T155" s="13"/>
    </row>
    <row r="156" spans="2:20" x14ac:dyDescent="0.35">
      <c r="B156" s="13"/>
      <c r="C156" s="13"/>
      <c r="D156" s="13"/>
      <c r="E156" s="13"/>
      <c r="F156" s="13"/>
      <c r="G156" s="13"/>
      <c r="H156" s="13"/>
      <c r="I156" s="13"/>
      <c r="J156" s="13"/>
      <c r="K156" s="13"/>
      <c r="L156" s="13"/>
      <c r="M156" s="13"/>
      <c r="N156" s="13"/>
      <c r="O156" s="13"/>
      <c r="P156" s="13"/>
      <c r="Q156" s="13"/>
      <c r="R156" s="13"/>
      <c r="S156" s="13"/>
      <c r="T156" s="13"/>
    </row>
    <row r="157" spans="2:20" x14ac:dyDescent="0.35">
      <c r="B157" s="13"/>
      <c r="C157" s="13"/>
      <c r="D157" s="13"/>
      <c r="E157" s="13"/>
      <c r="F157" s="13"/>
      <c r="G157" s="13"/>
      <c r="H157" s="13"/>
      <c r="I157" s="13"/>
      <c r="J157" s="13"/>
      <c r="K157" s="13"/>
      <c r="L157" s="13"/>
      <c r="M157" s="13"/>
      <c r="N157" s="13"/>
      <c r="O157" s="13"/>
      <c r="P157" s="13"/>
      <c r="Q157" s="13"/>
      <c r="R157" s="13"/>
      <c r="S157" s="13"/>
      <c r="T157" s="13"/>
    </row>
    <row r="158" spans="2:20" x14ac:dyDescent="0.35">
      <c r="B158" s="13"/>
      <c r="C158" s="13"/>
      <c r="D158" s="13"/>
      <c r="E158" s="13"/>
      <c r="F158" s="13"/>
      <c r="G158" s="13"/>
      <c r="H158" s="13"/>
      <c r="I158" s="13"/>
      <c r="J158" s="13"/>
      <c r="K158" s="13"/>
      <c r="L158" s="13"/>
      <c r="M158" s="13"/>
      <c r="N158" s="13"/>
      <c r="O158" s="13"/>
      <c r="P158" s="13"/>
      <c r="Q158" s="13"/>
      <c r="R158" s="13"/>
      <c r="S158" s="13"/>
      <c r="T158" s="13"/>
    </row>
    <row r="159" spans="2:20" x14ac:dyDescent="0.35">
      <c r="B159" s="13"/>
      <c r="C159" s="13"/>
      <c r="D159" s="13"/>
      <c r="E159" s="13"/>
      <c r="F159" s="13"/>
      <c r="G159" s="13"/>
      <c r="H159" s="13"/>
      <c r="I159" s="13"/>
      <c r="J159" s="13"/>
      <c r="K159" s="13"/>
      <c r="L159" s="13"/>
      <c r="M159" s="13"/>
      <c r="N159" s="13"/>
      <c r="O159" s="13"/>
      <c r="P159" s="13"/>
      <c r="Q159" s="13"/>
      <c r="R159" s="13"/>
      <c r="S159" s="13"/>
      <c r="T159" s="13"/>
    </row>
    <row r="160" spans="2:20" x14ac:dyDescent="0.35">
      <c r="B160" s="13"/>
      <c r="C160" s="13"/>
      <c r="D160" s="13"/>
      <c r="E160" s="13"/>
      <c r="F160" s="13"/>
      <c r="G160" s="13"/>
      <c r="H160" s="13"/>
      <c r="I160" s="13"/>
      <c r="J160" s="13"/>
      <c r="K160" s="13"/>
      <c r="L160" s="13"/>
      <c r="M160" s="13"/>
      <c r="N160" s="13"/>
      <c r="O160" s="13"/>
      <c r="P160" s="13"/>
      <c r="Q160" s="13"/>
      <c r="R160" s="13"/>
      <c r="S160" s="13"/>
      <c r="T160" s="13"/>
    </row>
    <row r="161" spans="2:20" x14ac:dyDescent="0.35">
      <c r="B161" s="13"/>
      <c r="C161" s="13"/>
      <c r="D161" s="13"/>
      <c r="E161" s="13"/>
      <c r="F161" s="13"/>
      <c r="G161" s="13"/>
      <c r="H161" s="13"/>
      <c r="I161" s="13"/>
      <c r="J161" s="13"/>
      <c r="K161" s="13"/>
      <c r="L161" s="13"/>
      <c r="M161" s="13"/>
      <c r="N161" s="13"/>
      <c r="O161" s="13"/>
      <c r="P161" s="13"/>
      <c r="Q161" s="13"/>
      <c r="R161" s="13"/>
      <c r="S161" s="13"/>
      <c r="T161" s="13"/>
    </row>
    <row r="162" spans="2:20" x14ac:dyDescent="0.35">
      <c r="B162" s="13"/>
      <c r="C162" s="13"/>
      <c r="D162" s="13"/>
      <c r="E162" s="13"/>
      <c r="F162" s="13"/>
      <c r="G162" s="13"/>
      <c r="H162" s="13"/>
      <c r="I162" s="13"/>
      <c r="J162" s="13"/>
      <c r="K162" s="13"/>
      <c r="L162" s="13"/>
      <c r="M162" s="13"/>
      <c r="N162" s="13"/>
      <c r="O162" s="13"/>
      <c r="P162" s="13"/>
      <c r="Q162" s="13"/>
      <c r="R162" s="13"/>
      <c r="S162" s="13"/>
      <c r="T162" s="13"/>
    </row>
    <row r="163" spans="2:20" x14ac:dyDescent="0.35">
      <c r="B163" s="13"/>
      <c r="C163" s="13"/>
      <c r="D163" s="13"/>
      <c r="E163" s="13"/>
      <c r="F163" s="13"/>
      <c r="G163" s="13"/>
      <c r="H163" s="13"/>
      <c r="I163" s="13"/>
      <c r="J163" s="13"/>
      <c r="K163" s="13"/>
      <c r="L163" s="13"/>
      <c r="M163" s="13"/>
      <c r="N163" s="13"/>
      <c r="O163" s="13"/>
      <c r="P163" s="13"/>
      <c r="Q163" s="13"/>
      <c r="R163" s="13"/>
      <c r="S163" s="13"/>
      <c r="T163" s="13"/>
    </row>
    <row r="164" spans="2:20" x14ac:dyDescent="0.35">
      <c r="B164" s="13"/>
      <c r="C164" s="13"/>
      <c r="D164" s="13"/>
      <c r="E164" s="13"/>
      <c r="F164" s="13"/>
      <c r="G164" s="13"/>
      <c r="H164" s="13"/>
      <c r="I164" s="13"/>
      <c r="J164" s="13"/>
      <c r="K164" s="13"/>
      <c r="L164" s="13"/>
      <c r="M164" s="13"/>
      <c r="N164" s="13"/>
      <c r="O164" s="13"/>
      <c r="P164" s="13"/>
      <c r="Q164" s="13"/>
      <c r="R164" s="13"/>
      <c r="S164" s="13"/>
      <c r="T164" s="13"/>
    </row>
    <row r="165" spans="2:20" x14ac:dyDescent="0.35">
      <c r="B165" s="13"/>
      <c r="C165" s="13"/>
      <c r="D165" s="13"/>
      <c r="E165" s="13"/>
      <c r="F165" s="13"/>
      <c r="G165" s="13"/>
      <c r="H165" s="13"/>
      <c r="I165" s="13"/>
      <c r="J165" s="13"/>
      <c r="K165" s="13"/>
      <c r="L165" s="13"/>
      <c r="M165" s="13"/>
      <c r="N165" s="13"/>
      <c r="O165" s="13"/>
      <c r="P165" s="13"/>
      <c r="Q165" s="13"/>
      <c r="R165" s="13"/>
      <c r="S165" s="13"/>
      <c r="T165" s="13"/>
    </row>
    <row r="166" spans="2:20" x14ac:dyDescent="0.35">
      <c r="B166" s="13"/>
      <c r="C166" s="13"/>
      <c r="D166" s="13"/>
      <c r="E166" s="13"/>
      <c r="F166" s="13"/>
      <c r="G166" s="13"/>
      <c r="H166" s="13"/>
      <c r="I166" s="13"/>
      <c r="J166" s="13"/>
      <c r="K166" s="13"/>
      <c r="L166" s="13"/>
      <c r="M166" s="13"/>
      <c r="N166" s="13"/>
      <c r="O166" s="13"/>
      <c r="P166" s="13"/>
      <c r="Q166" s="13"/>
      <c r="R166" s="13"/>
      <c r="S166" s="13"/>
      <c r="T166" s="13"/>
    </row>
    <row r="167" spans="2:20" x14ac:dyDescent="0.35">
      <c r="B167" s="13"/>
      <c r="C167" s="13"/>
      <c r="D167" s="13"/>
      <c r="E167" s="13"/>
      <c r="F167" s="13"/>
      <c r="G167" s="13"/>
      <c r="H167" s="13"/>
      <c r="I167" s="13"/>
      <c r="J167" s="13"/>
      <c r="K167" s="13"/>
      <c r="L167" s="13"/>
      <c r="M167" s="13"/>
      <c r="N167" s="13"/>
      <c r="O167" s="13"/>
      <c r="P167" s="13"/>
      <c r="Q167" s="13"/>
      <c r="R167" s="13"/>
      <c r="S167" s="13"/>
      <c r="T167" s="13"/>
    </row>
    <row r="168" spans="2:20" x14ac:dyDescent="0.35">
      <c r="B168" s="13"/>
      <c r="C168" s="13"/>
      <c r="D168" s="13"/>
      <c r="E168" s="13"/>
      <c r="F168" s="13"/>
      <c r="G168" s="13"/>
      <c r="H168" s="13"/>
      <c r="I168" s="13"/>
      <c r="J168" s="13"/>
      <c r="K168" s="13"/>
      <c r="L168" s="13"/>
      <c r="M168" s="13"/>
      <c r="N168" s="13"/>
      <c r="O168" s="13"/>
      <c r="P168" s="13"/>
      <c r="Q168" s="13"/>
      <c r="R168" s="13"/>
      <c r="S168" s="13"/>
      <c r="T168" s="13"/>
    </row>
    <row r="169" spans="2:20" x14ac:dyDescent="0.35">
      <c r="B169" s="13"/>
      <c r="C169" s="13"/>
      <c r="D169" s="13"/>
      <c r="E169" s="13"/>
      <c r="F169" s="13"/>
      <c r="G169" s="13"/>
      <c r="H169" s="13"/>
      <c r="I169" s="13"/>
      <c r="J169" s="13"/>
      <c r="K169" s="13"/>
      <c r="L169" s="13"/>
      <c r="M169" s="13"/>
      <c r="N169" s="13"/>
      <c r="O169" s="13"/>
      <c r="P169" s="13"/>
      <c r="Q169" s="13"/>
      <c r="R169" s="13"/>
      <c r="S169" s="13"/>
      <c r="T169" s="13"/>
    </row>
    <row r="170" spans="2:20" x14ac:dyDescent="0.35">
      <c r="B170" s="13"/>
      <c r="C170" s="13"/>
      <c r="D170" s="13"/>
      <c r="E170" s="13"/>
      <c r="F170" s="13"/>
      <c r="G170" s="13"/>
      <c r="H170" s="13"/>
      <c r="I170" s="13"/>
      <c r="J170" s="13"/>
      <c r="K170" s="13"/>
      <c r="L170" s="13"/>
      <c r="M170" s="13"/>
      <c r="N170" s="13"/>
      <c r="O170" s="13"/>
      <c r="P170" s="13"/>
      <c r="Q170" s="13"/>
      <c r="R170" s="13"/>
      <c r="S170" s="13"/>
      <c r="T170" s="13"/>
    </row>
    <row r="171" spans="2:20" x14ac:dyDescent="0.35">
      <c r="B171" s="13"/>
      <c r="C171" s="13"/>
      <c r="D171" s="13"/>
      <c r="E171" s="13"/>
      <c r="F171" s="13"/>
      <c r="G171" s="13"/>
      <c r="H171" s="13"/>
      <c r="I171" s="13"/>
      <c r="J171" s="13"/>
      <c r="K171" s="13"/>
      <c r="L171" s="13"/>
      <c r="M171" s="13"/>
      <c r="N171" s="13"/>
      <c r="O171" s="13"/>
      <c r="P171" s="13"/>
      <c r="Q171" s="13"/>
      <c r="R171" s="13"/>
      <c r="S171" s="13"/>
      <c r="T171" s="13"/>
    </row>
    <row r="172" spans="2:20" x14ac:dyDescent="0.35">
      <c r="B172" s="13"/>
      <c r="C172" s="13"/>
      <c r="D172" s="13"/>
      <c r="E172" s="13"/>
      <c r="F172" s="13"/>
      <c r="G172" s="13"/>
      <c r="H172" s="13"/>
      <c r="I172" s="13"/>
      <c r="J172" s="13"/>
      <c r="K172" s="13"/>
      <c r="L172" s="13"/>
      <c r="M172" s="13"/>
      <c r="N172" s="13"/>
      <c r="O172" s="13"/>
      <c r="P172" s="13"/>
      <c r="Q172" s="13"/>
      <c r="R172" s="13"/>
      <c r="S172" s="13"/>
      <c r="T172" s="13"/>
    </row>
    <row r="173" spans="2:20" x14ac:dyDescent="0.35">
      <c r="B173" s="13"/>
      <c r="C173" s="13"/>
      <c r="D173" s="13"/>
      <c r="E173" s="13"/>
      <c r="F173" s="13"/>
      <c r="G173" s="13"/>
      <c r="H173" s="13"/>
      <c r="I173" s="13"/>
      <c r="J173" s="13"/>
      <c r="K173" s="13"/>
      <c r="L173" s="13"/>
      <c r="M173" s="13"/>
      <c r="N173" s="13"/>
      <c r="O173" s="13"/>
      <c r="P173" s="13"/>
      <c r="Q173" s="13"/>
      <c r="R173" s="13"/>
      <c r="S173" s="13"/>
      <c r="T173" s="13"/>
    </row>
    <row r="174" spans="2:20" x14ac:dyDescent="0.35">
      <c r="B174" s="13"/>
      <c r="C174" s="13"/>
      <c r="D174" s="13"/>
      <c r="E174" s="13"/>
      <c r="F174" s="13"/>
      <c r="G174" s="13"/>
      <c r="H174" s="13"/>
      <c r="I174" s="13"/>
      <c r="J174" s="13"/>
      <c r="K174" s="13"/>
      <c r="L174" s="13"/>
      <c r="M174" s="13"/>
      <c r="N174" s="13"/>
      <c r="O174" s="13"/>
      <c r="P174" s="13"/>
      <c r="Q174" s="13"/>
      <c r="R174" s="13"/>
      <c r="S174" s="13"/>
      <c r="T174" s="13"/>
    </row>
    <row r="175" spans="2:20" x14ac:dyDescent="0.35">
      <c r="B175" s="13"/>
      <c r="C175" s="13"/>
      <c r="D175" s="13"/>
      <c r="E175" s="13"/>
      <c r="F175" s="13"/>
      <c r="G175" s="13"/>
      <c r="H175" s="13"/>
      <c r="I175" s="13"/>
      <c r="J175" s="13"/>
      <c r="K175" s="13"/>
      <c r="L175" s="13"/>
      <c r="M175" s="13"/>
      <c r="N175" s="13"/>
      <c r="O175" s="13"/>
      <c r="P175" s="13"/>
      <c r="Q175" s="13"/>
      <c r="R175" s="13"/>
      <c r="S175" s="13"/>
      <c r="T175" s="13"/>
    </row>
    <row r="176" spans="2:20" x14ac:dyDescent="0.35">
      <c r="B176" s="13"/>
      <c r="C176" s="13"/>
      <c r="D176" s="13"/>
      <c r="E176" s="13"/>
      <c r="F176" s="13"/>
      <c r="G176" s="13"/>
      <c r="H176" s="13"/>
      <c r="I176" s="13"/>
      <c r="J176" s="13"/>
      <c r="K176" s="13"/>
      <c r="L176" s="13"/>
      <c r="M176" s="13"/>
      <c r="N176" s="13"/>
      <c r="O176" s="13"/>
      <c r="P176" s="13"/>
      <c r="Q176" s="13"/>
      <c r="R176" s="13"/>
      <c r="S176" s="13"/>
      <c r="T176" s="13"/>
    </row>
    <row r="177" spans="2:20" x14ac:dyDescent="0.35">
      <c r="B177" s="13"/>
      <c r="C177" s="13"/>
      <c r="D177" s="13"/>
      <c r="E177" s="13"/>
      <c r="F177" s="13"/>
      <c r="G177" s="13"/>
      <c r="H177" s="13"/>
      <c r="I177" s="13"/>
      <c r="J177" s="13"/>
      <c r="K177" s="13"/>
      <c r="L177" s="13"/>
      <c r="M177" s="13"/>
      <c r="N177" s="13"/>
      <c r="O177" s="13"/>
      <c r="P177" s="13"/>
      <c r="Q177" s="13"/>
      <c r="R177" s="13"/>
      <c r="S177" s="13"/>
      <c r="T177" s="13"/>
    </row>
    <row r="178" spans="2:20" x14ac:dyDescent="0.35">
      <c r="B178" s="13"/>
      <c r="C178" s="13"/>
      <c r="D178" s="13"/>
      <c r="E178" s="13"/>
      <c r="F178" s="13"/>
      <c r="G178" s="13"/>
      <c r="H178" s="13"/>
      <c r="I178" s="13"/>
      <c r="J178" s="13"/>
      <c r="K178" s="13"/>
      <c r="L178" s="13"/>
      <c r="M178" s="13"/>
      <c r="N178" s="13"/>
      <c r="O178" s="13"/>
      <c r="P178" s="13"/>
      <c r="Q178" s="13"/>
      <c r="R178" s="13"/>
      <c r="S178" s="13"/>
      <c r="T178" s="13"/>
    </row>
    <row r="179" spans="2:20" x14ac:dyDescent="0.35">
      <c r="B179" s="13"/>
      <c r="C179" s="13"/>
      <c r="D179" s="13"/>
      <c r="E179" s="13"/>
      <c r="F179" s="13"/>
      <c r="G179" s="13"/>
      <c r="H179" s="13"/>
      <c r="I179" s="13"/>
      <c r="J179" s="13"/>
      <c r="K179" s="13"/>
      <c r="L179" s="13"/>
      <c r="M179" s="13"/>
      <c r="N179" s="13"/>
      <c r="O179" s="13"/>
      <c r="P179" s="13"/>
      <c r="Q179" s="13"/>
      <c r="R179" s="13"/>
      <c r="S179" s="13"/>
      <c r="T179" s="13"/>
    </row>
    <row r="180" spans="2:20" x14ac:dyDescent="0.35">
      <c r="B180" s="13"/>
      <c r="C180" s="13"/>
      <c r="D180" s="13"/>
      <c r="E180" s="13"/>
      <c r="F180" s="13"/>
      <c r="G180" s="13"/>
      <c r="H180" s="13"/>
      <c r="I180" s="13"/>
      <c r="J180" s="13"/>
      <c r="K180" s="13"/>
      <c r="L180" s="13"/>
      <c r="M180" s="13"/>
      <c r="N180" s="13"/>
      <c r="O180" s="13"/>
      <c r="P180" s="13"/>
      <c r="Q180" s="13"/>
      <c r="R180" s="13"/>
      <c r="S180" s="13"/>
      <c r="T180" s="13"/>
    </row>
    <row r="181" spans="2:20" x14ac:dyDescent="0.35">
      <c r="B181" s="13"/>
      <c r="C181" s="13"/>
      <c r="D181" s="13"/>
      <c r="E181" s="13"/>
      <c r="F181" s="13"/>
      <c r="G181" s="13"/>
      <c r="H181" s="13"/>
      <c r="I181" s="13"/>
      <c r="J181" s="13"/>
      <c r="K181" s="13"/>
      <c r="L181" s="13"/>
      <c r="M181" s="13"/>
      <c r="N181" s="13"/>
      <c r="O181" s="13"/>
      <c r="P181" s="13"/>
      <c r="Q181" s="13"/>
      <c r="R181" s="13"/>
      <c r="S181" s="13"/>
      <c r="T181" s="13"/>
    </row>
    <row r="182" spans="2:20" x14ac:dyDescent="0.35">
      <c r="B182" s="13"/>
      <c r="C182" s="13"/>
      <c r="D182" s="13"/>
      <c r="E182" s="13"/>
      <c r="F182" s="13"/>
      <c r="G182" s="13"/>
      <c r="H182" s="13"/>
      <c r="I182" s="13"/>
      <c r="J182" s="13"/>
      <c r="K182" s="13"/>
      <c r="L182" s="13"/>
      <c r="M182" s="13"/>
      <c r="N182" s="13"/>
      <c r="O182" s="13"/>
      <c r="P182" s="13"/>
      <c r="Q182" s="13"/>
      <c r="R182" s="13"/>
      <c r="S182" s="13"/>
      <c r="T182" s="13"/>
    </row>
    <row r="183" spans="2:20" x14ac:dyDescent="0.35">
      <c r="B183" s="13"/>
      <c r="C183" s="13"/>
      <c r="D183" s="13"/>
      <c r="E183" s="13"/>
      <c r="F183" s="13"/>
      <c r="G183" s="13"/>
      <c r="H183" s="13"/>
      <c r="I183" s="13"/>
      <c r="J183" s="13"/>
      <c r="K183" s="13"/>
      <c r="L183" s="13"/>
      <c r="M183" s="13"/>
      <c r="N183" s="13"/>
      <c r="O183" s="13"/>
      <c r="P183" s="13"/>
      <c r="Q183" s="13"/>
      <c r="R183" s="13"/>
      <c r="S183" s="13"/>
      <c r="T183" s="13"/>
    </row>
    <row r="184" spans="2:20" x14ac:dyDescent="0.35">
      <c r="B184" s="13"/>
      <c r="C184" s="13"/>
      <c r="D184" s="13"/>
      <c r="E184" s="13"/>
      <c r="F184" s="13"/>
      <c r="G184" s="13"/>
      <c r="H184" s="13"/>
      <c r="I184" s="13"/>
      <c r="J184" s="13"/>
      <c r="K184" s="13"/>
      <c r="L184" s="13"/>
      <c r="M184" s="13"/>
      <c r="N184" s="13"/>
      <c r="O184" s="13"/>
      <c r="P184" s="13"/>
      <c r="Q184" s="13"/>
      <c r="R184" s="13"/>
      <c r="S184" s="13"/>
      <c r="T184" s="13"/>
    </row>
    <row r="185" spans="2:20" x14ac:dyDescent="0.35">
      <c r="B185" s="13"/>
      <c r="C185" s="13"/>
      <c r="D185" s="13"/>
      <c r="E185" s="13"/>
      <c r="F185" s="13"/>
      <c r="G185" s="13"/>
      <c r="H185" s="13"/>
      <c r="I185" s="13"/>
      <c r="J185" s="13"/>
      <c r="K185" s="13"/>
      <c r="L185" s="13"/>
      <c r="M185" s="13"/>
      <c r="N185" s="13"/>
      <c r="O185" s="13"/>
      <c r="P185" s="13"/>
      <c r="Q185" s="13"/>
      <c r="R185" s="13"/>
      <c r="S185" s="13"/>
      <c r="T185" s="13"/>
    </row>
    <row r="186" spans="2:20" x14ac:dyDescent="0.35">
      <c r="B186" s="13"/>
      <c r="C186" s="13"/>
      <c r="D186" s="13"/>
      <c r="E186" s="13"/>
      <c r="F186" s="13"/>
      <c r="G186" s="13"/>
      <c r="H186" s="13"/>
      <c r="I186" s="13"/>
      <c r="J186" s="13"/>
      <c r="K186" s="13"/>
      <c r="L186" s="13"/>
      <c r="M186" s="13"/>
      <c r="N186" s="13"/>
      <c r="O186" s="13"/>
      <c r="P186" s="13"/>
      <c r="Q186" s="13"/>
      <c r="R186" s="13"/>
      <c r="S186" s="13"/>
      <c r="T186" s="13"/>
    </row>
    <row r="187" spans="2:20" x14ac:dyDescent="0.35">
      <c r="B187" s="13"/>
      <c r="C187" s="13"/>
      <c r="D187" s="13"/>
      <c r="E187" s="13"/>
      <c r="F187" s="13"/>
      <c r="G187" s="13"/>
      <c r="H187" s="13"/>
      <c r="I187" s="13"/>
      <c r="J187" s="13"/>
      <c r="K187" s="13"/>
      <c r="L187" s="13"/>
      <c r="M187" s="13"/>
      <c r="N187" s="13"/>
      <c r="O187" s="13"/>
      <c r="P187" s="13"/>
      <c r="Q187" s="13"/>
      <c r="R187" s="13"/>
      <c r="S187" s="13"/>
      <c r="T187" s="13"/>
    </row>
    <row r="188" spans="2:20" x14ac:dyDescent="0.35">
      <c r="B188" s="13"/>
      <c r="C188" s="13"/>
      <c r="D188" s="13"/>
      <c r="E188" s="13"/>
      <c r="F188" s="13"/>
      <c r="G188" s="13"/>
      <c r="H188" s="13"/>
      <c r="I188" s="13"/>
      <c r="J188" s="13"/>
      <c r="K188" s="13"/>
      <c r="L188" s="13"/>
      <c r="M188" s="13"/>
      <c r="N188" s="13"/>
      <c r="O188" s="13"/>
      <c r="P188" s="13"/>
      <c r="Q188" s="13"/>
      <c r="R188" s="13"/>
      <c r="S188" s="13"/>
      <c r="T188" s="13"/>
    </row>
    <row r="189" spans="2:20" x14ac:dyDescent="0.35">
      <c r="B189" s="13"/>
      <c r="C189" s="13"/>
      <c r="D189" s="13"/>
      <c r="E189" s="13"/>
      <c r="F189" s="13"/>
      <c r="G189" s="13"/>
      <c r="H189" s="13"/>
      <c r="I189" s="13"/>
      <c r="J189" s="13"/>
      <c r="K189" s="13"/>
      <c r="L189" s="13"/>
      <c r="M189" s="13"/>
      <c r="N189" s="13"/>
      <c r="O189" s="13"/>
      <c r="P189" s="13"/>
      <c r="Q189" s="13"/>
      <c r="R189" s="13"/>
      <c r="S189" s="13"/>
      <c r="T189" s="13"/>
    </row>
    <row r="190" spans="2:20" x14ac:dyDescent="0.35">
      <c r="B190" s="13"/>
      <c r="C190" s="13"/>
      <c r="D190" s="13"/>
      <c r="E190" s="13"/>
      <c r="F190" s="13"/>
      <c r="G190" s="13"/>
      <c r="H190" s="13"/>
      <c r="I190" s="13"/>
      <c r="J190" s="13"/>
      <c r="K190" s="13"/>
      <c r="L190" s="13"/>
      <c r="M190" s="13"/>
      <c r="N190" s="13"/>
      <c r="O190" s="13"/>
      <c r="P190" s="13"/>
      <c r="Q190" s="13"/>
      <c r="R190" s="13"/>
      <c r="S190" s="13"/>
      <c r="T190" s="13"/>
    </row>
    <row r="191" spans="2:20" x14ac:dyDescent="0.35">
      <c r="B191" s="13"/>
      <c r="C191" s="13"/>
      <c r="D191" s="13"/>
      <c r="E191" s="13"/>
      <c r="F191" s="13"/>
      <c r="G191" s="13"/>
      <c r="H191" s="13"/>
      <c r="I191" s="13"/>
      <c r="J191" s="13"/>
      <c r="K191" s="13"/>
      <c r="L191" s="13"/>
      <c r="M191" s="13"/>
      <c r="N191" s="13"/>
      <c r="O191" s="13"/>
      <c r="P191" s="13"/>
      <c r="Q191" s="13"/>
      <c r="R191" s="13"/>
      <c r="S191" s="13"/>
      <c r="T191" s="13"/>
    </row>
    <row r="192" spans="2:20" x14ac:dyDescent="0.35">
      <c r="B192" s="13"/>
      <c r="C192" s="13"/>
      <c r="D192" s="13"/>
      <c r="E192" s="13"/>
      <c r="F192" s="13"/>
      <c r="G192" s="13"/>
      <c r="H192" s="13"/>
      <c r="I192" s="13"/>
      <c r="J192" s="13"/>
      <c r="K192" s="13"/>
      <c r="L192" s="13"/>
      <c r="M192" s="13"/>
      <c r="N192" s="13"/>
      <c r="O192" s="13"/>
      <c r="P192" s="13"/>
      <c r="Q192" s="13"/>
      <c r="R192" s="13"/>
      <c r="S192" s="13"/>
      <c r="T192" s="13"/>
    </row>
    <row r="193" spans="2:20" x14ac:dyDescent="0.35">
      <c r="B193" s="13"/>
      <c r="C193" s="13"/>
      <c r="D193" s="13"/>
      <c r="E193" s="13"/>
      <c r="F193" s="13"/>
      <c r="G193" s="13"/>
      <c r="H193" s="13"/>
      <c r="I193" s="13"/>
      <c r="J193" s="13"/>
      <c r="K193" s="13"/>
      <c r="L193" s="13"/>
      <c r="M193" s="13"/>
      <c r="N193" s="13"/>
      <c r="O193" s="13"/>
      <c r="P193" s="13"/>
      <c r="Q193" s="13"/>
      <c r="R193" s="13"/>
      <c r="S193" s="13"/>
      <c r="T193" s="13"/>
    </row>
    <row r="194" spans="2:20" x14ac:dyDescent="0.35">
      <c r="B194" s="13"/>
      <c r="C194" s="13"/>
      <c r="D194" s="13"/>
      <c r="E194" s="13"/>
      <c r="F194" s="13"/>
      <c r="G194" s="13"/>
      <c r="H194" s="13"/>
      <c r="I194" s="13"/>
      <c r="J194" s="13"/>
      <c r="K194" s="13"/>
      <c r="L194" s="13"/>
      <c r="M194" s="13"/>
      <c r="N194" s="13"/>
      <c r="O194" s="13"/>
      <c r="P194" s="13"/>
      <c r="Q194" s="13"/>
      <c r="R194" s="13"/>
      <c r="S194" s="13"/>
      <c r="T194" s="13"/>
    </row>
    <row r="195" spans="2:20" x14ac:dyDescent="0.35">
      <c r="B195" s="13"/>
      <c r="C195" s="13"/>
      <c r="D195" s="13"/>
      <c r="E195" s="13"/>
      <c r="F195" s="13"/>
      <c r="G195" s="13"/>
      <c r="H195" s="13"/>
      <c r="I195" s="13"/>
      <c r="J195" s="13"/>
      <c r="K195" s="13"/>
      <c r="L195" s="13"/>
      <c r="M195" s="13"/>
      <c r="N195" s="13"/>
      <c r="O195" s="13"/>
      <c r="P195" s="13"/>
      <c r="Q195" s="13"/>
      <c r="R195" s="13"/>
      <c r="S195" s="13"/>
      <c r="T195" s="13"/>
    </row>
    <row r="196" spans="2:20" x14ac:dyDescent="0.35">
      <c r="B196" s="13"/>
      <c r="C196" s="13"/>
      <c r="D196" s="13"/>
      <c r="E196" s="13"/>
      <c r="F196" s="13"/>
      <c r="G196" s="13"/>
      <c r="H196" s="13"/>
      <c r="I196" s="13"/>
      <c r="J196" s="13"/>
      <c r="K196" s="13"/>
      <c r="L196" s="13"/>
      <c r="M196" s="13"/>
      <c r="N196" s="13"/>
      <c r="O196" s="13"/>
      <c r="P196" s="13"/>
      <c r="Q196" s="13"/>
      <c r="R196" s="13"/>
      <c r="S196" s="13"/>
      <c r="T196" s="13"/>
    </row>
    <row r="197" spans="2:20" x14ac:dyDescent="0.35">
      <c r="B197" s="13"/>
      <c r="C197" s="13"/>
      <c r="D197" s="13"/>
      <c r="E197" s="13"/>
      <c r="F197" s="13"/>
      <c r="G197" s="13"/>
      <c r="H197" s="13"/>
      <c r="I197" s="13"/>
      <c r="J197" s="13"/>
      <c r="K197" s="13"/>
      <c r="L197" s="13"/>
      <c r="M197" s="13"/>
      <c r="N197" s="13"/>
      <c r="O197" s="13"/>
      <c r="P197" s="13"/>
      <c r="Q197" s="13"/>
      <c r="R197" s="13"/>
      <c r="S197" s="13"/>
      <c r="T197" s="13"/>
    </row>
    <row r="198" spans="2:20" x14ac:dyDescent="0.35">
      <c r="B198" s="13"/>
      <c r="C198" s="13"/>
      <c r="D198" s="13"/>
      <c r="E198" s="13"/>
      <c r="F198" s="13"/>
      <c r="G198" s="13"/>
      <c r="H198" s="13"/>
      <c r="I198" s="13"/>
      <c r="J198" s="13"/>
      <c r="K198" s="13"/>
      <c r="L198" s="13"/>
      <c r="M198" s="13"/>
      <c r="N198" s="13"/>
      <c r="O198" s="13"/>
      <c r="P198" s="13"/>
      <c r="Q198" s="13"/>
      <c r="R198" s="13"/>
      <c r="S198" s="13"/>
      <c r="T198" s="13"/>
    </row>
    <row r="199" spans="2:20" x14ac:dyDescent="0.35">
      <c r="B199" s="13"/>
      <c r="C199" s="13"/>
      <c r="D199" s="13"/>
      <c r="E199" s="13"/>
      <c r="F199" s="13"/>
      <c r="G199" s="13"/>
      <c r="H199" s="13"/>
      <c r="I199" s="13"/>
      <c r="J199" s="13"/>
      <c r="K199" s="13"/>
      <c r="L199" s="13"/>
      <c r="M199" s="13"/>
      <c r="N199" s="13"/>
      <c r="O199" s="13"/>
      <c r="P199" s="13"/>
      <c r="Q199" s="13"/>
      <c r="R199" s="13"/>
      <c r="S199" s="13"/>
      <c r="T199" s="13"/>
    </row>
    <row r="200" spans="2:20" x14ac:dyDescent="0.35">
      <c r="B200" s="13"/>
      <c r="C200" s="13"/>
      <c r="D200" s="13"/>
      <c r="E200" s="13"/>
      <c r="F200" s="13"/>
      <c r="G200" s="13"/>
      <c r="H200" s="13"/>
      <c r="I200" s="13"/>
      <c r="J200" s="13"/>
      <c r="K200" s="13"/>
      <c r="L200" s="13"/>
      <c r="M200" s="13"/>
      <c r="N200" s="13"/>
      <c r="O200" s="13"/>
      <c r="P200" s="13"/>
      <c r="Q200" s="13"/>
      <c r="R200" s="13"/>
      <c r="S200" s="13"/>
      <c r="T200" s="13"/>
    </row>
    <row r="201" spans="2:20" x14ac:dyDescent="0.35">
      <c r="B201" s="13"/>
      <c r="C201" s="13"/>
      <c r="D201" s="13"/>
      <c r="E201" s="13"/>
      <c r="F201" s="13"/>
      <c r="G201" s="13"/>
      <c r="H201" s="13"/>
      <c r="I201" s="13"/>
      <c r="J201" s="13"/>
      <c r="K201" s="13"/>
      <c r="L201" s="13"/>
      <c r="M201" s="13"/>
      <c r="N201" s="13"/>
      <c r="O201" s="13"/>
      <c r="P201" s="13"/>
      <c r="Q201" s="13"/>
      <c r="R201" s="13"/>
      <c r="S201" s="13"/>
      <c r="T201" s="13"/>
    </row>
    <row r="202" spans="2:20" x14ac:dyDescent="0.35">
      <c r="B202" s="13"/>
      <c r="C202" s="13"/>
      <c r="D202" s="13"/>
      <c r="E202" s="13"/>
      <c r="F202" s="13"/>
      <c r="G202" s="13"/>
      <c r="H202" s="13"/>
      <c r="I202" s="13"/>
      <c r="J202" s="13"/>
      <c r="K202" s="13"/>
      <c r="L202" s="13"/>
      <c r="M202" s="13"/>
      <c r="N202" s="13"/>
      <c r="O202" s="13"/>
      <c r="P202" s="13"/>
      <c r="Q202" s="13"/>
      <c r="R202" s="13"/>
      <c r="S202" s="13"/>
      <c r="T202" s="13"/>
    </row>
    <row r="203" spans="2:20" x14ac:dyDescent="0.35">
      <c r="B203" s="13"/>
      <c r="C203" s="13"/>
      <c r="D203" s="13"/>
      <c r="E203" s="13"/>
      <c r="F203" s="13"/>
      <c r="G203" s="13"/>
      <c r="H203" s="13"/>
      <c r="I203" s="13"/>
      <c r="J203" s="13"/>
      <c r="K203" s="13"/>
      <c r="L203" s="13"/>
      <c r="M203" s="13"/>
      <c r="N203" s="13"/>
      <c r="O203" s="13"/>
      <c r="P203" s="13"/>
      <c r="Q203" s="13"/>
      <c r="R203" s="13"/>
      <c r="S203" s="13"/>
      <c r="T203" s="13"/>
    </row>
    <row r="204" spans="2:20" x14ac:dyDescent="0.35">
      <c r="B204" s="13"/>
      <c r="C204" s="13"/>
      <c r="D204" s="13"/>
      <c r="E204" s="13"/>
      <c r="F204" s="13"/>
      <c r="G204" s="13"/>
      <c r="H204" s="13"/>
      <c r="I204" s="13"/>
      <c r="J204" s="13"/>
      <c r="K204" s="13"/>
      <c r="L204" s="13"/>
      <c r="M204" s="13"/>
      <c r="N204" s="13"/>
      <c r="O204" s="13"/>
      <c r="P204" s="13"/>
      <c r="Q204" s="13"/>
      <c r="R204" s="13"/>
      <c r="S204" s="13"/>
      <c r="T204" s="13"/>
    </row>
    <row r="205" spans="2:20" x14ac:dyDescent="0.35">
      <c r="B205" s="13"/>
      <c r="C205" s="13"/>
      <c r="D205" s="13"/>
      <c r="E205" s="13"/>
      <c r="F205" s="13"/>
      <c r="G205" s="13"/>
      <c r="H205" s="13"/>
      <c r="I205" s="13"/>
      <c r="J205" s="13"/>
      <c r="K205" s="13"/>
      <c r="L205" s="13"/>
      <c r="M205" s="13"/>
      <c r="N205" s="13"/>
      <c r="O205" s="13"/>
      <c r="P205" s="13"/>
      <c r="Q205" s="13"/>
      <c r="R205" s="13"/>
      <c r="S205" s="13"/>
      <c r="T205" s="13"/>
    </row>
    <row r="206" spans="2:20" x14ac:dyDescent="0.35">
      <c r="B206" s="13"/>
      <c r="C206" s="13"/>
      <c r="D206" s="13"/>
      <c r="E206" s="13"/>
      <c r="F206" s="13"/>
      <c r="G206" s="13"/>
      <c r="H206" s="13"/>
      <c r="I206" s="13"/>
      <c r="J206" s="13"/>
      <c r="K206" s="13"/>
      <c r="L206" s="13"/>
      <c r="M206" s="13"/>
      <c r="N206" s="13"/>
      <c r="O206" s="13"/>
      <c r="P206" s="13"/>
      <c r="Q206" s="13"/>
      <c r="R206" s="13"/>
      <c r="S206" s="13"/>
      <c r="T206" s="13"/>
    </row>
    <row r="207" spans="2:20" x14ac:dyDescent="0.35">
      <c r="B207" s="13"/>
      <c r="C207" s="13"/>
      <c r="D207" s="13"/>
      <c r="E207" s="13"/>
      <c r="F207" s="13"/>
      <c r="G207" s="13"/>
      <c r="H207" s="13"/>
      <c r="I207" s="13"/>
      <c r="J207" s="13"/>
      <c r="K207" s="13"/>
      <c r="L207" s="13"/>
      <c r="M207" s="13"/>
      <c r="N207" s="13"/>
      <c r="O207" s="13"/>
      <c r="P207" s="13"/>
      <c r="Q207" s="13"/>
      <c r="R207" s="13"/>
      <c r="S207" s="13"/>
      <c r="T207" s="13"/>
    </row>
    <row r="208" spans="2:20" x14ac:dyDescent="0.35">
      <c r="B208" s="13"/>
      <c r="C208" s="13"/>
      <c r="D208" s="13"/>
      <c r="E208" s="13"/>
      <c r="F208" s="13"/>
      <c r="G208" s="13"/>
      <c r="H208" s="13"/>
      <c r="I208" s="13"/>
      <c r="J208" s="13"/>
      <c r="K208" s="13"/>
      <c r="L208" s="13"/>
      <c r="M208" s="13"/>
      <c r="N208" s="13"/>
      <c r="O208" s="13"/>
      <c r="P208" s="13"/>
      <c r="Q208" s="13"/>
      <c r="R208" s="13"/>
      <c r="S208" s="13"/>
      <c r="T208" s="13"/>
    </row>
    <row r="209" spans="2:20" x14ac:dyDescent="0.35">
      <c r="B209" s="13"/>
      <c r="C209" s="13"/>
      <c r="D209" s="13"/>
      <c r="E209" s="13"/>
      <c r="F209" s="13"/>
      <c r="G209" s="13"/>
      <c r="H209" s="13"/>
      <c r="I209" s="13"/>
      <c r="J209" s="13"/>
      <c r="K209" s="13"/>
      <c r="L209" s="13"/>
      <c r="M209" s="13"/>
      <c r="N209" s="13"/>
      <c r="O209" s="13"/>
      <c r="P209" s="13"/>
      <c r="Q209" s="13"/>
      <c r="R209" s="13"/>
      <c r="S209" s="13"/>
      <c r="T209" s="13"/>
    </row>
    <row r="210" spans="2:20" x14ac:dyDescent="0.35">
      <c r="B210" s="13"/>
      <c r="C210" s="13"/>
      <c r="D210" s="13"/>
      <c r="E210" s="13"/>
      <c r="F210" s="13"/>
      <c r="G210" s="13"/>
      <c r="H210" s="13"/>
      <c r="I210" s="13"/>
      <c r="J210" s="13"/>
      <c r="K210" s="13"/>
      <c r="L210" s="13"/>
      <c r="M210" s="13"/>
      <c r="N210" s="13"/>
      <c r="O210" s="13"/>
      <c r="P210" s="13"/>
      <c r="Q210" s="13"/>
      <c r="R210" s="13"/>
      <c r="S210" s="13"/>
      <c r="T210" s="13"/>
    </row>
    <row r="211" spans="2:20" x14ac:dyDescent="0.35">
      <c r="B211" s="13"/>
      <c r="C211" s="13"/>
      <c r="D211" s="13"/>
      <c r="E211" s="13"/>
      <c r="F211" s="13"/>
      <c r="G211" s="13"/>
      <c r="H211" s="13"/>
      <c r="I211" s="13"/>
      <c r="J211" s="13"/>
      <c r="K211" s="13"/>
      <c r="L211" s="13"/>
      <c r="M211" s="13"/>
      <c r="N211" s="13"/>
      <c r="O211" s="13"/>
      <c r="P211" s="13"/>
      <c r="Q211" s="13"/>
      <c r="R211" s="13"/>
      <c r="S211" s="13"/>
      <c r="T211" s="13"/>
    </row>
    <row r="212" spans="2:20" x14ac:dyDescent="0.35">
      <c r="B212" s="13"/>
      <c r="C212" s="13"/>
      <c r="D212" s="13"/>
      <c r="E212" s="13"/>
      <c r="F212" s="13"/>
      <c r="G212" s="13"/>
      <c r="H212" s="13"/>
      <c r="I212" s="13"/>
      <c r="J212" s="13"/>
      <c r="K212" s="13"/>
      <c r="L212" s="13"/>
      <c r="M212" s="13"/>
      <c r="N212" s="13"/>
      <c r="O212" s="13"/>
      <c r="P212" s="13"/>
      <c r="Q212" s="13"/>
      <c r="R212" s="13"/>
      <c r="S212" s="13"/>
      <c r="T212" s="13"/>
    </row>
    <row r="213" spans="2:20" x14ac:dyDescent="0.35">
      <c r="B213" s="13"/>
      <c r="C213" s="13"/>
      <c r="D213" s="13"/>
      <c r="E213" s="13"/>
      <c r="F213" s="13"/>
      <c r="G213" s="13"/>
      <c r="H213" s="13"/>
      <c r="I213" s="13"/>
      <c r="J213" s="13"/>
      <c r="K213" s="13"/>
      <c r="L213" s="13"/>
      <c r="M213" s="13"/>
      <c r="N213" s="13"/>
      <c r="O213" s="13"/>
      <c r="P213" s="13"/>
      <c r="Q213" s="13"/>
      <c r="R213" s="13"/>
      <c r="S213" s="13"/>
      <c r="T213" s="13"/>
    </row>
    <row r="214" spans="2:20" x14ac:dyDescent="0.35">
      <c r="B214" s="13"/>
      <c r="C214" s="13"/>
      <c r="D214" s="13"/>
      <c r="E214" s="13"/>
      <c r="F214" s="13"/>
      <c r="G214" s="13"/>
      <c r="H214" s="13"/>
      <c r="I214" s="13"/>
      <c r="J214" s="13"/>
      <c r="K214" s="13"/>
      <c r="L214" s="13"/>
      <c r="M214" s="13"/>
      <c r="N214" s="13"/>
      <c r="O214" s="13"/>
      <c r="P214" s="13"/>
      <c r="Q214" s="13"/>
      <c r="R214" s="13"/>
      <c r="S214" s="13"/>
      <c r="T214" s="13"/>
    </row>
    <row r="215" spans="2:20" x14ac:dyDescent="0.35">
      <c r="B215" s="13"/>
      <c r="C215" s="13"/>
      <c r="D215" s="13"/>
      <c r="E215" s="13"/>
      <c r="F215" s="13"/>
      <c r="G215" s="13"/>
      <c r="H215" s="13"/>
      <c r="I215" s="13"/>
      <c r="J215" s="13"/>
      <c r="K215" s="13"/>
      <c r="L215" s="13"/>
      <c r="M215" s="13"/>
      <c r="N215" s="13"/>
      <c r="O215" s="13"/>
      <c r="P215" s="13"/>
      <c r="Q215" s="13"/>
      <c r="R215" s="13"/>
      <c r="S215" s="13"/>
      <c r="T215" s="13"/>
    </row>
    <row r="216" spans="2:20" x14ac:dyDescent="0.35">
      <c r="B216" s="13"/>
      <c r="C216" s="13"/>
      <c r="D216" s="13"/>
      <c r="E216" s="13"/>
      <c r="F216" s="13"/>
      <c r="G216" s="13"/>
      <c r="H216" s="13"/>
      <c r="I216" s="13"/>
      <c r="J216" s="13"/>
      <c r="K216" s="13"/>
      <c r="L216" s="13"/>
      <c r="M216" s="13"/>
      <c r="N216" s="13"/>
      <c r="O216" s="13"/>
      <c r="P216" s="13"/>
      <c r="Q216" s="13"/>
      <c r="R216" s="13"/>
      <c r="S216" s="13"/>
      <c r="T216" s="13"/>
    </row>
    <row r="217" spans="2:20" x14ac:dyDescent="0.35">
      <c r="B217" s="13"/>
      <c r="C217" s="13"/>
      <c r="D217" s="13"/>
      <c r="E217" s="13"/>
      <c r="F217" s="13"/>
      <c r="G217" s="13"/>
      <c r="H217" s="13"/>
      <c r="I217" s="13"/>
      <c r="J217" s="13"/>
      <c r="K217" s="13"/>
      <c r="L217" s="13"/>
      <c r="M217" s="13"/>
      <c r="N217" s="13"/>
      <c r="O217" s="13"/>
      <c r="P217" s="13"/>
      <c r="Q217" s="13"/>
      <c r="R217" s="13"/>
      <c r="S217" s="13"/>
      <c r="T217" s="13"/>
    </row>
    <row r="218" spans="2:20" x14ac:dyDescent="0.35">
      <c r="B218" s="13"/>
      <c r="C218" s="13"/>
      <c r="D218" s="13"/>
      <c r="E218" s="13"/>
      <c r="F218" s="13"/>
      <c r="G218" s="13"/>
      <c r="H218" s="13"/>
      <c r="I218" s="13"/>
      <c r="J218" s="13"/>
      <c r="K218" s="13"/>
      <c r="L218" s="13"/>
      <c r="M218" s="13"/>
      <c r="N218" s="13"/>
      <c r="O218" s="13"/>
      <c r="P218" s="13"/>
      <c r="Q218" s="13"/>
      <c r="R218" s="13"/>
      <c r="S218" s="13"/>
      <c r="T218" s="13"/>
    </row>
    <row r="219" spans="2:20" x14ac:dyDescent="0.35">
      <c r="B219" s="13"/>
      <c r="C219" s="13"/>
      <c r="D219" s="13"/>
      <c r="E219" s="13"/>
      <c r="F219" s="13"/>
      <c r="G219" s="13"/>
      <c r="H219" s="13"/>
      <c r="I219" s="13"/>
      <c r="J219" s="13"/>
      <c r="K219" s="13"/>
      <c r="L219" s="13"/>
      <c r="M219" s="13"/>
      <c r="N219" s="13"/>
      <c r="O219" s="13"/>
      <c r="P219" s="13"/>
      <c r="Q219" s="13"/>
      <c r="R219" s="13"/>
      <c r="S219" s="13"/>
      <c r="T219" s="13"/>
    </row>
    <row r="220" spans="2:20" x14ac:dyDescent="0.35">
      <c r="B220" s="13"/>
      <c r="C220" s="13"/>
      <c r="D220" s="13"/>
      <c r="E220" s="13"/>
      <c r="F220" s="13"/>
      <c r="G220" s="13"/>
      <c r="H220" s="13"/>
      <c r="I220" s="13"/>
      <c r="J220" s="13"/>
      <c r="K220" s="13"/>
      <c r="L220" s="13"/>
      <c r="M220" s="13"/>
      <c r="N220" s="13"/>
      <c r="O220" s="13"/>
      <c r="P220" s="13"/>
      <c r="Q220" s="13"/>
      <c r="R220" s="13"/>
      <c r="S220" s="13"/>
      <c r="T220" s="13"/>
    </row>
    <row r="221" spans="2:20" x14ac:dyDescent="0.35">
      <c r="B221" s="13"/>
      <c r="C221" s="13"/>
      <c r="D221" s="13"/>
      <c r="E221" s="13"/>
      <c r="F221" s="13"/>
      <c r="G221" s="13"/>
      <c r="H221" s="13"/>
      <c r="I221" s="13"/>
      <c r="J221" s="13"/>
      <c r="K221" s="13"/>
      <c r="L221" s="13"/>
      <c r="M221" s="13"/>
      <c r="N221" s="13"/>
      <c r="O221" s="13"/>
      <c r="P221" s="13"/>
      <c r="Q221" s="13"/>
      <c r="R221" s="13"/>
      <c r="S221" s="13"/>
      <c r="T221" s="13"/>
    </row>
    <row r="222" spans="2:20" x14ac:dyDescent="0.35">
      <c r="B222" s="13"/>
      <c r="C222" s="13"/>
      <c r="D222" s="13"/>
      <c r="E222" s="13"/>
      <c r="F222" s="13"/>
      <c r="G222" s="13"/>
      <c r="H222" s="13"/>
      <c r="I222" s="13"/>
      <c r="J222" s="13"/>
      <c r="K222" s="13"/>
      <c r="L222" s="13"/>
      <c r="M222" s="13"/>
      <c r="N222" s="13"/>
      <c r="O222" s="13"/>
      <c r="P222" s="13"/>
      <c r="Q222" s="13"/>
      <c r="R222" s="13"/>
      <c r="S222" s="13"/>
      <c r="T222" s="13"/>
    </row>
    <row r="223" spans="2:20" x14ac:dyDescent="0.35">
      <c r="B223" s="13"/>
      <c r="C223" s="13"/>
      <c r="D223" s="13"/>
      <c r="E223" s="13"/>
      <c r="F223" s="13"/>
      <c r="G223" s="13"/>
      <c r="H223" s="13"/>
      <c r="I223" s="13"/>
      <c r="J223" s="13"/>
      <c r="K223" s="13"/>
      <c r="L223" s="13"/>
      <c r="M223" s="13"/>
      <c r="N223" s="13"/>
      <c r="O223" s="13"/>
      <c r="P223" s="13"/>
      <c r="Q223" s="13"/>
      <c r="R223" s="13"/>
      <c r="S223" s="13"/>
      <c r="T223" s="13"/>
    </row>
    <row r="224" spans="2:20" x14ac:dyDescent="0.35">
      <c r="B224" s="13"/>
      <c r="C224" s="13"/>
      <c r="D224" s="13"/>
      <c r="E224" s="13"/>
      <c r="F224" s="13"/>
      <c r="G224" s="13"/>
      <c r="H224" s="13"/>
      <c r="I224" s="13"/>
      <c r="J224" s="13"/>
      <c r="K224" s="13"/>
      <c r="L224" s="13"/>
      <c r="M224" s="13"/>
      <c r="N224" s="13"/>
      <c r="O224" s="13"/>
      <c r="P224" s="13"/>
      <c r="Q224" s="13"/>
      <c r="R224" s="13"/>
      <c r="S224" s="13"/>
      <c r="T224" s="13"/>
    </row>
    <row r="225" spans="2:20" x14ac:dyDescent="0.35">
      <c r="B225" s="13"/>
      <c r="C225" s="13"/>
      <c r="D225" s="13"/>
      <c r="E225" s="13"/>
      <c r="F225" s="13"/>
      <c r="G225" s="13"/>
      <c r="H225" s="13"/>
      <c r="I225" s="13"/>
      <c r="J225" s="13"/>
      <c r="K225" s="13"/>
      <c r="L225" s="13"/>
      <c r="M225" s="13"/>
      <c r="N225" s="13"/>
      <c r="O225" s="13"/>
      <c r="P225" s="13"/>
      <c r="Q225" s="13"/>
      <c r="R225" s="13"/>
      <c r="S225" s="13"/>
      <c r="T225" s="13"/>
    </row>
    <row r="226" spans="2:20" x14ac:dyDescent="0.35">
      <c r="B226" s="13"/>
      <c r="C226" s="13"/>
      <c r="D226" s="13"/>
      <c r="E226" s="13"/>
      <c r="F226" s="13"/>
      <c r="G226" s="13"/>
      <c r="H226" s="13"/>
      <c r="I226" s="13"/>
      <c r="J226" s="13"/>
      <c r="K226" s="13"/>
      <c r="L226" s="13"/>
      <c r="M226" s="13"/>
      <c r="N226" s="13"/>
      <c r="O226" s="13"/>
      <c r="P226" s="13"/>
      <c r="Q226" s="13"/>
      <c r="R226" s="13"/>
      <c r="S226" s="13"/>
      <c r="T226" s="13"/>
    </row>
    <row r="227" spans="2:20" x14ac:dyDescent="0.35">
      <c r="B227" s="13"/>
      <c r="C227" s="13"/>
      <c r="D227" s="13"/>
      <c r="E227" s="13"/>
      <c r="F227" s="13"/>
      <c r="G227" s="13"/>
      <c r="H227" s="13"/>
      <c r="I227" s="13"/>
      <c r="J227" s="13"/>
      <c r="K227" s="13"/>
      <c r="L227" s="13"/>
      <c r="M227" s="13"/>
      <c r="N227" s="13"/>
      <c r="O227" s="13"/>
      <c r="P227" s="13"/>
      <c r="Q227" s="13"/>
      <c r="R227" s="13"/>
      <c r="S227" s="13"/>
      <c r="T227" s="13"/>
    </row>
    <row r="228" spans="2:20" x14ac:dyDescent="0.35">
      <c r="B228" s="13"/>
      <c r="C228" s="13"/>
      <c r="D228" s="13"/>
      <c r="E228" s="13"/>
      <c r="F228" s="13"/>
      <c r="G228" s="13"/>
      <c r="H228" s="13"/>
      <c r="I228" s="13"/>
      <c r="J228" s="13"/>
      <c r="K228" s="13"/>
      <c r="L228" s="13"/>
      <c r="M228" s="13"/>
      <c r="N228" s="13"/>
      <c r="O228" s="13"/>
      <c r="P228" s="13"/>
      <c r="Q228" s="13"/>
      <c r="R228" s="13"/>
      <c r="S228" s="13"/>
      <c r="T228" s="13"/>
    </row>
    <row r="229" spans="2:20" x14ac:dyDescent="0.35">
      <c r="B229" s="13"/>
      <c r="C229" s="13"/>
      <c r="D229" s="13"/>
      <c r="E229" s="13"/>
      <c r="F229" s="13"/>
      <c r="G229" s="13"/>
      <c r="H229" s="13"/>
      <c r="I229" s="13"/>
      <c r="J229" s="13"/>
      <c r="K229" s="13"/>
      <c r="L229" s="13"/>
      <c r="M229" s="13"/>
      <c r="N229" s="13"/>
      <c r="O229" s="13"/>
      <c r="P229" s="13"/>
      <c r="Q229" s="13"/>
      <c r="R229" s="13"/>
      <c r="S229" s="13"/>
      <c r="T229" s="13"/>
    </row>
    <row r="230" spans="2:20" x14ac:dyDescent="0.35">
      <c r="B230" s="13"/>
      <c r="C230" s="13"/>
      <c r="D230" s="13"/>
      <c r="E230" s="13"/>
      <c r="F230" s="13"/>
      <c r="G230" s="13"/>
      <c r="H230" s="13"/>
      <c r="I230" s="13"/>
      <c r="J230" s="13"/>
      <c r="K230" s="13"/>
      <c r="L230" s="13"/>
      <c r="M230" s="13"/>
      <c r="N230" s="13"/>
      <c r="O230" s="13"/>
      <c r="P230" s="13"/>
      <c r="Q230" s="13"/>
      <c r="R230" s="13"/>
      <c r="S230" s="13"/>
      <c r="T230" s="13"/>
    </row>
    <row r="231" spans="2:20" x14ac:dyDescent="0.35">
      <c r="B231" s="13"/>
      <c r="C231" s="13"/>
      <c r="D231" s="13"/>
      <c r="E231" s="13"/>
      <c r="F231" s="13"/>
      <c r="G231" s="13"/>
      <c r="H231" s="13"/>
      <c r="I231" s="13"/>
      <c r="J231" s="13"/>
      <c r="K231" s="13"/>
      <c r="L231" s="13"/>
      <c r="M231" s="13"/>
      <c r="N231" s="13"/>
      <c r="O231" s="13"/>
      <c r="P231" s="13"/>
      <c r="Q231" s="13"/>
      <c r="R231" s="13"/>
      <c r="S231" s="13"/>
      <c r="T231" s="13"/>
    </row>
    <row r="232" spans="2:20" x14ac:dyDescent="0.35">
      <c r="B232" s="13"/>
      <c r="C232" s="13"/>
      <c r="D232" s="13"/>
      <c r="E232" s="13"/>
      <c r="F232" s="13"/>
      <c r="G232" s="13"/>
      <c r="H232" s="13"/>
      <c r="I232" s="13"/>
      <c r="J232" s="13"/>
      <c r="K232" s="13"/>
      <c r="L232" s="13"/>
      <c r="M232" s="13"/>
      <c r="N232" s="13"/>
      <c r="O232" s="13"/>
      <c r="P232" s="13"/>
      <c r="Q232" s="13"/>
      <c r="R232" s="13"/>
      <c r="S232" s="13"/>
      <c r="T232" s="13"/>
    </row>
    <row r="233" spans="2:20" x14ac:dyDescent="0.35">
      <c r="B233" s="13"/>
      <c r="C233" s="13"/>
      <c r="D233" s="13"/>
      <c r="E233" s="13"/>
      <c r="F233" s="13"/>
      <c r="G233" s="13"/>
      <c r="H233" s="13"/>
      <c r="I233" s="13"/>
      <c r="J233" s="13"/>
      <c r="K233" s="13"/>
      <c r="L233" s="13"/>
      <c r="M233" s="13"/>
      <c r="N233" s="13"/>
      <c r="O233" s="13"/>
      <c r="P233" s="13"/>
      <c r="Q233" s="13"/>
      <c r="R233" s="13"/>
      <c r="S233" s="13"/>
      <c r="T233" s="13"/>
    </row>
    <row r="234" spans="2:20" x14ac:dyDescent="0.35">
      <c r="B234" s="13"/>
      <c r="C234" s="13"/>
      <c r="D234" s="13"/>
      <c r="E234" s="13"/>
      <c r="F234" s="13"/>
      <c r="G234" s="13"/>
      <c r="H234" s="13"/>
      <c r="I234" s="13"/>
      <c r="J234" s="13"/>
      <c r="K234" s="13"/>
      <c r="L234" s="13"/>
      <c r="M234" s="13"/>
      <c r="N234" s="13"/>
      <c r="O234" s="13"/>
      <c r="P234" s="13"/>
      <c r="Q234" s="13"/>
      <c r="R234" s="13"/>
      <c r="S234" s="13"/>
      <c r="T234" s="13"/>
    </row>
    <row r="235" spans="2:20" x14ac:dyDescent="0.35">
      <c r="B235" s="13"/>
      <c r="C235" s="13"/>
      <c r="D235" s="13"/>
      <c r="E235" s="13"/>
      <c r="F235" s="13"/>
      <c r="G235" s="13"/>
      <c r="H235" s="13"/>
      <c r="I235" s="13"/>
      <c r="J235" s="13"/>
      <c r="K235" s="13"/>
      <c r="L235" s="13"/>
      <c r="M235" s="13"/>
      <c r="N235" s="13"/>
      <c r="O235" s="13"/>
      <c r="P235" s="13"/>
      <c r="Q235" s="13"/>
      <c r="R235" s="13"/>
      <c r="S235" s="13"/>
      <c r="T235" s="13"/>
    </row>
    <row r="236" spans="2:20" x14ac:dyDescent="0.35">
      <c r="B236" s="13"/>
      <c r="C236" s="13"/>
      <c r="D236" s="13"/>
      <c r="E236" s="13"/>
      <c r="F236" s="13"/>
      <c r="G236" s="13"/>
      <c r="H236" s="13"/>
      <c r="I236" s="13"/>
      <c r="J236" s="13"/>
      <c r="K236" s="13"/>
      <c r="L236" s="13"/>
      <c r="M236" s="13"/>
      <c r="N236" s="13"/>
      <c r="O236" s="13"/>
      <c r="P236" s="13"/>
      <c r="Q236" s="13"/>
      <c r="R236" s="13"/>
      <c r="S236" s="13"/>
      <c r="T236" s="13"/>
    </row>
    <row r="237" spans="2:20" x14ac:dyDescent="0.35">
      <c r="B237" s="13"/>
      <c r="C237" s="13"/>
      <c r="D237" s="13"/>
      <c r="E237" s="13"/>
      <c r="F237" s="13"/>
      <c r="G237" s="13"/>
      <c r="H237" s="13"/>
      <c r="I237" s="13"/>
      <c r="J237" s="13"/>
      <c r="K237" s="13"/>
      <c r="L237" s="13"/>
      <c r="M237" s="13"/>
      <c r="N237" s="13"/>
      <c r="O237" s="13"/>
      <c r="P237" s="13"/>
      <c r="Q237" s="13"/>
      <c r="R237" s="13"/>
      <c r="S237" s="13"/>
      <c r="T237" s="13"/>
    </row>
    <row r="238" spans="2:20" x14ac:dyDescent="0.35">
      <c r="B238" s="13"/>
      <c r="C238" s="13"/>
      <c r="D238" s="13"/>
      <c r="E238" s="13"/>
      <c r="F238" s="13"/>
      <c r="G238" s="13"/>
      <c r="H238" s="13"/>
      <c r="I238" s="13"/>
      <c r="J238" s="13"/>
      <c r="K238" s="13"/>
      <c r="L238" s="13"/>
      <c r="M238" s="13"/>
      <c r="N238" s="13"/>
      <c r="O238" s="13"/>
      <c r="P238" s="13"/>
      <c r="Q238" s="13"/>
      <c r="R238" s="13"/>
      <c r="S238" s="13"/>
      <c r="T238" s="13"/>
    </row>
    <row r="239" spans="2:20" x14ac:dyDescent="0.35">
      <c r="B239" s="13"/>
      <c r="C239" s="13"/>
      <c r="D239" s="13"/>
      <c r="E239" s="13"/>
      <c r="F239" s="13"/>
      <c r="G239" s="13"/>
      <c r="H239" s="13"/>
      <c r="I239" s="13"/>
      <c r="J239" s="13"/>
      <c r="K239" s="13"/>
      <c r="L239" s="13"/>
      <c r="M239" s="13"/>
      <c r="N239" s="13"/>
      <c r="O239" s="13"/>
      <c r="P239" s="13"/>
      <c r="Q239" s="13"/>
      <c r="R239" s="13"/>
      <c r="S239" s="13"/>
      <c r="T239" s="13"/>
    </row>
    <row r="240" spans="2:20" x14ac:dyDescent="0.35">
      <c r="B240" s="13"/>
      <c r="C240" s="13"/>
      <c r="D240" s="13"/>
      <c r="E240" s="13"/>
      <c r="F240" s="13"/>
      <c r="G240" s="13"/>
      <c r="H240" s="13"/>
      <c r="I240" s="13"/>
      <c r="J240" s="13"/>
      <c r="K240" s="13"/>
      <c r="L240" s="13"/>
      <c r="M240" s="13"/>
      <c r="N240" s="13"/>
      <c r="O240" s="13"/>
      <c r="P240" s="13"/>
      <c r="Q240" s="13"/>
      <c r="R240" s="13"/>
      <c r="S240" s="13"/>
      <c r="T240" s="13"/>
    </row>
    <row r="241" spans="2:20" x14ac:dyDescent="0.35">
      <c r="B241" s="13"/>
      <c r="C241" s="13"/>
      <c r="D241" s="13"/>
      <c r="E241" s="13"/>
      <c r="F241" s="13"/>
      <c r="G241" s="13"/>
      <c r="H241" s="13"/>
      <c r="I241" s="13"/>
      <c r="J241" s="13"/>
      <c r="K241" s="13"/>
      <c r="L241" s="13"/>
      <c r="M241" s="13"/>
      <c r="N241" s="13"/>
      <c r="O241" s="13"/>
      <c r="P241" s="13"/>
      <c r="Q241" s="13"/>
      <c r="R241" s="13"/>
      <c r="S241" s="13"/>
      <c r="T241" s="13"/>
    </row>
    <row r="242" spans="2:20" x14ac:dyDescent="0.35">
      <c r="B242" s="13"/>
      <c r="C242" s="13"/>
      <c r="D242" s="13"/>
      <c r="E242" s="13"/>
      <c r="F242" s="13"/>
      <c r="G242" s="13"/>
      <c r="H242" s="13"/>
      <c r="I242" s="13"/>
      <c r="J242" s="13"/>
      <c r="K242" s="13"/>
      <c r="L242" s="13"/>
      <c r="M242" s="13"/>
      <c r="N242" s="13"/>
      <c r="O242" s="13"/>
      <c r="P242" s="13"/>
      <c r="Q242" s="13"/>
      <c r="R242" s="13"/>
      <c r="S242" s="13"/>
      <c r="T242" s="13"/>
    </row>
    <row r="243" spans="2:20" x14ac:dyDescent="0.35">
      <c r="B243" s="13"/>
      <c r="C243" s="13"/>
      <c r="D243" s="13"/>
      <c r="E243" s="13"/>
      <c r="F243" s="13"/>
      <c r="G243" s="13"/>
      <c r="H243" s="13"/>
      <c r="I243" s="13"/>
      <c r="J243" s="13"/>
      <c r="K243" s="13"/>
      <c r="L243" s="13"/>
      <c r="M243" s="13"/>
      <c r="N243" s="13"/>
      <c r="O243" s="13"/>
      <c r="P243" s="13"/>
      <c r="Q243" s="13"/>
      <c r="R243" s="13"/>
      <c r="S243" s="13"/>
      <c r="T243" s="13"/>
    </row>
    <row r="244" spans="2:20" x14ac:dyDescent="0.35">
      <c r="B244" s="13"/>
      <c r="C244" s="13"/>
      <c r="D244" s="13"/>
      <c r="E244" s="13"/>
      <c r="F244" s="13"/>
      <c r="G244" s="13"/>
      <c r="H244" s="13"/>
      <c r="I244" s="13"/>
      <c r="J244" s="13"/>
      <c r="K244" s="13"/>
      <c r="L244" s="13"/>
      <c r="M244" s="13"/>
      <c r="N244" s="13"/>
      <c r="O244" s="13"/>
      <c r="P244" s="13"/>
      <c r="Q244" s="13"/>
      <c r="R244" s="13"/>
      <c r="S244" s="13"/>
      <c r="T244" s="13"/>
    </row>
    <row r="245" spans="2:20" x14ac:dyDescent="0.35">
      <c r="B245" s="13"/>
      <c r="C245" s="13"/>
      <c r="D245" s="13"/>
      <c r="E245" s="13"/>
      <c r="F245" s="13"/>
      <c r="G245" s="13"/>
      <c r="H245" s="13"/>
      <c r="I245" s="13"/>
      <c r="J245" s="13"/>
      <c r="K245" s="13"/>
      <c r="L245" s="13"/>
      <c r="M245" s="13"/>
      <c r="N245" s="13"/>
      <c r="O245" s="13"/>
      <c r="P245" s="13"/>
      <c r="Q245" s="13"/>
      <c r="R245" s="13"/>
      <c r="S245" s="13"/>
      <c r="T245" s="13"/>
    </row>
    <row r="246" spans="2:20" x14ac:dyDescent="0.35">
      <c r="B246" s="13"/>
      <c r="C246" s="13"/>
      <c r="D246" s="13"/>
      <c r="E246" s="13"/>
      <c r="F246" s="13"/>
      <c r="G246" s="13"/>
      <c r="H246" s="13"/>
      <c r="I246" s="13"/>
      <c r="J246" s="13"/>
      <c r="K246" s="13"/>
      <c r="L246" s="13"/>
      <c r="M246" s="13"/>
      <c r="N246" s="13"/>
      <c r="O246" s="13"/>
      <c r="P246" s="13"/>
      <c r="Q246" s="13"/>
      <c r="R246" s="13"/>
      <c r="S246" s="13"/>
      <c r="T246" s="13"/>
    </row>
    <row r="247" spans="2:20" x14ac:dyDescent="0.35">
      <c r="B247" s="13"/>
      <c r="C247" s="13"/>
      <c r="D247" s="13"/>
      <c r="E247" s="13"/>
      <c r="F247" s="13"/>
      <c r="G247" s="13"/>
      <c r="H247" s="13"/>
      <c r="I247" s="13"/>
      <c r="J247" s="13"/>
      <c r="K247" s="13"/>
      <c r="L247" s="13"/>
      <c r="M247" s="13"/>
      <c r="N247" s="13"/>
      <c r="O247" s="13"/>
      <c r="P247" s="13"/>
      <c r="Q247" s="13"/>
      <c r="R247" s="13"/>
      <c r="S247" s="13"/>
      <c r="T247" s="13"/>
    </row>
    <row r="248" spans="2:20" x14ac:dyDescent="0.35">
      <c r="B248" s="13"/>
      <c r="C248" s="13"/>
      <c r="D248" s="13"/>
      <c r="E248" s="13"/>
      <c r="F248" s="13"/>
      <c r="G248" s="13"/>
      <c r="H248" s="13"/>
      <c r="I248" s="13"/>
      <c r="J248" s="13"/>
      <c r="K248" s="13"/>
      <c r="L248" s="13"/>
      <c r="M248" s="13"/>
      <c r="N248" s="13"/>
      <c r="O248" s="13"/>
      <c r="P248" s="13"/>
      <c r="Q248" s="13"/>
      <c r="R248" s="13"/>
      <c r="S248" s="13"/>
      <c r="T248" s="13"/>
    </row>
    <row r="249" spans="2:20" x14ac:dyDescent="0.35">
      <c r="B249" s="13"/>
      <c r="C249" s="13"/>
      <c r="D249" s="13"/>
      <c r="E249" s="13"/>
      <c r="F249" s="13"/>
      <c r="G249" s="13"/>
      <c r="H249" s="13"/>
      <c r="I249" s="13"/>
      <c r="J249" s="13"/>
      <c r="K249" s="13"/>
      <c r="L249" s="13"/>
      <c r="M249" s="13"/>
      <c r="N249" s="13"/>
      <c r="O249" s="13"/>
      <c r="P249" s="13"/>
      <c r="Q249" s="13"/>
      <c r="R249" s="13"/>
      <c r="S249" s="13"/>
      <c r="T249" s="13"/>
    </row>
    <row r="250" spans="2:20" x14ac:dyDescent="0.35">
      <c r="B250" s="13"/>
      <c r="C250" s="13"/>
      <c r="D250" s="13"/>
      <c r="E250" s="13"/>
      <c r="F250" s="13"/>
      <c r="G250" s="13"/>
      <c r="H250" s="13"/>
      <c r="I250" s="13"/>
      <c r="J250" s="13"/>
      <c r="K250" s="13"/>
      <c r="L250" s="13"/>
      <c r="M250" s="13"/>
      <c r="N250" s="13"/>
      <c r="O250" s="13"/>
      <c r="P250" s="13"/>
      <c r="Q250" s="13"/>
      <c r="R250" s="13"/>
      <c r="S250" s="13"/>
      <c r="T250" s="13"/>
    </row>
    <row r="251" spans="2:20" x14ac:dyDescent="0.35">
      <c r="B251" s="13"/>
      <c r="C251" s="13"/>
      <c r="D251" s="13"/>
      <c r="E251" s="13"/>
      <c r="F251" s="13"/>
      <c r="G251" s="13"/>
      <c r="H251" s="13"/>
      <c r="I251" s="13"/>
      <c r="J251" s="13"/>
      <c r="K251" s="13"/>
      <c r="L251" s="13"/>
      <c r="M251" s="13"/>
      <c r="N251" s="13"/>
      <c r="O251" s="13"/>
      <c r="P251" s="13"/>
      <c r="Q251" s="13"/>
      <c r="R251" s="13"/>
      <c r="S251" s="13"/>
      <c r="T251" s="13"/>
    </row>
    <row r="252" spans="2:20" x14ac:dyDescent="0.35">
      <c r="B252" s="13"/>
      <c r="C252" s="13"/>
      <c r="D252" s="13"/>
      <c r="E252" s="13"/>
      <c r="F252" s="13"/>
      <c r="G252" s="13"/>
      <c r="H252" s="13"/>
      <c r="I252" s="13"/>
      <c r="J252" s="13"/>
      <c r="K252" s="13"/>
      <c r="L252" s="13"/>
      <c r="M252" s="13"/>
      <c r="N252" s="13"/>
      <c r="O252" s="13"/>
      <c r="P252" s="13"/>
      <c r="Q252" s="13"/>
      <c r="R252" s="13"/>
      <c r="S252" s="13"/>
      <c r="T252" s="13"/>
    </row>
    <row r="253" spans="2:20" x14ac:dyDescent="0.35">
      <c r="B253" s="13"/>
      <c r="C253" s="13"/>
      <c r="D253" s="13"/>
      <c r="E253" s="13"/>
      <c r="F253" s="13"/>
      <c r="G253" s="13"/>
      <c r="H253" s="13"/>
      <c r="I253" s="13"/>
      <c r="J253" s="13"/>
      <c r="K253" s="13"/>
      <c r="L253" s="13"/>
      <c r="M253" s="13"/>
      <c r="N253" s="13"/>
      <c r="O253" s="13"/>
      <c r="P253" s="13"/>
      <c r="Q253" s="13"/>
      <c r="R253" s="13"/>
      <c r="S253" s="13"/>
      <c r="T253" s="13"/>
    </row>
    <row r="254" spans="2:20" x14ac:dyDescent="0.35">
      <c r="B254" s="13"/>
      <c r="C254" s="13"/>
      <c r="D254" s="13"/>
      <c r="E254" s="13"/>
      <c r="F254" s="13"/>
      <c r="G254" s="13"/>
      <c r="H254" s="13"/>
      <c r="I254" s="13"/>
      <c r="J254" s="13"/>
      <c r="K254" s="13"/>
      <c r="L254" s="13"/>
      <c r="M254" s="13"/>
      <c r="N254" s="13"/>
      <c r="O254" s="13"/>
      <c r="P254" s="13"/>
      <c r="Q254" s="13"/>
      <c r="R254" s="13"/>
      <c r="S254" s="13"/>
      <c r="T254" s="13"/>
    </row>
    <row r="255" spans="2:20" x14ac:dyDescent="0.35">
      <c r="B255" s="13"/>
      <c r="C255" s="13"/>
      <c r="D255" s="13"/>
      <c r="E255" s="13"/>
      <c r="F255" s="13"/>
      <c r="G255" s="13"/>
      <c r="H255" s="13"/>
      <c r="I255" s="13"/>
      <c r="J255" s="13"/>
      <c r="K255" s="13"/>
      <c r="L255" s="13"/>
      <c r="M255" s="13"/>
      <c r="N255" s="13"/>
      <c r="O255" s="13"/>
      <c r="P255" s="13"/>
      <c r="Q255" s="13"/>
      <c r="R255" s="13"/>
      <c r="S255" s="13"/>
      <c r="T255" s="13"/>
    </row>
    <row r="256" spans="2:20" x14ac:dyDescent="0.35">
      <c r="B256" s="13"/>
      <c r="C256" s="13"/>
      <c r="D256" s="13"/>
      <c r="E256" s="13"/>
      <c r="F256" s="13"/>
      <c r="G256" s="13"/>
      <c r="H256" s="13"/>
      <c r="I256" s="13"/>
      <c r="J256" s="13"/>
      <c r="K256" s="13"/>
      <c r="L256" s="13"/>
      <c r="M256" s="13"/>
      <c r="N256" s="13"/>
      <c r="O256" s="13"/>
      <c r="P256" s="13"/>
      <c r="Q256" s="13"/>
      <c r="R256" s="13"/>
      <c r="S256" s="13"/>
      <c r="T256" s="13"/>
    </row>
    <row r="257" spans="2:20" x14ac:dyDescent="0.35">
      <c r="B257" s="13"/>
      <c r="C257" s="13"/>
      <c r="D257" s="13"/>
      <c r="E257" s="13"/>
      <c r="F257" s="13"/>
      <c r="G257" s="13"/>
      <c r="H257" s="13"/>
      <c r="I257" s="13"/>
      <c r="J257" s="13"/>
      <c r="K257" s="13"/>
      <c r="L257" s="13"/>
      <c r="M257" s="13"/>
      <c r="N257" s="13"/>
      <c r="O257" s="13"/>
      <c r="P257" s="13"/>
      <c r="Q257" s="13"/>
      <c r="R257" s="13"/>
      <c r="S257" s="13"/>
      <c r="T257" s="13"/>
    </row>
    <row r="258" spans="2:20" x14ac:dyDescent="0.35">
      <c r="B258" s="13"/>
      <c r="C258" s="13"/>
      <c r="D258" s="13"/>
      <c r="E258" s="13"/>
      <c r="F258" s="13"/>
      <c r="G258" s="13"/>
      <c r="H258" s="13"/>
      <c r="I258" s="13"/>
      <c r="J258" s="13"/>
      <c r="K258" s="13"/>
      <c r="L258" s="13"/>
      <c r="M258" s="13"/>
      <c r="N258" s="13"/>
      <c r="O258" s="13"/>
      <c r="P258" s="13"/>
      <c r="Q258" s="13"/>
      <c r="R258" s="13"/>
      <c r="S258" s="13"/>
      <c r="T258" s="13"/>
    </row>
    <row r="259" spans="2:20" x14ac:dyDescent="0.35">
      <c r="B259" s="13"/>
      <c r="C259" s="13"/>
      <c r="D259" s="13"/>
      <c r="E259" s="13"/>
      <c r="F259" s="13"/>
      <c r="G259" s="13"/>
      <c r="H259" s="13"/>
      <c r="I259" s="13"/>
      <c r="J259" s="13"/>
      <c r="K259" s="13"/>
      <c r="L259" s="13"/>
      <c r="M259" s="13"/>
      <c r="N259" s="13"/>
      <c r="O259" s="13"/>
      <c r="P259" s="13"/>
      <c r="Q259" s="13"/>
      <c r="R259" s="13"/>
      <c r="S259" s="13"/>
      <c r="T259" s="13"/>
    </row>
    <row r="260" spans="2:20" x14ac:dyDescent="0.35">
      <c r="B260" s="13"/>
      <c r="C260" s="13"/>
      <c r="D260" s="13"/>
      <c r="E260" s="13"/>
      <c r="F260" s="13"/>
      <c r="G260" s="13"/>
      <c r="H260" s="13"/>
      <c r="I260" s="13"/>
      <c r="J260" s="13"/>
      <c r="K260" s="13"/>
      <c r="L260" s="13"/>
      <c r="M260" s="13"/>
      <c r="N260" s="13"/>
      <c r="O260" s="13"/>
      <c r="P260" s="13"/>
      <c r="Q260" s="13"/>
      <c r="R260" s="13"/>
      <c r="S260" s="13"/>
      <c r="T260" s="13"/>
    </row>
    <row r="261" spans="2:20" x14ac:dyDescent="0.35">
      <c r="B261" s="13"/>
      <c r="C261" s="13"/>
      <c r="D261" s="13"/>
      <c r="E261" s="13"/>
      <c r="F261" s="13"/>
      <c r="G261" s="13"/>
      <c r="H261" s="13"/>
      <c r="I261" s="13"/>
      <c r="J261" s="13"/>
      <c r="K261" s="13"/>
      <c r="L261" s="13"/>
      <c r="M261" s="13"/>
      <c r="N261" s="13"/>
      <c r="O261" s="13"/>
      <c r="P261" s="13"/>
      <c r="Q261" s="13"/>
      <c r="R261" s="13"/>
      <c r="S261" s="13"/>
      <c r="T261" s="13"/>
    </row>
    <row r="262" spans="2:20" x14ac:dyDescent="0.35">
      <c r="B262" s="13"/>
      <c r="C262" s="13"/>
      <c r="D262" s="13"/>
      <c r="E262" s="13"/>
      <c r="F262" s="13"/>
      <c r="G262" s="13"/>
      <c r="H262" s="13"/>
      <c r="I262" s="13"/>
      <c r="J262" s="13"/>
      <c r="K262" s="13"/>
      <c r="L262" s="13"/>
      <c r="M262" s="13"/>
      <c r="N262" s="13"/>
      <c r="O262" s="13"/>
      <c r="P262" s="13"/>
      <c r="Q262" s="13"/>
      <c r="R262" s="13"/>
      <c r="S262" s="13"/>
      <c r="T262" s="13"/>
    </row>
    <row r="263" spans="2:20" x14ac:dyDescent="0.35">
      <c r="B263" s="13"/>
      <c r="C263" s="13"/>
      <c r="D263" s="13"/>
      <c r="E263" s="13"/>
      <c r="F263" s="13"/>
      <c r="G263" s="13"/>
      <c r="H263" s="13"/>
      <c r="I263" s="13"/>
      <c r="J263" s="13"/>
      <c r="K263" s="13"/>
      <c r="L263" s="13"/>
      <c r="M263" s="13"/>
      <c r="N263" s="13"/>
      <c r="O263" s="13"/>
      <c r="P263" s="13"/>
      <c r="Q263" s="13"/>
      <c r="R263" s="13"/>
      <c r="S263" s="13"/>
      <c r="T263" s="13"/>
    </row>
    <row r="264" spans="2:20" x14ac:dyDescent="0.35">
      <c r="B264" s="13"/>
      <c r="C264" s="13"/>
      <c r="D264" s="13"/>
      <c r="E264" s="13"/>
      <c r="F264" s="13"/>
      <c r="G264" s="13"/>
      <c r="H264" s="13"/>
      <c r="I264" s="13"/>
      <c r="J264" s="13"/>
      <c r="K264" s="13"/>
      <c r="L264" s="13"/>
      <c r="M264" s="13"/>
      <c r="N264" s="13"/>
      <c r="O264" s="13"/>
      <c r="P264" s="13"/>
      <c r="Q264" s="13"/>
      <c r="R264" s="13"/>
      <c r="S264" s="13"/>
      <c r="T264" s="13"/>
    </row>
    <row r="265" spans="2:20" x14ac:dyDescent="0.35">
      <c r="B265" s="13"/>
      <c r="C265" s="13"/>
      <c r="D265" s="13"/>
      <c r="E265" s="13"/>
      <c r="F265" s="13"/>
      <c r="G265" s="13"/>
      <c r="H265" s="13"/>
      <c r="I265" s="13"/>
      <c r="J265" s="13"/>
      <c r="K265" s="13"/>
      <c r="L265" s="13"/>
      <c r="M265" s="13"/>
      <c r="N265" s="13"/>
      <c r="O265" s="13"/>
      <c r="P265" s="13"/>
      <c r="Q265" s="13"/>
      <c r="R265" s="13"/>
      <c r="S265" s="13"/>
      <c r="T265" s="13"/>
    </row>
    <row r="266" spans="2:20" x14ac:dyDescent="0.35">
      <c r="B266" s="13"/>
      <c r="C266" s="13"/>
      <c r="D266" s="13"/>
      <c r="E266" s="13"/>
      <c r="F266" s="13"/>
      <c r="G266" s="13"/>
      <c r="H266" s="13"/>
      <c r="I266" s="13"/>
      <c r="J266" s="13"/>
      <c r="K266" s="13"/>
      <c r="L266" s="13"/>
      <c r="M266" s="13"/>
      <c r="N266" s="13"/>
      <c r="O266" s="13"/>
      <c r="P266" s="13"/>
      <c r="Q266" s="13"/>
      <c r="R266" s="13"/>
      <c r="S266" s="13"/>
      <c r="T266" s="13"/>
    </row>
    <row r="267" spans="2:20" x14ac:dyDescent="0.35">
      <c r="B267" s="13"/>
      <c r="C267" s="13"/>
      <c r="D267" s="13"/>
      <c r="E267" s="13"/>
      <c r="F267" s="13"/>
      <c r="G267" s="13"/>
      <c r="H267" s="13"/>
      <c r="I267" s="13"/>
      <c r="J267" s="13"/>
      <c r="K267" s="13"/>
      <c r="L267" s="13"/>
      <c r="M267" s="13"/>
      <c r="N267" s="13"/>
      <c r="O267" s="13"/>
      <c r="P267" s="13"/>
      <c r="Q267" s="13"/>
      <c r="R267" s="13"/>
      <c r="S267" s="13"/>
      <c r="T267" s="13"/>
    </row>
    <row r="268" spans="2:20" x14ac:dyDescent="0.35">
      <c r="B268" s="13"/>
      <c r="C268" s="13"/>
      <c r="D268" s="13"/>
      <c r="E268" s="13"/>
      <c r="F268" s="13"/>
      <c r="G268" s="13"/>
      <c r="H268" s="13"/>
      <c r="I268" s="13"/>
      <c r="J268" s="13"/>
      <c r="K268" s="13"/>
      <c r="L268" s="13"/>
      <c r="M268" s="13"/>
      <c r="N268" s="13"/>
      <c r="O268" s="13"/>
      <c r="P268" s="13"/>
      <c r="Q268" s="13"/>
      <c r="R268" s="13"/>
      <c r="S268" s="13"/>
      <c r="T268" s="13"/>
    </row>
    <row r="269" spans="2:20" x14ac:dyDescent="0.35">
      <c r="B269" s="13"/>
      <c r="C269" s="13"/>
      <c r="D269" s="13"/>
      <c r="E269" s="13"/>
      <c r="F269" s="13"/>
      <c r="G269" s="13"/>
      <c r="H269" s="13"/>
      <c r="I269" s="13"/>
      <c r="J269" s="13"/>
      <c r="K269" s="13"/>
      <c r="L269" s="13"/>
      <c r="M269" s="13"/>
      <c r="N269" s="13"/>
      <c r="O269" s="13"/>
      <c r="P269" s="13"/>
      <c r="Q269" s="13"/>
      <c r="R269" s="13"/>
      <c r="S269" s="13"/>
      <c r="T269" s="13"/>
    </row>
    <row r="270" spans="2:20" x14ac:dyDescent="0.35">
      <c r="B270" s="13"/>
      <c r="C270" s="13"/>
      <c r="D270" s="13"/>
      <c r="E270" s="13"/>
      <c r="F270" s="13"/>
      <c r="G270" s="13"/>
      <c r="H270" s="13"/>
      <c r="I270" s="13"/>
      <c r="J270" s="13"/>
      <c r="K270" s="13"/>
      <c r="L270" s="13"/>
      <c r="M270" s="13"/>
      <c r="N270" s="13"/>
      <c r="O270" s="13"/>
      <c r="P270" s="13"/>
      <c r="Q270" s="13"/>
      <c r="R270" s="13"/>
      <c r="S270" s="13"/>
      <c r="T270" s="13"/>
    </row>
    <row r="271" spans="2:20" x14ac:dyDescent="0.35">
      <c r="B271" s="13"/>
      <c r="C271" s="13"/>
      <c r="D271" s="13"/>
      <c r="E271" s="13"/>
      <c r="F271" s="13"/>
      <c r="G271" s="13"/>
      <c r="H271" s="13"/>
      <c r="I271" s="13"/>
      <c r="J271" s="13"/>
      <c r="K271" s="13"/>
      <c r="L271" s="13"/>
      <c r="M271" s="13"/>
      <c r="N271" s="13"/>
      <c r="O271" s="13"/>
      <c r="P271" s="13"/>
      <c r="Q271" s="13"/>
      <c r="R271" s="13"/>
      <c r="S271" s="13"/>
      <c r="T271" s="13"/>
    </row>
    <row r="272" spans="2:20" x14ac:dyDescent="0.35">
      <c r="B272" s="13"/>
      <c r="C272" s="13"/>
      <c r="D272" s="13"/>
      <c r="E272" s="13"/>
      <c r="F272" s="13"/>
      <c r="G272" s="13"/>
      <c r="H272" s="13"/>
      <c r="I272" s="13"/>
      <c r="J272" s="13"/>
      <c r="K272" s="13"/>
      <c r="L272" s="13"/>
      <c r="M272" s="13"/>
      <c r="N272" s="13"/>
      <c r="O272" s="13"/>
      <c r="P272" s="13"/>
      <c r="Q272" s="13"/>
      <c r="R272" s="13"/>
      <c r="S272" s="13"/>
      <c r="T272" s="13"/>
    </row>
    <row r="273" spans="2:20" x14ac:dyDescent="0.35">
      <c r="B273" s="13"/>
      <c r="C273" s="13"/>
      <c r="D273" s="13"/>
      <c r="E273" s="13"/>
      <c r="F273" s="13"/>
      <c r="G273" s="13"/>
      <c r="H273" s="13"/>
      <c r="I273" s="13"/>
      <c r="J273" s="13"/>
      <c r="K273" s="13"/>
      <c r="L273" s="13"/>
      <c r="M273" s="13"/>
      <c r="N273" s="13"/>
      <c r="O273" s="13"/>
      <c r="P273" s="13"/>
      <c r="Q273" s="13"/>
      <c r="R273" s="13"/>
      <c r="S273" s="13"/>
      <c r="T273" s="13"/>
    </row>
    <row r="274" spans="2:20" x14ac:dyDescent="0.35">
      <c r="B274" s="13"/>
      <c r="C274" s="13"/>
      <c r="D274" s="13"/>
      <c r="E274" s="13"/>
      <c r="F274" s="13"/>
      <c r="G274" s="13"/>
      <c r="H274" s="13"/>
      <c r="I274" s="13"/>
      <c r="J274" s="13"/>
      <c r="K274" s="13"/>
      <c r="L274" s="13"/>
      <c r="M274" s="13"/>
      <c r="N274" s="13"/>
      <c r="O274" s="13"/>
      <c r="P274" s="13"/>
      <c r="Q274" s="13"/>
      <c r="R274" s="13"/>
      <c r="S274" s="13"/>
      <c r="T274" s="13"/>
    </row>
    <row r="275" spans="2:20" x14ac:dyDescent="0.35">
      <c r="B275" s="13"/>
      <c r="C275" s="13"/>
      <c r="D275" s="13"/>
      <c r="E275" s="13"/>
      <c r="F275" s="13"/>
      <c r="G275" s="13"/>
      <c r="H275" s="13"/>
      <c r="I275" s="13"/>
      <c r="J275" s="13"/>
      <c r="K275" s="13"/>
      <c r="L275" s="13"/>
      <c r="M275" s="13"/>
      <c r="N275" s="13"/>
      <c r="O275" s="13"/>
      <c r="P275" s="13"/>
      <c r="Q275" s="13"/>
      <c r="R275" s="13"/>
      <c r="S275" s="13"/>
      <c r="T275" s="13"/>
    </row>
    <row r="276" spans="2:20" x14ac:dyDescent="0.35">
      <c r="B276" s="13"/>
      <c r="C276" s="13"/>
      <c r="D276" s="13"/>
      <c r="E276" s="13"/>
      <c r="F276" s="13"/>
      <c r="G276" s="13"/>
      <c r="H276" s="13"/>
      <c r="I276" s="13"/>
      <c r="J276" s="13"/>
      <c r="K276" s="13"/>
      <c r="L276" s="13"/>
      <c r="M276" s="13"/>
      <c r="N276" s="13"/>
      <c r="O276" s="13"/>
      <c r="P276" s="13"/>
      <c r="Q276" s="13"/>
      <c r="R276" s="13"/>
      <c r="S276" s="13"/>
      <c r="T276" s="13"/>
    </row>
    <row r="277" spans="2:20" x14ac:dyDescent="0.35">
      <c r="B277" s="13"/>
      <c r="C277" s="13"/>
      <c r="D277" s="13"/>
      <c r="E277" s="13"/>
      <c r="F277" s="13"/>
      <c r="G277" s="13"/>
      <c r="H277" s="13"/>
      <c r="I277" s="13"/>
      <c r="J277" s="13"/>
      <c r="K277" s="13"/>
      <c r="L277" s="13"/>
      <c r="M277" s="13"/>
      <c r="N277" s="13"/>
      <c r="O277" s="13"/>
      <c r="P277" s="13"/>
      <c r="Q277" s="13"/>
      <c r="R277" s="13"/>
      <c r="S277" s="13"/>
      <c r="T277" s="13"/>
    </row>
    <row r="278" spans="2:20" x14ac:dyDescent="0.35">
      <c r="B278" s="13"/>
      <c r="C278" s="13"/>
      <c r="D278" s="13"/>
      <c r="E278" s="13"/>
      <c r="F278" s="13"/>
      <c r="G278" s="13"/>
      <c r="H278" s="13"/>
      <c r="I278" s="13"/>
      <c r="J278" s="13"/>
      <c r="K278" s="13"/>
      <c r="L278" s="13"/>
      <c r="M278" s="13"/>
      <c r="N278" s="13"/>
      <c r="O278" s="13"/>
      <c r="P278" s="13"/>
      <c r="Q278" s="13"/>
      <c r="R278" s="13"/>
      <c r="S278" s="13"/>
      <c r="T278" s="13"/>
    </row>
    <row r="279" spans="2:20" x14ac:dyDescent="0.35">
      <c r="B279" s="13"/>
      <c r="C279" s="13"/>
      <c r="D279" s="13"/>
      <c r="E279" s="13"/>
      <c r="F279" s="13"/>
      <c r="G279" s="13"/>
      <c r="H279" s="13"/>
      <c r="I279" s="13"/>
      <c r="J279" s="13"/>
      <c r="K279" s="13"/>
      <c r="L279" s="13"/>
      <c r="M279" s="13"/>
      <c r="N279" s="13"/>
      <c r="O279" s="13"/>
      <c r="P279" s="13"/>
      <c r="Q279" s="13"/>
      <c r="R279" s="13"/>
      <c r="S279" s="13"/>
      <c r="T279" s="13"/>
    </row>
    <row r="280" spans="2:20" x14ac:dyDescent="0.35">
      <c r="B280" s="13"/>
      <c r="C280" s="13"/>
      <c r="D280" s="13"/>
      <c r="E280" s="13"/>
      <c r="F280" s="13"/>
      <c r="G280" s="13"/>
      <c r="H280" s="13"/>
      <c r="I280" s="13"/>
      <c r="J280" s="13"/>
      <c r="K280" s="13"/>
      <c r="L280" s="13"/>
      <c r="M280" s="13"/>
      <c r="N280" s="13"/>
      <c r="O280" s="13"/>
      <c r="P280" s="13"/>
      <c r="Q280" s="13"/>
      <c r="R280" s="13"/>
      <c r="S280" s="13"/>
      <c r="T280" s="13"/>
    </row>
    <row r="281" spans="2:20" x14ac:dyDescent="0.35">
      <c r="B281" s="13"/>
      <c r="C281" s="13"/>
      <c r="D281" s="13"/>
      <c r="E281" s="13"/>
      <c r="F281" s="13"/>
      <c r="G281" s="13"/>
      <c r="H281" s="13"/>
      <c r="I281" s="13"/>
      <c r="J281" s="13"/>
      <c r="K281" s="13"/>
      <c r="L281" s="13"/>
      <c r="M281" s="13"/>
      <c r="N281" s="13"/>
      <c r="O281" s="13"/>
      <c r="P281" s="13"/>
      <c r="Q281" s="13"/>
      <c r="R281" s="13"/>
      <c r="S281" s="13"/>
      <c r="T281" s="13"/>
    </row>
    <row r="282" spans="2:20" x14ac:dyDescent="0.35">
      <c r="B282" s="13"/>
      <c r="C282" s="13"/>
      <c r="D282" s="13"/>
      <c r="E282" s="13"/>
      <c r="F282" s="13"/>
      <c r="G282" s="13"/>
      <c r="H282" s="13"/>
      <c r="I282" s="13"/>
      <c r="J282" s="13"/>
      <c r="K282" s="13"/>
      <c r="L282" s="13"/>
      <c r="M282" s="13"/>
      <c r="N282" s="13"/>
      <c r="O282" s="13"/>
      <c r="P282" s="13"/>
      <c r="Q282" s="13"/>
      <c r="R282" s="13"/>
      <c r="S282" s="13"/>
      <c r="T282" s="13"/>
    </row>
    <row r="283" spans="2:20" x14ac:dyDescent="0.35">
      <c r="B283" s="13"/>
      <c r="C283" s="13"/>
      <c r="D283" s="13"/>
      <c r="E283" s="13"/>
      <c r="F283" s="13"/>
      <c r="G283" s="13"/>
      <c r="H283" s="13"/>
      <c r="I283" s="13"/>
      <c r="J283" s="13"/>
      <c r="K283" s="13"/>
      <c r="L283" s="13"/>
      <c r="M283" s="13"/>
      <c r="N283" s="13"/>
      <c r="O283" s="13"/>
      <c r="P283" s="13"/>
      <c r="Q283" s="13"/>
      <c r="R283" s="13"/>
      <c r="S283" s="13"/>
      <c r="T283" s="13"/>
    </row>
    <row r="284" spans="2:20" x14ac:dyDescent="0.35">
      <c r="B284" s="13"/>
      <c r="C284" s="13"/>
      <c r="D284" s="13"/>
      <c r="E284" s="13"/>
      <c r="F284" s="13"/>
      <c r="G284" s="13"/>
      <c r="H284" s="13"/>
      <c r="I284" s="13"/>
      <c r="J284" s="13"/>
      <c r="K284" s="13"/>
      <c r="L284" s="13"/>
      <c r="M284" s="13"/>
      <c r="N284" s="13"/>
      <c r="O284" s="13"/>
      <c r="P284" s="13"/>
      <c r="Q284" s="13"/>
      <c r="R284" s="13"/>
      <c r="S284" s="13"/>
      <c r="T284" s="13"/>
    </row>
    <row r="285" spans="2:20" x14ac:dyDescent="0.35">
      <c r="B285" s="13"/>
      <c r="C285" s="13"/>
      <c r="D285" s="13"/>
      <c r="E285" s="13"/>
      <c r="F285" s="13"/>
      <c r="G285" s="13"/>
      <c r="H285" s="13"/>
      <c r="I285" s="13"/>
      <c r="J285" s="13"/>
      <c r="K285" s="13"/>
      <c r="L285" s="13"/>
      <c r="M285" s="13"/>
      <c r="N285" s="13"/>
      <c r="O285" s="13"/>
      <c r="P285" s="13"/>
      <c r="Q285" s="13"/>
      <c r="R285" s="13"/>
      <c r="S285" s="13"/>
      <c r="T285" s="13"/>
    </row>
    <row r="286" spans="2:20" x14ac:dyDescent="0.35">
      <c r="B286" s="13"/>
      <c r="C286" s="13"/>
      <c r="D286" s="13"/>
      <c r="E286" s="13"/>
      <c r="F286" s="13"/>
      <c r="G286" s="13"/>
      <c r="H286" s="13"/>
      <c r="I286" s="13"/>
      <c r="J286" s="13"/>
      <c r="K286" s="13"/>
      <c r="L286" s="13"/>
      <c r="M286" s="13"/>
      <c r="N286" s="13"/>
      <c r="O286" s="13"/>
      <c r="P286" s="13"/>
      <c r="Q286" s="13"/>
      <c r="R286" s="13"/>
      <c r="S286" s="13"/>
      <c r="T286" s="13"/>
    </row>
    <row r="287" spans="2:20" x14ac:dyDescent="0.35">
      <c r="B287" s="13"/>
      <c r="C287" s="13"/>
      <c r="D287" s="13"/>
      <c r="E287" s="13"/>
      <c r="F287" s="13"/>
      <c r="G287" s="13"/>
      <c r="H287" s="13"/>
      <c r="I287" s="13"/>
      <c r="J287" s="13"/>
      <c r="K287" s="13"/>
      <c r="L287" s="13"/>
      <c r="M287" s="13"/>
      <c r="N287" s="13"/>
      <c r="O287" s="13"/>
      <c r="P287" s="13"/>
      <c r="Q287" s="13"/>
      <c r="R287" s="13"/>
      <c r="S287" s="13"/>
      <c r="T287" s="13"/>
    </row>
    <row r="288" spans="2:20" x14ac:dyDescent="0.35">
      <c r="B288" s="13"/>
      <c r="C288" s="13"/>
      <c r="D288" s="13"/>
      <c r="E288" s="13"/>
      <c r="F288" s="13"/>
      <c r="G288" s="13"/>
      <c r="H288" s="13"/>
      <c r="I288" s="13"/>
      <c r="J288" s="13"/>
      <c r="K288" s="13"/>
      <c r="L288" s="13"/>
      <c r="M288" s="13"/>
      <c r="N288" s="13"/>
      <c r="O288" s="13"/>
      <c r="P288" s="13"/>
      <c r="Q288" s="13"/>
      <c r="R288" s="13"/>
      <c r="S288" s="13"/>
      <c r="T288" s="13"/>
    </row>
    <row r="289" spans="2:20" x14ac:dyDescent="0.35">
      <c r="B289" s="13"/>
      <c r="C289" s="13"/>
      <c r="D289" s="13"/>
      <c r="E289" s="13"/>
      <c r="F289" s="13"/>
      <c r="G289" s="13"/>
      <c r="H289" s="13"/>
      <c r="I289" s="13"/>
      <c r="J289" s="13"/>
      <c r="K289" s="13"/>
      <c r="L289" s="13"/>
      <c r="M289" s="13"/>
      <c r="N289" s="13"/>
      <c r="O289" s="13"/>
      <c r="P289" s="13"/>
      <c r="Q289" s="13"/>
      <c r="R289" s="13"/>
      <c r="S289" s="13"/>
      <c r="T289" s="13"/>
    </row>
    <row r="290" spans="2:20" x14ac:dyDescent="0.35">
      <c r="B290" s="13"/>
      <c r="C290" s="13"/>
      <c r="D290" s="13"/>
      <c r="E290" s="13"/>
      <c r="F290" s="13"/>
      <c r="G290" s="13"/>
      <c r="H290" s="13"/>
      <c r="I290" s="13"/>
      <c r="J290" s="13"/>
      <c r="K290" s="13"/>
      <c r="L290" s="13"/>
      <c r="M290" s="13"/>
      <c r="N290" s="13"/>
      <c r="O290" s="13"/>
      <c r="P290" s="13"/>
      <c r="Q290" s="13"/>
      <c r="R290" s="13"/>
      <c r="S290" s="13"/>
      <c r="T290" s="13"/>
    </row>
    <row r="291" spans="2:20" x14ac:dyDescent="0.35">
      <c r="B291" s="13"/>
      <c r="C291" s="13"/>
      <c r="D291" s="13"/>
      <c r="E291" s="13"/>
      <c r="F291" s="13"/>
      <c r="G291" s="13"/>
      <c r="H291" s="13"/>
      <c r="I291" s="13"/>
      <c r="J291" s="13"/>
      <c r="K291" s="13"/>
      <c r="L291" s="13"/>
      <c r="M291" s="13"/>
      <c r="N291" s="13"/>
      <c r="O291" s="13"/>
      <c r="P291" s="13"/>
      <c r="Q291" s="13"/>
      <c r="R291" s="13"/>
      <c r="S291" s="13"/>
      <c r="T291" s="13"/>
    </row>
    <row r="292" spans="2:20" x14ac:dyDescent="0.35">
      <c r="B292" s="13"/>
      <c r="C292" s="13"/>
      <c r="D292" s="13"/>
      <c r="E292" s="13"/>
      <c r="F292" s="13"/>
      <c r="G292" s="13"/>
      <c r="H292" s="13"/>
      <c r="I292" s="13"/>
      <c r="J292" s="13"/>
      <c r="K292" s="13"/>
      <c r="L292" s="13"/>
      <c r="M292" s="13"/>
      <c r="N292" s="13"/>
      <c r="O292" s="13"/>
      <c r="P292" s="13"/>
      <c r="Q292" s="13"/>
      <c r="R292" s="13"/>
      <c r="S292" s="13"/>
      <c r="T292" s="13"/>
    </row>
    <row r="293" spans="2:20" x14ac:dyDescent="0.35">
      <c r="B293" s="13"/>
      <c r="C293" s="13"/>
      <c r="D293" s="13"/>
      <c r="E293" s="13"/>
      <c r="F293" s="13"/>
      <c r="G293" s="13"/>
      <c r="H293" s="13"/>
      <c r="I293" s="13"/>
      <c r="J293" s="13"/>
      <c r="K293" s="13"/>
      <c r="L293" s="13"/>
      <c r="M293" s="13"/>
      <c r="N293" s="13"/>
      <c r="O293" s="13"/>
      <c r="P293" s="13"/>
      <c r="Q293" s="13"/>
      <c r="R293" s="13"/>
      <c r="S293" s="13"/>
      <c r="T293" s="13"/>
    </row>
    <row r="294" spans="2:20" x14ac:dyDescent="0.35">
      <c r="B294" s="13"/>
      <c r="C294" s="13"/>
      <c r="D294" s="13"/>
      <c r="E294" s="13"/>
      <c r="F294" s="13"/>
      <c r="G294" s="13"/>
      <c r="H294" s="13"/>
      <c r="I294" s="13"/>
      <c r="J294" s="13"/>
      <c r="K294" s="13"/>
      <c r="L294" s="13"/>
      <c r="M294" s="13"/>
      <c r="N294" s="13"/>
      <c r="O294" s="13"/>
      <c r="P294" s="13"/>
      <c r="Q294" s="13"/>
      <c r="R294" s="13"/>
      <c r="S294" s="13"/>
      <c r="T294" s="13"/>
    </row>
    <row r="295" spans="2:20" x14ac:dyDescent="0.35">
      <c r="B295" s="13"/>
      <c r="C295" s="13"/>
      <c r="D295" s="13"/>
      <c r="E295" s="13"/>
      <c r="F295" s="13"/>
      <c r="G295" s="13"/>
      <c r="H295" s="13"/>
      <c r="I295" s="13"/>
      <c r="J295" s="13"/>
      <c r="K295" s="13"/>
      <c r="L295" s="13"/>
      <c r="M295" s="13"/>
      <c r="N295" s="13"/>
      <c r="O295" s="13"/>
      <c r="P295" s="13"/>
      <c r="Q295" s="13"/>
      <c r="R295" s="13"/>
      <c r="S295" s="13"/>
      <c r="T295" s="13"/>
    </row>
    <row r="296" spans="2:20" x14ac:dyDescent="0.35">
      <c r="B296" s="13"/>
      <c r="C296" s="13"/>
      <c r="D296" s="13"/>
      <c r="E296" s="13"/>
      <c r="F296" s="13"/>
      <c r="G296" s="13"/>
      <c r="H296" s="13"/>
      <c r="I296" s="13"/>
      <c r="J296" s="13"/>
      <c r="K296" s="13"/>
      <c r="L296" s="13"/>
      <c r="M296" s="13"/>
      <c r="N296" s="13"/>
      <c r="O296" s="13"/>
      <c r="P296" s="13"/>
      <c r="Q296" s="13"/>
      <c r="R296" s="13"/>
      <c r="S296" s="13"/>
      <c r="T296" s="13"/>
    </row>
    <row r="297" spans="2:20" x14ac:dyDescent="0.35">
      <c r="B297" s="13"/>
      <c r="C297" s="13"/>
      <c r="D297" s="13"/>
      <c r="E297" s="13"/>
      <c r="F297" s="13"/>
      <c r="G297" s="13"/>
      <c r="H297" s="13"/>
      <c r="I297" s="13"/>
      <c r="J297" s="13"/>
      <c r="K297" s="13"/>
      <c r="L297" s="13"/>
      <c r="M297" s="13"/>
      <c r="N297" s="13"/>
      <c r="O297" s="13"/>
      <c r="P297" s="13"/>
      <c r="Q297" s="13"/>
      <c r="R297" s="13"/>
      <c r="S297" s="13"/>
      <c r="T297" s="13"/>
    </row>
    <row r="298" spans="2:20" x14ac:dyDescent="0.35">
      <c r="B298" s="13"/>
      <c r="C298" s="13"/>
      <c r="D298" s="13"/>
      <c r="E298" s="13"/>
      <c r="F298" s="13"/>
      <c r="G298" s="13"/>
      <c r="H298" s="13"/>
      <c r="I298" s="13"/>
      <c r="J298" s="13"/>
      <c r="K298" s="13"/>
      <c r="L298" s="13"/>
      <c r="M298" s="13"/>
      <c r="N298" s="13"/>
      <c r="O298" s="13"/>
      <c r="P298" s="13"/>
      <c r="Q298" s="13"/>
      <c r="R298" s="13"/>
      <c r="S298" s="13"/>
      <c r="T298" s="13"/>
    </row>
    <row r="299" spans="2:20" x14ac:dyDescent="0.35">
      <c r="B299" s="13"/>
      <c r="C299" s="13"/>
      <c r="D299" s="13"/>
      <c r="E299" s="13"/>
      <c r="F299" s="13"/>
      <c r="G299" s="13"/>
      <c r="H299" s="13"/>
      <c r="I299" s="13"/>
      <c r="J299" s="13"/>
      <c r="K299" s="13"/>
      <c r="L299" s="13"/>
      <c r="M299" s="13"/>
      <c r="N299" s="13"/>
      <c r="O299" s="13"/>
      <c r="P299" s="13"/>
      <c r="Q299" s="13"/>
      <c r="R299" s="13"/>
      <c r="S299" s="13"/>
      <c r="T299" s="13"/>
    </row>
    <row r="300" spans="2:20" x14ac:dyDescent="0.35">
      <c r="B300" s="13"/>
      <c r="C300" s="13"/>
      <c r="D300" s="13"/>
      <c r="E300" s="13"/>
      <c r="F300" s="13"/>
      <c r="G300" s="13"/>
      <c r="H300" s="13"/>
      <c r="I300" s="13"/>
      <c r="J300" s="13"/>
      <c r="K300" s="13"/>
      <c r="L300" s="13"/>
      <c r="M300" s="13"/>
      <c r="N300" s="13"/>
      <c r="O300" s="13"/>
      <c r="P300" s="13"/>
      <c r="Q300" s="13"/>
      <c r="R300" s="13"/>
      <c r="S300" s="13"/>
      <c r="T300" s="13"/>
    </row>
    <row r="301" spans="2:20" x14ac:dyDescent="0.35">
      <c r="B301" s="13"/>
      <c r="C301" s="13"/>
      <c r="D301" s="13"/>
      <c r="E301" s="13"/>
      <c r="F301" s="13"/>
      <c r="G301" s="13"/>
      <c r="H301" s="13"/>
      <c r="I301" s="13"/>
      <c r="J301" s="13"/>
      <c r="K301" s="13"/>
      <c r="L301" s="13"/>
      <c r="M301" s="13"/>
      <c r="N301" s="13"/>
      <c r="O301" s="13"/>
      <c r="P301" s="13"/>
      <c r="Q301" s="13"/>
      <c r="R301" s="13"/>
      <c r="S301" s="13"/>
      <c r="T301" s="13"/>
    </row>
    <row r="302" spans="2:20" x14ac:dyDescent="0.35">
      <c r="B302" s="13"/>
      <c r="C302" s="13"/>
      <c r="D302" s="13"/>
      <c r="E302" s="13"/>
      <c r="F302" s="13"/>
      <c r="G302" s="13"/>
      <c r="H302" s="13"/>
      <c r="I302" s="13"/>
      <c r="J302" s="13"/>
      <c r="K302" s="13"/>
      <c r="L302" s="13"/>
      <c r="M302" s="13"/>
      <c r="N302" s="13"/>
      <c r="O302" s="13"/>
      <c r="P302" s="13"/>
      <c r="Q302" s="13"/>
      <c r="R302" s="13"/>
      <c r="S302" s="13"/>
      <c r="T302" s="13"/>
    </row>
    <row r="303" spans="2:20" x14ac:dyDescent="0.35">
      <c r="B303" s="13"/>
      <c r="C303" s="13"/>
      <c r="D303" s="13"/>
      <c r="E303" s="13"/>
      <c r="F303" s="13"/>
      <c r="G303" s="13"/>
      <c r="H303" s="13"/>
      <c r="I303" s="13"/>
      <c r="J303" s="13"/>
      <c r="K303" s="13"/>
      <c r="L303" s="13"/>
      <c r="M303" s="13"/>
      <c r="N303" s="13"/>
      <c r="O303" s="13"/>
      <c r="P303" s="13"/>
      <c r="Q303" s="13"/>
      <c r="R303" s="13"/>
      <c r="S303" s="13"/>
      <c r="T303" s="13"/>
    </row>
    <row r="304" spans="2:20" x14ac:dyDescent="0.35">
      <c r="B304" s="13"/>
      <c r="C304" s="13"/>
      <c r="D304" s="13"/>
      <c r="E304" s="13"/>
      <c r="F304" s="13"/>
      <c r="G304" s="13"/>
      <c r="H304" s="13"/>
      <c r="I304" s="13"/>
      <c r="J304" s="13"/>
      <c r="K304" s="13"/>
      <c r="L304" s="13"/>
      <c r="M304" s="13"/>
      <c r="N304" s="13"/>
      <c r="O304" s="13"/>
      <c r="P304" s="13"/>
      <c r="Q304" s="13"/>
      <c r="R304" s="13"/>
      <c r="S304" s="13"/>
      <c r="T304" s="13"/>
    </row>
    <row r="305" spans="2:20" x14ac:dyDescent="0.35">
      <c r="B305" s="13"/>
      <c r="C305" s="13"/>
      <c r="D305" s="13"/>
      <c r="E305" s="13"/>
      <c r="F305" s="13"/>
      <c r="G305" s="13"/>
      <c r="H305" s="13"/>
      <c r="I305" s="13"/>
      <c r="J305" s="13"/>
      <c r="K305" s="13"/>
      <c r="L305" s="13"/>
      <c r="M305" s="13"/>
      <c r="N305" s="13"/>
      <c r="O305" s="13"/>
      <c r="P305" s="13"/>
      <c r="Q305" s="13"/>
      <c r="R305" s="13"/>
      <c r="S305" s="13"/>
      <c r="T305" s="13"/>
    </row>
    <row r="306" spans="2:20" x14ac:dyDescent="0.35">
      <c r="B306" s="13"/>
      <c r="C306" s="13"/>
      <c r="D306" s="13"/>
      <c r="E306" s="13"/>
      <c r="F306" s="13"/>
      <c r="G306" s="13"/>
      <c r="H306" s="13"/>
      <c r="I306" s="13"/>
      <c r="J306" s="13"/>
      <c r="K306" s="13"/>
      <c r="L306" s="13"/>
      <c r="M306" s="13"/>
      <c r="N306" s="13"/>
      <c r="O306" s="13"/>
      <c r="P306" s="13"/>
      <c r="Q306" s="13"/>
      <c r="R306" s="13"/>
      <c r="S306" s="13"/>
      <c r="T306" s="13"/>
    </row>
    <row r="307" spans="2:20" x14ac:dyDescent="0.35">
      <c r="B307" s="13"/>
      <c r="C307" s="13"/>
      <c r="D307" s="13"/>
      <c r="E307" s="13"/>
      <c r="F307" s="13"/>
      <c r="G307" s="13"/>
      <c r="H307" s="13"/>
      <c r="I307" s="13"/>
      <c r="J307" s="13"/>
      <c r="K307" s="13"/>
      <c r="L307" s="13"/>
      <c r="M307" s="13"/>
      <c r="N307" s="13"/>
      <c r="O307" s="13"/>
      <c r="P307" s="13"/>
      <c r="Q307" s="13"/>
      <c r="R307" s="13"/>
      <c r="S307" s="13"/>
      <c r="T307" s="13"/>
    </row>
    <row r="308" spans="2:20" x14ac:dyDescent="0.35">
      <c r="B308" s="13"/>
      <c r="C308" s="13"/>
      <c r="D308" s="13"/>
      <c r="E308" s="13"/>
      <c r="F308" s="13"/>
      <c r="G308" s="13"/>
      <c r="H308" s="13"/>
      <c r="I308" s="13"/>
      <c r="J308" s="13"/>
      <c r="K308" s="13"/>
      <c r="L308" s="13"/>
      <c r="M308" s="13"/>
      <c r="N308" s="13"/>
      <c r="O308" s="13"/>
      <c r="P308" s="13"/>
      <c r="Q308" s="13"/>
      <c r="R308" s="13"/>
      <c r="S308" s="13"/>
      <c r="T308" s="13"/>
    </row>
    <row r="309" spans="2:20" x14ac:dyDescent="0.35">
      <c r="B309" s="13"/>
      <c r="C309" s="13"/>
      <c r="D309" s="13"/>
      <c r="E309" s="13"/>
      <c r="F309" s="13"/>
      <c r="G309" s="13"/>
      <c r="H309" s="13"/>
      <c r="I309" s="13"/>
      <c r="J309" s="13"/>
      <c r="K309" s="13"/>
      <c r="L309" s="13"/>
      <c r="M309" s="13"/>
      <c r="N309" s="13"/>
      <c r="O309" s="13"/>
      <c r="P309" s="13"/>
      <c r="Q309" s="13"/>
      <c r="R309" s="13"/>
      <c r="S309" s="13"/>
      <c r="T309" s="13"/>
    </row>
    <row r="310" spans="2:20" x14ac:dyDescent="0.35">
      <c r="B310" s="13"/>
      <c r="C310" s="13"/>
      <c r="D310" s="13"/>
      <c r="E310" s="13"/>
      <c r="F310" s="13"/>
      <c r="G310" s="13"/>
      <c r="H310" s="13"/>
      <c r="I310" s="13"/>
      <c r="J310" s="13"/>
      <c r="K310" s="13"/>
      <c r="L310" s="13"/>
      <c r="M310" s="13"/>
      <c r="N310" s="13"/>
      <c r="O310" s="13"/>
      <c r="P310" s="13"/>
      <c r="Q310" s="13"/>
      <c r="R310" s="13"/>
      <c r="S310" s="13"/>
      <c r="T310" s="13"/>
    </row>
    <row r="311" spans="2:20" x14ac:dyDescent="0.35">
      <c r="B311" s="13"/>
      <c r="C311" s="13"/>
      <c r="D311" s="13"/>
      <c r="E311" s="13"/>
      <c r="F311" s="13"/>
      <c r="G311" s="13"/>
      <c r="H311" s="13"/>
      <c r="I311" s="13"/>
      <c r="J311" s="13"/>
      <c r="K311" s="13"/>
      <c r="L311" s="13"/>
      <c r="M311" s="13"/>
      <c r="N311" s="13"/>
      <c r="O311" s="13"/>
      <c r="P311" s="13"/>
      <c r="Q311" s="13"/>
      <c r="R311" s="13"/>
      <c r="S311" s="13"/>
      <c r="T311" s="13"/>
    </row>
    <row r="312" spans="2:20" x14ac:dyDescent="0.35">
      <c r="B312" s="13"/>
      <c r="C312" s="13"/>
      <c r="D312" s="13"/>
      <c r="E312" s="13"/>
      <c r="F312" s="13"/>
      <c r="G312" s="13"/>
      <c r="H312" s="13"/>
      <c r="I312" s="13"/>
      <c r="J312" s="13"/>
      <c r="K312" s="13"/>
      <c r="L312" s="13"/>
      <c r="M312" s="13"/>
      <c r="N312" s="13"/>
      <c r="O312" s="13"/>
      <c r="P312" s="13"/>
      <c r="Q312" s="13"/>
      <c r="R312" s="13"/>
      <c r="S312" s="13"/>
      <c r="T312" s="13"/>
    </row>
    <row r="313" spans="2:20" x14ac:dyDescent="0.35">
      <c r="B313" s="13"/>
      <c r="C313" s="13"/>
      <c r="D313" s="13"/>
      <c r="E313" s="13"/>
      <c r="F313" s="13"/>
      <c r="G313" s="13"/>
      <c r="H313" s="13"/>
      <c r="I313" s="13"/>
      <c r="J313" s="13"/>
      <c r="K313" s="13"/>
      <c r="L313" s="13"/>
      <c r="M313" s="13"/>
      <c r="N313" s="13"/>
      <c r="O313" s="13"/>
      <c r="P313" s="13"/>
      <c r="Q313" s="13"/>
      <c r="R313" s="13"/>
      <c r="S313" s="13"/>
      <c r="T313" s="13"/>
    </row>
    <row r="314" spans="2:20" x14ac:dyDescent="0.35">
      <c r="B314" s="13"/>
      <c r="C314" s="13"/>
      <c r="D314" s="13"/>
      <c r="E314" s="13"/>
      <c r="F314" s="13"/>
      <c r="G314" s="13"/>
      <c r="H314" s="13"/>
      <c r="I314" s="13"/>
      <c r="J314" s="13"/>
      <c r="K314" s="13"/>
      <c r="L314" s="13"/>
      <c r="M314" s="13"/>
      <c r="N314" s="13"/>
      <c r="O314" s="13"/>
      <c r="P314" s="13"/>
      <c r="Q314" s="13"/>
      <c r="R314" s="13"/>
      <c r="S314" s="13"/>
      <c r="T314" s="13"/>
    </row>
    <row r="315" spans="2:20" x14ac:dyDescent="0.35">
      <c r="B315" s="13"/>
      <c r="C315" s="13"/>
      <c r="D315" s="13"/>
      <c r="E315" s="13"/>
      <c r="F315" s="13"/>
      <c r="G315" s="13"/>
      <c r="H315" s="13"/>
      <c r="I315" s="13"/>
      <c r="J315" s="13"/>
      <c r="K315" s="13"/>
      <c r="L315" s="13"/>
      <c r="M315" s="13"/>
      <c r="N315" s="13"/>
      <c r="O315" s="13"/>
      <c r="P315" s="13"/>
      <c r="Q315" s="13"/>
      <c r="R315" s="13"/>
      <c r="S315" s="13"/>
      <c r="T315" s="13"/>
    </row>
    <row r="316" spans="2:20" x14ac:dyDescent="0.35">
      <c r="B316" s="13"/>
      <c r="C316" s="13"/>
      <c r="D316" s="13"/>
      <c r="E316" s="13"/>
      <c r="F316" s="13"/>
      <c r="G316" s="13"/>
      <c r="H316" s="13"/>
      <c r="I316" s="13"/>
      <c r="J316" s="13"/>
      <c r="K316" s="13"/>
      <c r="L316" s="13"/>
      <c r="M316" s="13"/>
      <c r="N316" s="13"/>
      <c r="O316" s="13"/>
      <c r="P316" s="13"/>
      <c r="Q316" s="13"/>
      <c r="R316" s="13"/>
      <c r="S316" s="13"/>
      <c r="T316" s="13"/>
    </row>
    <row r="317" spans="2:20" x14ac:dyDescent="0.35">
      <c r="B317" s="13"/>
      <c r="C317" s="13"/>
      <c r="D317" s="13"/>
      <c r="E317" s="13"/>
      <c r="F317" s="13"/>
      <c r="G317" s="13"/>
      <c r="H317" s="13"/>
      <c r="I317" s="13"/>
      <c r="J317" s="13"/>
      <c r="K317" s="13"/>
      <c r="L317" s="13"/>
      <c r="M317" s="13"/>
      <c r="N317" s="13"/>
      <c r="O317" s="13"/>
      <c r="P317" s="13"/>
      <c r="Q317" s="13"/>
      <c r="R317" s="13"/>
      <c r="S317" s="13"/>
      <c r="T317" s="13"/>
    </row>
    <row r="318" spans="2:20" x14ac:dyDescent="0.35">
      <c r="B318" s="13"/>
      <c r="C318" s="13"/>
      <c r="D318" s="13"/>
      <c r="E318" s="13"/>
      <c r="F318" s="13"/>
      <c r="G318" s="13"/>
      <c r="H318" s="13"/>
      <c r="I318" s="13"/>
      <c r="J318" s="13"/>
      <c r="K318" s="13"/>
      <c r="L318" s="13"/>
      <c r="M318" s="13"/>
      <c r="N318" s="13"/>
      <c r="O318" s="13"/>
      <c r="P318" s="13"/>
      <c r="Q318" s="13"/>
      <c r="R318" s="13"/>
      <c r="S318" s="13"/>
      <c r="T318" s="13"/>
    </row>
    <row r="319" spans="2:20" x14ac:dyDescent="0.35">
      <c r="B319" s="13"/>
      <c r="C319" s="13"/>
      <c r="D319" s="13"/>
      <c r="E319" s="13"/>
      <c r="F319" s="13"/>
      <c r="G319" s="13"/>
      <c r="H319" s="13"/>
      <c r="I319" s="13"/>
      <c r="J319" s="13"/>
      <c r="K319" s="13"/>
      <c r="L319" s="13"/>
      <c r="M319" s="13"/>
      <c r="N319" s="13"/>
      <c r="O319" s="13"/>
      <c r="P319" s="13"/>
      <c r="Q319" s="13"/>
      <c r="R319" s="13"/>
      <c r="S319" s="13"/>
      <c r="T319" s="13"/>
    </row>
    <row r="320" spans="2:20" x14ac:dyDescent="0.35">
      <c r="B320" s="13"/>
      <c r="C320" s="13"/>
      <c r="D320" s="13"/>
      <c r="E320" s="13"/>
      <c r="F320" s="13"/>
      <c r="G320" s="13"/>
      <c r="H320" s="13"/>
      <c r="I320" s="13"/>
      <c r="J320" s="13"/>
      <c r="K320" s="13"/>
      <c r="L320" s="13"/>
      <c r="M320" s="13"/>
      <c r="N320" s="13"/>
      <c r="O320" s="13"/>
      <c r="P320" s="13"/>
      <c r="Q320" s="13"/>
      <c r="R320" s="13"/>
      <c r="S320" s="13"/>
      <c r="T320" s="13"/>
    </row>
    <row r="321" spans="2:20" x14ac:dyDescent="0.35">
      <c r="B321" s="13"/>
      <c r="C321" s="13"/>
      <c r="D321" s="13"/>
      <c r="E321" s="13"/>
      <c r="F321" s="13"/>
      <c r="G321" s="13"/>
      <c r="H321" s="13"/>
      <c r="I321" s="13"/>
      <c r="J321" s="13"/>
      <c r="K321" s="13"/>
      <c r="L321" s="13"/>
      <c r="M321" s="13"/>
      <c r="N321" s="13"/>
      <c r="O321" s="13"/>
      <c r="P321" s="13"/>
      <c r="Q321" s="13"/>
      <c r="R321" s="13"/>
      <c r="S321" s="13"/>
      <c r="T321" s="13"/>
    </row>
    <row r="322" spans="2:20" x14ac:dyDescent="0.35">
      <c r="B322" s="13"/>
      <c r="C322" s="13"/>
      <c r="D322" s="13"/>
      <c r="E322" s="13"/>
      <c r="F322" s="13"/>
      <c r="G322" s="13"/>
      <c r="H322" s="13"/>
      <c r="I322" s="13"/>
      <c r="J322" s="13"/>
      <c r="K322" s="13"/>
      <c r="L322" s="13"/>
      <c r="M322" s="13"/>
      <c r="N322" s="13"/>
      <c r="O322" s="13"/>
      <c r="P322" s="13"/>
      <c r="Q322" s="13"/>
      <c r="R322" s="13"/>
      <c r="S322" s="13"/>
      <c r="T322" s="13"/>
    </row>
    <row r="323" spans="2:20" x14ac:dyDescent="0.35">
      <c r="B323" s="13"/>
      <c r="C323" s="13"/>
      <c r="D323" s="13"/>
      <c r="E323" s="13"/>
      <c r="F323" s="13"/>
      <c r="G323" s="13"/>
      <c r="H323" s="13"/>
      <c r="I323" s="13"/>
      <c r="J323" s="13"/>
      <c r="K323" s="13"/>
      <c r="L323" s="13"/>
      <c r="M323" s="13"/>
      <c r="N323" s="13"/>
      <c r="O323" s="13"/>
      <c r="P323" s="13"/>
      <c r="Q323" s="13"/>
      <c r="R323" s="13"/>
      <c r="S323" s="13"/>
      <c r="T323" s="13"/>
    </row>
    <row r="324" spans="2:20" x14ac:dyDescent="0.35">
      <c r="B324" s="13"/>
      <c r="C324" s="13"/>
      <c r="D324" s="13"/>
      <c r="E324" s="13"/>
      <c r="F324" s="13"/>
      <c r="G324" s="13"/>
      <c r="H324" s="13"/>
      <c r="I324" s="13"/>
      <c r="J324" s="13"/>
      <c r="K324" s="13"/>
      <c r="L324" s="13"/>
      <c r="M324" s="13"/>
      <c r="N324" s="13"/>
      <c r="O324" s="13"/>
      <c r="P324" s="13"/>
      <c r="Q324" s="13"/>
      <c r="R324" s="13"/>
      <c r="S324" s="13"/>
      <c r="T324" s="13"/>
    </row>
    <row r="325" spans="2:20" x14ac:dyDescent="0.35">
      <c r="B325" s="13"/>
      <c r="C325" s="13"/>
      <c r="D325" s="13"/>
      <c r="E325" s="13"/>
      <c r="F325" s="13"/>
      <c r="G325" s="13"/>
      <c r="H325" s="13"/>
      <c r="I325" s="13"/>
      <c r="J325" s="13"/>
      <c r="K325" s="13"/>
      <c r="L325" s="13"/>
      <c r="M325" s="13"/>
      <c r="N325" s="13"/>
      <c r="O325" s="13"/>
      <c r="P325" s="13"/>
      <c r="Q325" s="13"/>
      <c r="R325" s="13"/>
      <c r="S325" s="13"/>
      <c r="T325" s="13"/>
    </row>
    <row r="326" spans="2:20" x14ac:dyDescent="0.35">
      <c r="B326" s="13"/>
      <c r="C326" s="13"/>
      <c r="D326" s="13"/>
      <c r="E326" s="13"/>
      <c r="F326" s="13"/>
      <c r="G326" s="13"/>
      <c r="H326" s="13"/>
      <c r="I326" s="13"/>
      <c r="J326" s="13"/>
      <c r="K326" s="13"/>
      <c r="L326" s="13"/>
      <c r="M326" s="13"/>
      <c r="N326" s="13"/>
      <c r="O326" s="13"/>
      <c r="P326" s="13"/>
      <c r="Q326" s="13"/>
      <c r="R326" s="13"/>
      <c r="S326" s="13"/>
      <c r="T326" s="13"/>
    </row>
    <row r="327" spans="2:20" x14ac:dyDescent="0.35">
      <c r="B327" s="13"/>
      <c r="C327" s="13"/>
      <c r="D327" s="13"/>
      <c r="E327" s="13"/>
      <c r="F327" s="13"/>
      <c r="G327" s="13"/>
      <c r="H327" s="13"/>
      <c r="I327" s="13"/>
      <c r="J327" s="13"/>
      <c r="K327" s="13"/>
      <c r="L327" s="13"/>
      <c r="M327" s="13"/>
      <c r="N327" s="13"/>
      <c r="O327" s="13"/>
      <c r="P327" s="13"/>
      <c r="Q327" s="13"/>
      <c r="R327" s="13"/>
      <c r="S327" s="13"/>
      <c r="T327" s="13"/>
    </row>
    <row r="328" spans="2:20" x14ac:dyDescent="0.35">
      <c r="B328" s="13"/>
      <c r="C328" s="13"/>
      <c r="D328" s="13"/>
      <c r="E328" s="13"/>
      <c r="F328" s="13"/>
      <c r="G328" s="13"/>
      <c r="H328" s="13"/>
      <c r="I328" s="13"/>
      <c r="J328" s="13"/>
      <c r="K328" s="13"/>
      <c r="L328" s="13"/>
      <c r="M328" s="13"/>
      <c r="N328" s="13"/>
      <c r="O328" s="13"/>
      <c r="P328" s="13"/>
      <c r="Q328" s="13"/>
      <c r="R328" s="13"/>
      <c r="S328" s="13"/>
      <c r="T328" s="13"/>
    </row>
    <row r="329" spans="2:20" x14ac:dyDescent="0.35">
      <c r="B329" s="13"/>
      <c r="C329" s="13"/>
      <c r="D329" s="13"/>
      <c r="E329" s="13"/>
      <c r="F329" s="13"/>
      <c r="G329" s="13"/>
      <c r="H329" s="13"/>
      <c r="I329" s="13"/>
      <c r="J329" s="13"/>
      <c r="K329" s="13"/>
      <c r="L329" s="13"/>
      <c r="M329" s="13"/>
      <c r="N329" s="13"/>
      <c r="O329" s="13"/>
      <c r="P329" s="13"/>
      <c r="Q329" s="13"/>
      <c r="R329" s="13"/>
      <c r="S329" s="13"/>
      <c r="T329" s="13"/>
    </row>
    <row r="330" spans="2:20" x14ac:dyDescent="0.35">
      <c r="B330" s="13"/>
      <c r="C330" s="13"/>
      <c r="D330" s="13"/>
      <c r="E330" s="13"/>
      <c r="F330" s="13"/>
      <c r="G330" s="13"/>
      <c r="H330" s="13"/>
      <c r="I330" s="13"/>
      <c r="J330" s="13"/>
      <c r="K330" s="13"/>
      <c r="L330" s="13"/>
      <c r="M330" s="13"/>
      <c r="N330" s="13"/>
      <c r="O330" s="13"/>
      <c r="P330" s="13"/>
      <c r="Q330" s="13"/>
      <c r="R330" s="13"/>
      <c r="S330" s="13"/>
      <c r="T330" s="13"/>
    </row>
    <row r="331" spans="2:20" x14ac:dyDescent="0.35">
      <c r="B331" s="13"/>
      <c r="C331" s="13"/>
      <c r="D331" s="13"/>
      <c r="E331" s="13"/>
      <c r="F331" s="13"/>
      <c r="G331" s="13"/>
      <c r="H331" s="13"/>
      <c r="I331" s="13"/>
      <c r="J331" s="13"/>
      <c r="K331" s="13"/>
      <c r="L331" s="13"/>
      <c r="M331" s="13"/>
      <c r="N331" s="13"/>
      <c r="O331" s="13"/>
      <c r="P331" s="13"/>
      <c r="Q331" s="13"/>
      <c r="R331" s="13"/>
      <c r="S331" s="13"/>
      <c r="T331" s="13"/>
    </row>
    <row r="332" spans="2:20" x14ac:dyDescent="0.35">
      <c r="B332" s="13"/>
      <c r="C332" s="13"/>
      <c r="D332" s="13"/>
      <c r="E332" s="13"/>
      <c r="F332" s="13"/>
      <c r="G332" s="13"/>
      <c r="H332" s="13"/>
      <c r="I332" s="13"/>
      <c r="J332" s="13"/>
      <c r="K332" s="13"/>
      <c r="L332" s="13"/>
      <c r="M332" s="13"/>
      <c r="N332" s="13"/>
      <c r="O332" s="13"/>
      <c r="P332" s="13"/>
      <c r="Q332" s="13"/>
      <c r="R332" s="13"/>
      <c r="S332" s="13"/>
      <c r="T332" s="13"/>
    </row>
    <row r="333" spans="2:20" x14ac:dyDescent="0.35">
      <c r="B333" s="13"/>
      <c r="C333" s="13"/>
      <c r="D333" s="13"/>
      <c r="E333" s="13"/>
      <c r="F333" s="13"/>
      <c r="G333" s="13"/>
      <c r="H333" s="13"/>
      <c r="I333" s="13"/>
      <c r="J333" s="13"/>
      <c r="K333" s="13"/>
      <c r="L333" s="13"/>
      <c r="M333" s="13"/>
      <c r="N333" s="13"/>
      <c r="O333" s="13"/>
      <c r="P333" s="13"/>
      <c r="Q333" s="13"/>
      <c r="R333" s="13"/>
      <c r="S333" s="13"/>
      <c r="T333" s="13"/>
    </row>
    <row r="334" spans="2:20" x14ac:dyDescent="0.35">
      <c r="B334" s="13"/>
      <c r="C334" s="13"/>
      <c r="D334" s="13"/>
      <c r="E334" s="13"/>
      <c r="F334" s="13"/>
      <c r="G334" s="13"/>
      <c r="H334" s="13"/>
      <c r="I334" s="13"/>
      <c r="J334" s="13"/>
      <c r="K334" s="13"/>
      <c r="L334" s="13"/>
      <c r="M334" s="13"/>
      <c r="N334" s="13"/>
      <c r="O334" s="13"/>
      <c r="P334" s="13"/>
      <c r="Q334" s="13"/>
      <c r="R334" s="13"/>
      <c r="S334" s="13"/>
      <c r="T334" s="13"/>
    </row>
    <row r="335" spans="2:20" x14ac:dyDescent="0.35">
      <c r="B335" s="13"/>
      <c r="C335" s="13"/>
      <c r="D335" s="13"/>
      <c r="E335" s="13"/>
      <c r="F335" s="13"/>
      <c r="G335" s="13"/>
      <c r="H335" s="13"/>
      <c r="I335" s="13"/>
      <c r="J335" s="13"/>
      <c r="K335" s="13"/>
      <c r="L335" s="13"/>
      <c r="M335" s="13"/>
      <c r="N335" s="13"/>
      <c r="O335" s="13"/>
      <c r="P335" s="13"/>
      <c r="Q335" s="13"/>
      <c r="R335" s="13"/>
      <c r="S335" s="13"/>
      <c r="T335" s="13"/>
    </row>
    <row r="336" spans="2:20" x14ac:dyDescent="0.35">
      <c r="B336" s="13"/>
      <c r="C336" s="13"/>
      <c r="D336" s="13"/>
      <c r="E336" s="13"/>
      <c r="F336" s="13"/>
      <c r="G336" s="13"/>
      <c r="H336" s="13"/>
      <c r="I336" s="13"/>
      <c r="J336" s="13"/>
      <c r="K336" s="13"/>
      <c r="L336" s="13"/>
      <c r="M336" s="13"/>
      <c r="N336" s="13"/>
      <c r="O336" s="13"/>
      <c r="P336" s="13"/>
      <c r="Q336" s="13"/>
      <c r="R336" s="13"/>
      <c r="S336" s="13"/>
      <c r="T336" s="13"/>
    </row>
    <row r="337" spans="2:20" x14ac:dyDescent="0.35">
      <c r="B337" s="13"/>
      <c r="C337" s="13"/>
      <c r="D337" s="13"/>
      <c r="E337" s="13"/>
      <c r="F337" s="13"/>
      <c r="G337" s="13"/>
      <c r="H337" s="13"/>
      <c r="I337" s="13"/>
      <c r="J337" s="13"/>
      <c r="K337" s="13"/>
      <c r="L337" s="13"/>
      <c r="M337" s="13"/>
      <c r="N337" s="13"/>
      <c r="O337" s="13"/>
      <c r="P337" s="13"/>
      <c r="Q337" s="13"/>
      <c r="R337" s="13"/>
      <c r="S337" s="13"/>
      <c r="T337" s="13"/>
    </row>
    <row r="338" spans="2:20" x14ac:dyDescent="0.35">
      <c r="B338" s="13"/>
      <c r="C338" s="13"/>
      <c r="D338" s="13"/>
      <c r="E338" s="13"/>
      <c r="F338" s="13"/>
      <c r="G338" s="13"/>
      <c r="H338" s="13"/>
      <c r="I338" s="13"/>
      <c r="J338" s="13"/>
      <c r="K338" s="13"/>
      <c r="L338" s="13"/>
      <c r="M338" s="13"/>
      <c r="N338" s="13"/>
      <c r="O338" s="13"/>
      <c r="P338" s="13"/>
      <c r="Q338" s="13"/>
      <c r="R338" s="13"/>
      <c r="S338" s="13"/>
      <c r="T338" s="13"/>
    </row>
    <row r="339" spans="2:20" x14ac:dyDescent="0.35">
      <c r="B339" s="13"/>
      <c r="C339" s="13"/>
      <c r="D339" s="13"/>
      <c r="E339" s="13"/>
      <c r="F339" s="13"/>
      <c r="G339" s="13"/>
      <c r="H339" s="13"/>
      <c r="I339" s="13"/>
      <c r="J339" s="13"/>
      <c r="K339" s="13"/>
      <c r="L339" s="13"/>
      <c r="M339" s="13"/>
      <c r="N339" s="13"/>
      <c r="O339" s="13"/>
      <c r="P339" s="13"/>
      <c r="Q339" s="13"/>
      <c r="R339" s="13"/>
      <c r="S339" s="13"/>
      <c r="T339" s="13"/>
    </row>
    <row r="340" spans="2:20" x14ac:dyDescent="0.35">
      <c r="B340" s="13"/>
      <c r="C340" s="13"/>
      <c r="D340" s="13"/>
      <c r="E340" s="13"/>
      <c r="F340" s="13"/>
      <c r="G340" s="13"/>
      <c r="H340" s="13"/>
      <c r="I340" s="13"/>
      <c r="J340" s="13"/>
      <c r="K340" s="13"/>
      <c r="L340" s="13"/>
      <c r="M340" s="13"/>
      <c r="N340" s="13"/>
      <c r="O340" s="13"/>
      <c r="P340" s="13"/>
      <c r="Q340" s="13"/>
      <c r="R340" s="13"/>
      <c r="S340" s="13"/>
      <c r="T340" s="13"/>
    </row>
    <row r="341" spans="2:20" x14ac:dyDescent="0.35">
      <c r="B341" s="13"/>
      <c r="C341" s="13"/>
      <c r="D341" s="13"/>
      <c r="E341" s="13"/>
      <c r="F341" s="13"/>
      <c r="G341" s="13"/>
      <c r="H341" s="13"/>
      <c r="I341" s="13"/>
      <c r="J341" s="13"/>
      <c r="K341" s="13"/>
      <c r="L341" s="13"/>
      <c r="M341" s="13"/>
      <c r="N341" s="13"/>
      <c r="O341" s="13"/>
      <c r="P341" s="13"/>
      <c r="Q341" s="13"/>
      <c r="R341" s="13"/>
      <c r="S341" s="13"/>
      <c r="T341" s="13"/>
    </row>
    <row r="342" spans="2:20" x14ac:dyDescent="0.35">
      <c r="B342" s="13"/>
      <c r="C342" s="13"/>
      <c r="D342" s="13"/>
      <c r="E342" s="13"/>
      <c r="F342" s="13"/>
      <c r="G342" s="13"/>
      <c r="H342" s="13"/>
      <c r="I342" s="13"/>
      <c r="J342" s="13"/>
      <c r="K342" s="13"/>
      <c r="L342" s="13"/>
      <c r="M342" s="13"/>
      <c r="N342" s="13"/>
      <c r="O342" s="13"/>
      <c r="P342" s="13"/>
      <c r="Q342" s="13"/>
      <c r="R342" s="13"/>
      <c r="S342" s="13"/>
      <c r="T342" s="13"/>
    </row>
    <row r="343" spans="2:20" x14ac:dyDescent="0.35">
      <c r="B343" s="13"/>
      <c r="C343" s="13"/>
      <c r="D343" s="13"/>
      <c r="E343" s="13"/>
      <c r="F343" s="13"/>
      <c r="G343" s="13"/>
      <c r="H343" s="13"/>
      <c r="I343" s="13"/>
      <c r="J343" s="13"/>
      <c r="K343" s="13"/>
      <c r="L343" s="13"/>
      <c r="M343" s="13"/>
      <c r="N343" s="13"/>
      <c r="O343" s="13"/>
      <c r="P343" s="13"/>
      <c r="Q343" s="13"/>
      <c r="R343" s="13"/>
      <c r="S343" s="13"/>
      <c r="T343" s="13"/>
    </row>
    <row r="344" spans="2:20" x14ac:dyDescent="0.35">
      <c r="B344" s="13"/>
      <c r="C344" s="13"/>
      <c r="D344" s="13"/>
      <c r="E344" s="13"/>
      <c r="F344" s="13"/>
      <c r="G344" s="13"/>
      <c r="H344" s="13"/>
      <c r="I344" s="13"/>
      <c r="J344" s="13"/>
      <c r="K344" s="13"/>
      <c r="L344" s="13"/>
      <c r="M344" s="13"/>
      <c r="N344" s="13"/>
      <c r="O344" s="13"/>
      <c r="P344" s="13"/>
      <c r="Q344" s="13"/>
      <c r="R344" s="13"/>
      <c r="S344" s="13"/>
      <c r="T344" s="13"/>
    </row>
    <row r="345" spans="2:20" x14ac:dyDescent="0.35">
      <c r="B345" s="13"/>
      <c r="C345" s="13"/>
      <c r="D345" s="13"/>
      <c r="E345" s="13"/>
      <c r="F345" s="13"/>
      <c r="G345" s="13"/>
      <c r="H345" s="13"/>
      <c r="I345" s="13"/>
      <c r="J345" s="13"/>
      <c r="K345" s="13"/>
      <c r="L345" s="13"/>
      <c r="M345" s="13"/>
      <c r="N345" s="13"/>
      <c r="O345" s="13"/>
      <c r="P345" s="13"/>
      <c r="Q345" s="13"/>
      <c r="R345" s="13"/>
      <c r="S345" s="13"/>
      <c r="T345" s="13"/>
    </row>
    <row r="346" spans="2:20" x14ac:dyDescent="0.35">
      <c r="B346" s="13"/>
      <c r="C346" s="13"/>
      <c r="D346" s="13"/>
      <c r="E346" s="13"/>
      <c r="F346" s="13"/>
      <c r="G346" s="13"/>
      <c r="H346" s="13"/>
      <c r="I346" s="13"/>
      <c r="J346" s="13"/>
      <c r="K346" s="13"/>
      <c r="L346" s="13"/>
      <c r="M346" s="13"/>
      <c r="N346" s="13"/>
      <c r="O346" s="13"/>
      <c r="P346" s="13"/>
      <c r="Q346" s="13"/>
      <c r="R346" s="13"/>
      <c r="S346" s="13"/>
      <c r="T346" s="13"/>
    </row>
    <row r="347" spans="2:20" x14ac:dyDescent="0.35">
      <c r="B347" s="13"/>
      <c r="C347" s="13"/>
      <c r="D347" s="13"/>
      <c r="E347" s="13"/>
      <c r="F347" s="13"/>
      <c r="G347" s="13"/>
      <c r="H347" s="13"/>
      <c r="I347" s="13"/>
      <c r="J347" s="13"/>
      <c r="K347" s="13"/>
      <c r="L347" s="13"/>
      <c r="M347" s="13"/>
      <c r="N347" s="13"/>
      <c r="O347" s="13"/>
      <c r="P347" s="13"/>
      <c r="Q347" s="13"/>
      <c r="R347" s="13"/>
      <c r="S347" s="13"/>
      <c r="T347" s="13"/>
    </row>
    <row r="348" spans="2:20" x14ac:dyDescent="0.35">
      <c r="B348" s="13"/>
      <c r="C348" s="13"/>
      <c r="D348" s="13"/>
      <c r="E348" s="13"/>
      <c r="F348" s="13"/>
      <c r="G348" s="13"/>
      <c r="H348" s="13"/>
      <c r="I348" s="13"/>
      <c r="J348" s="13"/>
      <c r="K348" s="13"/>
      <c r="L348" s="13"/>
      <c r="M348" s="13"/>
      <c r="N348" s="13"/>
      <c r="O348" s="13"/>
      <c r="P348" s="13"/>
      <c r="Q348" s="13"/>
      <c r="R348" s="13"/>
      <c r="S348" s="13"/>
      <c r="T348" s="13"/>
    </row>
    <row r="349" spans="2:20" x14ac:dyDescent="0.35">
      <c r="B349" s="13"/>
      <c r="C349" s="13"/>
      <c r="D349" s="13"/>
      <c r="E349" s="13"/>
      <c r="F349" s="13"/>
      <c r="G349" s="13"/>
      <c r="H349" s="13"/>
      <c r="I349" s="13"/>
      <c r="J349" s="13"/>
      <c r="K349" s="13"/>
      <c r="L349" s="13"/>
      <c r="M349" s="13"/>
      <c r="N349" s="13"/>
      <c r="O349" s="13"/>
      <c r="P349" s="13"/>
      <c r="Q349" s="13"/>
      <c r="R349" s="13"/>
      <c r="S349" s="13"/>
      <c r="T349" s="13"/>
    </row>
    <row r="350" spans="2:20" x14ac:dyDescent="0.35">
      <c r="B350" s="13"/>
      <c r="C350" s="13"/>
      <c r="D350" s="13"/>
      <c r="E350" s="13"/>
      <c r="F350" s="13"/>
      <c r="G350" s="13"/>
      <c r="H350" s="13"/>
      <c r="I350" s="13"/>
      <c r="J350" s="13"/>
      <c r="K350" s="13"/>
      <c r="L350" s="13"/>
      <c r="M350" s="13"/>
      <c r="N350" s="13"/>
      <c r="O350" s="13"/>
      <c r="P350" s="13"/>
      <c r="Q350" s="13"/>
      <c r="R350" s="13"/>
      <c r="S350" s="13"/>
      <c r="T350" s="13"/>
    </row>
    <row r="351" spans="2:20" x14ac:dyDescent="0.35">
      <c r="B351" s="13"/>
      <c r="C351" s="13"/>
      <c r="D351" s="13"/>
      <c r="E351" s="13"/>
      <c r="F351" s="13"/>
      <c r="G351" s="13"/>
      <c r="H351" s="13"/>
      <c r="I351" s="13"/>
      <c r="J351" s="13"/>
      <c r="K351" s="13"/>
      <c r="L351" s="13"/>
      <c r="M351" s="13"/>
      <c r="N351" s="13"/>
      <c r="O351" s="13"/>
      <c r="P351" s="13"/>
      <c r="Q351" s="13"/>
      <c r="R351" s="13"/>
      <c r="S351" s="13"/>
      <c r="T351" s="13"/>
    </row>
    <row r="352" spans="2:20" x14ac:dyDescent="0.35">
      <c r="B352" s="13"/>
      <c r="C352" s="13"/>
      <c r="D352" s="13"/>
      <c r="E352" s="13"/>
      <c r="F352" s="13"/>
      <c r="G352" s="13"/>
      <c r="H352" s="13"/>
      <c r="I352" s="13"/>
      <c r="J352" s="13"/>
      <c r="K352" s="13"/>
      <c r="L352" s="13"/>
      <c r="M352" s="13"/>
      <c r="N352" s="13"/>
      <c r="O352" s="13"/>
      <c r="P352" s="13"/>
      <c r="Q352" s="13"/>
      <c r="R352" s="13"/>
      <c r="S352" s="13"/>
      <c r="T352" s="13"/>
    </row>
    <row r="353" spans="2:20" x14ac:dyDescent="0.35">
      <c r="B353" s="13"/>
      <c r="C353" s="13"/>
      <c r="D353" s="13"/>
      <c r="E353" s="13"/>
      <c r="F353" s="13"/>
      <c r="G353" s="13"/>
      <c r="H353" s="13"/>
      <c r="I353" s="13"/>
      <c r="J353" s="13"/>
      <c r="K353" s="13"/>
      <c r="L353" s="13"/>
      <c r="M353" s="13"/>
      <c r="N353" s="13"/>
      <c r="O353" s="13"/>
      <c r="P353" s="13"/>
      <c r="Q353" s="13"/>
      <c r="R353" s="13"/>
      <c r="S353" s="13"/>
      <c r="T353" s="13"/>
    </row>
    <row r="354" spans="2:20" x14ac:dyDescent="0.35">
      <c r="B354" s="13"/>
      <c r="C354" s="13"/>
      <c r="D354" s="13"/>
      <c r="E354" s="13"/>
      <c r="F354" s="13"/>
      <c r="G354" s="13"/>
      <c r="H354" s="13"/>
      <c r="I354" s="13"/>
      <c r="J354" s="13"/>
      <c r="K354" s="13"/>
      <c r="L354" s="13"/>
      <c r="M354" s="13"/>
      <c r="N354" s="13"/>
      <c r="O354" s="13"/>
      <c r="P354" s="13"/>
      <c r="Q354" s="13"/>
      <c r="R354" s="13"/>
      <c r="S354" s="13"/>
      <c r="T354" s="13"/>
    </row>
    <row r="355" spans="2:20" x14ac:dyDescent="0.35">
      <c r="B355" s="13"/>
      <c r="C355" s="13"/>
      <c r="D355" s="13"/>
      <c r="E355" s="13"/>
      <c r="F355" s="13"/>
      <c r="G355" s="13"/>
      <c r="H355" s="13"/>
      <c r="I355" s="13"/>
      <c r="J355" s="13"/>
      <c r="K355" s="13"/>
      <c r="L355" s="13"/>
      <c r="M355" s="13"/>
      <c r="N355" s="13"/>
      <c r="O355" s="13"/>
      <c r="P355" s="13"/>
      <c r="Q355" s="13"/>
      <c r="R355" s="13"/>
      <c r="S355" s="13"/>
      <c r="T355" s="13"/>
    </row>
    <row r="356" spans="2:20" x14ac:dyDescent="0.35">
      <c r="B356" s="13"/>
      <c r="C356" s="13"/>
      <c r="D356" s="13"/>
      <c r="E356" s="13"/>
      <c r="F356" s="13"/>
      <c r="G356" s="13"/>
      <c r="H356" s="13"/>
      <c r="I356" s="13"/>
      <c r="J356" s="13"/>
      <c r="K356" s="13"/>
      <c r="L356" s="13"/>
      <c r="M356" s="13"/>
      <c r="N356" s="13"/>
      <c r="O356" s="13"/>
      <c r="P356" s="13"/>
      <c r="Q356" s="13"/>
      <c r="R356" s="13"/>
      <c r="S356" s="13"/>
      <c r="T356" s="13"/>
    </row>
    <row r="357" spans="2:20" x14ac:dyDescent="0.35">
      <c r="B357" s="13"/>
      <c r="C357" s="13"/>
      <c r="D357" s="13"/>
      <c r="E357" s="13"/>
      <c r="F357" s="13"/>
      <c r="G357" s="13"/>
      <c r="H357" s="13"/>
      <c r="I357" s="13"/>
      <c r="J357" s="13"/>
      <c r="K357" s="13"/>
      <c r="L357" s="13"/>
      <c r="M357" s="13"/>
      <c r="N357" s="13"/>
      <c r="O357" s="13"/>
      <c r="P357" s="13"/>
      <c r="Q357" s="13"/>
      <c r="R357" s="13"/>
      <c r="S357" s="13"/>
      <c r="T357" s="13"/>
    </row>
    <row r="358" spans="2:20" x14ac:dyDescent="0.35">
      <c r="B358" s="13"/>
      <c r="C358" s="13"/>
      <c r="D358" s="13"/>
      <c r="E358" s="13"/>
      <c r="F358" s="13"/>
      <c r="G358" s="13"/>
      <c r="H358" s="13"/>
      <c r="I358" s="13"/>
      <c r="J358" s="13"/>
      <c r="K358" s="13"/>
      <c r="L358" s="13"/>
      <c r="M358" s="13"/>
      <c r="N358" s="13"/>
      <c r="O358" s="13"/>
      <c r="P358" s="13"/>
      <c r="Q358" s="13"/>
      <c r="R358" s="13"/>
      <c r="S358" s="13"/>
      <c r="T358" s="13"/>
    </row>
    <row r="359" spans="2:20" x14ac:dyDescent="0.35">
      <c r="B359" s="13"/>
      <c r="C359" s="13"/>
      <c r="D359" s="13"/>
      <c r="E359" s="13"/>
      <c r="F359" s="13"/>
      <c r="G359" s="13"/>
      <c r="H359" s="13"/>
      <c r="I359" s="13"/>
      <c r="J359" s="13"/>
      <c r="K359" s="13"/>
      <c r="L359" s="13"/>
      <c r="M359" s="13"/>
      <c r="N359" s="13"/>
      <c r="O359" s="13"/>
      <c r="P359" s="13"/>
      <c r="Q359" s="13"/>
      <c r="R359" s="13"/>
      <c r="S359" s="13"/>
      <c r="T359" s="13"/>
    </row>
    <row r="360" spans="2:20" x14ac:dyDescent="0.35">
      <c r="B360" s="13"/>
      <c r="C360" s="13"/>
      <c r="D360" s="13"/>
      <c r="E360" s="13"/>
      <c r="F360" s="13"/>
      <c r="G360" s="13"/>
      <c r="H360" s="13"/>
      <c r="I360" s="13"/>
      <c r="J360" s="13"/>
      <c r="K360" s="13"/>
      <c r="L360" s="13"/>
      <c r="M360" s="13"/>
      <c r="N360" s="13"/>
      <c r="O360" s="13"/>
      <c r="P360" s="13"/>
      <c r="Q360" s="13"/>
      <c r="R360" s="13"/>
      <c r="S360" s="13"/>
      <c r="T360" s="13"/>
    </row>
    <row r="361" spans="2:20" x14ac:dyDescent="0.35">
      <c r="B361" s="13"/>
      <c r="C361" s="13"/>
      <c r="D361" s="13"/>
      <c r="E361" s="13"/>
      <c r="F361" s="13"/>
      <c r="G361" s="13"/>
      <c r="H361" s="13"/>
      <c r="I361" s="13"/>
      <c r="J361" s="13"/>
      <c r="K361" s="13"/>
      <c r="L361" s="13"/>
      <c r="M361" s="13"/>
      <c r="N361" s="13"/>
      <c r="O361" s="13"/>
      <c r="P361" s="13"/>
      <c r="Q361" s="13"/>
      <c r="R361" s="13"/>
      <c r="S361" s="13"/>
      <c r="T361" s="13"/>
    </row>
    <row r="362" spans="2:20" x14ac:dyDescent="0.35">
      <c r="B362" s="13"/>
      <c r="C362" s="13"/>
      <c r="D362" s="13"/>
      <c r="E362" s="13"/>
      <c r="F362" s="13"/>
      <c r="G362" s="13"/>
      <c r="H362" s="13"/>
      <c r="I362" s="13"/>
      <c r="J362" s="13"/>
      <c r="K362" s="13"/>
      <c r="L362" s="13"/>
      <c r="M362" s="13"/>
      <c r="N362" s="13"/>
      <c r="O362" s="13"/>
      <c r="P362" s="13"/>
      <c r="Q362" s="13"/>
      <c r="R362" s="13"/>
      <c r="S362" s="13"/>
      <c r="T362" s="13"/>
    </row>
    <row r="363" spans="2:20" x14ac:dyDescent="0.35">
      <c r="B363" s="13"/>
      <c r="C363" s="13"/>
      <c r="D363" s="13"/>
      <c r="E363" s="13"/>
      <c r="F363" s="13"/>
      <c r="G363" s="13"/>
      <c r="H363" s="13"/>
      <c r="I363" s="13"/>
      <c r="J363" s="13"/>
      <c r="K363" s="13"/>
      <c r="L363" s="13"/>
      <c r="M363" s="13"/>
      <c r="N363" s="13"/>
      <c r="O363" s="13"/>
      <c r="P363" s="13"/>
      <c r="Q363" s="13"/>
      <c r="R363" s="13"/>
      <c r="S363" s="13"/>
      <c r="T363" s="13"/>
    </row>
    <row r="364" spans="2:20" x14ac:dyDescent="0.35">
      <c r="B364" s="13"/>
      <c r="C364" s="13"/>
      <c r="D364" s="13"/>
      <c r="E364" s="13"/>
      <c r="F364" s="13"/>
      <c r="G364" s="13"/>
      <c r="H364" s="13"/>
      <c r="I364" s="13"/>
      <c r="J364" s="13"/>
      <c r="K364" s="13"/>
      <c r="L364" s="13"/>
      <c r="M364" s="13"/>
      <c r="N364" s="13"/>
      <c r="O364" s="13"/>
      <c r="P364" s="13"/>
      <c r="Q364" s="13"/>
      <c r="R364" s="13"/>
      <c r="S364" s="13"/>
      <c r="T364" s="13"/>
    </row>
    <row r="365" spans="2:20" x14ac:dyDescent="0.35">
      <c r="B365" s="13"/>
      <c r="C365" s="13"/>
      <c r="D365" s="13"/>
      <c r="E365" s="13"/>
      <c r="F365" s="13"/>
      <c r="G365" s="13"/>
      <c r="H365" s="13"/>
      <c r="I365" s="13"/>
      <c r="J365" s="13"/>
      <c r="K365" s="13"/>
      <c r="L365" s="13"/>
      <c r="M365" s="13"/>
      <c r="N365" s="13"/>
      <c r="O365" s="13"/>
      <c r="P365" s="13"/>
      <c r="Q365" s="13"/>
      <c r="R365" s="13"/>
      <c r="S365" s="13"/>
      <c r="T365" s="13"/>
    </row>
    <row r="366" spans="2:20" x14ac:dyDescent="0.35">
      <c r="B366" s="13"/>
      <c r="C366" s="13"/>
      <c r="D366" s="13"/>
      <c r="E366" s="13"/>
      <c r="F366" s="13"/>
      <c r="G366" s="13"/>
      <c r="H366" s="13"/>
      <c r="I366" s="13"/>
      <c r="J366" s="13"/>
      <c r="K366" s="13"/>
      <c r="L366" s="13"/>
      <c r="M366" s="13"/>
      <c r="N366" s="13"/>
      <c r="O366" s="13"/>
      <c r="P366" s="13"/>
      <c r="Q366" s="13"/>
      <c r="R366" s="13"/>
      <c r="S366" s="13"/>
      <c r="T366" s="13"/>
    </row>
    <row r="367" spans="2:20" x14ac:dyDescent="0.35">
      <c r="B367" s="13"/>
      <c r="C367" s="13"/>
      <c r="D367" s="13"/>
      <c r="E367" s="13"/>
      <c r="F367" s="13"/>
      <c r="G367" s="13"/>
      <c r="H367" s="13"/>
      <c r="I367" s="13"/>
      <c r="J367" s="13"/>
      <c r="K367" s="13"/>
      <c r="L367" s="13"/>
      <c r="M367" s="13"/>
      <c r="N367" s="13"/>
      <c r="O367" s="13"/>
      <c r="P367" s="13"/>
      <c r="Q367" s="13"/>
      <c r="R367" s="13"/>
      <c r="S367" s="13"/>
      <c r="T367" s="13"/>
    </row>
    <row r="368" spans="2:20" x14ac:dyDescent="0.35">
      <c r="B368" s="13"/>
      <c r="C368" s="13"/>
      <c r="D368" s="13"/>
      <c r="E368" s="13"/>
      <c r="F368" s="13"/>
      <c r="G368" s="13"/>
      <c r="H368" s="13"/>
      <c r="I368" s="13"/>
      <c r="J368" s="13"/>
      <c r="K368" s="13"/>
      <c r="L368" s="13"/>
      <c r="M368" s="13"/>
      <c r="N368" s="13"/>
      <c r="O368" s="13"/>
      <c r="P368" s="13"/>
      <c r="Q368" s="13"/>
      <c r="R368" s="13"/>
      <c r="S368" s="13"/>
      <c r="T368" s="13"/>
    </row>
    <row r="369" spans="2:20" x14ac:dyDescent="0.35">
      <c r="B369" s="13"/>
      <c r="C369" s="13"/>
      <c r="D369" s="13"/>
      <c r="E369" s="13"/>
      <c r="F369" s="13"/>
      <c r="G369" s="13"/>
      <c r="H369" s="13"/>
      <c r="I369" s="13"/>
      <c r="J369" s="13"/>
      <c r="K369" s="13"/>
      <c r="L369" s="13"/>
      <c r="M369" s="13"/>
      <c r="N369" s="13"/>
      <c r="O369" s="13"/>
      <c r="P369" s="13"/>
      <c r="Q369" s="13"/>
      <c r="R369" s="13"/>
      <c r="S369" s="13"/>
      <c r="T369" s="13"/>
    </row>
    <row r="370" spans="2:20" x14ac:dyDescent="0.35">
      <c r="B370" s="13"/>
      <c r="C370" s="13"/>
      <c r="D370" s="13"/>
      <c r="E370" s="13"/>
      <c r="F370" s="13"/>
      <c r="G370" s="13"/>
      <c r="H370" s="13"/>
      <c r="I370" s="13"/>
      <c r="J370" s="13"/>
      <c r="K370" s="13"/>
      <c r="L370" s="13"/>
      <c r="M370" s="13"/>
      <c r="N370" s="13"/>
      <c r="O370" s="13"/>
      <c r="P370" s="13"/>
      <c r="Q370" s="13"/>
      <c r="R370" s="13"/>
      <c r="S370" s="13"/>
      <c r="T370" s="13"/>
    </row>
    <row r="371" spans="2:20" x14ac:dyDescent="0.35">
      <c r="B371" s="13"/>
      <c r="C371" s="13"/>
      <c r="D371" s="13"/>
      <c r="E371" s="13"/>
      <c r="F371" s="13"/>
      <c r="G371" s="13"/>
      <c r="H371" s="13"/>
      <c r="I371" s="13"/>
      <c r="J371" s="13"/>
      <c r="K371" s="13"/>
      <c r="L371" s="13"/>
      <c r="M371" s="13"/>
      <c r="N371" s="13"/>
      <c r="O371" s="13"/>
      <c r="P371" s="13"/>
      <c r="Q371" s="13"/>
      <c r="R371" s="13"/>
      <c r="S371" s="13"/>
      <c r="T371" s="13"/>
    </row>
    <row r="372" spans="2:20" x14ac:dyDescent="0.35">
      <c r="B372" s="13"/>
      <c r="C372" s="13"/>
      <c r="D372" s="13"/>
      <c r="E372" s="13"/>
      <c r="F372" s="13"/>
      <c r="G372" s="13"/>
      <c r="H372" s="13"/>
      <c r="I372" s="13"/>
      <c r="J372" s="13"/>
      <c r="K372" s="13"/>
      <c r="L372" s="13"/>
      <c r="M372" s="13"/>
      <c r="N372" s="13"/>
      <c r="O372" s="13"/>
      <c r="P372" s="13"/>
      <c r="Q372" s="13"/>
      <c r="R372" s="13"/>
      <c r="S372" s="13"/>
      <c r="T372" s="13"/>
    </row>
    <row r="373" spans="2:20" x14ac:dyDescent="0.35">
      <c r="B373" s="13"/>
      <c r="C373" s="13"/>
      <c r="D373" s="13"/>
      <c r="E373" s="13"/>
      <c r="F373" s="13"/>
      <c r="G373" s="13"/>
      <c r="H373" s="13"/>
      <c r="I373" s="13"/>
      <c r="J373" s="13"/>
      <c r="K373" s="13"/>
      <c r="L373" s="13"/>
      <c r="M373" s="13"/>
      <c r="N373" s="13"/>
      <c r="O373" s="13"/>
      <c r="P373" s="13"/>
      <c r="Q373" s="13"/>
      <c r="R373" s="13"/>
      <c r="S373" s="13"/>
      <c r="T373" s="13"/>
    </row>
    <row r="374" spans="2:20" x14ac:dyDescent="0.35">
      <c r="B374" s="13"/>
      <c r="C374" s="13"/>
      <c r="D374" s="13"/>
      <c r="E374" s="13"/>
      <c r="F374" s="13"/>
      <c r="G374" s="13"/>
      <c r="H374" s="13"/>
      <c r="I374" s="13"/>
      <c r="J374" s="13"/>
      <c r="K374" s="13"/>
      <c r="L374" s="13"/>
      <c r="M374" s="13"/>
      <c r="N374" s="13"/>
      <c r="O374" s="13"/>
      <c r="P374" s="13"/>
      <c r="Q374" s="13"/>
      <c r="R374" s="13"/>
      <c r="S374" s="13"/>
      <c r="T374" s="13"/>
    </row>
    <row r="375" spans="2:20" x14ac:dyDescent="0.35">
      <c r="B375" s="13"/>
      <c r="C375" s="13"/>
      <c r="D375" s="13"/>
      <c r="E375" s="13"/>
      <c r="F375" s="13"/>
      <c r="G375" s="13"/>
      <c r="H375" s="13"/>
      <c r="I375" s="13"/>
      <c r="J375" s="13"/>
      <c r="K375" s="13"/>
      <c r="L375" s="13"/>
      <c r="M375" s="13"/>
      <c r="N375" s="13"/>
      <c r="O375" s="13"/>
      <c r="P375" s="13"/>
      <c r="Q375" s="13"/>
      <c r="R375" s="13"/>
      <c r="S375" s="13"/>
      <c r="T375" s="13"/>
    </row>
    <row r="376" spans="2:20" x14ac:dyDescent="0.35">
      <c r="B376" s="13"/>
      <c r="C376" s="13"/>
      <c r="D376" s="13"/>
      <c r="E376" s="13"/>
      <c r="F376" s="13"/>
      <c r="G376" s="13"/>
      <c r="H376" s="13"/>
      <c r="I376" s="13"/>
      <c r="J376" s="13"/>
      <c r="K376" s="13"/>
      <c r="L376" s="13"/>
      <c r="M376" s="13"/>
      <c r="N376" s="13"/>
      <c r="O376" s="13"/>
      <c r="P376" s="13"/>
      <c r="Q376" s="13"/>
      <c r="R376" s="13"/>
      <c r="S376" s="13"/>
      <c r="T376" s="13"/>
    </row>
    <row r="377" spans="2:20" x14ac:dyDescent="0.35">
      <c r="B377" s="13"/>
      <c r="C377" s="13"/>
      <c r="D377" s="13"/>
      <c r="E377" s="13"/>
      <c r="F377" s="13"/>
      <c r="G377" s="13"/>
      <c r="H377" s="13"/>
      <c r="I377" s="13"/>
      <c r="J377" s="13"/>
      <c r="K377" s="13"/>
      <c r="L377" s="13"/>
      <c r="M377" s="13"/>
      <c r="N377" s="13"/>
      <c r="O377" s="13"/>
      <c r="P377" s="13"/>
      <c r="Q377" s="13"/>
      <c r="R377" s="13"/>
      <c r="S377" s="13"/>
      <c r="T377" s="13"/>
    </row>
    <row r="378" spans="2:20" x14ac:dyDescent="0.35">
      <c r="B378" s="13"/>
      <c r="C378" s="13"/>
      <c r="D378" s="13"/>
      <c r="E378" s="13"/>
      <c r="F378" s="13"/>
      <c r="G378" s="13"/>
      <c r="H378" s="13"/>
      <c r="I378" s="13"/>
      <c r="J378" s="13"/>
      <c r="K378" s="13"/>
      <c r="L378" s="13"/>
      <c r="M378" s="13"/>
      <c r="N378" s="13"/>
      <c r="O378" s="13"/>
      <c r="P378" s="13"/>
      <c r="Q378" s="13"/>
      <c r="R378" s="13"/>
      <c r="S378" s="13"/>
      <c r="T378" s="13"/>
    </row>
    <row r="379" spans="2:20" x14ac:dyDescent="0.35">
      <c r="B379" s="13"/>
      <c r="C379" s="13"/>
      <c r="D379" s="13"/>
      <c r="E379" s="13"/>
      <c r="F379" s="13"/>
      <c r="G379" s="13"/>
      <c r="H379" s="13"/>
      <c r="I379" s="13"/>
      <c r="J379" s="13"/>
      <c r="K379" s="13"/>
      <c r="L379" s="13"/>
      <c r="M379" s="13"/>
      <c r="N379" s="13"/>
      <c r="O379" s="13"/>
      <c r="P379" s="13"/>
      <c r="Q379" s="13"/>
      <c r="R379" s="13"/>
      <c r="S379" s="13"/>
      <c r="T379" s="13"/>
    </row>
    <row r="380" spans="2:20" x14ac:dyDescent="0.35">
      <c r="B380" s="13"/>
      <c r="C380" s="13"/>
      <c r="D380" s="13"/>
      <c r="E380" s="13"/>
      <c r="F380" s="13"/>
      <c r="G380" s="13"/>
      <c r="H380" s="13"/>
      <c r="I380" s="13"/>
      <c r="J380" s="13"/>
      <c r="K380" s="13"/>
      <c r="L380" s="13"/>
      <c r="M380" s="13"/>
      <c r="N380" s="13"/>
      <c r="O380" s="13"/>
      <c r="P380" s="13"/>
      <c r="Q380" s="13"/>
      <c r="R380" s="13"/>
      <c r="S380" s="13"/>
      <c r="T380" s="13"/>
    </row>
    <row r="381" spans="2:20" x14ac:dyDescent="0.35">
      <c r="B381" s="13"/>
      <c r="C381" s="13"/>
      <c r="D381" s="13"/>
      <c r="E381" s="13"/>
      <c r="F381" s="13"/>
      <c r="G381" s="13"/>
      <c r="H381" s="13"/>
      <c r="I381" s="13"/>
      <c r="J381" s="13"/>
      <c r="K381" s="13"/>
      <c r="L381" s="13"/>
      <c r="M381" s="13"/>
      <c r="N381" s="13"/>
      <c r="O381" s="13"/>
      <c r="P381" s="13"/>
      <c r="Q381" s="13"/>
      <c r="R381" s="13"/>
      <c r="S381" s="13"/>
      <c r="T381" s="13"/>
    </row>
    <row r="382" spans="2:20" x14ac:dyDescent="0.35">
      <c r="B382" s="13"/>
      <c r="C382" s="13"/>
      <c r="D382" s="13"/>
      <c r="E382" s="13"/>
      <c r="F382" s="13"/>
      <c r="G382" s="13"/>
      <c r="H382" s="13"/>
      <c r="I382" s="13"/>
      <c r="J382" s="13"/>
      <c r="K382" s="13"/>
      <c r="L382" s="13"/>
      <c r="M382" s="13"/>
      <c r="N382" s="13"/>
      <c r="O382" s="13"/>
      <c r="P382" s="13"/>
      <c r="Q382" s="13"/>
      <c r="R382" s="13"/>
      <c r="S382" s="13"/>
      <c r="T382" s="13"/>
    </row>
    <row r="383" spans="2:20" x14ac:dyDescent="0.35">
      <c r="B383" s="13"/>
      <c r="C383" s="13"/>
      <c r="D383" s="13"/>
      <c r="E383" s="13"/>
      <c r="F383" s="13"/>
      <c r="G383" s="13"/>
      <c r="H383" s="13"/>
      <c r="I383" s="13"/>
      <c r="J383" s="13"/>
      <c r="K383" s="13"/>
      <c r="L383" s="13"/>
      <c r="M383" s="13"/>
      <c r="N383" s="13"/>
      <c r="O383" s="13"/>
      <c r="P383" s="13"/>
      <c r="Q383" s="13"/>
      <c r="R383" s="13"/>
      <c r="S383" s="13"/>
      <c r="T383" s="13"/>
    </row>
    <row r="384" spans="2:20" x14ac:dyDescent="0.35">
      <c r="B384" s="13"/>
      <c r="C384" s="13"/>
      <c r="D384" s="13"/>
      <c r="E384" s="13"/>
      <c r="F384" s="13"/>
      <c r="G384" s="13"/>
      <c r="H384" s="13"/>
      <c r="I384" s="13"/>
      <c r="J384" s="13"/>
      <c r="K384" s="13"/>
      <c r="L384" s="13"/>
      <c r="M384" s="13"/>
      <c r="N384" s="13"/>
      <c r="O384" s="13"/>
      <c r="P384" s="13"/>
      <c r="Q384" s="13"/>
      <c r="R384" s="13"/>
      <c r="S384" s="13"/>
      <c r="T384" s="13"/>
    </row>
    <row r="385" spans="2:20" x14ac:dyDescent="0.35">
      <c r="B385" s="13"/>
      <c r="C385" s="13"/>
      <c r="D385" s="13"/>
      <c r="E385" s="13"/>
      <c r="F385" s="13"/>
      <c r="G385" s="13"/>
      <c r="H385" s="13"/>
      <c r="I385" s="13"/>
      <c r="J385" s="13"/>
      <c r="K385" s="13"/>
      <c r="L385" s="13"/>
      <c r="M385" s="13"/>
      <c r="N385" s="13"/>
      <c r="O385" s="13"/>
      <c r="P385" s="13"/>
      <c r="Q385" s="13"/>
      <c r="R385" s="13"/>
      <c r="S385" s="13"/>
      <c r="T385" s="13"/>
    </row>
    <row r="386" spans="2:20" x14ac:dyDescent="0.35">
      <c r="B386" s="13"/>
      <c r="C386" s="13"/>
      <c r="D386" s="13"/>
      <c r="E386" s="13"/>
      <c r="F386" s="13"/>
      <c r="G386" s="13"/>
      <c r="H386" s="13"/>
      <c r="I386" s="13"/>
      <c r="J386" s="13"/>
      <c r="K386" s="13"/>
      <c r="L386" s="13"/>
      <c r="M386" s="13"/>
      <c r="N386" s="13"/>
      <c r="O386" s="13"/>
      <c r="P386" s="13"/>
      <c r="Q386" s="13"/>
      <c r="R386" s="13"/>
      <c r="S386" s="13"/>
      <c r="T386" s="13"/>
    </row>
    <row r="387" spans="2:20" x14ac:dyDescent="0.35">
      <c r="B387" s="13"/>
      <c r="C387" s="13"/>
      <c r="D387" s="13"/>
      <c r="E387" s="13"/>
      <c r="F387" s="13"/>
      <c r="G387" s="13"/>
      <c r="H387" s="13"/>
      <c r="I387" s="13"/>
      <c r="J387" s="13"/>
      <c r="K387" s="13"/>
      <c r="L387" s="13"/>
      <c r="M387" s="13"/>
      <c r="N387" s="13"/>
      <c r="O387" s="13"/>
      <c r="P387" s="13"/>
      <c r="Q387" s="13"/>
      <c r="R387" s="13"/>
      <c r="S387" s="13"/>
      <c r="T387" s="13"/>
    </row>
    <row r="388" spans="2:20" x14ac:dyDescent="0.35">
      <c r="B388" s="13"/>
      <c r="C388" s="13"/>
      <c r="D388" s="13"/>
      <c r="E388" s="13"/>
      <c r="F388" s="13"/>
      <c r="G388" s="13"/>
      <c r="H388" s="13"/>
      <c r="I388" s="13"/>
      <c r="J388" s="13"/>
      <c r="K388" s="13"/>
      <c r="L388" s="13"/>
      <c r="M388" s="13"/>
      <c r="N388" s="13"/>
      <c r="O388" s="13"/>
      <c r="P388" s="13"/>
      <c r="Q388" s="13"/>
      <c r="R388" s="13"/>
      <c r="S388" s="13"/>
      <c r="T388" s="13"/>
    </row>
    <row r="389" spans="2:20" x14ac:dyDescent="0.35">
      <c r="B389" s="13"/>
      <c r="C389" s="13"/>
      <c r="D389" s="13"/>
      <c r="E389" s="13"/>
      <c r="F389" s="13"/>
      <c r="G389" s="13"/>
      <c r="H389" s="13"/>
      <c r="I389" s="13"/>
      <c r="J389" s="13"/>
      <c r="K389" s="13"/>
      <c r="L389" s="13"/>
      <c r="M389" s="13"/>
      <c r="N389" s="13"/>
      <c r="O389" s="13"/>
      <c r="P389" s="13"/>
      <c r="Q389" s="13"/>
      <c r="R389" s="13"/>
      <c r="S389" s="13"/>
      <c r="T389" s="13"/>
    </row>
    <row r="390" spans="2:20" x14ac:dyDescent="0.35">
      <c r="B390" s="13"/>
      <c r="C390" s="13"/>
      <c r="D390" s="13"/>
      <c r="E390" s="13"/>
      <c r="F390" s="13"/>
      <c r="G390" s="13"/>
      <c r="H390" s="13"/>
      <c r="I390" s="13"/>
      <c r="J390" s="13"/>
      <c r="K390" s="13"/>
      <c r="L390" s="13"/>
      <c r="M390" s="13"/>
      <c r="N390" s="13"/>
      <c r="O390" s="13"/>
      <c r="P390" s="13"/>
      <c r="Q390" s="13"/>
      <c r="R390" s="13"/>
      <c r="S390" s="13"/>
      <c r="T390" s="13"/>
    </row>
    <row r="391" spans="2:20" x14ac:dyDescent="0.35">
      <c r="B391" s="13"/>
      <c r="C391" s="13"/>
      <c r="D391" s="13"/>
      <c r="E391" s="13"/>
      <c r="F391" s="13"/>
      <c r="G391" s="13"/>
      <c r="H391" s="13"/>
      <c r="I391" s="13"/>
      <c r="J391" s="13"/>
      <c r="K391" s="13"/>
      <c r="L391" s="13"/>
      <c r="M391" s="13"/>
      <c r="N391" s="13"/>
      <c r="O391" s="13"/>
      <c r="P391" s="13"/>
      <c r="Q391" s="13"/>
      <c r="R391" s="13"/>
      <c r="S391" s="13"/>
      <c r="T391" s="13"/>
    </row>
    <row r="392" spans="2:20" x14ac:dyDescent="0.35">
      <c r="B392" s="13"/>
      <c r="C392" s="13"/>
      <c r="D392" s="13"/>
      <c r="E392" s="13"/>
      <c r="F392" s="13"/>
      <c r="G392" s="13"/>
      <c r="H392" s="13"/>
      <c r="I392" s="13"/>
      <c r="J392" s="13"/>
      <c r="K392" s="13"/>
      <c r="L392" s="13"/>
      <c r="M392" s="13"/>
      <c r="N392" s="13"/>
      <c r="O392" s="13"/>
      <c r="P392" s="13"/>
      <c r="Q392" s="13"/>
      <c r="R392" s="13"/>
      <c r="S392" s="13"/>
      <c r="T392" s="13"/>
    </row>
    <row r="393" spans="2:20" x14ac:dyDescent="0.35">
      <c r="B393" s="13"/>
      <c r="C393" s="13"/>
      <c r="D393" s="13"/>
      <c r="E393" s="13"/>
      <c r="F393" s="13"/>
      <c r="G393" s="13"/>
      <c r="H393" s="13"/>
      <c r="I393" s="13"/>
      <c r="J393" s="13"/>
      <c r="K393" s="13"/>
      <c r="L393" s="13"/>
      <c r="M393" s="13"/>
      <c r="N393" s="13"/>
      <c r="O393" s="13"/>
      <c r="P393" s="13"/>
      <c r="Q393" s="13"/>
      <c r="R393" s="13"/>
      <c r="S393" s="13"/>
      <c r="T393" s="13"/>
    </row>
    <row r="394" spans="2:20" x14ac:dyDescent="0.35">
      <c r="B394" s="13"/>
      <c r="C394" s="13"/>
      <c r="D394" s="13"/>
      <c r="E394" s="13"/>
      <c r="F394" s="13"/>
      <c r="G394" s="13"/>
      <c r="H394" s="13"/>
      <c r="I394" s="13"/>
      <c r="J394" s="13"/>
      <c r="K394" s="13"/>
      <c r="L394" s="13"/>
      <c r="M394" s="13"/>
      <c r="N394" s="13"/>
      <c r="O394" s="13"/>
      <c r="P394" s="13"/>
      <c r="Q394" s="13"/>
      <c r="R394" s="13"/>
      <c r="S394" s="13"/>
      <c r="T394" s="13"/>
    </row>
    <row r="395" spans="2:20" x14ac:dyDescent="0.35">
      <c r="B395" s="13"/>
      <c r="C395" s="13"/>
      <c r="D395" s="13"/>
      <c r="E395" s="13"/>
      <c r="F395" s="13"/>
      <c r="G395" s="13"/>
      <c r="H395" s="13"/>
      <c r="I395" s="13"/>
      <c r="J395" s="13"/>
      <c r="K395" s="13"/>
      <c r="L395" s="13"/>
      <c r="M395" s="13"/>
      <c r="N395" s="13"/>
      <c r="O395" s="13"/>
      <c r="P395" s="13"/>
      <c r="Q395" s="13"/>
      <c r="R395" s="13"/>
      <c r="S395" s="13"/>
      <c r="T395" s="13"/>
    </row>
    <row r="396" spans="2:20" x14ac:dyDescent="0.35">
      <c r="B396" s="13"/>
      <c r="C396" s="13"/>
      <c r="D396" s="13"/>
      <c r="E396" s="13"/>
      <c r="F396" s="13"/>
      <c r="G396" s="13"/>
      <c r="H396" s="13"/>
      <c r="I396" s="13"/>
      <c r="J396" s="13"/>
      <c r="K396" s="13"/>
      <c r="L396" s="13"/>
      <c r="M396" s="13"/>
      <c r="N396" s="13"/>
      <c r="O396" s="13"/>
      <c r="P396" s="13"/>
      <c r="Q396" s="13"/>
      <c r="R396" s="13"/>
      <c r="S396" s="13"/>
      <c r="T396" s="13"/>
    </row>
    <row r="397" spans="2:20" x14ac:dyDescent="0.35">
      <c r="B397" s="13"/>
      <c r="C397" s="13"/>
      <c r="D397" s="13"/>
      <c r="E397" s="13"/>
      <c r="F397" s="13"/>
      <c r="G397" s="13"/>
      <c r="H397" s="13"/>
      <c r="I397" s="13"/>
      <c r="J397" s="13"/>
      <c r="K397" s="13"/>
      <c r="L397" s="13"/>
      <c r="M397" s="13"/>
      <c r="N397" s="13"/>
      <c r="O397" s="13"/>
      <c r="P397" s="13"/>
      <c r="Q397" s="13"/>
      <c r="R397" s="13"/>
      <c r="S397" s="13"/>
      <c r="T397" s="13"/>
    </row>
    <row r="398" spans="2:20" x14ac:dyDescent="0.35">
      <c r="B398" s="13"/>
      <c r="C398" s="13"/>
      <c r="D398" s="13"/>
      <c r="E398" s="13"/>
      <c r="F398" s="13"/>
      <c r="G398" s="13"/>
      <c r="H398" s="13"/>
      <c r="I398" s="13"/>
      <c r="J398" s="13"/>
      <c r="K398" s="13"/>
      <c r="L398" s="13"/>
      <c r="M398" s="13"/>
      <c r="N398" s="13"/>
      <c r="O398" s="13"/>
      <c r="P398" s="13"/>
      <c r="Q398" s="13"/>
      <c r="R398" s="13"/>
      <c r="S398" s="13"/>
      <c r="T398" s="13"/>
    </row>
    <row r="399" spans="2:20" x14ac:dyDescent="0.35">
      <c r="B399" s="13"/>
      <c r="C399" s="13"/>
      <c r="D399" s="13"/>
      <c r="E399" s="13"/>
      <c r="F399" s="13"/>
      <c r="G399" s="13"/>
      <c r="H399" s="13"/>
      <c r="I399" s="13"/>
      <c r="J399" s="13"/>
      <c r="K399" s="13"/>
      <c r="L399" s="13"/>
      <c r="M399" s="13"/>
      <c r="N399" s="13"/>
      <c r="O399" s="13"/>
      <c r="P399" s="13"/>
      <c r="Q399" s="13"/>
      <c r="R399" s="13"/>
      <c r="S399" s="13"/>
      <c r="T399" s="13"/>
    </row>
    <row r="400" spans="2:20" x14ac:dyDescent="0.35">
      <c r="B400" s="13"/>
      <c r="C400" s="13"/>
      <c r="D400" s="13"/>
      <c r="E400" s="13"/>
      <c r="F400" s="13"/>
      <c r="G400" s="13"/>
      <c r="H400" s="13"/>
      <c r="I400" s="13"/>
      <c r="J400" s="13"/>
      <c r="K400" s="13"/>
      <c r="L400" s="13"/>
      <c r="M400" s="13"/>
      <c r="N400" s="13"/>
      <c r="O400" s="13"/>
      <c r="P400" s="13"/>
      <c r="Q400" s="13"/>
      <c r="R400" s="13"/>
      <c r="S400" s="13"/>
      <c r="T400" s="13"/>
    </row>
    <row r="401" spans="2:20" x14ac:dyDescent="0.35">
      <c r="B401" s="13"/>
      <c r="C401" s="13"/>
      <c r="D401" s="13"/>
      <c r="E401" s="13"/>
      <c r="F401" s="13"/>
      <c r="G401" s="13"/>
      <c r="H401" s="13"/>
      <c r="I401" s="13"/>
      <c r="J401" s="13"/>
      <c r="K401" s="13"/>
      <c r="L401" s="13"/>
      <c r="M401" s="13"/>
      <c r="N401" s="13"/>
      <c r="O401" s="13"/>
      <c r="P401" s="13"/>
      <c r="Q401" s="13"/>
      <c r="R401" s="13"/>
      <c r="S401" s="13"/>
      <c r="T401" s="13"/>
    </row>
    <row r="402" spans="2:20" x14ac:dyDescent="0.35">
      <c r="B402" s="13"/>
      <c r="C402" s="13"/>
      <c r="D402" s="13"/>
      <c r="E402" s="13"/>
      <c r="F402" s="13"/>
      <c r="G402" s="13"/>
      <c r="H402" s="13"/>
      <c r="I402" s="13"/>
      <c r="J402" s="13"/>
      <c r="K402" s="13"/>
      <c r="L402" s="13"/>
      <c r="M402" s="13"/>
      <c r="N402" s="13"/>
      <c r="O402" s="13"/>
      <c r="P402" s="13"/>
      <c r="Q402" s="13"/>
      <c r="R402" s="13"/>
      <c r="S402" s="13"/>
      <c r="T402" s="13"/>
    </row>
    <row r="403" spans="2:20" x14ac:dyDescent="0.35">
      <c r="B403" s="13"/>
      <c r="C403" s="13"/>
      <c r="D403" s="13"/>
      <c r="E403" s="13"/>
      <c r="F403" s="13"/>
      <c r="G403" s="13"/>
      <c r="H403" s="13"/>
      <c r="I403" s="13"/>
      <c r="J403" s="13"/>
      <c r="K403" s="13"/>
      <c r="L403" s="13"/>
      <c r="M403" s="13"/>
      <c r="N403" s="13"/>
      <c r="O403" s="13"/>
      <c r="P403" s="13"/>
      <c r="Q403" s="13"/>
      <c r="R403" s="13"/>
      <c r="S403" s="13"/>
      <c r="T403" s="13"/>
    </row>
    <row r="404" spans="2:20" x14ac:dyDescent="0.35">
      <c r="B404" s="13"/>
      <c r="C404" s="13"/>
      <c r="D404" s="13"/>
      <c r="E404" s="13"/>
      <c r="F404" s="13"/>
      <c r="G404" s="13"/>
      <c r="H404" s="13"/>
      <c r="I404" s="13"/>
      <c r="J404" s="13"/>
      <c r="K404" s="13"/>
      <c r="L404" s="13"/>
      <c r="M404" s="13"/>
      <c r="N404" s="13"/>
      <c r="O404" s="13"/>
      <c r="P404" s="13"/>
      <c r="Q404" s="13"/>
      <c r="R404" s="13"/>
      <c r="S404" s="13"/>
      <c r="T404" s="13"/>
    </row>
    <row r="405" spans="2:20" x14ac:dyDescent="0.35">
      <c r="B405" s="13"/>
      <c r="C405" s="13"/>
      <c r="D405" s="13"/>
      <c r="E405" s="13"/>
      <c r="F405" s="13"/>
      <c r="G405" s="13"/>
      <c r="H405" s="13"/>
      <c r="I405" s="13"/>
      <c r="J405" s="13"/>
      <c r="K405" s="13"/>
      <c r="L405" s="13"/>
      <c r="M405" s="13"/>
      <c r="N405" s="13"/>
      <c r="O405" s="13"/>
      <c r="P405" s="13"/>
      <c r="Q405" s="13"/>
      <c r="R405" s="13"/>
      <c r="S405" s="13"/>
      <c r="T405" s="13"/>
    </row>
    <row r="406" spans="2:20" x14ac:dyDescent="0.35">
      <c r="B406" s="13"/>
      <c r="C406" s="13"/>
      <c r="D406" s="13"/>
      <c r="E406" s="13"/>
      <c r="F406" s="13"/>
      <c r="G406" s="13"/>
      <c r="H406" s="13"/>
      <c r="I406" s="13"/>
      <c r="J406" s="13"/>
      <c r="K406" s="13"/>
      <c r="L406" s="13"/>
      <c r="M406" s="13"/>
      <c r="N406" s="13"/>
      <c r="O406" s="13"/>
      <c r="P406" s="13"/>
      <c r="Q406" s="13"/>
      <c r="R406" s="13"/>
      <c r="S406" s="13"/>
      <c r="T406" s="13"/>
    </row>
    <row r="407" spans="2:20" x14ac:dyDescent="0.35">
      <c r="B407" s="13"/>
      <c r="C407" s="13"/>
      <c r="D407" s="13"/>
      <c r="E407" s="13"/>
      <c r="F407" s="13"/>
      <c r="G407" s="13"/>
      <c r="H407" s="13"/>
      <c r="I407" s="13"/>
      <c r="J407" s="13"/>
      <c r="K407" s="13"/>
      <c r="L407" s="13"/>
      <c r="M407" s="13"/>
      <c r="N407" s="13"/>
      <c r="O407" s="13"/>
      <c r="P407" s="13"/>
      <c r="Q407" s="13"/>
      <c r="R407" s="13"/>
      <c r="S407" s="13"/>
      <c r="T407" s="13"/>
    </row>
    <row r="408" spans="2:20" x14ac:dyDescent="0.35">
      <c r="B408" s="13"/>
      <c r="C408" s="13"/>
      <c r="D408" s="13"/>
      <c r="E408" s="13"/>
      <c r="F408" s="13"/>
      <c r="G408" s="13"/>
      <c r="H408" s="13"/>
      <c r="I408" s="13"/>
      <c r="J408" s="13"/>
      <c r="K408" s="13"/>
      <c r="L408" s="13"/>
      <c r="M408" s="13"/>
      <c r="N408" s="13"/>
      <c r="O408" s="13"/>
      <c r="P408" s="13"/>
      <c r="Q408" s="13"/>
      <c r="R408" s="13"/>
      <c r="S408" s="13"/>
      <c r="T408" s="13"/>
    </row>
    <row r="409" spans="2:20" x14ac:dyDescent="0.35">
      <c r="B409" s="13"/>
      <c r="C409" s="13"/>
      <c r="D409" s="13"/>
      <c r="E409" s="13"/>
      <c r="F409" s="13"/>
      <c r="G409" s="13"/>
      <c r="H409" s="13"/>
      <c r="I409" s="13"/>
      <c r="J409" s="13"/>
      <c r="K409" s="13"/>
      <c r="L409" s="13"/>
      <c r="M409" s="13"/>
      <c r="N409" s="13"/>
      <c r="O409" s="13"/>
      <c r="P409" s="13"/>
      <c r="Q409" s="13"/>
      <c r="R409" s="13"/>
      <c r="S409" s="13"/>
      <c r="T409" s="13"/>
    </row>
    <row r="410" spans="2:20" x14ac:dyDescent="0.35">
      <c r="B410" s="13"/>
      <c r="C410" s="13"/>
      <c r="D410" s="13"/>
      <c r="E410" s="13"/>
      <c r="F410" s="13"/>
      <c r="G410" s="13"/>
      <c r="H410" s="13"/>
      <c r="I410" s="13"/>
      <c r="J410" s="13"/>
      <c r="K410" s="13"/>
      <c r="L410" s="13"/>
      <c r="M410" s="13"/>
      <c r="N410" s="13"/>
      <c r="O410" s="13"/>
      <c r="P410" s="13"/>
      <c r="Q410" s="13"/>
      <c r="R410" s="13"/>
      <c r="S410" s="13"/>
      <c r="T410" s="13"/>
    </row>
    <row r="411" spans="2:20" x14ac:dyDescent="0.35">
      <c r="B411" s="13"/>
      <c r="C411" s="13"/>
      <c r="D411" s="13"/>
      <c r="E411" s="13"/>
      <c r="F411" s="13"/>
      <c r="G411" s="13"/>
      <c r="H411" s="13"/>
      <c r="I411" s="13"/>
      <c r="J411" s="13"/>
      <c r="K411" s="13"/>
      <c r="L411" s="13"/>
      <c r="M411" s="13"/>
      <c r="N411" s="13"/>
      <c r="O411" s="13"/>
      <c r="P411" s="13"/>
      <c r="Q411" s="13"/>
      <c r="R411" s="13"/>
      <c r="S411" s="13"/>
      <c r="T411" s="13"/>
    </row>
    <row r="412" spans="2:20" x14ac:dyDescent="0.35">
      <c r="B412" s="13"/>
      <c r="C412" s="13"/>
      <c r="D412" s="13"/>
      <c r="E412" s="13"/>
      <c r="F412" s="13"/>
      <c r="G412" s="13"/>
      <c r="H412" s="13"/>
      <c r="I412" s="13"/>
      <c r="J412" s="13"/>
      <c r="K412" s="13"/>
      <c r="L412" s="13"/>
      <c r="M412" s="13"/>
      <c r="N412" s="13"/>
      <c r="O412" s="13"/>
      <c r="P412" s="13"/>
      <c r="Q412" s="13"/>
      <c r="R412" s="13"/>
      <c r="S412" s="13"/>
      <c r="T412" s="13"/>
    </row>
    <row r="413" spans="2:20" x14ac:dyDescent="0.35">
      <c r="B413" s="13"/>
      <c r="C413" s="13"/>
      <c r="D413" s="13"/>
      <c r="E413" s="13"/>
      <c r="F413" s="13"/>
      <c r="G413" s="13"/>
      <c r="H413" s="13"/>
      <c r="I413" s="13"/>
      <c r="J413" s="13"/>
      <c r="K413" s="13"/>
      <c r="L413" s="13"/>
      <c r="M413" s="13"/>
      <c r="N413" s="13"/>
      <c r="O413" s="13"/>
      <c r="P413" s="13"/>
      <c r="Q413" s="13"/>
      <c r="R413" s="13"/>
      <c r="S413" s="13"/>
      <c r="T413" s="13"/>
    </row>
    <row r="414" spans="2:20" x14ac:dyDescent="0.35">
      <c r="B414" s="13"/>
      <c r="C414" s="13"/>
      <c r="D414" s="13"/>
      <c r="E414" s="13"/>
      <c r="F414" s="13"/>
      <c r="G414" s="13"/>
      <c r="H414" s="13"/>
      <c r="I414" s="13"/>
      <c r="J414" s="13"/>
      <c r="K414" s="13"/>
      <c r="L414" s="13"/>
      <c r="M414" s="13"/>
      <c r="N414" s="13"/>
      <c r="O414" s="13"/>
      <c r="P414" s="13"/>
      <c r="Q414" s="13"/>
      <c r="R414" s="13"/>
      <c r="S414" s="13"/>
      <c r="T414" s="13"/>
    </row>
    <row r="415" spans="2:20" x14ac:dyDescent="0.35">
      <c r="B415" s="13"/>
      <c r="C415" s="13"/>
      <c r="D415" s="13"/>
      <c r="E415" s="13"/>
      <c r="F415" s="13"/>
      <c r="G415" s="13"/>
      <c r="H415" s="13"/>
      <c r="I415" s="13"/>
      <c r="J415" s="13"/>
      <c r="K415" s="13"/>
      <c r="L415" s="13"/>
      <c r="M415" s="13"/>
      <c r="N415" s="13"/>
      <c r="O415" s="13"/>
      <c r="P415" s="13"/>
      <c r="Q415" s="13"/>
      <c r="R415" s="13"/>
      <c r="S415" s="13"/>
      <c r="T415" s="13"/>
    </row>
    <row r="416" spans="2:20" x14ac:dyDescent="0.35">
      <c r="B416" s="13"/>
      <c r="C416" s="13"/>
      <c r="D416" s="13"/>
      <c r="E416" s="13"/>
      <c r="F416" s="13"/>
      <c r="G416" s="13"/>
      <c r="H416" s="13"/>
      <c r="I416" s="13"/>
      <c r="J416" s="13"/>
      <c r="K416" s="13"/>
      <c r="L416" s="13"/>
      <c r="M416" s="13"/>
      <c r="N416" s="13"/>
      <c r="O416" s="13"/>
      <c r="P416" s="13"/>
      <c r="Q416" s="13"/>
      <c r="R416" s="13"/>
      <c r="S416" s="13"/>
      <c r="T416" s="13"/>
    </row>
    <row r="417" spans="2:20" x14ac:dyDescent="0.35">
      <c r="B417" s="13"/>
      <c r="C417" s="13"/>
      <c r="D417" s="13"/>
      <c r="E417" s="13"/>
      <c r="F417" s="13"/>
      <c r="G417" s="13"/>
      <c r="H417" s="13"/>
      <c r="I417" s="13"/>
      <c r="J417" s="13"/>
      <c r="K417" s="13"/>
      <c r="L417" s="13"/>
      <c r="M417" s="13"/>
      <c r="N417" s="13"/>
      <c r="O417" s="13"/>
      <c r="P417" s="13"/>
      <c r="Q417" s="13"/>
      <c r="R417" s="13"/>
      <c r="S417" s="13"/>
      <c r="T417" s="13"/>
    </row>
    <row r="418" spans="2:20" x14ac:dyDescent="0.35">
      <c r="B418" s="13"/>
      <c r="C418" s="13"/>
      <c r="D418" s="13"/>
      <c r="E418" s="13"/>
      <c r="F418" s="13"/>
      <c r="G418" s="13"/>
      <c r="H418" s="13"/>
      <c r="I418" s="13"/>
      <c r="J418" s="13"/>
      <c r="K418" s="13"/>
      <c r="L418" s="13"/>
      <c r="M418" s="13"/>
      <c r="N418" s="13"/>
      <c r="O418" s="13"/>
      <c r="P418" s="13"/>
      <c r="Q418" s="13"/>
      <c r="R418" s="13"/>
      <c r="S418" s="13"/>
      <c r="T418" s="13"/>
    </row>
    <row r="419" spans="2:20" x14ac:dyDescent="0.35">
      <c r="B419" s="13"/>
      <c r="C419" s="13"/>
      <c r="D419" s="13"/>
      <c r="E419" s="13"/>
      <c r="F419" s="13"/>
      <c r="G419" s="13"/>
      <c r="H419" s="13"/>
      <c r="I419" s="13"/>
      <c r="J419" s="13"/>
      <c r="K419" s="13"/>
      <c r="L419" s="13"/>
      <c r="M419" s="13"/>
      <c r="N419" s="13"/>
      <c r="O419" s="13"/>
      <c r="P419" s="13"/>
      <c r="Q419" s="13"/>
      <c r="R419" s="13"/>
      <c r="S419" s="13"/>
      <c r="T419" s="13"/>
    </row>
    <row r="420" spans="2:20" x14ac:dyDescent="0.35">
      <c r="B420" s="13"/>
      <c r="C420" s="13"/>
      <c r="D420" s="13"/>
      <c r="E420" s="13"/>
      <c r="F420" s="13"/>
      <c r="G420" s="13"/>
      <c r="H420" s="13"/>
      <c r="I420" s="13"/>
      <c r="J420" s="13"/>
      <c r="K420" s="13"/>
      <c r="L420" s="13"/>
      <c r="M420" s="13"/>
      <c r="N420" s="13"/>
      <c r="O420" s="13"/>
      <c r="P420" s="13"/>
      <c r="Q420" s="13"/>
      <c r="R420" s="13"/>
      <c r="S420" s="13"/>
      <c r="T420" s="13"/>
    </row>
    <row r="421" spans="2:20" x14ac:dyDescent="0.35">
      <c r="B421" s="13"/>
      <c r="C421" s="13"/>
      <c r="D421" s="13"/>
      <c r="E421" s="13"/>
      <c r="F421" s="13"/>
      <c r="G421" s="13"/>
      <c r="H421" s="13"/>
      <c r="I421" s="13"/>
      <c r="J421" s="13"/>
      <c r="K421" s="13"/>
      <c r="L421" s="13"/>
      <c r="M421" s="13"/>
      <c r="N421" s="13"/>
      <c r="O421" s="13"/>
      <c r="P421" s="13"/>
      <c r="Q421" s="13"/>
      <c r="R421" s="13"/>
      <c r="S421" s="13"/>
      <c r="T421" s="13"/>
    </row>
    <row r="422" spans="2:20" x14ac:dyDescent="0.35">
      <c r="B422" s="13"/>
      <c r="C422" s="13"/>
      <c r="D422" s="13"/>
      <c r="E422" s="13"/>
      <c r="F422" s="13"/>
      <c r="G422" s="13"/>
      <c r="H422" s="13"/>
      <c r="I422" s="13"/>
      <c r="J422" s="13"/>
      <c r="K422" s="13"/>
      <c r="L422" s="13"/>
      <c r="M422" s="13"/>
      <c r="N422" s="13"/>
      <c r="O422" s="13"/>
      <c r="P422" s="13"/>
      <c r="Q422" s="13"/>
      <c r="R422" s="13"/>
      <c r="S422" s="13"/>
      <c r="T422" s="13"/>
    </row>
    <row r="423" spans="2:20" x14ac:dyDescent="0.35">
      <c r="B423" s="13"/>
      <c r="C423" s="13"/>
      <c r="D423" s="13"/>
      <c r="E423" s="13"/>
      <c r="F423" s="13"/>
      <c r="G423" s="13"/>
      <c r="H423" s="13"/>
      <c r="I423" s="13"/>
      <c r="J423" s="13"/>
      <c r="K423" s="13"/>
      <c r="L423" s="13"/>
      <c r="M423" s="13"/>
      <c r="N423" s="13"/>
      <c r="O423" s="13"/>
      <c r="P423" s="13"/>
      <c r="Q423" s="13"/>
      <c r="R423" s="13"/>
      <c r="S423" s="13"/>
      <c r="T423" s="13"/>
    </row>
    <row r="424" spans="2:20" x14ac:dyDescent="0.35">
      <c r="B424" s="13"/>
      <c r="C424" s="13"/>
      <c r="D424" s="13"/>
      <c r="E424" s="13"/>
      <c r="F424" s="13"/>
      <c r="G424" s="13"/>
      <c r="H424" s="13"/>
      <c r="I424" s="13"/>
      <c r="J424" s="13"/>
      <c r="K424" s="13"/>
      <c r="L424" s="13"/>
      <c r="M424" s="13"/>
      <c r="N424" s="13"/>
      <c r="O424" s="13"/>
      <c r="P424" s="13"/>
      <c r="Q424" s="13"/>
      <c r="R424" s="13"/>
      <c r="S424" s="13"/>
      <c r="T424" s="13"/>
    </row>
    <row r="425" spans="2:20" x14ac:dyDescent="0.35">
      <c r="B425" s="13"/>
      <c r="C425" s="13"/>
      <c r="D425" s="13"/>
      <c r="E425" s="13"/>
      <c r="F425" s="13"/>
      <c r="G425" s="13"/>
      <c r="H425" s="13"/>
      <c r="I425" s="13"/>
      <c r="J425" s="13"/>
      <c r="K425" s="13"/>
      <c r="L425" s="13"/>
      <c r="M425" s="13"/>
      <c r="N425" s="13"/>
      <c r="O425" s="13"/>
      <c r="P425" s="13"/>
      <c r="Q425" s="13"/>
      <c r="R425" s="13"/>
      <c r="S425" s="13"/>
      <c r="T425" s="13"/>
    </row>
    <row r="426" spans="2:20" x14ac:dyDescent="0.35">
      <c r="B426" s="13"/>
      <c r="C426" s="13"/>
      <c r="D426" s="13"/>
      <c r="E426" s="13"/>
      <c r="F426" s="13"/>
      <c r="G426" s="13"/>
      <c r="H426" s="13"/>
      <c r="I426" s="13"/>
      <c r="J426" s="13"/>
      <c r="K426" s="13"/>
      <c r="L426" s="13"/>
      <c r="M426" s="13"/>
      <c r="N426" s="13"/>
      <c r="O426" s="13"/>
      <c r="P426" s="13"/>
      <c r="Q426" s="13"/>
      <c r="R426" s="13"/>
      <c r="S426" s="13"/>
      <c r="T426" s="13"/>
    </row>
    <row r="427" spans="2:20" x14ac:dyDescent="0.35">
      <c r="B427" s="13"/>
      <c r="C427" s="13"/>
      <c r="D427" s="13"/>
      <c r="E427" s="13"/>
      <c r="F427" s="13"/>
      <c r="G427" s="13"/>
      <c r="H427" s="13"/>
      <c r="I427" s="13"/>
      <c r="J427" s="13"/>
      <c r="K427" s="13"/>
      <c r="L427" s="13"/>
      <c r="M427" s="13"/>
      <c r="N427" s="13"/>
      <c r="O427" s="13"/>
      <c r="P427" s="13"/>
      <c r="Q427" s="13"/>
      <c r="R427" s="13"/>
      <c r="S427" s="13"/>
      <c r="T427" s="13"/>
    </row>
    <row r="428" spans="2:20" x14ac:dyDescent="0.35">
      <c r="B428" s="13"/>
      <c r="C428" s="13"/>
      <c r="D428" s="13"/>
      <c r="E428" s="13"/>
      <c r="F428" s="13"/>
      <c r="G428" s="13"/>
      <c r="H428" s="13"/>
      <c r="I428" s="13"/>
      <c r="J428" s="13"/>
      <c r="K428" s="13"/>
      <c r="L428" s="13"/>
      <c r="M428" s="13"/>
      <c r="N428" s="13"/>
      <c r="O428" s="13"/>
      <c r="P428" s="13"/>
      <c r="Q428" s="13"/>
      <c r="R428" s="13"/>
      <c r="S428" s="13"/>
      <c r="T428" s="13"/>
    </row>
    <row r="429" spans="2:20" x14ac:dyDescent="0.35">
      <c r="B429" s="13"/>
      <c r="C429" s="13"/>
      <c r="D429" s="13"/>
      <c r="E429" s="13"/>
      <c r="F429" s="13"/>
      <c r="G429" s="13"/>
      <c r="H429" s="13"/>
      <c r="I429" s="13"/>
      <c r="J429" s="13"/>
      <c r="K429" s="13"/>
      <c r="L429" s="13"/>
      <c r="M429" s="13"/>
      <c r="N429" s="13"/>
      <c r="O429" s="13"/>
      <c r="P429" s="13"/>
      <c r="Q429" s="13"/>
      <c r="R429" s="13"/>
      <c r="S429" s="13"/>
      <c r="T429" s="13"/>
    </row>
    <row r="430" spans="2:20" x14ac:dyDescent="0.35">
      <c r="B430" s="13"/>
      <c r="C430" s="13"/>
      <c r="D430" s="13"/>
      <c r="E430" s="13"/>
      <c r="F430" s="13"/>
      <c r="G430" s="13"/>
      <c r="H430" s="13"/>
      <c r="I430" s="13"/>
      <c r="J430" s="13"/>
      <c r="K430" s="13"/>
      <c r="L430" s="13"/>
      <c r="M430" s="13"/>
      <c r="N430" s="13"/>
      <c r="O430" s="13"/>
      <c r="P430" s="13"/>
      <c r="Q430" s="13"/>
      <c r="R430" s="13"/>
      <c r="S430" s="13"/>
      <c r="T430" s="13"/>
    </row>
    <row r="431" spans="2:20" x14ac:dyDescent="0.35">
      <c r="B431" s="13"/>
      <c r="C431" s="13"/>
      <c r="D431" s="13"/>
      <c r="E431" s="13"/>
      <c r="F431" s="13"/>
      <c r="G431" s="13"/>
      <c r="H431" s="13"/>
      <c r="I431" s="13"/>
      <c r="J431" s="13"/>
      <c r="K431" s="13"/>
      <c r="L431" s="13"/>
      <c r="M431" s="13"/>
      <c r="N431" s="13"/>
      <c r="O431" s="13"/>
      <c r="P431" s="13"/>
      <c r="Q431" s="13"/>
      <c r="R431" s="13"/>
      <c r="S431" s="13"/>
      <c r="T431" s="13"/>
    </row>
    <row r="432" spans="2:20" x14ac:dyDescent="0.35">
      <c r="B432" s="13"/>
      <c r="C432" s="13"/>
      <c r="D432" s="13"/>
      <c r="E432" s="13"/>
      <c r="F432" s="13"/>
      <c r="G432" s="13"/>
      <c r="H432" s="13"/>
      <c r="I432" s="13"/>
      <c r="J432" s="13"/>
      <c r="K432" s="13"/>
      <c r="L432" s="13"/>
      <c r="M432" s="13"/>
      <c r="N432" s="13"/>
      <c r="O432" s="13"/>
      <c r="P432" s="13"/>
      <c r="Q432" s="13"/>
      <c r="R432" s="13"/>
      <c r="S432" s="13"/>
      <c r="T432" s="13"/>
    </row>
    <row r="433" spans="2:20" x14ac:dyDescent="0.35">
      <c r="B433" s="13"/>
      <c r="C433" s="13"/>
      <c r="D433" s="13"/>
      <c r="E433" s="13"/>
      <c r="F433" s="13"/>
      <c r="G433" s="13"/>
      <c r="H433" s="13"/>
      <c r="I433" s="13"/>
      <c r="J433" s="13"/>
      <c r="K433" s="13"/>
      <c r="L433" s="13"/>
      <c r="M433" s="13"/>
      <c r="N433" s="13"/>
      <c r="O433" s="13"/>
      <c r="P433" s="13"/>
      <c r="Q433" s="13"/>
      <c r="R433" s="13"/>
      <c r="S433" s="13"/>
      <c r="T433" s="13"/>
    </row>
    <row r="434" spans="2:20" x14ac:dyDescent="0.35">
      <c r="B434" s="13"/>
      <c r="C434" s="13"/>
      <c r="D434" s="13"/>
      <c r="E434" s="13"/>
      <c r="F434" s="13"/>
      <c r="G434" s="13"/>
      <c r="H434" s="13"/>
      <c r="I434" s="13"/>
      <c r="J434" s="13"/>
      <c r="K434" s="13"/>
      <c r="L434" s="13"/>
      <c r="M434" s="13"/>
      <c r="N434" s="13"/>
      <c r="O434" s="13"/>
      <c r="P434" s="13"/>
      <c r="Q434" s="13"/>
      <c r="R434" s="13"/>
      <c r="S434" s="13"/>
      <c r="T434" s="13"/>
    </row>
    <row r="435" spans="2:20" x14ac:dyDescent="0.35">
      <c r="B435" s="13"/>
      <c r="C435" s="13"/>
      <c r="D435" s="13"/>
      <c r="E435" s="13"/>
      <c r="F435" s="13"/>
      <c r="G435" s="13"/>
      <c r="H435" s="13"/>
      <c r="I435" s="13"/>
      <c r="J435" s="13"/>
      <c r="K435" s="13"/>
      <c r="L435" s="13"/>
      <c r="M435" s="13"/>
      <c r="N435" s="13"/>
      <c r="O435" s="13"/>
      <c r="P435" s="13"/>
      <c r="Q435" s="13"/>
      <c r="R435" s="13"/>
      <c r="S435" s="13"/>
      <c r="T435" s="13"/>
    </row>
    <row r="436" spans="2:20" x14ac:dyDescent="0.35">
      <c r="B436" s="13"/>
      <c r="C436" s="13"/>
      <c r="D436" s="13"/>
      <c r="E436" s="13"/>
      <c r="F436" s="13"/>
      <c r="G436" s="13"/>
      <c r="H436" s="13"/>
      <c r="I436" s="13"/>
      <c r="J436" s="13"/>
      <c r="K436" s="13"/>
      <c r="L436" s="13"/>
      <c r="M436" s="13"/>
      <c r="N436" s="13"/>
      <c r="O436" s="13"/>
      <c r="P436" s="13"/>
      <c r="Q436" s="13"/>
      <c r="R436" s="13"/>
      <c r="S436" s="13"/>
      <c r="T436" s="13"/>
    </row>
    <row r="437" spans="2:20" x14ac:dyDescent="0.35">
      <c r="B437" s="13"/>
      <c r="C437" s="13"/>
      <c r="D437" s="13"/>
      <c r="E437" s="13"/>
      <c r="F437" s="13"/>
      <c r="G437" s="13"/>
      <c r="H437" s="13"/>
      <c r="I437" s="13"/>
      <c r="J437" s="13"/>
      <c r="K437" s="13"/>
      <c r="L437" s="13"/>
      <c r="M437" s="13"/>
      <c r="N437" s="13"/>
      <c r="O437" s="13"/>
      <c r="P437" s="13"/>
      <c r="Q437" s="13"/>
      <c r="R437" s="13"/>
      <c r="S437" s="13"/>
      <c r="T437" s="13"/>
    </row>
    <row r="438" spans="2:20" x14ac:dyDescent="0.35">
      <c r="B438" s="13"/>
      <c r="C438" s="13"/>
      <c r="D438" s="13"/>
      <c r="E438" s="13"/>
      <c r="F438" s="13"/>
      <c r="G438" s="13"/>
      <c r="H438" s="13"/>
      <c r="I438" s="13"/>
      <c r="J438" s="13"/>
      <c r="K438" s="13"/>
      <c r="L438" s="13"/>
      <c r="M438" s="13"/>
      <c r="N438" s="13"/>
      <c r="O438" s="13"/>
      <c r="P438" s="13"/>
      <c r="Q438" s="13"/>
      <c r="R438" s="13"/>
      <c r="S438" s="13"/>
      <c r="T438" s="13"/>
    </row>
    <row r="439" spans="2:20" x14ac:dyDescent="0.35">
      <c r="B439" s="13"/>
      <c r="C439" s="13"/>
      <c r="D439" s="13"/>
      <c r="E439" s="13"/>
      <c r="F439" s="13"/>
      <c r="G439" s="13"/>
      <c r="H439" s="13"/>
      <c r="I439" s="13"/>
      <c r="J439" s="13"/>
      <c r="K439" s="13"/>
      <c r="L439" s="13"/>
      <c r="M439" s="13"/>
      <c r="N439" s="13"/>
      <c r="O439" s="13"/>
      <c r="P439" s="13"/>
      <c r="Q439" s="13"/>
      <c r="R439" s="13"/>
      <c r="S439" s="13"/>
      <c r="T439" s="13"/>
    </row>
    <row r="440" spans="2:20" x14ac:dyDescent="0.35">
      <c r="B440" s="13"/>
      <c r="C440" s="13"/>
      <c r="D440" s="13"/>
      <c r="E440" s="13"/>
      <c r="F440" s="13"/>
      <c r="G440" s="13"/>
      <c r="H440" s="13"/>
      <c r="I440" s="13"/>
      <c r="J440" s="13"/>
      <c r="K440" s="13"/>
      <c r="L440" s="13"/>
      <c r="M440" s="13"/>
      <c r="N440" s="13"/>
      <c r="O440" s="13"/>
      <c r="P440" s="13"/>
      <c r="Q440" s="13"/>
      <c r="R440" s="13"/>
      <c r="S440" s="13"/>
      <c r="T440" s="13"/>
    </row>
    <row r="441" spans="2:20" x14ac:dyDescent="0.35">
      <c r="B441" s="13"/>
      <c r="C441" s="13"/>
      <c r="D441" s="13"/>
      <c r="E441" s="13"/>
      <c r="F441" s="13"/>
      <c r="G441" s="13"/>
      <c r="H441" s="13"/>
      <c r="I441" s="13"/>
      <c r="J441" s="13"/>
      <c r="K441" s="13"/>
      <c r="L441" s="13"/>
      <c r="M441" s="13"/>
      <c r="N441" s="13"/>
      <c r="O441" s="13"/>
      <c r="P441" s="13"/>
      <c r="Q441" s="13"/>
      <c r="R441" s="13"/>
      <c r="S441" s="13"/>
      <c r="T441" s="13"/>
    </row>
    <row r="442" spans="2:20" x14ac:dyDescent="0.35">
      <c r="B442" s="13"/>
      <c r="C442" s="13"/>
      <c r="D442" s="13"/>
      <c r="E442" s="13"/>
      <c r="F442" s="13"/>
      <c r="G442" s="13"/>
      <c r="H442" s="13"/>
      <c r="I442" s="13"/>
      <c r="J442" s="13"/>
      <c r="K442" s="13"/>
      <c r="L442" s="13"/>
      <c r="M442" s="13"/>
      <c r="N442" s="13"/>
      <c r="O442" s="13"/>
      <c r="P442" s="13"/>
      <c r="Q442" s="13"/>
      <c r="R442" s="13"/>
      <c r="S442" s="13"/>
      <c r="T442" s="13"/>
    </row>
    <row r="443" spans="2:20" x14ac:dyDescent="0.35">
      <c r="B443" s="13"/>
      <c r="C443" s="13"/>
      <c r="D443" s="13"/>
      <c r="E443" s="13"/>
      <c r="F443" s="13"/>
      <c r="G443" s="13"/>
      <c r="H443" s="13"/>
      <c r="I443" s="13"/>
      <c r="J443" s="13"/>
      <c r="K443" s="13"/>
      <c r="L443" s="13"/>
      <c r="M443" s="13"/>
      <c r="N443" s="13"/>
      <c r="O443" s="13"/>
      <c r="P443" s="13"/>
      <c r="Q443" s="13"/>
      <c r="R443" s="13"/>
      <c r="S443" s="13"/>
      <c r="T443" s="13"/>
    </row>
    <row r="444" spans="2:20" x14ac:dyDescent="0.35">
      <c r="B444" s="13"/>
      <c r="C444" s="13"/>
      <c r="D444" s="13"/>
      <c r="E444" s="13"/>
      <c r="F444" s="13"/>
      <c r="G444" s="13"/>
      <c r="H444" s="13"/>
      <c r="I444" s="13"/>
      <c r="J444" s="13"/>
      <c r="K444" s="13"/>
      <c r="L444" s="13"/>
      <c r="M444" s="13"/>
      <c r="N444" s="13"/>
      <c r="O444" s="13"/>
      <c r="P444" s="13"/>
      <c r="Q444" s="13"/>
      <c r="R444" s="13"/>
      <c r="S444" s="13"/>
      <c r="T444" s="13"/>
    </row>
    <row r="445" spans="2:20" x14ac:dyDescent="0.35">
      <c r="B445" s="13"/>
      <c r="C445" s="13"/>
      <c r="D445" s="13"/>
      <c r="E445" s="13"/>
      <c r="F445" s="13"/>
      <c r="G445" s="13"/>
      <c r="H445" s="13"/>
      <c r="I445" s="13"/>
      <c r="J445" s="13"/>
      <c r="K445" s="13"/>
      <c r="L445" s="13"/>
      <c r="M445" s="13"/>
      <c r="N445" s="13"/>
      <c r="O445" s="13"/>
      <c r="P445" s="13"/>
      <c r="Q445" s="13"/>
      <c r="R445" s="13"/>
      <c r="S445" s="13"/>
      <c r="T445" s="13"/>
    </row>
    <row r="446" spans="2:20" x14ac:dyDescent="0.35">
      <c r="B446" s="13"/>
      <c r="C446" s="13"/>
      <c r="D446" s="13"/>
      <c r="E446" s="13"/>
      <c r="F446" s="13"/>
      <c r="G446" s="13"/>
      <c r="H446" s="13"/>
      <c r="I446" s="13"/>
      <c r="J446" s="13"/>
      <c r="K446" s="13"/>
      <c r="L446" s="13"/>
      <c r="M446" s="13"/>
      <c r="N446" s="13"/>
      <c r="O446" s="13"/>
      <c r="P446" s="13"/>
      <c r="Q446" s="13"/>
      <c r="R446" s="13"/>
      <c r="S446" s="13"/>
      <c r="T446" s="13"/>
    </row>
    <row r="447" spans="2:20" x14ac:dyDescent="0.35">
      <c r="B447" s="13"/>
      <c r="C447" s="13"/>
      <c r="D447" s="13"/>
      <c r="E447" s="13"/>
      <c r="F447" s="13"/>
      <c r="G447" s="13"/>
      <c r="H447" s="13"/>
      <c r="I447" s="13"/>
      <c r="J447" s="13"/>
      <c r="K447" s="13"/>
      <c r="L447" s="13"/>
      <c r="M447" s="13"/>
      <c r="N447" s="13"/>
      <c r="O447" s="13"/>
      <c r="P447" s="13"/>
      <c r="Q447" s="13"/>
      <c r="R447" s="13"/>
      <c r="S447" s="13"/>
      <c r="T447" s="13"/>
    </row>
    <row r="448" spans="2:20" x14ac:dyDescent="0.35">
      <c r="B448" s="13"/>
      <c r="C448" s="13"/>
      <c r="D448" s="13"/>
      <c r="E448" s="13"/>
      <c r="F448" s="13"/>
      <c r="G448" s="13"/>
      <c r="H448" s="13"/>
      <c r="I448" s="13"/>
      <c r="J448" s="13"/>
      <c r="K448" s="13"/>
      <c r="L448" s="13"/>
      <c r="M448" s="13"/>
      <c r="N448" s="13"/>
      <c r="O448" s="13"/>
      <c r="P448" s="13"/>
      <c r="Q448" s="13"/>
      <c r="R448" s="13"/>
      <c r="S448" s="13"/>
      <c r="T448" s="13"/>
    </row>
    <row r="449" spans="2:20" x14ac:dyDescent="0.35">
      <c r="B449" s="13"/>
      <c r="C449" s="13"/>
      <c r="D449" s="13"/>
      <c r="E449" s="13"/>
      <c r="F449" s="13"/>
      <c r="G449" s="13"/>
      <c r="H449" s="13"/>
      <c r="I449" s="13"/>
      <c r="J449" s="13"/>
      <c r="K449" s="13"/>
      <c r="L449" s="13"/>
      <c r="M449" s="13"/>
      <c r="N449" s="13"/>
      <c r="O449" s="13"/>
      <c r="P449" s="13"/>
      <c r="Q449" s="13"/>
      <c r="R449" s="13"/>
      <c r="S449" s="13"/>
      <c r="T449" s="13"/>
    </row>
    <row r="450" spans="2:20" x14ac:dyDescent="0.35">
      <c r="B450" s="13"/>
      <c r="C450" s="13"/>
      <c r="D450" s="13"/>
      <c r="E450" s="13"/>
      <c r="F450" s="13"/>
      <c r="G450" s="13"/>
      <c r="H450" s="13"/>
      <c r="I450" s="13"/>
      <c r="J450" s="13"/>
      <c r="K450" s="13"/>
      <c r="L450" s="13"/>
      <c r="M450" s="13"/>
      <c r="N450" s="13"/>
      <c r="O450" s="13"/>
      <c r="P450" s="13"/>
      <c r="Q450" s="13"/>
      <c r="R450" s="13"/>
      <c r="S450" s="13"/>
      <c r="T450" s="13"/>
    </row>
    <row r="451" spans="2:20" x14ac:dyDescent="0.35">
      <c r="B451" s="13"/>
      <c r="C451" s="13"/>
      <c r="D451" s="13"/>
      <c r="E451" s="13"/>
      <c r="F451" s="13"/>
      <c r="G451" s="13"/>
      <c r="H451" s="13"/>
      <c r="I451" s="13"/>
      <c r="J451" s="13"/>
      <c r="K451" s="13"/>
      <c r="L451" s="13"/>
      <c r="M451" s="13"/>
      <c r="N451" s="13"/>
      <c r="O451" s="13"/>
      <c r="P451" s="13"/>
      <c r="Q451" s="13"/>
      <c r="R451" s="13"/>
      <c r="S451" s="13"/>
      <c r="T451" s="13"/>
    </row>
    <row r="452" spans="2:20" x14ac:dyDescent="0.35">
      <c r="B452" s="13"/>
      <c r="C452" s="13"/>
      <c r="D452" s="13"/>
      <c r="E452" s="13"/>
      <c r="F452" s="13"/>
      <c r="G452" s="13"/>
      <c r="H452" s="13"/>
      <c r="I452" s="13"/>
      <c r="J452" s="13"/>
      <c r="K452" s="13"/>
      <c r="L452" s="13"/>
      <c r="M452" s="13"/>
      <c r="N452" s="13"/>
      <c r="O452" s="13"/>
      <c r="P452" s="13"/>
      <c r="Q452" s="13"/>
      <c r="R452" s="13"/>
      <c r="S452" s="13"/>
      <c r="T452" s="13"/>
    </row>
    <row r="453" spans="2:20" x14ac:dyDescent="0.35">
      <c r="B453" s="13"/>
      <c r="C453" s="13"/>
      <c r="D453" s="13"/>
      <c r="E453" s="13"/>
      <c r="F453" s="13"/>
      <c r="G453" s="13"/>
      <c r="H453" s="13"/>
      <c r="I453" s="13"/>
      <c r="J453" s="13"/>
      <c r="K453" s="13"/>
      <c r="L453" s="13"/>
      <c r="M453" s="13"/>
      <c r="N453" s="13"/>
      <c r="O453" s="13"/>
      <c r="P453" s="13"/>
      <c r="Q453" s="13"/>
      <c r="R453" s="13"/>
      <c r="S453" s="13"/>
      <c r="T453" s="13"/>
    </row>
    <row r="454" spans="2:20" x14ac:dyDescent="0.35">
      <c r="B454" s="13"/>
      <c r="C454" s="13"/>
      <c r="D454" s="13"/>
      <c r="E454" s="13"/>
      <c r="F454" s="13"/>
      <c r="G454" s="13"/>
      <c r="H454" s="13"/>
      <c r="I454" s="13"/>
      <c r="J454" s="13"/>
      <c r="K454" s="13"/>
      <c r="L454" s="13"/>
      <c r="M454" s="13"/>
      <c r="N454" s="13"/>
      <c r="O454" s="13"/>
      <c r="P454" s="13"/>
      <c r="Q454" s="13"/>
      <c r="R454" s="13"/>
      <c r="S454" s="13"/>
      <c r="T454" s="13"/>
    </row>
    <row r="455" spans="2:20" x14ac:dyDescent="0.35">
      <c r="B455" s="13"/>
      <c r="C455" s="13"/>
      <c r="D455" s="13"/>
      <c r="E455" s="13"/>
      <c r="F455" s="13"/>
      <c r="G455" s="13"/>
      <c r="H455" s="13"/>
      <c r="I455" s="13"/>
      <c r="J455" s="13"/>
      <c r="K455" s="13"/>
      <c r="L455" s="13"/>
      <c r="M455" s="13"/>
      <c r="N455" s="13"/>
      <c r="O455" s="13"/>
      <c r="P455" s="13"/>
      <c r="Q455" s="13"/>
      <c r="R455" s="13"/>
      <c r="S455" s="13"/>
      <c r="T455" s="13"/>
    </row>
    <row r="456" spans="2:20" x14ac:dyDescent="0.35">
      <c r="B456" s="13"/>
      <c r="C456" s="13"/>
      <c r="D456" s="13"/>
      <c r="E456" s="13"/>
      <c r="F456" s="13"/>
      <c r="G456" s="13"/>
      <c r="H456" s="13"/>
      <c r="I456" s="13"/>
      <c r="J456" s="13"/>
      <c r="K456" s="13"/>
      <c r="L456" s="13"/>
      <c r="M456" s="13"/>
      <c r="N456" s="13"/>
      <c r="O456" s="13"/>
      <c r="P456" s="13"/>
      <c r="Q456" s="13"/>
      <c r="R456" s="13"/>
      <c r="S456" s="13"/>
      <c r="T456" s="13"/>
    </row>
    <row r="457" spans="2:20" x14ac:dyDescent="0.35">
      <c r="B457" s="13"/>
      <c r="C457" s="13"/>
      <c r="D457" s="13"/>
      <c r="E457" s="13"/>
      <c r="F457" s="13"/>
      <c r="G457" s="13"/>
      <c r="H457" s="13"/>
      <c r="I457" s="13"/>
      <c r="J457" s="13"/>
      <c r="K457" s="13"/>
      <c r="L457" s="13"/>
      <c r="M457" s="13"/>
      <c r="N457" s="13"/>
      <c r="O457" s="13"/>
      <c r="P457" s="13"/>
      <c r="Q457" s="13"/>
      <c r="R457" s="13"/>
      <c r="S457" s="13"/>
      <c r="T457" s="13"/>
    </row>
    <row r="458" spans="2:20" x14ac:dyDescent="0.35">
      <c r="B458" s="13"/>
      <c r="C458" s="13"/>
      <c r="D458" s="13"/>
      <c r="E458" s="13"/>
      <c r="F458" s="13"/>
      <c r="G458" s="13"/>
      <c r="H458" s="13"/>
      <c r="I458" s="13"/>
      <c r="J458" s="13"/>
      <c r="K458" s="13"/>
      <c r="L458" s="13"/>
      <c r="M458" s="13"/>
      <c r="N458" s="13"/>
      <c r="O458" s="13"/>
      <c r="P458" s="13"/>
      <c r="Q458" s="13"/>
      <c r="R458" s="13"/>
      <c r="S458" s="13"/>
      <c r="T458" s="13"/>
    </row>
    <row r="459" spans="2:20" x14ac:dyDescent="0.35">
      <c r="B459" s="13"/>
      <c r="C459" s="13"/>
      <c r="D459" s="13"/>
      <c r="E459" s="13"/>
      <c r="F459" s="13"/>
      <c r="G459" s="13"/>
      <c r="H459" s="13"/>
      <c r="I459" s="13"/>
      <c r="J459" s="13"/>
      <c r="K459" s="13"/>
      <c r="L459" s="13"/>
      <c r="M459" s="13"/>
      <c r="N459" s="13"/>
      <c r="O459" s="13"/>
      <c r="P459" s="13"/>
      <c r="Q459" s="13"/>
      <c r="R459" s="13"/>
      <c r="S459" s="13"/>
      <c r="T459" s="13"/>
    </row>
    <row r="460" spans="2:20" x14ac:dyDescent="0.35">
      <c r="B460" s="13"/>
      <c r="C460" s="13"/>
      <c r="D460" s="13"/>
      <c r="E460" s="13"/>
      <c r="F460" s="13"/>
      <c r="G460" s="13"/>
      <c r="H460" s="13"/>
      <c r="I460" s="13"/>
      <c r="J460" s="13"/>
      <c r="K460" s="13"/>
      <c r="L460" s="13"/>
      <c r="M460" s="13"/>
      <c r="N460" s="13"/>
      <c r="O460" s="13"/>
      <c r="P460" s="13"/>
      <c r="Q460" s="13"/>
      <c r="R460" s="13"/>
      <c r="S460" s="13"/>
      <c r="T460" s="13"/>
    </row>
    <row r="461" spans="2:20" x14ac:dyDescent="0.35">
      <c r="B461" s="13"/>
      <c r="C461" s="13"/>
      <c r="D461" s="13"/>
      <c r="E461" s="13"/>
      <c r="F461" s="13"/>
      <c r="G461" s="13"/>
      <c r="H461" s="13"/>
      <c r="I461" s="13"/>
      <c r="J461" s="13"/>
      <c r="K461" s="13"/>
      <c r="L461" s="13"/>
      <c r="M461" s="13"/>
      <c r="N461" s="13"/>
      <c r="O461" s="13"/>
      <c r="P461" s="13"/>
      <c r="Q461" s="13"/>
      <c r="R461" s="13"/>
      <c r="S461" s="13"/>
      <c r="T461" s="13"/>
    </row>
    <row r="462" spans="2:20" x14ac:dyDescent="0.35">
      <c r="B462" s="13"/>
      <c r="C462" s="13"/>
      <c r="D462" s="13"/>
      <c r="E462" s="13"/>
      <c r="F462" s="13"/>
      <c r="G462" s="13"/>
      <c r="H462" s="13"/>
      <c r="I462" s="13"/>
      <c r="J462" s="13"/>
      <c r="K462" s="13"/>
      <c r="L462" s="13"/>
      <c r="M462" s="13"/>
      <c r="N462" s="13"/>
      <c r="O462" s="13"/>
      <c r="P462" s="13"/>
      <c r="Q462" s="13"/>
      <c r="R462" s="13"/>
      <c r="S462" s="13"/>
      <c r="T462" s="13"/>
    </row>
    <row r="463" spans="2:20" x14ac:dyDescent="0.35">
      <c r="B463" s="13"/>
      <c r="C463" s="13"/>
      <c r="D463" s="13"/>
      <c r="E463" s="13"/>
      <c r="F463" s="13"/>
      <c r="G463" s="13"/>
      <c r="H463" s="13"/>
      <c r="I463" s="13"/>
      <c r="J463" s="13"/>
      <c r="K463" s="13"/>
      <c r="L463" s="13"/>
      <c r="M463" s="13"/>
      <c r="N463" s="13"/>
      <c r="O463" s="13"/>
      <c r="P463" s="13"/>
      <c r="Q463" s="13"/>
      <c r="R463" s="13"/>
      <c r="S463" s="13"/>
      <c r="T463" s="13"/>
    </row>
    <row r="464" spans="2:20" x14ac:dyDescent="0.35">
      <c r="B464" s="13"/>
      <c r="C464" s="13"/>
      <c r="D464" s="13"/>
      <c r="E464" s="13"/>
      <c r="F464" s="13"/>
      <c r="G464" s="13"/>
      <c r="H464" s="13"/>
      <c r="I464" s="13"/>
      <c r="J464" s="13"/>
      <c r="K464" s="13"/>
      <c r="L464" s="13"/>
      <c r="M464" s="13"/>
      <c r="N464" s="13"/>
      <c r="O464" s="13"/>
      <c r="P464" s="13"/>
      <c r="Q464" s="13"/>
      <c r="R464" s="13"/>
      <c r="S464" s="13"/>
      <c r="T464" s="13"/>
    </row>
    <row r="465" spans="2:20" x14ac:dyDescent="0.35">
      <c r="B465" s="13"/>
      <c r="C465" s="13"/>
      <c r="D465" s="13"/>
      <c r="E465" s="13"/>
      <c r="F465" s="13"/>
      <c r="G465" s="13"/>
      <c r="H465" s="13"/>
      <c r="I465" s="13"/>
      <c r="J465" s="13"/>
      <c r="K465" s="13"/>
      <c r="L465" s="13"/>
      <c r="M465" s="13"/>
      <c r="N465" s="13"/>
      <c r="O465" s="13"/>
      <c r="P465" s="13"/>
      <c r="Q465" s="13"/>
      <c r="R465" s="13"/>
      <c r="S465" s="13"/>
      <c r="T465" s="13"/>
    </row>
    <row r="466" spans="2:20" x14ac:dyDescent="0.35">
      <c r="B466" s="13"/>
      <c r="C466" s="13"/>
      <c r="D466" s="13"/>
      <c r="E466" s="13"/>
      <c r="F466" s="13"/>
      <c r="G466" s="13"/>
      <c r="H466" s="13"/>
      <c r="I466" s="13"/>
      <c r="J466" s="13"/>
      <c r="K466" s="13"/>
      <c r="L466" s="13"/>
      <c r="M466" s="13"/>
      <c r="N466" s="13"/>
      <c r="O466" s="13"/>
      <c r="P466" s="13"/>
      <c r="Q466" s="13"/>
      <c r="R466" s="13"/>
      <c r="S466" s="13"/>
      <c r="T466" s="13"/>
    </row>
    <row r="467" spans="2:20" x14ac:dyDescent="0.35">
      <c r="B467" s="13"/>
      <c r="C467" s="13"/>
      <c r="D467" s="13"/>
      <c r="E467" s="13"/>
      <c r="F467" s="13"/>
      <c r="G467" s="13"/>
      <c r="H467" s="13"/>
      <c r="I467" s="13"/>
      <c r="J467" s="13"/>
      <c r="K467" s="13"/>
      <c r="L467" s="13"/>
      <c r="M467" s="13"/>
      <c r="N467" s="13"/>
      <c r="O467" s="13"/>
      <c r="P467" s="13"/>
      <c r="Q467" s="13"/>
      <c r="R467" s="13"/>
      <c r="S467" s="13"/>
      <c r="T467" s="13"/>
    </row>
    <row r="468" spans="2:20" x14ac:dyDescent="0.35">
      <c r="B468" s="13"/>
      <c r="C468" s="13"/>
      <c r="D468" s="13"/>
      <c r="E468" s="13"/>
      <c r="F468" s="13"/>
      <c r="G468" s="13"/>
      <c r="H468" s="13"/>
      <c r="I468" s="13"/>
      <c r="J468" s="13"/>
      <c r="K468" s="13"/>
      <c r="L468" s="13"/>
      <c r="M468" s="13"/>
      <c r="N468" s="13"/>
      <c r="O468" s="13"/>
      <c r="P468" s="13"/>
      <c r="Q468" s="13"/>
      <c r="R468" s="13"/>
      <c r="S468" s="13"/>
      <c r="T468" s="13"/>
    </row>
    <row r="469" spans="2:20" x14ac:dyDescent="0.35">
      <c r="B469" s="13"/>
      <c r="C469" s="13"/>
      <c r="D469" s="13"/>
      <c r="E469" s="13"/>
      <c r="F469" s="13"/>
      <c r="G469" s="13"/>
      <c r="H469" s="13"/>
      <c r="I469" s="13"/>
      <c r="J469" s="13"/>
      <c r="K469" s="13"/>
      <c r="L469" s="13"/>
      <c r="M469" s="13"/>
      <c r="N469" s="13"/>
      <c r="O469" s="13"/>
      <c r="P469" s="13"/>
      <c r="Q469" s="13"/>
      <c r="R469" s="13"/>
      <c r="S469" s="13"/>
      <c r="T469" s="13"/>
    </row>
    <row r="470" spans="2:20" x14ac:dyDescent="0.35">
      <c r="B470" s="13"/>
      <c r="C470" s="13"/>
      <c r="D470" s="13"/>
      <c r="E470" s="13"/>
      <c r="F470" s="13"/>
      <c r="G470" s="13"/>
      <c r="H470" s="13"/>
      <c r="I470" s="13"/>
      <c r="J470" s="13"/>
      <c r="K470" s="13"/>
      <c r="L470" s="13"/>
      <c r="M470" s="13"/>
      <c r="N470" s="13"/>
      <c r="O470" s="13"/>
      <c r="P470" s="13"/>
      <c r="Q470" s="13"/>
      <c r="R470" s="13"/>
      <c r="S470" s="13"/>
      <c r="T470" s="13"/>
    </row>
    <row r="471" spans="2:20" x14ac:dyDescent="0.35">
      <c r="B471" s="13"/>
      <c r="C471" s="13"/>
      <c r="D471" s="13"/>
      <c r="E471" s="13"/>
      <c r="F471" s="13"/>
      <c r="G471" s="13"/>
      <c r="H471" s="13"/>
      <c r="I471" s="13"/>
      <c r="J471" s="13"/>
      <c r="K471" s="13"/>
      <c r="L471" s="13"/>
      <c r="M471" s="13"/>
      <c r="N471" s="13"/>
      <c r="O471" s="13"/>
      <c r="P471" s="13"/>
      <c r="Q471" s="13"/>
      <c r="R471" s="13"/>
      <c r="S471" s="13"/>
      <c r="T471" s="13"/>
    </row>
    <row r="472" spans="2:20" x14ac:dyDescent="0.35">
      <c r="B472" s="13"/>
      <c r="C472" s="13"/>
      <c r="D472" s="13"/>
      <c r="E472" s="13"/>
      <c r="F472" s="13"/>
      <c r="G472" s="13"/>
      <c r="H472" s="13"/>
      <c r="I472" s="13"/>
      <c r="J472" s="13"/>
      <c r="K472" s="13"/>
      <c r="L472" s="13"/>
      <c r="M472" s="13"/>
      <c r="N472" s="13"/>
      <c r="O472" s="13"/>
      <c r="P472" s="13"/>
      <c r="Q472" s="13"/>
      <c r="R472" s="13"/>
      <c r="S472" s="13"/>
      <c r="T472" s="13"/>
    </row>
    <row r="473" spans="2:20" x14ac:dyDescent="0.35">
      <c r="B473" s="13"/>
      <c r="C473" s="13"/>
      <c r="D473" s="13"/>
      <c r="E473" s="13"/>
      <c r="F473" s="13"/>
      <c r="G473" s="13"/>
      <c r="H473" s="13"/>
      <c r="I473" s="13"/>
      <c r="J473" s="13"/>
      <c r="K473" s="13"/>
      <c r="L473" s="13"/>
      <c r="M473" s="13"/>
      <c r="N473" s="13"/>
      <c r="O473" s="13"/>
      <c r="P473" s="13"/>
      <c r="Q473" s="13"/>
      <c r="R473" s="13"/>
      <c r="S473" s="13"/>
      <c r="T473" s="13"/>
    </row>
    <row r="474" spans="2:20" x14ac:dyDescent="0.35">
      <c r="B474" s="13"/>
      <c r="C474" s="13"/>
      <c r="D474" s="13"/>
      <c r="E474" s="13"/>
      <c r="F474" s="13"/>
      <c r="G474" s="13"/>
      <c r="H474" s="13"/>
      <c r="I474" s="13"/>
      <c r="J474" s="13"/>
      <c r="K474" s="13"/>
      <c r="L474" s="13"/>
      <c r="M474" s="13"/>
      <c r="N474" s="13"/>
      <c r="O474" s="13"/>
      <c r="P474" s="13"/>
      <c r="Q474" s="13"/>
      <c r="R474" s="13"/>
      <c r="S474" s="13"/>
      <c r="T474" s="13"/>
    </row>
    <row r="475" spans="2:20" x14ac:dyDescent="0.35">
      <c r="B475" s="13"/>
      <c r="C475" s="13"/>
      <c r="D475" s="13"/>
      <c r="E475" s="13"/>
      <c r="F475" s="13"/>
      <c r="G475" s="13"/>
      <c r="H475" s="13"/>
      <c r="I475" s="13"/>
      <c r="J475" s="13"/>
      <c r="K475" s="13"/>
      <c r="L475" s="13"/>
      <c r="M475" s="13"/>
      <c r="N475" s="13"/>
      <c r="O475" s="13"/>
      <c r="P475" s="13"/>
      <c r="Q475" s="13"/>
      <c r="R475" s="13"/>
      <c r="S475" s="13"/>
      <c r="T475" s="13"/>
    </row>
    <row r="476" spans="2:20" x14ac:dyDescent="0.35">
      <c r="B476" s="13"/>
      <c r="C476" s="13"/>
      <c r="D476" s="13"/>
      <c r="E476" s="13"/>
      <c r="F476" s="13"/>
      <c r="G476" s="13"/>
      <c r="H476" s="13"/>
      <c r="I476" s="13"/>
      <c r="J476" s="13"/>
      <c r="K476" s="13"/>
      <c r="L476" s="13"/>
      <c r="M476" s="13"/>
      <c r="N476" s="13"/>
      <c r="O476" s="13"/>
      <c r="P476" s="13"/>
      <c r="Q476" s="13"/>
      <c r="R476" s="13"/>
      <c r="S476" s="13"/>
      <c r="T476" s="13"/>
    </row>
    <row r="477" spans="2:20" x14ac:dyDescent="0.35">
      <c r="B477" s="13"/>
      <c r="C477" s="13"/>
      <c r="D477" s="13"/>
      <c r="E477" s="13"/>
      <c r="F477" s="13"/>
      <c r="G477" s="13"/>
      <c r="H477" s="13"/>
      <c r="I477" s="13"/>
      <c r="J477" s="13"/>
      <c r="K477" s="13"/>
      <c r="L477" s="13"/>
      <c r="M477" s="13"/>
      <c r="N477" s="13"/>
      <c r="O477" s="13"/>
      <c r="P477" s="13"/>
      <c r="Q477" s="13"/>
      <c r="R477" s="13"/>
      <c r="S477" s="13"/>
      <c r="T477" s="13"/>
    </row>
    <row r="478" spans="2:20" x14ac:dyDescent="0.35">
      <c r="B478" s="13"/>
      <c r="C478" s="13"/>
      <c r="D478" s="13"/>
      <c r="E478" s="13"/>
      <c r="F478" s="13"/>
      <c r="G478" s="13"/>
      <c r="H478" s="13"/>
      <c r="I478" s="13"/>
      <c r="J478" s="13"/>
      <c r="K478" s="13"/>
      <c r="L478" s="13"/>
      <c r="M478" s="13"/>
      <c r="N478" s="13"/>
      <c r="O478" s="13"/>
      <c r="P478" s="13"/>
      <c r="Q478" s="13"/>
      <c r="R478" s="13"/>
      <c r="S478" s="13"/>
      <c r="T478" s="13"/>
    </row>
    <row r="479" spans="2:20" x14ac:dyDescent="0.35">
      <c r="B479" s="13"/>
      <c r="C479" s="13"/>
      <c r="D479" s="13"/>
      <c r="E479" s="13"/>
      <c r="F479" s="13"/>
      <c r="G479" s="13"/>
      <c r="H479" s="13"/>
      <c r="I479" s="13"/>
      <c r="J479" s="13"/>
      <c r="K479" s="13"/>
      <c r="L479" s="13"/>
      <c r="M479" s="13"/>
      <c r="N479" s="13"/>
      <c r="O479" s="13"/>
      <c r="P479" s="13"/>
      <c r="Q479" s="13"/>
      <c r="R479" s="13"/>
      <c r="S479" s="13"/>
      <c r="T479" s="13"/>
    </row>
    <row r="480" spans="2:20" x14ac:dyDescent="0.35">
      <c r="B480" s="13"/>
      <c r="C480" s="13"/>
      <c r="D480" s="13"/>
      <c r="E480" s="13"/>
      <c r="F480" s="13"/>
      <c r="G480" s="13"/>
      <c r="H480" s="13"/>
      <c r="I480" s="13"/>
      <c r="J480" s="13"/>
      <c r="K480" s="13"/>
      <c r="L480" s="13"/>
      <c r="M480" s="13"/>
      <c r="N480" s="13"/>
      <c r="O480" s="13"/>
      <c r="P480" s="13"/>
      <c r="Q480" s="13"/>
      <c r="R480" s="13"/>
      <c r="S480" s="13"/>
      <c r="T480" s="13"/>
    </row>
    <row r="481" spans="2:20" x14ac:dyDescent="0.35">
      <c r="B481" s="13"/>
      <c r="C481" s="13"/>
      <c r="D481" s="13"/>
      <c r="E481" s="13"/>
      <c r="F481" s="13"/>
      <c r="G481" s="13"/>
      <c r="H481" s="13"/>
      <c r="I481" s="13"/>
      <c r="J481" s="13"/>
      <c r="K481" s="13"/>
      <c r="L481" s="13"/>
      <c r="M481" s="13"/>
      <c r="N481" s="13"/>
      <c r="O481" s="13"/>
      <c r="P481" s="13"/>
      <c r="Q481" s="13"/>
      <c r="R481" s="13"/>
      <c r="S481" s="13"/>
      <c r="T481" s="13"/>
    </row>
    <row r="482" spans="2:20" x14ac:dyDescent="0.35">
      <c r="B482" s="13"/>
      <c r="C482" s="13"/>
      <c r="D482" s="13"/>
      <c r="E482" s="13"/>
      <c r="F482" s="13"/>
      <c r="G482" s="13"/>
      <c r="H482" s="13"/>
      <c r="I482" s="13"/>
      <c r="J482" s="13"/>
      <c r="K482" s="13"/>
      <c r="L482" s="13"/>
      <c r="M482" s="13"/>
      <c r="N482" s="13"/>
      <c r="O482" s="13"/>
      <c r="P482" s="13"/>
      <c r="Q482" s="13"/>
      <c r="R482" s="13"/>
      <c r="S482" s="13"/>
      <c r="T482" s="13"/>
    </row>
    <row r="483" spans="2:20" x14ac:dyDescent="0.35">
      <c r="B483" s="13"/>
      <c r="C483" s="13"/>
      <c r="D483" s="13"/>
      <c r="E483" s="13"/>
      <c r="F483" s="13"/>
      <c r="G483" s="13"/>
      <c r="H483" s="13"/>
      <c r="I483" s="13"/>
      <c r="J483" s="13"/>
      <c r="K483" s="13"/>
      <c r="L483" s="13"/>
      <c r="M483" s="13"/>
      <c r="N483" s="13"/>
      <c r="O483" s="13"/>
      <c r="P483" s="13"/>
      <c r="Q483" s="13"/>
      <c r="R483" s="13"/>
      <c r="S483" s="13"/>
      <c r="T483" s="13"/>
    </row>
    <row r="484" spans="2:20" x14ac:dyDescent="0.35">
      <c r="B484" s="13"/>
      <c r="C484" s="13"/>
      <c r="D484" s="13"/>
      <c r="E484" s="13"/>
      <c r="F484" s="13"/>
      <c r="G484" s="13"/>
      <c r="H484" s="13"/>
      <c r="I484" s="13"/>
      <c r="J484" s="13"/>
      <c r="K484" s="13"/>
      <c r="L484" s="13"/>
      <c r="M484" s="13"/>
      <c r="N484" s="13"/>
      <c r="O484" s="13"/>
      <c r="P484" s="13"/>
      <c r="Q484" s="13"/>
      <c r="R484" s="13"/>
      <c r="S484" s="13"/>
      <c r="T484" s="13"/>
    </row>
    <row r="485" spans="2:20" x14ac:dyDescent="0.35">
      <c r="B485" s="13"/>
      <c r="C485" s="13"/>
      <c r="D485" s="13"/>
      <c r="E485" s="13"/>
      <c r="F485" s="13"/>
      <c r="G485" s="13"/>
      <c r="H485" s="13"/>
      <c r="I485" s="13"/>
      <c r="J485" s="13"/>
      <c r="K485" s="13"/>
      <c r="L485" s="13"/>
      <c r="M485" s="13"/>
      <c r="N485" s="13"/>
      <c r="O485" s="13"/>
      <c r="P485" s="13"/>
      <c r="Q485" s="13"/>
      <c r="R485" s="13"/>
      <c r="S485" s="13"/>
      <c r="T485" s="13"/>
    </row>
    <row r="486" spans="2:20" x14ac:dyDescent="0.35">
      <c r="B486" s="13"/>
      <c r="C486" s="13"/>
      <c r="D486" s="13"/>
      <c r="E486" s="13"/>
      <c r="F486" s="13"/>
      <c r="G486" s="13"/>
      <c r="H486" s="13"/>
      <c r="I486" s="13"/>
      <c r="J486" s="13"/>
      <c r="K486" s="13"/>
      <c r="L486" s="13"/>
      <c r="M486" s="13"/>
      <c r="N486" s="13"/>
      <c r="O486" s="13"/>
      <c r="P486" s="13"/>
      <c r="Q486" s="13"/>
      <c r="R486" s="13"/>
      <c r="S486" s="13"/>
      <c r="T486" s="13"/>
    </row>
    <row r="487" spans="2:20" x14ac:dyDescent="0.35">
      <c r="B487" s="13"/>
      <c r="C487" s="13"/>
      <c r="D487" s="13"/>
      <c r="E487" s="13"/>
      <c r="F487" s="13"/>
      <c r="G487" s="13"/>
      <c r="H487" s="13"/>
      <c r="I487" s="13"/>
      <c r="J487" s="13"/>
      <c r="K487" s="13"/>
      <c r="L487" s="13"/>
      <c r="M487" s="13"/>
      <c r="N487" s="13"/>
      <c r="O487" s="13"/>
      <c r="P487" s="13"/>
      <c r="Q487" s="13"/>
      <c r="R487" s="13"/>
      <c r="S487" s="13"/>
      <c r="T487" s="13"/>
    </row>
    <row r="488" spans="2:20" x14ac:dyDescent="0.35">
      <c r="B488" s="13"/>
      <c r="C488" s="13"/>
      <c r="D488" s="13"/>
      <c r="E488" s="13"/>
      <c r="F488" s="13"/>
      <c r="G488" s="13"/>
      <c r="H488" s="13"/>
      <c r="I488" s="13"/>
      <c r="J488" s="13"/>
      <c r="K488" s="13"/>
      <c r="L488" s="13"/>
      <c r="M488" s="13"/>
      <c r="N488" s="13"/>
      <c r="O488" s="13"/>
      <c r="P488" s="13"/>
      <c r="Q488" s="13"/>
      <c r="R488" s="13"/>
      <c r="S488" s="13"/>
      <c r="T488" s="13"/>
    </row>
    <row r="489" spans="2:20" x14ac:dyDescent="0.35">
      <c r="B489" s="13"/>
      <c r="C489" s="13"/>
      <c r="D489" s="13"/>
      <c r="E489" s="13"/>
      <c r="F489" s="13"/>
      <c r="G489" s="13"/>
      <c r="H489" s="13"/>
      <c r="I489" s="13"/>
      <c r="J489" s="13"/>
      <c r="K489" s="13"/>
      <c r="L489" s="13"/>
      <c r="M489" s="13"/>
      <c r="N489" s="13"/>
      <c r="O489" s="13"/>
      <c r="P489" s="13"/>
      <c r="Q489" s="13"/>
      <c r="R489" s="13"/>
      <c r="S489" s="13"/>
      <c r="T489" s="13"/>
    </row>
    <row r="490" spans="2:20" x14ac:dyDescent="0.35">
      <c r="B490" s="13"/>
      <c r="C490" s="13"/>
      <c r="D490" s="13"/>
      <c r="E490" s="13"/>
      <c r="F490" s="13"/>
      <c r="G490" s="13"/>
      <c r="H490" s="13"/>
      <c r="I490" s="13"/>
      <c r="J490" s="13"/>
      <c r="K490" s="13"/>
      <c r="L490" s="13"/>
      <c r="M490" s="13"/>
      <c r="N490" s="13"/>
      <c r="O490" s="13"/>
      <c r="P490" s="13"/>
      <c r="Q490" s="13"/>
      <c r="R490" s="13"/>
      <c r="S490" s="13"/>
      <c r="T490" s="13"/>
    </row>
    <row r="491" spans="2:20" x14ac:dyDescent="0.35">
      <c r="B491" s="13"/>
      <c r="C491" s="13"/>
      <c r="D491" s="13"/>
      <c r="E491" s="13"/>
      <c r="F491" s="13"/>
      <c r="G491" s="13"/>
      <c r="H491" s="13"/>
      <c r="I491" s="13"/>
      <c r="J491" s="13"/>
      <c r="K491" s="13"/>
      <c r="L491" s="13"/>
      <c r="M491" s="13"/>
      <c r="N491" s="13"/>
      <c r="O491" s="13"/>
      <c r="P491" s="13"/>
      <c r="Q491" s="13"/>
      <c r="R491" s="13"/>
      <c r="S491" s="13"/>
      <c r="T491" s="13"/>
    </row>
    <row r="492" spans="2:20" x14ac:dyDescent="0.35">
      <c r="B492" s="13"/>
      <c r="C492" s="13"/>
      <c r="D492" s="13"/>
      <c r="E492" s="13"/>
      <c r="F492" s="13"/>
      <c r="G492" s="13"/>
      <c r="H492" s="13"/>
      <c r="I492" s="13"/>
      <c r="J492" s="13"/>
      <c r="K492" s="13"/>
      <c r="L492" s="13"/>
      <c r="M492" s="13"/>
      <c r="N492" s="13"/>
      <c r="O492" s="13"/>
      <c r="P492" s="13"/>
      <c r="Q492" s="13"/>
      <c r="R492" s="13"/>
      <c r="S492" s="13"/>
      <c r="T492" s="13"/>
    </row>
    <row r="493" spans="2:20" x14ac:dyDescent="0.35">
      <c r="B493" s="13"/>
      <c r="C493" s="13"/>
      <c r="D493" s="13"/>
      <c r="E493" s="13"/>
      <c r="F493" s="13"/>
      <c r="G493" s="13"/>
      <c r="H493" s="13"/>
      <c r="I493" s="13"/>
      <c r="J493" s="13"/>
      <c r="K493" s="13"/>
      <c r="L493" s="13"/>
      <c r="M493" s="13"/>
      <c r="N493" s="13"/>
      <c r="O493" s="13"/>
      <c r="P493" s="13"/>
      <c r="Q493" s="13"/>
      <c r="R493" s="13"/>
      <c r="S493" s="13"/>
      <c r="T493" s="13"/>
    </row>
    <row r="494" spans="2:20" x14ac:dyDescent="0.35">
      <c r="B494" s="13"/>
      <c r="C494" s="13"/>
      <c r="D494" s="13"/>
      <c r="E494" s="13"/>
      <c r="F494" s="13"/>
      <c r="G494" s="13"/>
      <c r="H494" s="13"/>
      <c r="I494" s="13"/>
      <c r="J494" s="13"/>
      <c r="K494" s="13"/>
      <c r="L494" s="13"/>
      <c r="M494" s="13"/>
      <c r="N494" s="13"/>
      <c r="O494" s="13"/>
      <c r="P494" s="13"/>
      <c r="Q494" s="13"/>
      <c r="R494" s="13"/>
      <c r="S494" s="13"/>
      <c r="T494" s="13"/>
    </row>
    <row r="495" spans="2:20" x14ac:dyDescent="0.35">
      <c r="B495" s="13"/>
      <c r="C495" s="13"/>
      <c r="D495" s="13"/>
      <c r="E495" s="13"/>
      <c r="F495" s="13"/>
      <c r="G495" s="13"/>
      <c r="H495" s="13"/>
      <c r="I495" s="13"/>
      <c r="J495" s="13"/>
      <c r="K495" s="13"/>
      <c r="L495" s="13"/>
      <c r="M495" s="13"/>
      <c r="N495" s="13"/>
      <c r="O495" s="13"/>
      <c r="P495" s="13"/>
      <c r="Q495" s="13"/>
      <c r="R495" s="13"/>
      <c r="S495" s="13"/>
      <c r="T495" s="13"/>
    </row>
    <row r="496" spans="2:20" x14ac:dyDescent="0.35">
      <c r="B496" s="13"/>
      <c r="C496" s="13"/>
      <c r="D496" s="13"/>
      <c r="E496" s="13"/>
      <c r="F496" s="13"/>
      <c r="G496" s="13"/>
      <c r="H496" s="13"/>
      <c r="I496" s="13"/>
      <c r="J496" s="13"/>
      <c r="K496" s="13"/>
      <c r="L496" s="13"/>
      <c r="M496" s="13"/>
      <c r="N496" s="13"/>
      <c r="O496" s="13"/>
      <c r="P496" s="13"/>
      <c r="Q496" s="13"/>
      <c r="R496" s="13"/>
      <c r="S496" s="13"/>
      <c r="T496" s="13"/>
    </row>
    <row r="497" spans="2:20" x14ac:dyDescent="0.35">
      <c r="B497" s="13"/>
      <c r="C497" s="13"/>
      <c r="D497" s="13"/>
      <c r="E497" s="13"/>
      <c r="F497" s="13"/>
      <c r="G497" s="13"/>
      <c r="H497" s="13"/>
      <c r="I497" s="13"/>
      <c r="J497" s="13"/>
      <c r="K497" s="13"/>
      <c r="L497" s="13"/>
      <c r="M497" s="13"/>
      <c r="N497" s="13"/>
      <c r="O497" s="13"/>
      <c r="P497" s="13"/>
      <c r="Q497" s="13"/>
      <c r="R497" s="13"/>
      <c r="S497" s="13"/>
      <c r="T497" s="13"/>
    </row>
    <row r="498" spans="2:20" x14ac:dyDescent="0.35">
      <c r="B498" s="13"/>
      <c r="C498" s="13"/>
      <c r="D498" s="13"/>
      <c r="E498" s="13"/>
      <c r="F498" s="13"/>
      <c r="G498" s="13"/>
      <c r="H498" s="13"/>
      <c r="I498" s="13"/>
      <c r="J498" s="13"/>
      <c r="K498" s="13"/>
      <c r="L498" s="13"/>
      <c r="M498" s="13"/>
      <c r="N498" s="13"/>
      <c r="O498" s="13"/>
      <c r="P498" s="13"/>
      <c r="Q498" s="13"/>
      <c r="R498" s="13"/>
      <c r="S498" s="13"/>
      <c r="T498" s="13"/>
    </row>
    <row r="499" spans="2:20" x14ac:dyDescent="0.35">
      <c r="B499" s="13"/>
      <c r="C499" s="13"/>
      <c r="D499" s="13"/>
      <c r="E499" s="13"/>
      <c r="F499" s="13"/>
      <c r="G499" s="13"/>
      <c r="H499" s="13"/>
      <c r="I499" s="13"/>
      <c r="J499" s="13"/>
      <c r="K499" s="13"/>
      <c r="L499" s="13"/>
      <c r="M499" s="13"/>
      <c r="N499" s="13"/>
      <c r="O499" s="13"/>
      <c r="P499" s="13"/>
      <c r="Q499" s="13"/>
      <c r="R499" s="13"/>
      <c r="S499" s="13"/>
      <c r="T499" s="13"/>
    </row>
    <row r="500" spans="2:20" x14ac:dyDescent="0.35">
      <c r="B500" s="13"/>
      <c r="C500" s="13"/>
      <c r="D500" s="13"/>
      <c r="E500" s="13"/>
      <c r="F500" s="13"/>
      <c r="G500" s="13"/>
      <c r="H500" s="13"/>
      <c r="I500" s="13"/>
      <c r="J500" s="13"/>
      <c r="K500" s="13"/>
      <c r="L500" s="13"/>
      <c r="M500" s="13"/>
      <c r="N500" s="13"/>
      <c r="O500" s="13"/>
      <c r="P500" s="13"/>
      <c r="Q500" s="13"/>
      <c r="R500" s="13"/>
      <c r="S500" s="13"/>
      <c r="T500" s="13"/>
    </row>
    <row r="501" spans="2:20" x14ac:dyDescent="0.35">
      <c r="B501" s="13"/>
      <c r="C501" s="13"/>
      <c r="D501" s="13"/>
      <c r="E501" s="13"/>
      <c r="F501" s="13"/>
      <c r="G501" s="13"/>
      <c r="H501" s="13"/>
      <c r="I501" s="13"/>
      <c r="J501" s="13"/>
      <c r="K501" s="13"/>
      <c r="L501" s="13"/>
      <c r="M501" s="13"/>
      <c r="N501" s="13"/>
      <c r="O501" s="13"/>
      <c r="P501" s="13"/>
      <c r="Q501" s="13"/>
      <c r="R501" s="13"/>
      <c r="S501" s="13"/>
      <c r="T501" s="13"/>
    </row>
    <row r="502" spans="2:20" x14ac:dyDescent="0.35">
      <c r="B502" s="13"/>
      <c r="C502" s="13"/>
      <c r="D502" s="13"/>
      <c r="E502" s="13"/>
      <c r="F502" s="13"/>
      <c r="G502" s="13"/>
      <c r="H502" s="13"/>
      <c r="I502" s="13"/>
      <c r="J502" s="13"/>
      <c r="K502" s="13"/>
      <c r="L502" s="13"/>
      <c r="M502" s="13"/>
      <c r="N502" s="13"/>
      <c r="O502" s="13"/>
      <c r="P502" s="13"/>
      <c r="Q502" s="13"/>
      <c r="R502" s="13"/>
      <c r="S502" s="13"/>
      <c r="T502" s="13"/>
    </row>
    <row r="503" spans="2:20" x14ac:dyDescent="0.35">
      <c r="B503" s="13"/>
      <c r="C503" s="13"/>
      <c r="D503" s="13"/>
      <c r="E503" s="13"/>
      <c r="F503" s="13"/>
      <c r="G503" s="13"/>
      <c r="H503" s="13"/>
      <c r="I503" s="13"/>
      <c r="J503" s="13"/>
      <c r="K503" s="13"/>
      <c r="L503" s="13"/>
      <c r="M503" s="13"/>
      <c r="N503" s="13"/>
      <c r="O503" s="13"/>
      <c r="P503" s="13"/>
      <c r="Q503" s="13"/>
      <c r="R503" s="13"/>
      <c r="S503" s="13"/>
      <c r="T503" s="13"/>
    </row>
    <row r="504" spans="2:20" x14ac:dyDescent="0.35">
      <c r="B504" s="13"/>
      <c r="C504" s="13"/>
      <c r="D504" s="13"/>
      <c r="E504" s="13"/>
      <c r="F504" s="13"/>
      <c r="G504" s="13"/>
      <c r="H504" s="13"/>
      <c r="I504" s="13"/>
      <c r="J504" s="13"/>
      <c r="K504" s="13"/>
      <c r="L504" s="13"/>
      <c r="M504" s="13"/>
      <c r="N504" s="13"/>
      <c r="O504" s="13"/>
      <c r="P504" s="13"/>
      <c r="Q504" s="13"/>
      <c r="R504" s="13"/>
      <c r="S504" s="13"/>
      <c r="T504" s="13"/>
    </row>
    <row r="505" spans="2:20" x14ac:dyDescent="0.35">
      <c r="B505" s="13"/>
      <c r="C505" s="13"/>
      <c r="D505" s="13"/>
      <c r="E505" s="13"/>
      <c r="F505" s="13"/>
      <c r="G505" s="13"/>
      <c r="H505" s="13"/>
      <c r="I505" s="13"/>
      <c r="J505" s="13"/>
      <c r="K505" s="13"/>
      <c r="L505" s="13"/>
      <c r="M505" s="13"/>
      <c r="N505" s="13"/>
      <c r="O505" s="13"/>
      <c r="P505" s="13"/>
      <c r="Q505" s="13"/>
      <c r="R505" s="13"/>
      <c r="S505" s="13"/>
      <c r="T505" s="13"/>
    </row>
    <row r="506" spans="2:20" x14ac:dyDescent="0.35">
      <c r="B506" s="13"/>
      <c r="C506" s="13"/>
      <c r="D506" s="13"/>
      <c r="E506" s="13"/>
      <c r="F506" s="13"/>
      <c r="G506" s="13"/>
      <c r="H506" s="13"/>
      <c r="I506" s="13"/>
      <c r="J506" s="13"/>
      <c r="K506" s="13"/>
      <c r="L506" s="13"/>
      <c r="M506" s="13"/>
      <c r="N506" s="13"/>
      <c r="O506" s="13"/>
      <c r="P506" s="13"/>
      <c r="Q506" s="13"/>
      <c r="R506" s="13"/>
      <c r="S506" s="13"/>
      <c r="T506" s="13"/>
    </row>
    <row r="507" spans="2:20" x14ac:dyDescent="0.35">
      <c r="B507" s="13"/>
      <c r="C507" s="13"/>
      <c r="D507" s="13"/>
      <c r="E507" s="13"/>
      <c r="F507" s="13"/>
      <c r="G507" s="13"/>
      <c r="H507" s="13"/>
      <c r="I507" s="13"/>
      <c r="J507" s="13"/>
      <c r="K507" s="13"/>
      <c r="L507" s="13"/>
      <c r="M507" s="13"/>
      <c r="N507" s="13"/>
      <c r="O507" s="13"/>
      <c r="P507" s="13"/>
      <c r="Q507" s="13"/>
      <c r="R507" s="13"/>
      <c r="S507" s="13"/>
      <c r="T507" s="13"/>
    </row>
    <row r="508" spans="2:20" x14ac:dyDescent="0.35">
      <c r="B508" s="13"/>
      <c r="C508" s="13"/>
      <c r="D508" s="13"/>
      <c r="E508" s="13"/>
      <c r="F508" s="13"/>
      <c r="G508" s="13"/>
      <c r="H508" s="13"/>
      <c r="I508" s="13"/>
      <c r="J508" s="13"/>
      <c r="K508" s="13"/>
      <c r="L508" s="13"/>
      <c r="M508" s="13"/>
      <c r="N508" s="13"/>
      <c r="O508" s="13"/>
      <c r="P508" s="13"/>
      <c r="Q508" s="13"/>
      <c r="R508" s="13"/>
      <c r="S508" s="13"/>
      <c r="T508" s="13"/>
    </row>
    <row r="509" spans="2:20" x14ac:dyDescent="0.35">
      <c r="B509" s="13"/>
      <c r="C509" s="13"/>
      <c r="D509" s="13"/>
      <c r="E509" s="13"/>
      <c r="F509" s="13"/>
      <c r="G509" s="13"/>
      <c r="H509" s="13"/>
      <c r="I509" s="13"/>
      <c r="J509" s="13"/>
      <c r="K509" s="13"/>
      <c r="L509" s="13"/>
      <c r="M509" s="13"/>
      <c r="N509" s="13"/>
      <c r="O509" s="13"/>
      <c r="P509" s="13"/>
      <c r="Q509" s="13"/>
      <c r="R509" s="13"/>
      <c r="S509" s="13"/>
      <c r="T509" s="13"/>
    </row>
    <row r="510" spans="2:20" x14ac:dyDescent="0.35">
      <c r="B510" s="13"/>
      <c r="C510" s="13"/>
      <c r="D510" s="13"/>
      <c r="E510" s="13"/>
      <c r="F510" s="13"/>
      <c r="G510" s="13"/>
      <c r="H510" s="13"/>
      <c r="I510" s="13"/>
      <c r="J510" s="13"/>
      <c r="K510" s="13"/>
      <c r="L510" s="13"/>
      <c r="M510" s="13"/>
      <c r="N510" s="13"/>
      <c r="O510" s="13"/>
      <c r="P510" s="13"/>
      <c r="Q510" s="13"/>
      <c r="R510" s="13"/>
      <c r="S510" s="13"/>
      <c r="T510" s="13"/>
    </row>
    <row r="511" spans="2:20" x14ac:dyDescent="0.35">
      <c r="B511" s="13"/>
      <c r="C511" s="13"/>
      <c r="D511" s="13"/>
      <c r="E511" s="13"/>
      <c r="F511" s="13"/>
      <c r="G511" s="13"/>
      <c r="H511" s="13"/>
      <c r="I511" s="13"/>
      <c r="J511" s="13"/>
      <c r="K511" s="13"/>
      <c r="L511" s="13"/>
      <c r="M511" s="13"/>
      <c r="N511" s="13"/>
      <c r="O511" s="13"/>
      <c r="P511" s="13"/>
      <c r="Q511" s="13"/>
      <c r="R511" s="13"/>
      <c r="S511" s="13"/>
      <c r="T511" s="13"/>
    </row>
    <row r="512" spans="2:20" x14ac:dyDescent="0.35">
      <c r="B512" s="13"/>
      <c r="C512" s="13"/>
      <c r="D512" s="13"/>
      <c r="E512" s="13"/>
      <c r="F512" s="13"/>
      <c r="G512" s="13"/>
      <c r="H512" s="13"/>
      <c r="I512" s="13"/>
      <c r="J512" s="13"/>
      <c r="K512" s="13"/>
      <c r="L512" s="13"/>
      <c r="M512" s="13"/>
      <c r="N512" s="13"/>
      <c r="O512" s="13"/>
      <c r="P512" s="13"/>
      <c r="Q512" s="13"/>
      <c r="R512" s="13"/>
      <c r="S512" s="13"/>
      <c r="T512" s="13"/>
    </row>
    <row r="513" spans="2:20" x14ac:dyDescent="0.35">
      <c r="B513" s="13"/>
      <c r="C513" s="13"/>
      <c r="D513" s="13"/>
      <c r="E513" s="13"/>
      <c r="F513" s="13"/>
      <c r="G513" s="13"/>
      <c r="H513" s="13"/>
      <c r="I513" s="13"/>
      <c r="J513" s="13"/>
      <c r="K513" s="13"/>
      <c r="L513" s="13"/>
      <c r="M513" s="13"/>
      <c r="N513" s="13"/>
      <c r="O513" s="13"/>
      <c r="P513" s="13"/>
      <c r="Q513" s="13"/>
      <c r="R513" s="13"/>
      <c r="S513" s="13"/>
      <c r="T513" s="13"/>
    </row>
    <row r="514" spans="2:20" x14ac:dyDescent="0.35">
      <c r="B514" s="13"/>
      <c r="C514" s="13"/>
      <c r="D514" s="13"/>
      <c r="E514" s="13"/>
      <c r="F514" s="13"/>
      <c r="G514" s="13"/>
      <c r="H514" s="13"/>
      <c r="I514" s="13"/>
      <c r="J514" s="13"/>
      <c r="K514" s="13"/>
      <c r="L514" s="13"/>
      <c r="M514" s="13"/>
      <c r="N514" s="13"/>
      <c r="O514" s="13"/>
      <c r="P514" s="13"/>
      <c r="Q514" s="13"/>
      <c r="R514" s="13"/>
      <c r="S514" s="13"/>
      <c r="T514" s="13"/>
    </row>
    <row r="515" spans="2:20" x14ac:dyDescent="0.35">
      <c r="B515" s="13"/>
      <c r="C515" s="13"/>
      <c r="D515" s="13"/>
      <c r="E515" s="13"/>
      <c r="F515" s="13"/>
      <c r="G515" s="13"/>
      <c r="H515" s="13"/>
      <c r="I515" s="13"/>
      <c r="J515" s="13"/>
      <c r="K515" s="13"/>
      <c r="L515" s="13"/>
      <c r="M515" s="13"/>
      <c r="N515" s="13"/>
      <c r="O515" s="13"/>
      <c r="P515" s="13"/>
      <c r="Q515" s="13"/>
      <c r="R515" s="13"/>
      <c r="S515" s="13"/>
      <c r="T515" s="13"/>
    </row>
    <row r="516" spans="2:20" x14ac:dyDescent="0.35">
      <c r="B516" s="13"/>
      <c r="C516" s="13"/>
      <c r="D516" s="13"/>
      <c r="E516" s="13"/>
      <c r="F516" s="13"/>
      <c r="G516" s="13"/>
      <c r="H516" s="13"/>
      <c r="I516" s="13"/>
      <c r="J516" s="13"/>
      <c r="K516" s="13"/>
      <c r="L516" s="13"/>
      <c r="M516" s="13"/>
      <c r="N516" s="13"/>
      <c r="O516" s="13"/>
      <c r="P516" s="13"/>
      <c r="Q516" s="13"/>
      <c r="R516" s="13"/>
      <c r="S516" s="13"/>
      <c r="T516" s="13"/>
    </row>
    <row r="517" spans="2:20" x14ac:dyDescent="0.35">
      <c r="B517" s="13"/>
      <c r="C517" s="13"/>
      <c r="D517" s="13"/>
      <c r="E517" s="13"/>
      <c r="F517" s="13"/>
      <c r="G517" s="13"/>
      <c r="H517" s="13"/>
      <c r="I517" s="13"/>
      <c r="J517" s="13"/>
      <c r="K517" s="13"/>
      <c r="L517" s="13"/>
      <c r="M517" s="13"/>
      <c r="N517" s="13"/>
      <c r="O517" s="13"/>
      <c r="P517" s="13"/>
      <c r="Q517" s="13"/>
      <c r="R517" s="13"/>
      <c r="S517" s="13"/>
      <c r="T517" s="13"/>
    </row>
    <row r="518" spans="2:20" x14ac:dyDescent="0.35">
      <c r="B518" s="13"/>
      <c r="C518" s="13"/>
      <c r="D518" s="13"/>
      <c r="E518" s="13"/>
      <c r="F518" s="13"/>
      <c r="G518" s="13"/>
      <c r="H518" s="13"/>
      <c r="I518" s="13"/>
      <c r="J518" s="13"/>
      <c r="K518" s="13"/>
      <c r="L518" s="13"/>
      <c r="M518" s="13"/>
      <c r="N518" s="13"/>
      <c r="O518" s="13"/>
      <c r="P518" s="13"/>
      <c r="Q518" s="13"/>
      <c r="R518" s="13"/>
      <c r="S518" s="13"/>
      <c r="T518" s="13"/>
    </row>
    <row r="519" spans="2:20" x14ac:dyDescent="0.35">
      <c r="B519" s="13"/>
      <c r="C519" s="13"/>
      <c r="D519" s="13"/>
      <c r="E519" s="13"/>
      <c r="F519" s="13"/>
      <c r="G519" s="13"/>
      <c r="H519" s="13"/>
      <c r="I519" s="13"/>
      <c r="J519" s="13"/>
      <c r="K519" s="13"/>
      <c r="L519" s="13"/>
      <c r="M519" s="13"/>
      <c r="N519" s="13"/>
      <c r="O519" s="13"/>
      <c r="P519" s="13"/>
      <c r="Q519" s="13"/>
      <c r="R519" s="13"/>
      <c r="S519" s="13"/>
      <c r="T519" s="13"/>
    </row>
    <row r="520" spans="2:20" x14ac:dyDescent="0.35">
      <c r="B520" s="13"/>
      <c r="C520" s="13"/>
      <c r="D520" s="13"/>
      <c r="E520" s="13"/>
      <c r="F520" s="13"/>
      <c r="G520" s="13"/>
      <c r="H520" s="13"/>
      <c r="I520" s="13"/>
      <c r="J520" s="13"/>
      <c r="K520" s="13"/>
      <c r="L520" s="13"/>
      <c r="M520" s="13"/>
      <c r="N520" s="13"/>
      <c r="O520" s="13"/>
      <c r="P520" s="13"/>
      <c r="Q520" s="13"/>
      <c r="R520" s="13"/>
      <c r="S520" s="13"/>
      <c r="T520" s="13"/>
    </row>
    <row r="521" spans="2:20" x14ac:dyDescent="0.35">
      <c r="B521" s="13"/>
      <c r="C521" s="13"/>
      <c r="D521" s="13"/>
      <c r="E521" s="13"/>
      <c r="F521" s="13"/>
      <c r="G521" s="13"/>
      <c r="H521" s="13"/>
      <c r="I521" s="13"/>
      <c r="J521" s="13"/>
      <c r="K521" s="13"/>
      <c r="L521" s="13"/>
      <c r="M521" s="13"/>
      <c r="N521" s="13"/>
      <c r="O521" s="13"/>
      <c r="P521" s="13"/>
      <c r="Q521" s="13"/>
      <c r="R521" s="13"/>
      <c r="S521" s="13"/>
      <c r="T521" s="13"/>
    </row>
    <row r="522" spans="2:20" x14ac:dyDescent="0.35">
      <c r="B522" s="13"/>
      <c r="C522" s="13"/>
      <c r="D522" s="13"/>
      <c r="E522" s="13"/>
      <c r="F522" s="13"/>
      <c r="G522" s="13"/>
      <c r="H522" s="13"/>
      <c r="I522" s="13"/>
      <c r="J522" s="13"/>
      <c r="K522" s="13"/>
      <c r="L522" s="13"/>
      <c r="M522" s="13"/>
      <c r="N522" s="13"/>
      <c r="O522" s="13"/>
      <c r="P522" s="13"/>
      <c r="Q522" s="13"/>
      <c r="R522" s="13"/>
      <c r="S522" s="13"/>
      <c r="T522" s="13"/>
    </row>
    <row r="523" spans="2:20" x14ac:dyDescent="0.35">
      <c r="B523" s="13"/>
      <c r="C523" s="13"/>
      <c r="D523" s="13"/>
      <c r="E523" s="13"/>
      <c r="F523" s="13"/>
      <c r="G523" s="13"/>
      <c r="H523" s="13"/>
      <c r="I523" s="13"/>
      <c r="J523" s="13"/>
      <c r="K523" s="13"/>
      <c r="L523" s="13"/>
      <c r="M523" s="13"/>
      <c r="N523" s="13"/>
      <c r="O523" s="13"/>
      <c r="P523" s="13"/>
      <c r="Q523" s="13"/>
      <c r="R523" s="13"/>
      <c r="S523" s="13"/>
      <c r="T523" s="13"/>
    </row>
    <row r="524" spans="2:20" x14ac:dyDescent="0.35">
      <c r="B524" s="13"/>
      <c r="C524" s="13"/>
      <c r="D524" s="13"/>
      <c r="E524" s="13"/>
      <c r="F524" s="13"/>
      <c r="G524" s="13"/>
      <c r="H524" s="13"/>
      <c r="I524" s="13"/>
      <c r="J524" s="13"/>
      <c r="K524" s="13"/>
      <c r="L524" s="13"/>
      <c r="M524" s="13"/>
      <c r="N524" s="13"/>
      <c r="O524" s="13"/>
      <c r="P524" s="13"/>
      <c r="Q524" s="13"/>
      <c r="R524" s="13"/>
      <c r="S524" s="13"/>
      <c r="T524" s="13"/>
    </row>
    <row r="525" spans="2:20" x14ac:dyDescent="0.35">
      <c r="B525" s="13"/>
      <c r="C525" s="13"/>
      <c r="D525" s="13"/>
      <c r="E525" s="13"/>
      <c r="F525" s="13"/>
      <c r="G525" s="13"/>
      <c r="H525" s="13"/>
      <c r="I525" s="13"/>
      <c r="J525" s="13"/>
      <c r="K525" s="13"/>
      <c r="L525" s="13"/>
      <c r="M525" s="13"/>
      <c r="N525" s="13"/>
      <c r="O525" s="13"/>
      <c r="P525" s="13"/>
      <c r="Q525" s="13"/>
      <c r="R525" s="13"/>
      <c r="S525" s="13"/>
      <c r="T525" s="13"/>
    </row>
    <row r="526" spans="2:20" x14ac:dyDescent="0.35">
      <c r="B526" s="13"/>
      <c r="C526" s="13"/>
      <c r="D526" s="13"/>
      <c r="E526" s="13"/>
      <c r="F526" s="13"/>
      <c r="G526" s="13"/>
      <c r="H526" s="13"/>
      <c r="I526" s="13"/>
      <c r="J526" s="13"/>
      <c r="K526" s="13"/>
      <c r="L526" s="13"/>
      <c r="M526" s="13"/>
      <c r="N526" s="13"/>
      <c r="O526" s="13"/>
      <c r="P526" s="13"/>
      <c r="Q526" s="13"/>
      <c r="R526" s="13"/>
      <c r="S526" s="13"/>
      <c r="T526" s="13"/>
    </row>
    <row r="527" spans="2:20" x14ac:dyDescent="0.35">
      <c r="B527" s="13"/>
      <c r="C527" s="13"/>
      <c r="D527" s="13"/>
      <c r="E527" s="13"/>
      <c r="F527" s="13"/>
      <c r="G527" s="13"/>
      <c r="H527" s="13"/>
      <c r="I527" s="13"/>
      <c r="J527" s="13"/>
      <c r="K527" s="13"/>
      <c r="L527" s="13"/>
      <c r="M527" s="13"/>
      <c r="N527" s="13"/>
      <c r="O527" s="13"/>
      <c r="P527" s="13"/>
      <c r="Q527" s="13"/>
      <c r="R527" s="13"/>
      <c r="S527" s="13"/>
      <c r="T527" s="13"/>
    </row>
    <row r="528" spans="2:20" x14ac:dyDescent="0.35">
      <c r="B528" s="13"/>
      <c r="C528" s="13"/>
      <c r="D528" s="13"/>
      <c r="E528" s="13"/>
      <c r="F528" s="13"/>
      <c r="G528" s="13"/>
      <c r="H528" s="13"/>
      <c r="I528" s="13"/>
      <c r="J528" s="13"/>
      <c r="K528" s="13"/>
      <c r="L528" s="13"/>
      <c r="M528" s="13"/>
      <c r="N528" s="13"/>
      <c r="O528" s="13"/>
      <c r="P528" s="13"/>
      <c r="Q528" s="13"/>
      <c r="R528" s="13"/>
      <c r="S528" s="13"/>
      <c r="T528" s="13"/>
    </row>
    <row r="529" spans="2:20" x14ac:dyDescent="0.35">
      <c r="B529" s="13"/>
      <c r="C529" s="13"/>
      <c r="D529" s="13"/>
      <c r="E529" s="13"/>
      <c r="F529" s="13"/>
      <c r="G529" s="13"/>
      <c r="H529" s="13"/>
      <c r="I529" s="13"/>
      <c r="J529" s="13"/>
      <c r="K529" s="13"/>
      <c r="L529" s="13"/>
      <c r="M529" s="13"/>
      <c r="N529" s="13"/>
      <c r="O529" s="13"/>
      <c r="P529" s="13"/>
      <c r="Q529" s="13"/>
      <c r="R529" s="13"/>
      <c r="S529" s="13"/>
      <c r="T529" s="13"/>
    </row>
    <row r="530" spans="2:20" x14ac:dyDescent="0.35">
      <c r="B530" s="13"/>
      <c r="C530" s="13"/>
      <c r="D530" s="13"/>
      <c r="E530" s="13"/>
      <c r="F530" s="13"/>
      <c r="G530" s="13"/>
      <c r="H530" s="13"/>
      <c r="I530" s="13"/>
      <c r="J530" s="13"/>
      <c r="K530" s="13"/>
      <c r="L530" s="13"/>
      <c r="M530" s="13"/>
      <c r="N530" s="13"/>
      <c r="O530" s="13"/>
      <c r="P530" s="13"/>
      <c r="Q530" s="13"/>
      <c r="R530" s="13"/>
      <c r="S530" s="13"/>
      <c r="T530" s="13"/>
    </row>
    <row r="531" spans="2:20" x14ac:dyDescent="0.35">
      <c r="B531" s="13"/>
      <c r="C531" s="13"/>
      <c r="D531" s="13"/>
      <c r="E531" s="13"/>
      <c r="F531" s="13"/>
      <c r="G531" s="13"/>
      <c r="H531" s="13"/>
      <c r="I531" s="13"/>
      <c r="J531" s="13"/>
      <c r="K531" s="13"/>
      <c r="L531" s="13"/>
      <c r="M531" s="13"/>
      <c r="N531" s="13"/>
      <c r="O531" s="13"/>
      <c r="P531" s="13"/>
      <c r="Q531" s="13"/>
      <c r="R531" s="13"/>
      <c r="S531" s="13"/>
      <c r="T531" s="13"/>
    </row>
    <row r="532" spans="2:20" x14ac:dyDescent="0.35">
      <c r="B532" s="13"/>
      <c r="C532" s="13"/>
      <c r="D532" s="13"/>
      <c r="E532" s="13"/>
      <c r="F532" s="13"/>
      <c r="G532" s="13"/>
      <c r="H532" s="13"/>
      <c r="I532" s="13"/>
      <c r="J532" s="13"/>
      <c r="K532" s="13"/>
      <c r="L532" s="13"/>
      <c r="M532" s="13"/>
      <c r="N532" s="13"/>
      <c r="O532" s="13"/>
      <c r="P532" s="13"/>
      <c r="Q532" s="13"/>
      <c r="R532" s="13"/>
      <c r="S532" s="13"/>
      <c r="T532" s="13"/>
    </row>
    <row r="533" spans="2:20" x14ac:dyDescent="0.35">
      <c r="B533" s="13"/>
      <c r="C533" s="13"/>
      <c r="D533" s="13"/>
      <c r="E533" s="13"/>
      <c r="F533" s="13"/>
      <c r="G533" s="13"/>
      <c r="H533" s="13"/>
      <c r="I533" s="13"/>
      <c r="J533" s="13"/>
      <c r="K533" s="13"/>
      <c r="L533" s="13"/>
      <c r="M533" s="13"/>
      <c r="N533" s="13"/>
      <c r="O533" s="13"/>
      <c r="P533" s="13"/>
      <c r="Q533" s="13"/>
      <c r="R533" s="13"/>
      <c r="S533" s="13"/>
      <c r="T533" s="13"/>
    </row>
    <row r="534" spans="2:20" x14ac:dyDescent="0.35">
      <c r="B534" s="13"/>
      <c r="C534" s="13"/>
      <c r="D534" s="13"/>
      <c r="E534" s="13"/>
      <c r="F534" s="13"/>
      <c r="G534" s="13"/>
      <c r="H534" s="13"/>
      <c r="I534" s="13"/>
      <c r="J534" s="13"/>
      <c r="K534" s="13"/>
      <c r="L534" s="13"/>
      <c r="M534" s="13"/>
      <c r="N534" s="13"/>
      <c r="O534" s="13"/>
      <c r="P534" s="13"/>
      <c r="Q534" s="13"/>
      <c r="R534" s="13"/>
      <c r="S534" s="13"/>
      <c r="T534" s="13"/>
    </row>
    <row r="535" spans="2:20" x14ac:dyDescent="0.35">
      <c r="B535" s="13"/>
      <c r="C535" s="13"/>
      <c r="D535" s="13"/>
      <c r="E535" s="13"/>
      <c r="F535" s="13"/>
      <c r="G535" s="13"/>
      <c r="H535" s="13"/>
      <c r="I535" s="13"/>
      <c r="J535" s="13"/>
      <c r="K535" s="13"/>
      <c r="L535" s="13"/>
      <c r="M535" s="13"/>
      <c r="N535" s="13"/>
      <c r="O535" s="13"/>
      <c r="P535" s="13"/>
      <c r="Q535" s="13"/>
      <c r="R535" s="13"/>
      <c r="S535" s="13"/>
      <c r="T535" s="13"/>
    </row>
    <row r="536" spans="2:20" x14ac:dyDescent="0.35">
      <c r="B536" s="13"/>
      <c r="C536" s="13"/>
      <c r="D536" s="13"/>
      <c r="E536" s="13"/>
      <c r="F536" s="13"/>
      <c r="G536" s="13"/>
      <c r="H536" s="13"/>
      <c r="I536" s="13"/>
      <c r="J536" s="13"/>
      <c r="K536" s="13"/>
      <c r="L536" s="13"/>
      <c r="M536" s="13"/>
      <c r="N536" s="13"/>
      <c r="O536" s="13"/>
      <c r="P536" s="13"/>
      <c r="Q536" s="13"/>
      <c r="R536" s="13"/>
      <c r="S536" s="13"/>
      <c r="T536" s="13"/>
    </row>
    <row r="537" spans="2:20" x14ac:dyDescent="0.35">
      <c r="B537" s="13"/>
      <c r="C537" s="13"/>
      <c r="D537" s="13"/>
      <c r="E537" s="13"/>
      <c r="F537" s="13"/>
      <c r="G537" s="13"/>
      <c r="H537" s="13"/>
      <c r="I537" s="13"/>
      <c r="J537" s="13"/>
      <c r="K537" s="13"/>
      <c r="L537" s="13"/>
      <c r="M537" s="13"/>
      <c r="N537" s="13"/>
      <c r="O537" s="13"/>
      <c r="P537" s="13"/>
      <c r="Q537" s="13"/>
      <c r="R537" s="13"/>
      <c r="S537" s="13"/>
      <c r="T537" s="13"/>
    </row>
    <row r="538" spans="2:20" x14ac:dyDescent="0.35">
      <c r="B538" s="13"/>
      <c r="C538" s="13"/>
      <c r="D538" s="13"/>
      <c r="E538" s="13"/>
      <c r="F538" s="13"/>
      <c r="G538" s="13"/>
      <c r="H538" s="13"/>
      <c r="I538" s="13"/>
      <c r="J538" s="13"/>
      <c r="K538" s="13"/>
      <c r="L538" s="13"/>
      <c r="M538" s="13"/>
      <c r="N538" s="13"/>
      <c r="O538" s="13"/>
      <c r="P538" s="13"/>
      <c r="Q538" s="13"/>
      <c r="R538" s="13"/>
      <c r="S538" s="13"/>
      <c r="T538" s="13"/>
    </row>
    <row r="539" spans="2:20" x14ac:dyDescent="0.35">
      <c r="B539" s="13"/>
      <c r="C539" s="13"/>
      <c r="D539" s="13"/>
      <c r="E539" s="13"/>
      <c r="F539" s="13"/>
      <c r="G539" s="13"/>
      <c r="H539" s="13"/>
      <c r="I539" s="13"/>
      <c r="J539" s="13"/>
      <c r="K539" s="13"/>
      <c r="L539" s="13"/>
      <c r="M539" s="13"/>
      <c r="N539" s="13"/>
      <c r="O539" s="13"/>
      <c r="P539" s="13"/>
      <c r="Q539" s="13"/>
      <c r="R539" s="13"/>
      <c r="S539" s="13"/>
      <c r="T539" s="13"/>
    </row>
    <row r="540" spans="2:20" x14ac:dyDescent="0.35">
      <c r="B540" s="13"/>
      <c r="C540" s="13"/>
      <c r="D540" s="13"/>
      <c r="E540" s="13"/>
      <c r="F540" s="13"/>
      <c r="G540" s="13"/>
      <c r="H540" s="13"/>
      <c r="I540" s="13"/>
      <c r="J540" s="13"/>
      <c r="K540" s="13"/>
      <c r="L540" s="13"/>
      <c r="M540" s="13"/>
      <c r="N540" s="13"/>
      <c r="O540" s="13"/>
      <c r="P540" s="13"/>
      <c r="Q540" s="13"/>
      <c r="R540" s="13"/>
      <c r="S540" s="13"/>
      <c r="T540" s="13"/>
    </row>
    <row r="541" spans="2:20" x14ac:dyDescent="0.35">
      <c r="B541" s="13"/>
      <c r="C541" s="13"/>
      <c r="D541" s="13"/>
      <c r="E541" s="13"/>
      <c r="F541" s="13"/>
      <c r="G541" s="13"/>
      <c r="H541" s="13"/>
      <c r="I541" s="13"/>
      <c r="J541" s="13"/>
      <c r="K541" s="13"/>
      <c r="L541" s="13"/>
      <c r="M541" s="13"/>
      <c r="N541" s="13"/>
      <c r="O541" s="13"/>
      <c r="P541" s="13"/>
      <c r="Q541" s="13"/>
      <c r="R541" s="13"/>
      <c r="S541" s="13"/>
      <c r="T541" s="13"/>
    </row>
    <row r="542" spans="2:20" x14ac:dyDescent="0.35">
      <c r="B542" s="13"/>
      <c r="C542" s="13"/>
      <c r="D542" s="13"/>
      <c r="E542" s="13"/>
      <c r="F542" s="13"/>
      <c r="G542" s="13"/>
      <c r="H542" s="13"/>
      <c r="I542" s="13"/>
      <c r="J542" s="13"/>
      <c r="K542" s="13"/>
      <c r="L542" s="13"/>
      <c r="M542" s="13"/>
      <c r="N542" s="13"/>
      <c r="O542" s="13"/>
      <c r="P542" s="13"/>
      <c r="Q542" s="13"/>
      <c r="R542" s="13"/>
      <c r="S542" s="13"/>
      <c r="T542" s="13"/>
    </row>
    <row r="543" spans="2:20" x14ac:dyDescent="0.35">
      <c r="B543" s="13"/>
      <c r="C543" s="13"/>
      <c r="D543" s="13"/>
      <c r="E543" s="13"/>
      <c r="F543" s="13"/>
      <c r="G543" s="13"/>
      <c r="H543" s="13"/>
      <c r="I543" s="13"/>
      <c r="J543" s="13"/>
      <c r="K543" s="13"/>
      <c r="L543" s="13"/>
      <c r="M543" s="13"/>
      <c r="N543" s="13"/>
      <c r="O543" s="13"/>
      <c r="P543" s="13"/>
      <c r="Q543" s="13"/>
      <c r="R543" s="13"/>
      <c r="S543" s="13"/>
      <c r="T543" s="13"/>
    </row>
    <row r="544" spans="2:20" x14ac:dyDescent="0.35">
      <c r="B544" s="13"/>
      <c r="C544" s="13"/>
      <c r="D544" s="13"/>
      <c r="E544" s="13"/>
      <c r="F544" s="13"/>
      <c r="G544" s="13"/>
      <c r="H544" s="13"/>
      <c r="I544" s="13"/>
      <c r="J544" s="13"/>
      <c r="K544" s="13"/>
      <c r="L544" s="13"/>
      <c r="M544" s="13"/>
      <c r="N544" s="13"/>
      <c r="O544" s="13"/>
      <c r="P544" s="13"/>
      <c r="Q544" s="13"/>
      <c r="R544" s="13"/>
      <c r="S544" s="13"/>
      <c r="T544" s="13"/>
    </row>
    <row r="545" spans="2:20" x14ac:dyDescent="0.35">
      <c r="B545" s="13"/>
      <c r="C545" s="13"/>
      <c r="D545" s="13"/>
      <c r="E545" s="13"/>
      <c r="F545" s="13"/>
      <c r="G545" s="13"/>
      <c r="H545" s="13"/>
      <c r="I545" s="13"/>
      <c r="J545" s="13"/>
      <c r="K545" s="13"/>
      <c r="L545" s="13"/>
      <c r="M545" s="13"/>
      <c r="N545" s="13"/>
      <c r="O545" s="13"/>
      <c r="P545" s="13"/>
      <c r="Q545" s="13"/>
      <c r="R545" s="13"/>
      <c r="S545" s="13"/>
      <c r="T545" s="13"/>
    </row>
    <row r="546" spans="2:20" x14ac:dyDescent="0.35">
      <c r="B546" s="13"/>
      <c r="C546" s="13"/>
      <c r="D546" s="13"/>
      <c r="E546" s="13"/>
      <c r="F546" s="13"/>
      <c r="G546" s="13"/>
      <c r="H546" s="13"/>
      <c r="I546" s="13"/>
      <c r="J546" s="13"/>
      <c r="K546" s="13"/>
      <c r="L546" s="13"/>
      <c r="M546" s="13"/>
      <c r="N546" s="13"/>
      <c r="O546" s="13"/>
      <c r="P546" s="13"/>
      <c r="Q546" s="13"/>
      <c r="R546" s="13"/>
      <c r="S546" s="13"/>
      <c r="T546" s="13"/>
    </row>
    <row r="547" spans="2:20" x14ac:dyDescent="0.35">
      <c r="B547" s="13"/>
      <c r="C547" s="13"/>
      <c r="D547" s="13"/>
      <c r="E547" s="13"/>
      <c r="F547" s="13"/>
      <c r="G547" s="13"/>
      <c r="H547" s="13"/>
      <c r="I547" s="13"/>
      <c r="J547" s="13"/>
      <c r="K547" s="13"/>
      <c r="L547" s="13"/>
      <c r="M547" s="13"/>
      <c r="N547" s="13"/>
      <c r="O547" s="13"/>
      <c r="P547" s="13"/>
      <c r="Q547" s="13"/>
      <c r="R547" s="13"/>
      <c r="S547" s="13"/>
      <c r="T547" s="13"/>
    </row>
    <row r="548" spans="2:20" x14ac:dyDescent="0.35">
      <c r="B548" s="13"/>
      <c r="C548" s="13"/>
      <c r="D548" s="13"/>
      <c r="E548" s="13"/>
      <c r="F548" s="13"/>
      <c r="G548" s="13"/>
      <c r="H548" s="13"/>
      <c r="I548" s="13"/>
      <c r="J548" s="13"/>
      <c r="K548" s="13"/>
      <c r="L548" s="13"/>
      <c r="M548" s="13"/>
      <c r="N548" s="13"/>
      <c r="O548" s="13"/>
      <c r="P548" s="13"/>
      <c r="Q548" s="13"/>
      <c r="R548" s="13"/>
      <c r="S548" s="13"/>
      <c r="T548" s="13"/>
    </row>
    <row r="549" spans="2:20" x14ac:dyDescent="0.35">
      <c r="B549" s="13"/>
      <c r="C549" s="13"/>
      <c r="D549" s="13"/>
      <c r="E549" s="13"/>
      <c r="F549" s="13"/>
      <c r="G549" s="13"/>
      <c r="H549" s="13"/>
      <c r="I549" s="13"/>
      <c r="J549" s="13"/>
      <c r="K549" s="13"/>
      <c r="L549" s="13"/>
      <c r="M549" s="13"/>
      <c r="N549" s="13"/>
      <c r="O549" s="13"/>
      <c r="P549" s="13"/>
      <c r="Q549" s="13"/>
      <c r="R549" s="13"/>
      <c r="S549" s="13"/>
      <c r="T549" s="13"/>
    </row>
    <row r="550" spans="2:20" x14ac:dyDescent="0.35">
      <c r="B550" s="13"/>
      <c r="C550" s="13"/>
      <c r="D550" s="13"/>
      <c r="E550" s="13"/>
      <c r="F550" s="13"/>
      <c r="G550" s="13"/>
      <c r="H550" s="13"/>
      <c r="I550" s="13"/>
      <c r="J550" s="13"/>
      <c r="K550" s="13"/>
      <c r="L550" s="13"/>
      <c r="M550" s="13"/>
      <c r="N550" s="13"/>
      <c r="O550" s="13"/>
      <c r="P550" s="13"/>
      <c r="Q550" s="13"/>
      <c r="R550" s="13"/>
      <c r="S550" s="13"/>
      <c r="T550" s="13"/>
    </row>
    <row r="551" spans="2:20" x14ac:dyDescent="0.35">
      <c r="B551" s="13"/>
      <c r="C551" s="13"/>
      <c r="D551" s="13"/>
      <c r="E551" s="13"/>
      <c r="F551" s="13"/>
      <c r="G551" s="13"/>
      <c r="H551" s="13"/>
      <c r="I551" s="13"/>
      <c r="J551" s="13"/>
      <c r="K551" s="13"/>
      <c r="L551" s="13"/>
      <c r="M551" s="13"/>
      <c r="N551" s="13"/>
      <c r="O551" s="13"/>
      <c r="P551" s="13"/>
      <c r="Q551" s="13"/>
      <c r="R551" s="13"/>
      <c r="S551" s="13"/>
      <c r="T551" s="13"/>
    </row>
    <row r="552" spans="2:20" x14ac:dyDescent="0.35">
      <c r="B552" s="13"/>
      <c r="C552" s="13"/>
      <c r="D552" s="13"/>
      <c r="E552" s="13"/>
      <c r="F552" s="13"/>
      <c r="G552" s="13"/>
      <c r="H552" s="13"/>
      <c r="I552" s="13"/>
      <c r="J552" s="13"/>
      <c r="K552" s="13"/>
      <c r="L552" s="13"/>
      <c r="M552" s="13"/>
      <c r="N552" s="13"/>
      <c r="O552" s="13"/>
      <c r="P552" s="13"/>
      <c r="Q552" s="13"/>
      <c r="R552" s="13"/>
      <c r="S552" s="13"/>
      <c r="T552" s="13"/>
    </row>
    <row r="553" spans="2:20" x14ac:dyDescent="0.35">
      <c r="B553" s="13"/>
      <c r="C553" s="13"/>
      <c r="D553" s="13"/>
      <c r="E553" s="13"/>
      <c r="F553" s="13"/>
      <c r="G553" s="13"/>
      <c r="H553" s="13"/>
      <c r="I553" s="13"/>
      <c r="J553" s="13"/>
      <c r="K553" s="13"/>
      <c r="L553" s="13"/>
      <c r="M553" s="13"/>
      <c r="N553" s="13"/>
      <c r="O553" s="13"/>
      <c r="P553" s="13"/>
      <c r="Q553" s="13"/>
      <c r="R553" s="13"/>
      <c r="S553" s="13"/>
      <c r="T553" s="13"/>
    </row>
    <row r="554" spans="2:20" x14ac:dyDescent="0.35">
      <c r="B554" s="13"/>
      <c r="C554" s="13"/>
      <c r="D554" s="13"/>
      <c r="E554" s="13"/>
      <c r="F554" s="13"/>
      <c r="G554" s="13"/>
      <c r="H554" s="13"/>
      <c r="I554" s="13"/>
      <c r="J554" s="13"/>
      <c r="K554" s="13"/>
      <c r="L554" s="13"/>
      <c r="M554" s="13"/>
      <c r="N554" s="13"/>
      <c r="O554" s="13"/>
      <c r="P554" s="13"/>
      <c r="Q554" s="13"/>
      <c r="R554" s="13"/>
      <c r="S554" s="13"/>
      <c r="T554" s="13"/>
    </row>
    <row r="555" spans="2:20" x14ac:dyDescent="0.35">
      <c r="B555" s="13"/>
      <c r="C555" s="13"/>
      <c r="D555" s="13"/>
      <c r="E555" s="13"/>
      <c r="F555" s="13"/>
      <c r="G555" s="13"/>
      <c r="H555" s="13"/>
      <c r="I555" s="13"/>
      <c r="J555" s="13"/>
      <c r="K555" s="13"/>
      <c r="L555" s="13"/>
      <c r="M555" s="13"/>
      <c r="N555" s="13"/>
      <c r="O555" s="13"/>
      <c r="P555" s="13"/>
      <c r="Q555" s="13"/>
      <c r="R555" s="13"/>
      <c r="S555" s="13"/>
      <c r="T555" s="13"/>
    </row>
    <row r="556" spans="2:20" x14ac:dyDescent="0.35">
      <c r="B556" s="13"/>
      <c r="C556" s="13"/>
      <c r="D556" s="13"/>
      <c r="E556" s="13"/>
      <c r="F556" s="13"/>
      <c r="G556" s="13"/>
      <c r="H556" s="13"/>
      <c r="I556" s="13"/>
      <c r="J556" s="13"/>
      <c r="K556" s="13"/>
      <c r="L556" s="13"/>
      <c r="M556" s="13"/>
      <c r="N556" s="13"/>
      <c r="O556" s="13"/>
      <c r="P556" s="13"/>
      <c r="Q556" s="13"/>
      <c r="R556" s="13"/>
      <c r="S556" s="13"/>
      <c r="T556" s="13"/>
    </row>
    <row r="557" spans="2:20" x14ac:dyDescent="0.35">
      <c r="B557" s="13"/>
      <c r="C557" s="13"/>
      <c r="D557" s="13"/>
      <c r="E557" s="13"/>
      <c r="F557" s="13"/>
      <c r="G557" s="13"/>
      <c r="H557" s="13"/>
      <c r="I557" s="13"/>
      <c r="J557" s="13"/>
      <c r="K557" s="13"/>
      <c r="L557" s="13"/>
      <c r="M557" s="13"/>
      <c r="N557" s="13"/>
      <c r="O557" s="13"/>
      <c r="P557" s="13"/>
      <c r="Q557" s="13"/>
      <c r="R557" s="13"/>
      <c r="S557" s="13"/>
      <c r="T557" s="13"/>
    </row>
    <row r="558" spans="2:20" x14ac:dyDescent="0.35">
      <c r="B558" s="13"/>
      <c r="C558" s="13"/>
      <c r="D558" s="13"/>
      <c r="E558" s="13"/>
      <c r="F558" s="13"/>
      <c r="G558" s="13"/>
      <c r="H558" s="13"/>
      <c r="I558" s="13"/>
      <c r="J558" s="13"/>
      <c r="K558" s="13"/>
      <c r="L558" s="13"/>
      <c r="M558" s="13"/>
      <c r="N558" s="13"/>
      <c r="O558" s="13"/>
      <c r="P558" s="13"/>
      <c r="Q558" s="13"/>
      <c r="R558" s="13"/>
      <c r="S558" s="13"/>
      <c r="T558" s="13"/>
    </row>
    <row r="559" spans="2:20" x14ac:dyDescent="0.35">
      <c r="B559" s="13"/>
      <c r="C559" s="13"/>
      <c r="D559" s="13"/>
      <c r="E559" s="13"/>
      <c r="F559" s="13"/>
      <c r="G559" s="13"/>
      <c r="H559" s="13"/>
      <c r="I559" s="13"/>
      <c r="J559" s="13"/>
      <c r="K559" s="13"/>
      <c r="L559" s="13"/>
      <c r="M559" s="13"/>
      <c r="N559" s="13"/>
      <c r="O559" s="13"/>
      <c r="P559" s="13"/>
      <c r="Q559" s="13"/>
      <c r="R559" s="13"/>
      <c r="S559" s="13"/>
      <c r="T559" s="13"/>
    </row>
    <row r="560" spans="2:20" x14ac:dyDescent="0.35">
      <c r="B560" s="13"/>
      <c r="C560" s="13"/>
      <c r="D560" s="13"/>
      <c r="E560" s="13"/>
      <c r="F560" s="13"/>
      <c r="G560" s="13"/>
      <c r="H560" s="13"/>
      <c r="I560" s="13"/>
      <c r="J560" s="13"/>
      <c r="K560" s="13"/>
      <c r="L560" s="13"/>
      <c r="M560" s="13"/>
      <c r="N560" s="13"/>
      <c r="O560" s="13"/>
      <c r="P560" s="13"/>
      <c r="Q560" s="13"/>
      <c r="R560" s="13"/>
      <c r="S560" s="13"/>
      <c r="T560" s="13"/>
    </row>
    <row r="561" spans="2:20" x14ac:dyDescent="0.35">
      <c r="B561" s="13"/>
      <c r="C561" s="13"/>
      <c r="D561" s="13"/>
      <c r="E561" s="13"/>
      <c r="F561" s="13"/>
      <c r="G561" s="13"/>
      <c r="H561" s="13"/>
      <c r="I561" s="13"/>
      <c r="J561" s="13"/>
      <c r="K561" s="13"/>
      <c r="L561" s="13"/>
      <c r="M561" s="13"/>
      <c r="N561" s="13"/>
      <c r="O561" s="13"/>
      <c r="P561" s="13"/>
      <c r="Q561" s="13"/>
      <c r="R561" s="13"/>
      <c r="S561" s="13"/>
      <c r="T561" s="13"/>
    </row>
    <row r="562" spans="2:20" x14ac:dyDescent="0.35">
      <c r="B562" s="13"/>
      <c r="C562" s="13"/>
      <c r="D562" s="13"/>
      <c r="E562" s="13"/>
      <c r="F562" s="13"/>
      <c r="G562" s="13"/>
      <c r="H562" s="13"/>
      <c r="I562" s="13"/>
      <c r="J562" s="13"/>
      <c r="K562" s="13"/>
      <c r="L562" s="13"/>
      <c r="M562" s="13"/>
      <c r="N562" s="13"/>
      <c r="O562" s="13"/>
      <c r="P562" s="13"/>
      <c r="Q562" s="13"/>
      <c r="R562" s="13"/>
      <c r="S562" s="13"/>
      <c r="T562" s="13"/>
    </row>
    <row r="563" spans="2:20" x14ac:dyDescent="0.35">
      <c r="B563" s="13"/>
      <c r="C563" s="13"/>
      <c r="D563" s="13"/>
      <c r="E563" s="13"/>
      <c r="F563" s="13"/>
      <c r="G563" s="13"/>
      <c r="H563" s="13"/>
      <c r="I563" s="13"/>
      <c r="J563" s="13"/>
      <c r="K563" s="13"/>
      <c r="L563" s="13"/>
      <c r="M563" s="13"/>
      <c r="N563" s="13"/>
      <c r="O563" s="13"/>
      <c r="P563" s="13"/>
      <c r="Q563" s="13"/>
      <c r="R563" s="13"/>
      <c r="S563" s="13"/>
      <c r="T563" s="13"/>
    </row>
    <row r="564" spans="2:20" x14ac:dyDescent="0.35">
      <c r="B564" s="13"/>
      <c r="C564" s="13"/>
      <c r="D564" s="13"/>
      <c r="E564" s="13"/>
      <c r="F564" s="13"/>
      <c r="G564" s="13"/>
      <c r="H564" s="13"/>
      <c r="I564" s="13"/>
      <c r="J564" s="13"/>
      <c r="K564" s="13"/>
      <c r="L564" s="13"/>
      <c r="M564" s="13"/>
      <c r="N564" s="13"/>
      <c r="O564" s="13"/>
      <c r="P564" s="13"/>
      <c r="Q564" s="13"/>
      <c r="R564" s="13"/>
      <c r="S564" s="13"/>
      <c r="T564" s="13"/>
    </row>
    <row r="565" spans="2:20" x14ac:dyDescent="0.35">
      <c r="B565" s="13"/>
      <c r="C565" s="13"/>
      <c r="D565" s="13"/>
      <c r="E565" s="13"/>
      <c r="F565" s="13"/>
      <c r="G565" s="13"/>
      <c r="H565" s="13"/>
      <c r="I565" s="13"/>
      <c r="J565" s="13"/>
      <c r="K565" s="13"/>
      <c r="L565" s="13"/>
      <c r="M565" s="13"/>
      <c r="N565" s="13"/>
      <c r="O565" s="13"/>
      <c r="P565" s="13"/>
      <c r="Q565" s="13"/>
      <c r="R565" s="13"/>
      <c r="S565" s="13"/>
      <c r="T565" s="13"/>
    </row>
    <row r="566" spans="2:20" x14ac:dyDescent="0.35">
      <c r="B566" s="13"/>
      <c r="C566" s="13"/>
      <c r="D566" s="13"/>
      <c r="E566" s="13"/>
      <c r="F566" s="13"/>
      <c r="G566" s="13"/>
      <c r="H566" s="13"/>
      <c r="I566" s="13"/>
      <c r="J566" s="13"/>
      <c r="K566" s="13"/>
      <c r="L566" s="13"/>
      <c r="M566" s="13"/>
      <c r="N566" s="13"/>
      <c r="O566" s="13"/>
      <c r="P566" s="13"/>
      <c r="Q566" s="13"/>
      <c r="R566" s="13"/>
      <c r="S566" s="13"/>
      <c r="T566" s="13"/>
    </row>
    <row r="567" spans="2:20" x14ac:dyDescent="0.35">
      <c r="B567" s="13"/>
      <c r="C567" s="13"/>
      <c r="D567" s="13"/>
      <c r="E567" s="13"/>
      <c r="F567" s="13"/>
      <c r="G567" s="13"/>
      <c r="H567" s="13"/>
      <c r="I567" s="13"/>
      <c r="J567" s="13"/>
      <c r="K567" s="13"/>
      <c r="L567" s="13"/>
      <c r="M567" s="13"/>
      <c r="N567" s="13"/>
      <c r="O567" s="13"/>
      <c r="P567" s="13"/>
      <c r="Q567" s="13"/>
      <c r="R567" s="13"/>
      <c r="S567" s="13"/>
      <c r="T567" s="13"/>
    </row>
    <row r="568" spans="2:20" x14ac:dyDescent="0.35">
      <c r="B568" s="13"/>
      <c r="C568" s="13"/>
      <c r="D568" s="13"/>
      <c r="E568" s="13"/>
      <c r="F568" s="13"/>
      <c r="G568" s="13"/>
      <c r="H568" s="13"/>
      <c r="I568" s="13"/>
      <c r="J568" s="13"/>
      <c r="K568" s="13"/>
      <c r="L568" s="13"/>
      <c r="M568" s="13"/>
      <c r="N568" s="13"/>
      <c r="O568" s="13"/>
      <c r="P568" s="13"/>
      <c r="Q568" s="13"/>
      <c r="R568" s="13"/>
      <c r="S568" s="13"/>
      <c r="T568" s="13"/>
    </row>
    <row r="569" spans="2:20" x14ac:dyDescent="0.35">
      <c r="B569" s="13"/>
      <c r="C569" s="13"/>
      <c r="D569" s="13"/>
      <c r="E569" s="13"/>
      <c r="F569" s="13"/>
      <c r="G569" s="13"/>
      <c r="H569" s="13"/>
      <c r="I569" s="13"/>
      <c r="J569" s="13"/>
      <c r="K569" s="13"/>
      <c r="L569" s="13"/>
      <c r="M569" s="13"/>
      <c r="N569" s="13"/>
      <c r="O569" s="13"/>
      <c r="P569" s="13"/>
      <c r="Q569" s="13"/>
      <c r="R569" s="13"/>
      <c r="S569" s="13"/>
      <c r="T569" s="13"/>
    </row>
    <row r="570" spans="2:20" x14ac:dyDescent="0.35">
      <c r="B570" s="13"/>
      <c r="C570" s="13"/>
      <c r="D570" s="13"/>
      <c r="E570" s="13"/>
      <c r="F570" s="13"/>
      <c r="G570" s="13"/>
      <c r="H570" s="13"/>
      <c r="I570" s="13"/>
      <c r="J570" s="13"/>
      <c r="K570" s="13"/>
      <c r="L570" s="13"/>
      <c r="M570" s="13"/>
      <c r="N570" s="13"/>
      <c r="O570" s="13"/>
      <c r="P570" s="13"/>
      <c r="Q570" s="13"/>
      <c r="R570" s="13"/>
      <c r="S570" s="13"/>
      <c r="T570" s="13"/>
    </row>
    <row r="571" spans="2:20" x14ac:dyDescent="0.35">
      <c r="B571" s="13"/>
      <c r="C571" s="13"/>
      <c r="D571" s="13"/>
      <c r="E571" s="13"/>
      <c r="F571" s="13"/>
      <c r="G571" s="13"/>
      <c r="H571" s="13"/>
      <c r="I571" s="13"/>
      <c r="J571" s="13"/>
      <c r="K571" s="13"/>
      <c r="L571" s="13"/>
      <c r="M571" s="13"/>
      <c r="N571" s="13"/>
      <c r="O571" s="13"/>
      <c r="P571" s="13"/>
      <c r="Q571" s="13"/>
      <c r="R571" s="13"/>
      <c r="S571" s="13"/>
      <c r="T571" s="13"/>
    </row>
    <row r="572" spans="2:20" x14ac:dyDescent="0.35">
      <c r="B572" s="13"/>
      <c r="C572" s="13"/>
      <c r="D572" s="13"/>
      <c r="E572" s="13"/>
      <c r="F572" s="13"/>
      <c r="G572" s="13"/>
      <c r="H572" s="13"/>
      <c r="I572" s="13"/>
      <c r="J572" s="13"/>
      <c r="K572" s="13"/>
      <c r="L572" s="13"/>
      <c r="M572" s="13"/>
      <c r="N572" s="13"/>
      <c r="O572" s="13"/>
      <c r="P572" s="13"/>
      <c r="Q572" s="13"/>
      <c r="R572" s="13"/>
      <c r="S572" s="13"/>
      <c r="T572" s="13"/>
    </row>
    <row r="573" spans="2:20" x14ac:dyDescent="0.35">
      <c r="B573" s="13"/>
      <c r="C573" s="13"/>
      <c r="D573" s="13"/>
      <c r="E573" s="13"/>
      <c r="F573" s="13"/>
      <c r="G573" s="13"/>
      <c r="H573" s="13"/>
      <c r="I573" s="13"/>
      <c r="J573" s="13"/>
      <c r="K573" s="13"/>
      <c r="L573" s="13"/>
      <c r="M573" s="13"/>
      <c r="N573" s="13"/>
      <c r="O573" s="13"/>
      <c r="P573" s="13"/>
      <c r="Q573" s="13"/>
      <c r="R573" s="13"/>
      <c r="S573" s="13"/>
      <c r="T573" s="13"/>
    </row>
    <row r="574" spans="2:20" x14ac:dyDescent="0.35">
      <c r="B574" s="13"/>
      <c r="C574" s="13"/>
      <c r="D574" s="13"/>
      <c r="E574" s="13"/>
      <c r="F574" s="13"/>
      <c r="G574" s="13"/>
      <c r="H574" s="13"/>
      <c r="I574" s="13"/>
      <c r="J574" s="13"/>
      <c r="K574" s="13"/>
      <c r="L574" s="13"/>
      <c r="M574" s="13"/>
      <c r="N574" s="13"/>
      <c r="O574" s="13"/>
      <c r="P574" s="13"/>
      <c r="Q574" s="13"/>
      <c r="R574" s="13"/>
      <c r="S574" s="13"/>
      <c r="T574" s="13"/>
    </row>
    <row r="575" spans="2:20" x14ac:dyDescent="0.35">
      <c r="B575" s="13"/>
      <c r="C575" s="13"/>
      <c r="D575" s="13"/>
      <c r="E575" s="13"/>
      <c r="F575" s="13"/>
      <c r="G575" s="13"/>
      <c r="H575" s="13"/>
      <c r="I575" s="13"/>
      <c r="J575" s="13"/>
      <c r="K575" s="13"/>
      <c r="L575" s="13"/>
      <c r="M575" s="13"/>
      <c r="N575" s="13"/>
      <c r="O575" s="13"/>
      <c r="P575" s="13"/>
      <c r="Q575" s="13"/>
      <c r="R575" s="13"/>
      <c r="S575" s="13"/>
      <c r="T575" s="13"/>
    </row>
    <row r="576" spans="2:20" x14ac:dyDescent="0.35">
      <c r="B576" s="13"/>
      <c r="C576" s="13"/>
      <c r="D576" s="13"/>
      <c r="E576" s="13"/>
      <c r="F576" s="13"/>
      <c r="G576" s="13"/>
      <c r="H576" s="13"/>
      <c r="I576" s="13"/>
      <c r="J576" s="13"/>
      <c r="K576" s="13"/>
      <c r="L576" s="13"/>
      <c r="M576" s="13"/>
      <c r="N576" s="13"/>
      <c r="O576" s="13"/>
      <c r="P576" s="13"/>
      <c r="Q576" s="13"/>
      <c r="R576" s="13"/>
      <c r="S576" s="13"/>
      <c r="T576" s="13"/>
    </row>
    <row r="577" spans="2:20" x14ac:dyDescent="0.35">
      <c r="B577" s="13"/>
      <c r="C577" s="13"/>
      <c r="D577" s="13"/>
      <c r="E577" s="13"/>
      <c r="F577" s="13"/>
      <c r="G577" s="13"/>
      <c r="H577" s="13"/>
      <c r="I577" s="13"/>
      <c r="J577" s="13"/>
      <c r="K577" s="13"/>
      <c r="L577" s="13"/>
      <c r="M577" s="13"/>
      <c r="N577" s="13"/>
      <c r="O577" s="13"/>
      <c r="P577" s="13"/>
      <c r="Q577" s="13"/>
      <c r="R577" s="13"/>
      <c r="S577" s="13"/>
      <c r="T577" s="13"/>
    </row>
    <row r="578" spans="2:20" x14ac:dyDescent="0.35">
      <c r="B578" s="13"/>
      <c r="C578" s="13"/>
      <c r="D578" s="13"/>
      <c r="E578" s="13"/>
      <c r="F578" s="13"/>
      <c r="G578" s="13"/>
      <c r="H578" s="13"/>
      <c r="I578" s="13"/>
      <c r="J578" s="13"/>
      <c r="K578" s="13"/>
      <c r="L578" s="13"/>
      <c r="M578" s="13"/>
      <c r="N578" s="13"/>
      <c r="O578" s="13"/>
      <c r="P578" s="13"/>
      <c r="Q578" s="13"/>
      <c r="R578" s="13"/>
      <c r="S578" s="13"/>
      <c r="T578" s="13"/>
    </row>
    <row r="579" spans="2:20" x14ac:dyDescent="0.35">
      <c r="B579" s="13"/>
      <c r="C579" s="13"/>
      <c r="D579" s="13"/>
      <c r="E579" s="13"/>
      <c r="F579" s="13"/>
      <c r="G579" s="13"/>
      <c r="H579" s="13"/>
      <c r="I579" s="13"/>
      <c r="J579" s="13"/>
      <c r="K579" s="13"/>
      <c r="L579" s="13"/>
      <c r="M579" s="13"/>
      <c r="N579" s="13"/>
      <c r="O579" s="13"/>
      <c r="P579" s="13"/>
      <c r="Q579" s="13"/>
      <c r="R579" s="13"/>
      <c r="S579" s="13"/>
      <c r="T579" s="13"/>
    </row>
    <row r="580" spans="2:20" x14ac:dyDescent="0.35">
      <c r="B580" s="13"/>
      <c r="C580" s="13"/>
      <c r="D580" s="13"/>
      <c r="E580" s="13"/>
      <c r="F580" s="13"/>
      <c r="G580" s="13"/>
      <c r="H580" s="13"/>
      <c r="I580" s="13"/>
      <c r="J580" s="13"/>
      <c r="K580" s="13"/>
      <c r="L580" s="13"/>
      <c r="M580" s="13"/>
      <c r="N580" s="13"/>
      <c r="O580" s="13"/>
      <c r="P580" s="13"/>
      <c r="Q580" s="13"/>
      <c r="R580" s="13"/>
      <c r="S580" s="13"/>
      <c r="T580" s="13"/>
    </row>
    <row r="581" spans="2:20" x14ac:dyDescent="0.35">
      <c r="B581" s="13"/>
      <c r="C581" s="13"/>
      <c r="D581" s="13"/>
      <c r="E581" s="13"/>
      <c r="F581" s="13"/>
      <c r="G581" s="13"/>
      <c r="H581" s="13"/>
      <c r="I581" s="13"/>
      <c r="J581" s="13"/>
      <c r="K581" s="13"/>
      <c r="L581" s="13"/>
      <c r="M581" s="13"/>
      <c r="N581" s="13"/>
      <c r="O581" s="13"/>
      <c r="P581" s="13"/>
      <c r="Q581" s="13"/>
      <c r="R581" s="13"/>
      <c r="S581" s="13"/>
      <c r="T581" s="13"/>
    </row>
    <row r="582" spans="2:20" x14ac:dyDescent="0.35">
      <c r="B582" s="13"/>
      <c r="C582" s="13"/>
      <c r="D582" s="13"/>
      <c r="E582" s="13"/>
      <c r="F582" s="13"/>
      <c r="G582" s="13"/>
      <c r="H582" s="13"/>
      <c r="I582" s="13"/>
      <c r="J582" s="13"/>
      <c r="K582" s="13"/>
      <c r="L582" s="13"/>
      <c r="M582" s="13"/>
      <c r="N582" s="13"/>
      <c r="O582" s="13"/>
      <c r="P582" s="13"/>
      <c r="Q582" s="13"/>
      <c r="R582" s="13"/>
      <c r="S582" s="13"/>
      <c r="T582" s="13"/>
    </row>
    <row r="583" spans="2:20" x14ac:dyDescent="0.35">
      <c r="B583" s="13"/>
      <c r="C583" s="13"/>
      <c r="D583" s="13"/>
      <c r="E583" s="13"/>
      <c r="F583" s="13"/>
      <c r="G583" s="13"/>
      <c r="H583" s="13"/>
      <c r="I583" s="13"/>
      <c r="J583" s="13"/>
      <c r="K583" s="13"/>
      <c r="L583" s="13"/>
      <c r="M583" s="13"/>
      <c r="N583" s="13"/>
      <c r="O583" s="13"/>
      <c r="P583" s="13"/>
      <c r="Q583" s="13"/>
      <c r="R583" s="13"/>
      <c r="S583" s="13"/>
      <c r="T583" s="13"/>
    </row>
    <row r="584" spans="2:20" x14ac:dyDescent="0.35">
      <c r="B584" s="13"/>
      <c r="C584" s="13"/>
      <c r="D584" s="13"/>
      <c r="E584" s="13"/>
      <c r="F584" s="13"/>
      <c r="G584" s="13"/>
      <c r="H584" s="13"/>
      <c r="I584" s="13"/>
      <c r="J584" s="13"/>
      <c r="K584" s="13"/>
      <c r="L584" s="13"/>
      <c r="M584" s="13"/>
      <c r="N584" s="13"/>
      <c r="O584" s="13"/>
      <c r="P584" s="13"/>
      <c r="Q584" s="13"/>
      <c r="R584" s="13"/>
      <c r="S584" s="13"/>
      <c r="T584" s="13"/>
    </row>
    <row r="585" spans="2:20" x14ac:dyDescent="0.35">
      <c r="B585" s="13"/>
      <c r="C585" s="13"/>
      <c r="D585" s="13"/>
      <c r="E585" s="13"/>
      <c r="F585" s="13"/>
      <c r="G585" s="13"/>
      <c r="H585" s="13"/>
      <c r="I585" s="13"/>
      <c r="J585" s="13"/>
      <c r="K585" s="13"/>
      <c r="L585" s="13"/>
      <c r="M585" s="13"/>
      <c r="N585" s="13"/>
      <c r="O585" s="13"/>
      <c r="P585" s="13"/>
      <c r="Q585" s="13"/>
      <c r="R585" s="13"/>
      <c r="S585" s="13"/>
      <c r="T585" s="13"/>
    </row>
    <row r="586" spans="2:20" x14ac:dyDescent="0.35">
      <c r="B586" s="13"/>
      <c r="C586" s="13"/>
      <c r="D586" s="13"/>
      <c r="E586" s="13"/>
      <c r="F586" s="13"/>
      <c r="G586" s="13"/>
      <c r="H586" s="13"/>
      <c r="I586" s="13"/>
      <c r="J586" s="13"/>
      <c r="K586" s="13"/>
      <c r="L586" s="13"/>
      <c r="M586" s="13"/>
      <c r="N586" s="13"/>
      <c r="O586" s="13"/>
      <c r="P586" s="13"/>
      <c r="Q586" s="13"/>
      <c r="R586" s="13"/>
      <c r="S586" s="13"/>
      <c r="T586" s="13"/>
    </row>
    <row r="587" spans="2:20" x14ac:dyDescent="0.35">
      <c r="B587" s="13"/>
      <c r="C587" s="13"/>
      <c r="D587" s="13"/>
      <c r="E587" s="13"/>
      <c r="F587" s="13"/>
      <c r="G587" s="13"/>
      <c r="H587" s="13"/>
      <c r="I587" s="13"/>
      <c r="J587" s="13"/>
      <c r="K587" s="13"/>
      <c r="L587" s="13"/>
      <c r="M587" s="13"/>
      <c r="N587" s="13"/>
      <c r="O587" s="13"/>
      <c r="P587" s="13"/>
      <c r="Q587" s="13"/>
      <c r="R587" s="13"/>
      <c r="S587" s="13"/>
      <c r="T587" s="13"/>
    </row>
    <row r="588" spans="2:20" x14ac:dyDescent="0.35">
      <c r="B588" s="13"/>
      <c r="C588" s="13"/>
      <c r="D588" s="13"/>
      <c r="E588" s="13"/>
      <c r="F588" s="13"/>
      <c r="G588" s="13"/>
      <c r="H588" s="13"/>
      <c r="I588" s="13"/>
      <c r="J588" s="13"/>
      <c r="K588" s="13"/>
      <c r="L588" s="13"/>
      <c r="M588" s="13"/>
      <c r="N588" s="13"/>
      <c r="O588" s="13"/>
      <c r="P588" s="13"/>
      <c r="Q588" s="13"/>
      <c r="R588" s="13"/>
      <c r="S588" s="13"/>
      <c r="T588" s="13"/>
    </row>
    <row r="589" spans="2:20" x14ac:dyDescent="0.35">
      <c r="B589" s="13"/>
      <c r="C589" s="13"/>
      <c r="D589" s="13"/>
      <c r="E589" s="13"/>
      <c r="F589" s="13"/>
      <c r="G589" s="13"/>
      <c r="H589" s="13"/>
      <c r="I589" s="13"/>
      <c r="J589" s="13"/>
      <c r="K589" s="13"/>
      <c r="L589" s="13"/>
      <c r="M589" s="13"/>
      <c r="N589" s="13"/>
      <c r="O589" s="13"/>
      <c r="P589" s="13"/>
      <c r="Q589" s="13"/>
      <c r="R589" s="13"/>
      <c r="S589" s="13"/>
      <c r="T589" s="13"/>
    </row>
    <row r="590" spans="2:20" x14ac:dyDescent="0.35">
      <c r="B590" s="13"/>
      <c r="C590" s="13"/>
      <c r="D590" s="13"/>
      <c r="E590" s="13"/>
      <c r="F590" s="13"/>
      <c r="G590" s="13"/>
      <c r="H590" s="13"/>
      <c r="I590" s="13"/>
      <c r="J590" s="13"/>
      <c r="K590" s="13"/>
      <c r="L590" s="13"/>
      <c r="M590" s="13"/>
      <c r="N590" s="13"/>
      <c r="O590" s="13"/>
      <c r="P590" s="13"/>
      <c r="Q590" s="13"/>
      <c r="R590" s="13"/>
      <c r="S590" s="13"/>
      <c r="T590" s="13"/>
    </row>
    <row r="591" spans="2:20" x14ac:dyDescent="0.35">
      <c r="B591" s="13"/>
      <c r="C591" s="13"/>
      <c r="D591" s="13"/>
      <c r="E591" s="13"/>
      <c r="F591" s="13"/>
      <c r="G591" s="13"/>
      <c r="H591" s="13"/>
      <c r="I591" s="13"/>
      <c r="J591" s="13"/>
      <c r="K591" s="13"/>
      <c r="L591" s="13"/>
      <c r="M591" s="13"/>
      <c r="N591" s="13"/>
      <c r="O591" s="13"/>
      <c r="P591" s="13"/>
      <c r="Q591" s="13"/>
      <c r="R591" s="13"/>
      <c r="S591" s="13"/>
      <c r="T591" s="13"/>
    </row>
    <row r="592" spans="2:20" x14ac:dyDescent="0.35">
      <c r="B592" s="13"/>
      <c r="C592" s="13"/>
      <c r="D592" s="13"/>
      <c r="E592" s="13"/>
      <c r="F592" s="13"/>
      <c r="G592" s="13"/>
      <c r="H592" s="13"/>
      <c r="I592" s="13"/>
      <c r="J592" s="13"/>
      <c r="K592" s="13"/>
      <c r="L592" s="13"/>
      <c r="M592" s="13"/>
      <c r="N592" s="13"/>
      <c r="O592" s="13"/>
      <c r="P592" s="13"/>
      <c r="Q592" s="13"/>
      <c r="R592" s="13"/>
      <c r="S592" s="13"/>
      <c r="T592" s="13"/>
    </row>
    <row r="593" spans="2:20" x14ac:dyDescent="0.35">
      <c r="B593" s="13"/>
      <c r="C593" s="13"/>
      <c r="D593" s="13"/>
      <c r="E593" s="13"/>
      <c r="F593" s="13"/>
      <c r="G593" s="13"/>
      <c r="H593" s="13"/>
      <c r="I593" s="13"/>
      <c r="J593" s="13"/>
      <c r="K593" s="13"/>
      <c r="L593" s="13"/>
      <c r="M593" s="13"/>
      <c r="N593" s="13"/>
      <c r="O593" s="13"/>
      <c r="P593" s="13"/>
      <c r="Q593" s="13"/>
      <c r="R593" s="13"/>
      <c r="S593" s="13"/>
      <c r="T593" s="13"/>
    </row>
    <row r="594" spans="2:20" x14ac:dyDescent="0.35">
      <c r="B594" s="13"/>
      <c r="C594" s="13"/>
      <c r="D594" s="13"/>
      <c r="E594" s="13"/>
      <c r="F594" s="13"/>
      <c r="G594" s="13"/>
      <c r="H594" s="13"/>
      <c r="I594" s="13"/>
      <c r="J594" s="13"/>
      <c r="K594" s="13"/>
      <c r="L594" s="13"/>
      <c r="M594" s="13"/>
      <c r="N594" s="13"/>
      <c r="O594" s="13"/>
      <c r="P594" s="13"/>
      <c r="Q594" s="13"/>
      <c r="R594" s="13"/>
      <c r="S594" s="13"/>
      <c r="T594" s="13"/>
    </row>
    <row r="595" spans="2:20" x14ac:dyDescent="0.35">
      <c r="B595" s="13"/>
      <c r="C595" s="13"/>
      <c r="D595" s="13"/>
      <c r="E595" s="13"/>
      <c r="F595" s="13"/>
      <c r="G595" s="13"/>
      <c r="H595" s="13"/>
      <c r="I595" s="13"/>
      <c r="J595" s="13"/>
      <c r="K595" s="13"/>
      <c r="L595" s="13"/>
      <c r="M595" s="13"/>
      <c r="N595" s="13"/>
      <c r="O595" s="13"/>
      <c r="P595" s="13"/>
      <c r="Q595" s="13"/>
      <c r="R595" s="13"/>
      <c r="S595" s="13"/>
      <c r="T595" s="13"/>
    </row>
    <row r="596" spans="2:20" x14ac:dyDescent="0.35">
      <c r="B596" s="13"/>
      <c r="C596" s="13"/>
      <c r="D596" s="13"/>
      <c r="E596" s="13"/>
      <c r="F596" s="13"/>
      <c r="G596" s="13"/>
      <c r="H596" s="13"/>
      <c r="I596" s="13"/>
      <c r="J596" s="13"/>
      <c r="K596" s="13"/>
      <c r="L596" s="13"/>
      <c r="M596" s="13"/>
      <c r="N596" s="13"/>
      <c r="O596" s="13"/>
      <c r="P596" s="13"/>
      <c r="Q596" s="13"/>
      <c r="R596" s="13"/>
      <c r="S596" s="13"/>
      <c r="T596" s="13"/>
    </row>
    <row r="597" spans="2:20" x14ac:dyDescent="0.35">
      <c r="B597" s="13"/>
      <c r="C597" s="13"/>
      <c r="D597" s="13"/>
      <c r="E597" s="13"/>
      <c r="F597" s="13"/>
      <c r="G597" s="13"/>
      <c r="H597" s="13"/>
      <c r="I597" s="13"/>
      <c r="J597" s="13"/>
      <c r="K597" s="13"/>
      <c r="L597" s="13"/>
      <c r="M597" s="13"/>
      <c r="N597" s="13"/>
      <c r="O597" s="13"/>
      <c r="P597" s="13"/>
      <c r="Q597" s="13"/>
      <c r="R597" s="13"/>
      <c r="S597" s="13"/>
      <c r="T597" s="13"/>
    </row>
    <row r="598" spans="2:20" x14ac:dyDescent="0.35">
      <c r="B598" s="13"/>
      <c r="C598" s="13"/>
      <c r="D598" s="13"/>
      <c r="E598" s="13"/>
      <c r="F598" s="13"/>
      <c r="G598" s="13"/>
      <c r="H598" s="13"/>
      <c r="I598" s="13"/>
      <c r="J598" s="13"/>
      <c r="K598" s="13"/>
      <c r="L598" s="13"/>
      <c r="M598" s="13"/>
      <c r="N598" s="13"/>
      <c r="O598" s="13"/>
      <c r="P598" s="13"/>
      <c r="Q598" s="13"/>
      <c r="R598" s="13"/>
      <c r="S598" s="13"/>
      <c r="T598" s="13"/>
    </row>
    <row r="599" spans="2:20" x14ac:dyDescent="0.35">
      <c r="B599" s="13"/>
      <c r="C599" s="13"/>
      <c r="D599" s="13"/>
      <c r="E599" s="13"/>
      <c r="F599" s="13"/>
      <c r="G599" s="13"/>
      <c r="H599" s="13"/>
      <c r="I599" s="13"/>
      <c r="J599" s="13"/>
      <c r="K599" s="13"/>
      <c r="L599" s="13"/>
      <c r="M599" s="13"/>
      <c r="N599" s="13"/>
      <c r="O599" s="13"/>
      <c r="P599" s="13"/>
      <c r="Q599" s="13"/>
      <c r="R599" s="13"/>
      <c r="S599" s="13"/>
      <c r="T599" s="13"/>
    </row>
    <row r="600" spans="2:20" x14ac:dyDescent="0.35">
      <c r="B600" s="13"/>
      <c r="C600" s="13"/>
      <c r="D600" s="13"/>
      <c r="E600" s="13"/>
      <c r="F600" s="13"/>
      <c r="G600" s="13"/>
      <c r="H600" s="13"/>
      <c r="I600" s="13"/>
      <c r="J600" s="13"/>
      <c r="K600" s="13"/>
      <c r="L600" s="13"/>
      <c r="M600" s="13"/>
      <c r="N600" s="13"/>
      <c r="O600" s="13"/>
      <c r="P600" s="13"/>
      <c r="Q600" s="13"/>
      <c r="R600" s="13"/>
      <c r="S600" s="13"/>
      <c r="T600" s="13"/>
    </row>
    <row r="601" spans="2:20" x14ac:dyDescent="0.35">
      <c r="B601" s="13"/>
      <c r="C601" s="13"/>
      <c r="D601" s="13"/>
      <c r="E601" s="13"/>
      <c r="F601" s="13"/>
      <c r="G601" s="13"/>
      <c r="H601" s="13"/>
      <c r="I601" s="13"/>
      <c r="J601" s="13"/>
      <c r="K601" s="13"/>
      <c r="L601" s="13"/>
      <c r="M601" s="13"/>
      <c r="N601" s="13"/>
      <c r="O601" s="13"/>
      <c r="P601" s="13"/>
      <c r="Q601" s="13"/>
      <c r="R601" s="13"/>
      <c r="S601" s="13"/>
      <c r="T601" s="13"/>
    </row>
    <row r="602" spans="2:20" x14ac:dyDescent="0.35">
      <c r="B602" s="13"/>
      <c r="C602" s="13"/>
      <c r="D602" s="13"/>
      <c r="E602" s="13"/>
      <c r="F602" s="13"/>
      <c r="G602" s="13"/>
      <c r="H602" s="13"/>
      <c r="I602" s="13"/>
      <c r="J602" s="13"/>
      <c r="K602" s="13"/>
      <c r="L602" s="13"/>
      <c r="M602" s="13"/>
      <c r="N602" s="13"/>
      <c r="O602" s="13"/>
      <c r="P602" s="13"/>
      <c r="Q602" s="13"/>
      <c r="R602" s="13"/>
      <c r="S602" s="13"/>
      <c r="T602" s="13"/>
    </row>
    <row r="603" spans="2:20" x14ac:dyDescent="0.35">
      <c r="B603" s="13"/>
      <c r="C603" s="13"/>
      <c r="D603" s="13"/>
      <c r="E603" s="13"/>
      <c r="F603" s="13"/>
      <c r="G603" s="13"/>
      <c r="H603" s="13"/>
      <c r="I603" s="13"/>
      <c r="J603" s="13"/>
      <c r="K603" s="13"/>
      <c r="L603" s="13"/>
      <c r="M603" s="13"/>
      <c r="N603" s="13"/>
      <c r="O603" s="13"/>
      <c r="P603" s="13"/>
      <c r="Q603" s="13"/>
      <c r="R603" s="13"/>
      <c r="S603" s="13"/>
      <c r="T603" s="13"/>
    </row>
    <row r="604" spans="2:20" x14ac:dyDescent="0.35">
      <c r="B604" s="13"/>
      <c r="C604" s="13"/>
      <c r="D604" s="13"/>
      <c r="E604" s="13"/>
      <c r="F604" s="13"/>
      <c r="G604" s="13"/>
      <c r="H604" s="13"/>
      <c r="I604" s="13"/>
      <c r="J604" s="13"/>
      <c r="K604" s="13"/>
      <c r="L604" s="13"/>
      <c r="M604" s="13"/>
      <c r="N604" s="13"/>
      <c r="O604" s="13"/>
      <c r="P604" s="13"/>
      <c r="Q604" s="13"/>
      <c r="R604" s="13"/>
      <c r="S604" s="13"/>
      <c r="T604" s="13"/>
    </row>
    <row r="605" spans="2:20" x14ac:dyDescent="0.35">
      <c r="B605" s="13"/>
      <c r="C605" s="13"/>
      <c r="D605" s="13"/>
      <c r="E605" s="13"/>
      <c r="F605" s="13"/>
      <c r="G605" s="13"/>
      <c r="H605" s="13"/>
      <c r="I605" s="13"/>
      <c r="J605" s="13"/>
      <c r="K605" s="13"/>
      <c r="L605" s="13"/>
      <c r="M605" s="13"/>
      <c r="N605" s="13"/>
      <c r="O605" s="13"/>
      <c r="P605" s="13"/>
      <c r="Q605" s="13"/>
      <c r="R605" s="13"/>
      <c r="S605" s="13"/>
      <c r="T605" s="13"/>
    </row>
    <row r="606" spans="2:20" x14ac:dyDescent="0.35">
      <c r="B606" s="13"/>
      <c r="C606" s="13"/>
      <c r="D606" s="13"/>
      <c r="E606" s="13"/>
      <c r="F606" s="13"/>
      <c r="G606" s="13"/>
      <c r="H606" s="13"/>
      <c r="I606" s="13"/>
      <c r="J606" s="13"/>
      <c r="K606" s="13"/>
      <c r="L606" s="13"/>
      <c r="M606" s="13"/>
      <c r="N606" s="13"/>
      <c r="O606" s="13"/>
      <c r="P606" s="13"/>
      <c r="Q606" s="13"/>
      <c r="R606" s="13"/>
      <c r="S606" s="13"/>
      <c r="T606" s="13"/>
    </row>
    <row r="607" spans="2:20" x14ac:dyDescent="0.35">
      <c r="B607" s="13"/>
      <c r="C607" s="13"/>
      <c r="D607" s="13"/>
      <c r="E607" s="13"/>
      <c r="F607" s="13"/>
      <c r="G607" s="13"/>
      <c r="H607" s="13"/>
      <c r="I607" s="13"/>
      <c r="J607" s="13"/>
      <c r="K607" s="13"/>
      <c r="L607" s="13"/>
      <c r="M607" s="13"/>
      <c r="N607" s="13"/>
      <c r="O607" s="13"/>
      <c r="P607" s="13"/>
      <c r="Q607" s="13"/>
      <c r="R607" s="13"/>
      <c r="S607" s="13"/>
      <c r="T607" s="13"/>
    </row>
    <row r="608" spans="2:20" x14ac:dyDescent="0.35">
      <c r="B608" s="13"/>
      <c r="C608" s="13"/>
      <c r="D608" s="13"/>
      <c r="E608" s="13"/>
      <c r="F608" s="13"/>
      <c r="G608" s="13"/>
      <c r="H608" s="13"/>
      <c r="I608" s="13"/>
      <c r="J608" s="13"/>
      <c r="K608" s="13"/>
      <c r="L608" s="13"/>
      <c r="M608" s="13"/>
      <c r="N608" s="13"/>
      <c r="O608" s="13"/>
      <c r="P608" s="13"/>
      <c r="Q608" s="13"/>
      <c r="R608" s="13"/>
      <c r="S608" s="13"/>
      <c r="T608" s="13"/>
    </row>
    <row r="609" spans="2:20" x14ac:dyDescent="0.35">
      <c r="B609" s="13"/>
      <c r="C609" s="13"/>
      <c r="D609" s="13"/>
      <c r="E609" s="13"/>
      <c r="F609" s="13"/>
      <c r="G609" s="13"/>
      <c r="H609" s="13"/>
      <c r="I609" s="13"/>
      <c r="J609" s="13"/>
      <c r="K609" s="13"/>
      <c r="L609" s="13"/>
      <c r="M609" s="13"/>
      <c r="N609" s="13"/>
      <c r="O609" s="13"/>
      <c r="P609" s="13"/>
      <c r="Q609" s="13"/>
      <c r="R609" s="13"/>
      <c r="S609" s="13"/>
      <c r="T609" s="13"/>
    </row>
    <row r="610" spans="2:20" x14ac:dyDescent="0.35">
      <c r="B610" s="13"/>
      <c r="C610" s="13"/>
      <c r="D610" s="13"/>
      <c r="E610" s="13"/>
      <c r="F610" s="13"/>
      <c r="G610" s="13"/>
      <c r="H610" s="13"/>
      <c r="I610" s="13"/>
      <c r="J610" s="13"/>
      <c r="K610" s="13"/>
      <c r="L610" s="13"/>
      <c r="M610" s="13"/>
      <c r="N610" s="13"/>
      <c r="O610" s="13"/>
      <c r="P610" s="13"/>
      <c r="Q610" s="13"/>
      <c r="R610" s="13"/>
      <c r="S610" s="13"/>
      <c r="T610" s="13"/>
    </row>
    <row r="611" spans="2:20" x14ac:dyDescent="0.35">
      <c r="B611" s="13"/>
      <c r="C611" s="13"/>
      <c r="D611" s="13"/>
      <c r="E611" s="13"/>
      <c r="F611" s="13"/>
      <c r="G611" s="13"/>
      <c r="H611" s="13"/>
      <c r="I611" s="13"/>
      <c r="J611" s="13"/>
      <c r="K611" s="13"/>
      <c r="L611" s="13"/>
      <c r="M611" s="13"/>
      <c r="N611" s="13"/>
      <c r="O611" s="13"/>
      <c r="P611" s="13"/>
      <c r="Q611" s="13"/>
      <c r="R611" s="13"/>
      <c r="S611" s="13"/>
      <c r="T611" s="13"/>
    </row>
    <row r="612" spans="2:20" x14ac:dyDescent="0.35">
      <c r="B612" s="13"/>
      <c r="C612" s="13"/>
      <c r="D612" s="13"/>
      <c r="E612" s="13"/>
      <c r="F612" s="13"/>
      <c r="G612" s="13"/>
      <c r="H612" s="13"/>
      <c r="I612" s="13"/>
      <c r="J612" s="13"/>
      <c r="K612" s="13"/>
      <c r="L612" s="13"/>
      <c r="M612" s="13"/>
      <c r="N612" s="13"/>
      <c r="O612" s="13"/>
      <c r="P612" s="13"/>
      <c r="Q612" s="13"/>
      <c r="R612" s="13"/>
      <c r="S612" s="13"/>
      <c r="T612" s="13"/>
    </row>
    <row r="613" spans="2:20" x14ac:dyDescent="0.35">
      <c r="B613" s="13"/>
      <c r="C613" s="13"/>
      <c r="D613" s="13"/>
      <c r="E613" s="13"/>
      <c r="F613" s="13"/>
      <c r="G613" s="13"/>
      <c r="H613" s="13"/>
      <c r="I613" s="13"/>
      <c r="J613" s="13"/>
      <c r="K613" s="13"/>
      <c r="L613" s="13"/>
      <c r="M613" s="13"/>
      <c r="N613" s="13"/>
      <c r="O613" s="13"/>
      <c r="P613" s="13"/>
      <c r="Q613" s="13"/>
      <c r="R613" s="13"/>
      <c r="S613" s="13"/>
      <c r="T613" s="13"/>
    </row>
    <row r="614" spans="2:20" x14ac:dyDescent="0.35">
      <c r="B614" s="13"/>
      <c r="C614" s="13"/>
      <c r="D614" s="13"/>
      <c r="E614" s="13"/>
      <c r="F614" s="13"/>
      <c r="G614" s="13"/>
      <c r="H614" s="13"/>
      <c r="I614" s="13"/>
      <c r="J614" s="13"/>
      <c r="K614" s="13"/>
      <c r="L614" s="13"/>
      <c r="M614" s="13"/>
      <c r="N614" s="13"/>
      <c r="O614" s="13"/>
      <c r="P614" s="13"/>
      <c r="Q614" s="13"/>
      <c r="R614" s="13"/>
      <c r="S614" s="13"/>
      <c r="T614" s="13"/>
    </row>
    <row r="615" spans="2:20" x14ac:dyDescent="0.35">
      <c r="B615" s="13"/>
      <c r="C615" s="13"/>
      <c r="D615" s="13"/>
      <c r="E615" s="13"/>
      <c r="F615" s="13"/>
      <c r="G615" s="13"/>
      <c r="H615" s="13"/>
      <c r="I615" s="13"/>
      <c r="J615" s="13"/>
      <c r="K615" s="13"/>
      <c r="L615" s="13"/>
      <c r="M615" s="13"/>
      <c r="N615" s="13"/>
      <c r="O615" s="13"/>
      <c r="P615" s="13"/>
      <c r="Q615" s="13"/>
      <c r="R615" s="13"/>
      <c r="S615" s="13"/>
      <c r="T615" s="13"/>
    </row>
    <row r="616" spans="2:20" x14ac:dyDescent="0.35">
      <c r="B616" s="13"/>
      <c r="C616" s="13"/>
      <c r="D616" s="13"/>
      <c r="E616" s="13"/>
      <c r="F616" s="13"/>
      <c r="G616" s="13"/>
      <c r="H616" s="13"/>
      <c r="I616" s="13"/>
      <c r="J616" s="13"/>
      <c r="K616" s="13"/>
      <c r="L616" s="13"/>
      <c r="M616" s="13"/>
      <c r="N616" s="13"/>
      <c r="O616" s="13"/>
      <c r="P616" s="13"/>
      <c r="Q616" s="13"/>
      <c r="R616" s="13"/>
      <c r="S616" s="13"/>
      <c r="T616" s="13"/>
    </row>
    <row r="617" spans="2:20" x14ac:dyDescent="0.35">
      <c r="B617" s="13"/>
      <c r="C617" s="13"/>
      <c r="D617" s="13"/>
      <c r="E617" s="13"/>
      <c r="F617" s="13"/>
      <c r="G617" s="13"/>
      <c r="H617" s="13"/>
      <c r="I617" s="13"/>
      <c r="J617" s="13"/>
      <c r="K617" s="13"/>
      <c r="L617" s="13"/>
      <c r="M617" s="13"/>
      <c r="N617" s="13"/>
      <c r="O617" s="13"/>
      <c r="P617" s="13"/>
      <c r="Q617" s="13"/>
      <c r="R617" s="13"/>
      <c r="S617" s="13"/>
      <c r="T617" s="13"/>
    </row>
    <row r="618" spans="2:20" x14ac:dyDescent="0.35">
      <c r="B618" s="13"/>
      <c r="C618" s="13"/>
      <c r="D618" s="13"/>
      <c r="E618" s="13"/>
      <c r="F618" s="13"/>
      <c r="G618" s="13"/>
      <c r="H618" s="13"/>
      <c r="I618" s="13"/>
      <c r="J618" s="13"/>
      <c r="K618" s="13"/>
      <c r="L618" s="13"/>
      <c r="M618" s="13"/>
      <c r="N618" s="13"/>
      <c r="O618" s="13"/>
      <c r="P618" s="13"/>
      <c r="Q618" s="13"/>
      <c r="R618" s="13"/>
      <c r="S618" s="13"/>
      <c r="T618" s="13"/>
    </row>
    <row r="619" spans="2:20" x14ac:dyDescent="0.35">
      <c r="B619" s="13"/>
      <c r="C619" s="13"/>
      <c r="D619" s="13"/>
      <c r="E619" s="13"/>
      <c r="F619" s="13"/>
      <c r="G619" s="13"/>
      <c r="H619" s="13"/>
      <c r="I619" s="13"/>
      <c r="J619" s="13"/>
      <c r="K619" s="13"/>
      <c r="L619" s="13"/>
      <c r="M619" s="13"/>
      <c r="N619" s="13"/>
      <c r="O619" s="13"/>
      <c r="P619" s="13"/>
      <c r="Q619" s="13"/>
      <c r="R619" s="13"/>
      <c r="S619" s="13"/>
      <c r="T619" s="13"/>
    </row>
    <row r="620" spans="2:20" x14ac:dyDescent="0.35">
      <c r="B620" s="13"/>
      <c r="C620" s="13"/>
      <c r="D620" s="13"/>
      <c r="E620" s="13"/>
      <c r="F620" s="13"/>
      <c r="G620" s="13"/>
      <c r="H620" s="13"/>
      <c r="I620" s="13"/>
      <c r="J620" s="13"/>
      <c r="K620" s="13"/>
      <c r="L620" s="13"/>
      <c r="M620" s="13"/>
      <c r="N620" s="13"/>
      <c r="O620" s="13"/>
      <c r="P620" s="13"/>
      <c r="Q620" s="13"/>
      <c r="R620" s="13"/>
      <c r="S620" s="13"/>
      <c r="T620" s="13"/>
    </row>
    <row r="621" spans="2:20" x14ac:dyDescent="0.35">
      <c r="B621" s="13"/>
      <c r="C621" s="13"/>
      <c r="D621" s="13"/>
      <c r="E621" s="13"/>
      <c r="F621" s="13"/>
      <c r="G621" s="13"/>
      <c r="H621" s="13"/>
      <c r="I621" s="13"/>
      <c r="J621" s="13"/>
      <c r="K621" s="13"/>
      <c r="L621" s="13"/>
      <c r="M621" s="13"/>
      <c r="N621" s="13"/>
      <c r="O621" s="13"/>
      <c r="P621" s="13"/>
      <c r="Q621" s="13"/>
      <c r="R621" s="13"/>
      <c r="S621" s="13"/>
      <c r="T621" s="13"/>
    </row>
    <row r="622" spans="2:20" x14ac:dyDescent="0.35">
      <c r="B622" s="13"/>
      <c r="C622" s="13"/>
      <c r="D622" s="13"/>
      <c r="E622" s="13"/>
      <c r="F622" s="13"/>
      <c r="G622" s="13"/>
      <c r="H622" s="13"/>
      <c r="I622" s="13"/>
      <c r="J622" s="13"/>
      <c r="K622" s="13"/>
      <c r="L622" s="13"/>
      <c r="M622" s="13"/>
      <c r="N622" s="13"/>
      <c r="O622" s="13"/>
      <c r="P622" s="13"/>
      <c r="Q622" s="13"/>
      <c r="R622" s="13"/>
      <c r="S622" s="13"/>
      <c r="T622" s="13"/>
    </row>
    <row r="623" spans="2:20" x14ac:dyDescent="0.35">
      <c r="B623" s="13"/>
      <c r="C623" s="13"/>
      <c r="D623" s="13"/>
      <c r="E623" s="13"/>
      <c r="F623" s="13"/>
      <c r="G623" s="13"/>
      <c r="H623" s="13"/>
      <c r="I623" s="13"/>
      <c r="J623" s="13"/>
      <c r="K623" s="13"/>
      <c r="L623" s="13"/>
      <c r="M623" s="13"/>
      <c r="N623" s="13"/>
      <c r="O623" s="13"/>
      <c r="P623" s="13"/>
      <c r="Q623" s="13"/>
      <c r="R623" s="13"/>
      <c r="S623" s="13"/>
      <c r="T623" s="13"/>
    </row>
    <row r="624" spans="2:20" x14ac:dyDescent="0.35">
      <c r="B624" s="13"/>
      <c r="C624" s="13"/>
      <c r="D624" s="13"/>
      <c r="E624" s="13"/>
      <c r="F624" s="13"/>
      <c r="G624" s="13"/>
      <c r="H624" s="13"/>
      <c r="I624" s="13"/>
      <c r="J624" s="13"/>
      <c r="K624" s="13"/>
      <c r="L624" s="13"/>
      <c r="M624" s="13"/>
      <c r="N624" s="13"/>
      <c r="O624" s="13"/>
      <c r="P624" s="13"/>
      <c r="Q624" s="13"/>
      <c r="R624" s="13"/>
      <c r="S624" s="13"/>
      <c r="T624" s="13"/>
    </row>
    <row r="625" spans="2:20" x14ac:dyDescent="0.35">
      <c r="B625" s="13"/>
      <c r="C625" s="13"/>
      <c r="D625" s="13"/>
      <c r="E625" s="13"/>
      <c r="F625" s="13"/>
      <c r="G625" s="13"/>
      <c r="H625" s="13"/>
      <c r="I625" s="13"/>
      <c r="J625" s="13"/>
      <c r="K625" s="13"/>
      <c r="L625" s="13"/>
      <c r="M625" s="13"/>
      <c r="N625" s="13"/>
      <c r="O625" s="13"/>
      <c r="P625" s="13"/>
      <c r="Q625" s="13"/>
      <c r="R625" s="13"/>
      <c r="S625" s="13"/>
      <c r="T625" s="13"/>
    </row>
    <row r="626" spans="2:20" x14ac:dyDescent="0.35">
      <c r="B626" s="13"/>
      <c r="C626" s="13"/>
      <c r="D626" s="13"/>
      <c r="E626" s="13"/>
      <c r="F626" s="13"/>
      <c r="G626" s="13"/>
      <c r="H626" s="13"/>
      <c r="I626" s="13"/>
      <c r="J626" s="13"/>
      <c r="K626" s="13"/>
      <c r="L626" s="13"/>
      <c r="M626" s="13"/>
      <c r="N626" s="13"/>
      <c r="O626" s="13"/>
      <c r="P626" s="13"/>
      <c r="Q626" s="13"/>
      <c r="R626" s="13"/>
      <c r="S626" s="13"/>
      <c r="T626" s="13"/>
    </row>
    <row r="627" spans="2:20" x14ac:dyDescent="0.35">
      <c r="B627" s="13"/>
      <c r="C627" s="13"/>
      <c r="D627" s="13"/>
      <c r="E627" s="13"/>
      <c r="F627" s="13"/>
      <c r="G627" s="13"/>
      <c r="H627" s="13"/>
      <c r="I627" s="13"/>
      <c r="J627" s="13"/>
      <c r="K627" s="13"/>
      <c r="L627" s="13"/>
      <c r="M627" s="13"/>
      <c r="N627" s="13"/>
      <c r="O627" s="13"/>
      <c r="P627" s="13"/>
      <c r="Q627" s="13"/>
      <c r="R627" s="13"/>
      <c r="S627" s="13"/>
      <c r="T627" s="13"/>
    </row>
    <row r="628" spans="2:20" x14ac:dyDescent="0.35">
      <c r="B628" s="13"/>
      <c r="C628" s="13"/>
      <c r="D628" s="13"/>
      <c r="E628" s="13"/>
      <c r="F628" s="13"/>
      <c r="G628" s="13"/>
      <c r="H628" s="13"/>
      <c r="I628" s="13"/>
      <c r="J628" s="13"/>
      <c r="K628" s="13"/>
      <c r="L628" s="13"/>
      <c r="M628" s="13"/>
      <c r="N628" s="13"/>
      <c r="O628" s="13"/>
      <c r="P628" s="13"/>
      <c r="Q628" s="13"/>
      <c r="R628" s="13"/>
      <c r="S628" s="13"/>
      <c r="T628" s="13"/>
    </row>
    <row r="629" spans="2:20" x14ac:dyDescent="0.35">
      <c r="B629" s="13"/>
      <c r="C629" s="13"/>
      <c r="D629" s="13"/>
      <c r="E629" s="13"/>
      <c r="F629" s="13"/>
      <c r="G629" s="13"/>
      <c r="H629" s="13"/>
      <c r="I629" s="13"/>
      <c r="J629" s="13"/>
      <c r="K629" s="13"/>
      <c r="L629" s="13"/>
      <c r="M629" s="13"/>
      <c r="N629" s="13"/>
      <c r="O629" s="13"/>
      <c r="P629" s="13"/>
      <c r="Q629" s="13"/>
      <c r="R629" s="13"/>
      <c r="S629" s="13"/>
      <c r="T629" s="13"/>
    </row>
    <row r="630" spans="2:20" x14ac:dyDescent="0.35">
      <c r="B630" s="13"/>
      <c r="C630" s="13"/>
      <c r="D630" s="13"/>
      <c r="E630" s="13"/>
      <c r="F630" s="13"/>
      <c r="G630" s="13"/>
      <c r="H630" s="13"/>
      <c r="I630" s="13"/>
      <c r="J630" s="13"/>
      <c r="K630" s="13"/>
      <c r="L630" s="13"/>
      <c r="M630" s="13"/>
      <c r="N630" s="13"/>
      <c r="O630" s="13"/>
      <c r="P630" s="13"/>
      <c r="Q630" s="13"/>
      <c r="R630" s="13"/>
      <c r="S630" s="13"/>
      <c r="T630" s="13"/>
    </row>
    <row r="631" spans="2:20" x14ac:dyDescent="0.35">
      <c r="B631" s="13"/>
      <c r="C631" s="13"/>
      <c r="D631" s="13"/>
      <c r="E631" s="13"/>
      <c r="F631" s="13"/>
      <c r="G631" s="13"/>
      <c r="H631" s="13"/>
      <c r="I631" s="13"/>
      <c r="J631" s="13"/>
      <c r="K631" s="13"/>
      <c r="L631" s="13"/>
      <c r="M631" s="13"/>
      <c r="N631" s="13"/>
      <c r="O631" s="13"/>
      <c r="P631" s="13"/>
      <c r="Q631" s="13"/>
      <c r="R631" s="13"/>
      <c r="S631" s="13"/>
      <c r="T631" s="13"/>
    </row>
    <row r="632" spans="2:20" x14ac:dyDescent="0.35">
      <c r="B632" s="13"/>
      <c r="C632" s="13"/>
      <c r="D632" s="13"/>
      <c r="E632" s="13"/>
      <c r="F632" s="13"/>
      <c r="G632" s="13"/>
      <c r="H632" s="13"/>
      <c r="I632" s="13"/>
      <c r="J632" s="13"/>
      <c r="K632" s="13"/>
      <c r="L632" s="13"/>
      <c r="M632" s="13"/>
      <c r="N632" s="13"/>
      <c r="O632" s="13"/>
      <c r="P632" s="13"/>
      <c r="Q632" s="13"/>
      <c r="R632" s="13"/>
      <c r="S632" s="13"/>
      <c r="T632" s="13"/>
    </row>
    <row r="633" spans="2:20" x14ac:dyDescent="0.35">
      <c r="B633" s="13"/>
      <c r="C633" s="13"/>
      <c r="D633" s="13"/>
      <c r="E633" s="13"/>
      <c r="F633" s="13"/>
      <c r="G633" s="13"/>
      <c r="H633" s="13"/>
      <c r="I633" s="13"/>
      <c r="J633" s="13"/>
      <c r="K633" s="13"/>
      <c r="L633" s="13"/>
      <c r="M633" s="13"/>
      <c r="N633" s="13"/>
      <c r="O633" s="13"/>
      <c r="P633" s="13"/>
      <c r="Q633" s="13"/>
      <c r="R633" s="13"/>
      <c r="S633" s="13"/>
      <c r="T633" s="13"/>
    </row>
    <row r="634" spans="2:20" x14ac:dyDescent="0.35">
      <c r="B634" s="13"/>
      <c r="C634" s="13"/>
      <c r="D634" s="13"/>
      <c r="E634" s="13"/>
      <c r="F634" s="13"/>
      <c r="G634" s="13"/>
      <c r="H634" s="13"/>
      <c r="I634" s="13"/>
      <c r="J634" s="13"/>
      <c r="K634" s="13"/>
      <c r="L634" s="13"/>
      <c r="M634" s="13"/>
      <c r="N634" s="13"/>
      <c r="O634" s="13"/>
      <c r="P634" s="13"/>
      <c r="Q634" s="13"/>
      <c r="R634" s="13"/>
      <c r="S634" s="13"/>
      <c r="T634" s="13"/>
    </row>
    <row r="635" spans="2:20" x14ac:dyDescent="0.35">
      <c r="B635" s="13"/>
      <c r="C635" s="13"/>
      <c r="D635" s="13"/>
      <c r="E635" s="13"/>
      <c r="F635" s="13"/>
      <c r="G635" s="13"/>
      <c r="H635" s="13"/>
      <c r="I635" s="13"/>
      <c r="J635" s="13"/>
      <c r="K635" s="13"/>
      <c r="L635" s="13"/>
      <c r="M635" s="13"/>
      <c r="N635" s="13"/>
      <c r="O635" s="13"/>
      <c r="P635" s="13"/>
      <c r="Q635" s="13"/>
      <c r="R635" s="13"/>
      <c r="S635" s="13"/>
      <c r="T635" s="13"/>
    </row>
    <row r="636" spans="2:20" x14ac:dyDescent="0.35">
      <c r="B636" s="13"/>
      <c r="C636" s="13"/>
      <c r="D636" s="13"/>
      <c r="E636" s="13"/>
      <c r="F636" s="13"/>
      <c r="G636" s="13"/>
      <c r="H636" s="13"/>
      <c r="I636" s="13"/>
      <c r="J636" s="13"/>
      <c r="K636" s="13"/>
      <c r="L636" s="13"/>
      <c r="M636" s="13"/>
      <c r="N636" s="13"/>
      <c r="O636" s="13"/>
      <c r="P636" s="13"/>
      <c r="Q636" s="13"/>
      <c r="R636" s="13"/>
      <c r="S636" s="13"/>
      <c r="T636" s="13"/>
    </row>
    <row r="637" spans="2:20" x14ac:dyDescent="0.35">
      <c r="B637" s="13"/>
      <c r="C637" s="13"/>
      <c r="D637" s="13"/>
      <c r="E637" s="13"/>
      <c r="F637" s="13"/>
      <c r="G637" s="13"/>
      <c r="H637" s="13"/>
      <c r="I637" s="13"/>
      <c r="J637" s="13"/>
      <c r="K637" s="13"/>
      <c r="L637" s="13"/>
      <c r="M637" s="13"/>
      <c r="N637" s="13"/>
      <c r="O637" s="13"/>
      <c r="P637" s="13"/>
      <c r="Q637" s="13"/>
      <c r="R637" s="13"/>
      <c r="S637" s="13"/>
      <c r="T637" s="13"/>
    </row>
    <row r="638" spans="2:20" x14ac:dyDescent="0.35">
      <c r="B638" s="13"/>
      <c r="C638" s="13"/>
      <c r="D638" s="13"/>
      <c r="E638" s="13"/>
      <c r="F638" s="13"/>
      <c r="G638" s="13"/>
      <c r="H638" s="13"/>
      <c r="I638" s="13"/>
      <c r="J638" s="13"/>
      <c r="K638" s="13"/>
      <c r="L638" s="13"/>
      <c r="M638" s="13"/>
      <c r="N638" s="13"/>
      <c r="O638" s="13"/>
      <c r="P638" s="13"/>
      <c r="Q638" s="13"/>
      <c r="R638" s="13"/>
      <c r="S638" s="13"/>
      <c r="T638" s="13"/>
    </row>
    <row r="639" spans="2:20" x14ac:dyDescent="0.35">
      <c r="B639" s="13"/>
      <c r="C639" s="13"/>
      <c r="D639" s="13"/>
      <c r="E639" s="13"/>
      <c r="F639" s="13"/>
      <c r="G639" s="13"/>
      <c r="H639" s="13"/>
      <c r="I639" s="13"/>
      <c r="J639" s="13"/>
      <c r="K639" s="13"/>
      <c r="L639" s="13"/>
      <c r="M639" s="13"/>
      <c r="N639" s="13"/>
      <c r="O639" s="13"/>
      <c r="P639" s="13"/>
      <c r="Q639" s="13"/>
      <c r="R639" s="13"/>
      <c r="S639" s="13"/>
      <c r="T639" s="13"/>
    </row>
    <row r="640" spans="2:20" x14ac:dyDescent="0.35">
      <c r="B640" s="13"/>
      <c r="C640" s="13"/>
      <c r="D640" s="13"/>
      <c r="E640" s="13"/>
      <c r="F640" s="13"/>
      <c r="G640" s="13"/>
      <c r="H640" s="13"/>
      <c r="I640" s="13"/>
      <c r="J640" s="13"/>
      <c r="K640" s="13"/>
      <c r="L640" s="13"/>
      <c r="M640" s="13"/>
      <c r="N640" s="13"/>
      <c r="O640" s="13"/>
      <c r="P640" s="13"/>
      <c r="Q640" s="13"/>
      <c r="R640" s="13"/>
      <c r="S640" s="13"/>
      <c r="T640" s="13"/>
    </row>
    <row r="641" spans="2:20" x14ac:dyDescent="0.35">
      <c r="B641" s="13"/>
      <c r="C641" s="13"/>
      <c r="D641" s="13"/>
      <c r="E641" s="13"/>
      <c r="F641" s="13"/>
      <c r="G641" s="13"/>
      <c r="H641" s="13"/>
      <c r="I641" s="13"/>
      <c r="J641" s="13"/>
      <c r="K641" s="13"/>
      <c r="L641" s="13"/>
      <c r="M641" s="13"/>
      <c r="N641" s="13"/>
      <c r="O641" s="13"/>
      <c r="P641" s="13"/>
      <c r="Q641" s="13"/>
      <c r="R641" s="13"/>
      <c r="S641" s="13"/>
      <c r="T641" s="13"/>
    </row>
    <row r="642" spans="2:20" x14ac:dyDescent="0.35">
      <c r="B642" s="13"/>
      <c r="C642" s="13"/>
      <c r="D642" s="13"/>
      <c r="E642" s="13"/>
      <c r="F642" s="13"/>
      <c r="G642" s="13"/>
      <c r="H642" s="13"/>
      <c r="I642" s="13"/>
      <c r="J642" s="13"/>
      <c r="K642" s="13"/>
      <c r="L642" s="13"/>
      <c r="M642" s="13"/>
      <c r="N642" s="13"/>
      <c r="O642" s="13"/>
      <c r="P642" s="13"/>
      <c r="Q642" s="13"/>
      <c r="R642" s="13"/>
      <c r="S642" s="13"/>
      <c r="T642" s="13"/>
    </row>
    <row r="643" spans="2:20" x14ac:dyDescent="0.35">
      <c r="B643" s="13"/>
      <c r="C643" s="13"/>
      <c r="D643" s="13"/>
      <c r="E643" s="13"/>
      <c r="F643" s="13"/>
      <c r="G643" s="13"/>
      <c r="H643" s="13"/>
      <c r="I643" s="13"/>
      <c r="J643" s="13"/>
      <c r="K643" s="13"/>
      <c r="L643" s="13"/>
      <c r="M643" s="13"/>
      <c r="N643" s="13"/>
      <c r="O643" s="13"/>
      <c r="P643" s="13"/>
      <c r="Q643" s="13"/>
      <c r="R643" s="13"/>
      <c r="S643" s="13"/>
      <c r="T643" s="13"/>
    </row>
    <row r="644" spans="2:20" x14ac:dyDescent="0.35">
      <c r="B644" s="13"/>
      <c r="C644" s="13"/>
      <c r="D644" s="13"/>
      <c r="E644" s="13"/>
      <c r="F644" s="13"/>
      <c r="G644" s="13"/>
      <c r="H644" s="13"/>
      <c r="I644" s="13"/>
      <c r="J644" s="13"/>
      <c r="K644" s="13"/>
      <c r="L644" s="13"/>
      <c r="M644" s="13"/>
      <c r="N644" s="13"/>
      <c r="O644" s="13"/>
      <c r="P644" s="13"/>
      <c r="Q644" s="13"/>
      <c r="R644" s="13"/>
      <c r="S644" s="13"/>
      <c r="T644" s="13"/>
    </row>
    <row r="645" spans="2:20" x14ac:dyDescent="0.35">
      <c r="B645" s="13"/>
      <c r="C645" s="13"/>
      <c r="D645" s="13"/>
      <c r="E645" s="13"/>
      <c r="F645" s="13"/>
      <c r="G645" s="13"/>
      <c r="H645" s="13"/>
      <c r="I645" s="13"/>
      <c r="J645" s="13"/>
      <c r="K645" s="13"/>
      <c r="L645" s="13"/>
      <c r="M645" s="13"/>
      <c r="N645" s="13"/>
      <c r="O645" s="13"/>
      <c r="P645" s="13"/>
      <c r="Q645" s="13"/>
      <c r="R645" s="13"/>
      <c r="S645" s="13"/>
      <c r="T645" s="13"/>
    </row>
    <row r="646" spans="2:20" x14ac:dyDescent="0.35">
      <c r="B646" s="13"/>
      <c r="C646" s="13"/>
      <c r="D646" s="13"/>
      <c r="E646" s="13"/>
      <c r="F646" s="13"/>
      <c r="G646" s="13"/>
      <c r="H646" s="13"/>
      <c r="I646" s="13"/>
      <c r="J646" s="13"/>
      <c r="K646" s="13"/>
      <c r="L646" s="13"/>
      <c r="M646" s="13"/>
      <c r="N646" s="13"/>
      <c r="O646" s="13"/>
      <c r="P646" s="13"/>
      <c r="Q646" s="13"/>
      <c r="R646" s="13"/>
      <c r="S646" s="13"/>
      <c r="T646" s="13"/>
    </row>
    <row r="647" spans="2:20" x14ac:dyDescent="0.35">
      <c r="B647" s="13"/>
      <c r="C647" s="13"/>
      <c r="D647" s="13"/>
      <c r="E647" s="13"/>
      <c r="F647" s="13"/>
      <c r="G647" s="13"/>
      <c r="H647" s="13"/>
      <c r="I647" s="13"/>
      <c r="J647" s="13"/>
      <c r="K647" s="13"/>
      <c r="L647" s="13"/>
      <c r="M647" s="13"/>
      <c r="N647" s="13"/>
      <c r="O647" s="13"/>
      <c r="P647" s="13"/>
      <c r="Q647" s="13"/>
      <c r="R647" s="13"/>
      <c r="S647" s="13"/>
      <c r="T647" s="13"/>
    </row>
    <row r="648" spans="2:20" x14ac:dyDescent="0.35">
      <c r="B648" s="13"/>
      <c r="C648" s="13"/>
      <c r="D648" s="13"/>
      <c r="E648" s="13"/>
      <c r="F648" s="13"/>
      <c r="G648" s="13"/>
      <c r="H648" s="13"/>
      <c r="I648" s="13"/>
      <c r="J648" s="13"/>
      <c r="K648" s="13"/>
      <c r="L648" s="13"/>
      <c r="M648" s="13"/>
      <c r="N648" s="13"/>
      <c r="O648" s="13"/>
      <c r="P648" s="13"/>
      <c r="Q648" s="13"/>
      <c r="R648" s="13"/>
      <c r="S648" s="13"/>
      <c r="T648" s="13"/>
    </row>
  </sheetData>
  <autoFilter ref="B1:T22" xr:uid="{00000000-0009-0000-0000-000001000000}">
    <filterColumn colId="5">
      <filters>
        <filter val="African Indigenous Vegetables (AIVs)"/>
      </filters>
    </filterColumn>
  </autoFilter>
  <dataValidations count="9">
    <dataValidation type="list" allowBlank="1" errorTitle="Invalid entry" error="Please choose a value from the dropdown list." sqref="O2:O25" xr:uid="{00000000-0002-0000-0100-000002000000}">
      <formula1>"Current,Needs Update,Outdated,Needs Verification"</formula1>
      <formula2>0</formula2>
    </dataValidation>
    <dataValidation type="list" allowBlank="1" errorTitle="Invalid entry" error="Please choose a value from the dropdown list." sqref="P2:P25" xr:uid="{00000000-0002-0000-0100-000003000000}">
      <formula1>"Verified,Needs Review,Flagged - Inaccurate"</formula1>
      <formula2>0</formula2>
    </dataValidation>
    <dataValidation type="list" allowBlank="1" errorTitle="Invalid entry" error="Please choose a value from the dropdown list." sqref="Q2:Q25" xr:uid="{00000000-0002-0000-0100-000004000000}">
      <formula1>"source_validated,expert_reviewed,pending_validation,not_validated"</formula1>
      <formula2>0</formula2>
    </dataValidation>
    <dataValidation type="list" allowBlank="1" errorTitle="Invalid entry" error="Please choose a value from the dropdown list." sqref="R2:R25" xr:uid="{00000000-0002-0000-0100-000005000000}">
      <formula1>"Low,Medium,High"</formula1>
      <formula2>0</formula2>
    </dataValidation>
    <dataValidation type="list" allowBlank="1" errorTitle="Invalid entry" error="Please choose a value from the dropdown list." sqref="S2:S25" xr:uid="{00000000-0002-0000-0100-000006000000}">
      <formula1>"Ready to Certify,Needs Review,Needs Update,Duplicate,Reject"</formula1>
      <formula2>0</formula2>
    </dataValidation>
    <dataValidation type="list" allowBlank="1" errorTitle="Invalid entry" error="Please choose a value from the dropdown list." sqref="I2:I18" xr:uid="{00000000-0002-0000-0100-000007000000}">
      <formula1>"Production Guide,Protocol / SOP,Factsheet,Advisory Bulletin,Training Manual,Poster / Infographic,Other"</formula1>
      <formula2>0</formula2>
    </dataValidation>
    <dataValidation type="list" allowBlank="1" errorTitle="Invalid entry" error="Please choose a value from the dropdown list." sqref="J2:J18" xr:uid="{00000000-0002-0000-0100-000008000000}">
      <formula1>"Text / Word,PDF,Poster,Audio,Video,Spreadsheet,Other"</formula1>
      <formula2>0</formula2>
    </dataValidation>
    <dataValidation type="list" allowBlank="1" errorTitle="Invalid entry" error="Please choose a value from the dropdown list." sqref="I19:I25 I3" xr:uid="{00000000-0002-0000-0100-000000000000}">
      <formula1>"Production Guide,Protocol / SOP,Factsheet,Advisory Bulletin,Brochure,Training Manual,Poster / Infographic,Video,Other"</formula1>
      <formula2>0</formula2>
    </dataValidation>
    <dataValidation type="list" allowBlank="1" errorTitle="Invalid entry" error="Please choose a value from the dropdown list." sqref="J19:J25 J3" xr:uid="{00000000-0002-0000-0100-000001000000}">
      <formula1>"PDF,Text / Word,Poster,Audio,Video,Spreadsheet,Other"</formula1>
      <formula2>0</formula2>
    </dataValidation>
  </dataValidations>
  <hyperlinks>
    <hyperlink ref="D19" r:id="rId1" xr:uid="{00000000-0004-0000-0100-000000000000}"/>
    <hyperlink ref="D24" r:id="rId2" xr:uid="{00000000-0004-0000-0100-000001000000}"/>
    <hyperlink ref="D2" r:id="rId3" xr:uid="{00000000-0004-0000-0100-000002000000}"/>
  </hyperlinks>
  <pageMargins left="0.75" right="0.75" top="1" bottom="1" header="0.511811023622047" footer="0.511811023622047"/>
  <pageSetup scale="32"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9D9F6-15EC-4059-AA51-9F4AD4B99528}">
  <sheetPr>
    <tabColor rgb="FFC0392B"/>
  </sheetPr>
  <dimension ref="B1:H6057"/>
  <sheetViews>
    <sheetView tabSelected="1" zoomScale="80" zoomScaleNormal="80" workbookViewId="0">
      <selection activeCell="D3" sqref="D3"/>
    </sheetView>
  </sheetViews>
  <sheetFormatPr defaultColWidth="8.54296875" defaultRowHeight="14.5" x14ac:dyDescent="0.35"/>
  <cols>
    <col min="1" max="1" width="2.453125" customWidth="1"/>
    <col min="2" max="2" width="4" style="48" customWidth="1"/>
    <col min="3" max="3" width="28.81640625" customWidth="1"/>
    <col min="4" max="4" width="62" customWidth="1"/>
    <col min="5" max="5" width="10.54296875" customWidth="1"/>
    <col min="6" max="6" width="48" customWidth="1"/>
    <col min="7" max="7" width="26" customWidth="1"/>
    <col min="8" max="8" width="11.26953125" style="13" customWidth="1"/>
  </cols>
  <sheetData>
    <row r="1" spans="2:8" s="41" customFormat="1" ht="21.75" customHeight="1" thickBot="1" x14ac:dyDescent="0.4">
      <c r="B1" s="38" t="s">
        <v>139</v>
      </c>
      <c r="C1" s="38" t="s">
        <v>140</v>
      </c>
      <c r="D1" s="38" t="s">
        <v>141</v>
      </c>
      <c r="E1" s="38" t="s">
        <v>142</v>
      </c>
      <c r="F1" s="38" t="s">
        <v>143</v>
      </c>
      <c r="G1" s="39" t="s">
        <v>144</v>
      </c>
      <c r="H1" s="40" t="s">
        <v>1170</v>
      </c>
    </row>
    <row r="2" spans="2:8" ht="111" customHeight="1" thickBot="1" x14ac:dyDescent="0.4">
      <c r="B2" s="45">
        <v>1</v>
      </c>
      <c r="C2" s="49" t="s">
        <v>1174</v>
      </c>
      <c r="D2" s="50" t="s">
        <v>1175</v>
      </c>
      <c r="E2" s="51" t="s">
        <v>116</v>
      </c>
      <c r="F2" s="50" t="s">
        <v>1176</v>
      </c>
      <c r="G2" s="52" t="s">
        <v>1177</v>
      </c>
      <c r="H2" s="53" t="s">
        <v>1171</v>
      </c>
    </row>
    <row r="3" spans="2:8" ht="142.5" customHeight="1" thickBot="1" x14ac:dyDescent="0.4">
      <c r="B3" s="45">
        <v>2</v>
      </c>
      <c r="C3" s="54" t="s">
        <v>1178</v>
      </c>
      <c r="D3" s="55" t="s">
        <v>1179</v>
      </c>
      <c r="E3" s="51" t="s">
        <v>116</v>
      </c>
      <c r="F3" s="55" t="s">
        <v>1180</v>
      </c>
      <c r="G3" s="56" t="s">
        <v>1181</v>
      </c>
      <c r="H3" s="53" t="s">
        <v>1171</v>
      </c>
    </row>
    <row r="4" spans="2:8" ht="142.5" customHeight="1" thickBot="1" x14ac:dyDescent="0.4">
      <c r="B4" s="45">
        <v>3</v>
      </c>
      <c r="C4" s="54" t="s">
        <v>1182</v>
      </c>
      <c r="D4" s="55" t="s">
        <v>1183</v>
      </c>
      <c r="E4" s="51" t="s">
        <v>116</v>
      </c>
      <c r="F4" s="55" t="s">
        <v>1180</v>
      </c>
      <c r="G4" s="56" t="s">
        <v>1181</v>
      </c>
      <c r="H4" s="53" t="s">
        <v>1171</v>
      </c>
    </row>
    <row r="5" spans="2:8" ht="126.75" customHeight="1" thickBot="1" x14ac:dyDescent="0.4">
      <c r="B5" s="45">
        <v>4</v>
      </c>
      <c r="C5" s="54" t="s">
        <v>1184</v>
      </c>
      <c r="D5" s="55" t="s">
        <v>1185</v>
      </c>
      <c r="E5" s="51" t="s">
        <v>116</v>
      </c>
      <c r="F5" s="55" t="s">
        <v>1186</v>
      </c>
      <c r="G5" s="56" t="s">
        <v>1187</v>
      </c>
      <c r="H5" s="53" t="s">
        <v>1171</v>
      </c>
    </row>
    <row r="6" spans="2:8" ht="128.25" customHeight="1" thickBot="1" x14ac:dyDescent="0.4">
      <c r="B6" s="45">
        <v>5</v>
      </c>
      <c r="C6" s="54" t="s">
        <v>1188</v>
      </c>
      <c r="D6" s="55" t="s">
        <v>1189</v>
      </c>
      <c r="E6" s="51" t="s">
        <v>116</v>
      </c>
      <c r="F6" s="55" t="s">
        <v>1190</v>
      </c>
      <c r="G6" s="56" t="s">
        <v>1191</v>
      </c>
      <c r="H6" s="53" t="s">
        <v>1171</v>
      </c>
    </row>
    <row r="7" spans="2:8" ht="124.5" customHeight="1" thickBot="1" x14ac:dyDescent="0.4">
      <c r="B7" s="45">
        <v>6</v>
      </c>
      <c r="C7" s="54" t="s">
        <v>1192</v>
      </c>
      <c r="D7" s="55" t="s">
        <v>1193</v>
      </c>
      <c r="E7" s="51" t="s">
        <v>116</v>
      </c>
      <c r="F7" s="55" t="s">
        <v>1194</v>
      </c>
      <c r="G7" s="56" t="s">
        <v>1195</v>
      </c>
      <c r="H7" s="53" t="s">
        <v>1171</v>
      </c>
    </row>
    <row r="8" spans="2:8" ht="142.5" customHeight="1" thickBot="1" x14ac:dyDescent="0.4">
      <c r="B8" s="45">
        <v>7</v>
      </c>
      <c r="C8" s="54" t="s">
        <v>1196</v>
      </c>
      <c r="D8" s="55" t="s">
        <v>1197</v>
      </c>
      <c r="E8" s="51" t="s">
        <v>116</v>
      </c>
      <c r="F8" s="55" t="s">
        <v>1198</v>
      </c>
      <c r="G8" s="56" t="s">
        <v>1199</v>
      </c>
      <c r="H8" s="53" t="s">
        <v>1171</v>
      </c>
    </row>
    <row r="9" spans="2:8" ht="79.5" customHeight="1" thickBot="1" x14ac:dyDescent="0.4">
      <c r="B9" s="45">
        <v>8</v>
      </c>
      <c r="C9" s="54" t="s">
        <v>1200</v>
      </c>
      <c r="D9" s="55" t="s">
        <v>1201</v>
      </c>
      <c r="E9" s="51" t="s">
        <v>116</v>
      </c>
      <c r="F9" s="55" t="s">
        <v>1202</v>
      </c>
      <c r="G9" s="56" t="s">
        <v>1203</v>
      </c>
      <c r="H9" s="53" t="s">
        <v>1171</v>
      </c>
    </row>
    <row r="10" spans="2:8" ht="96.75" customHeight="1" thickBot="1" x14ac:dyDescent="0.4">
      <c r="B10" s="45">
        <v>9</v>
      </c>
      <c r="C10" s="54" t="s">
        <v>1204</v>
      </c>
      <c r="D10" s="55" t="s">
        <v>1205</v>
      </c>
      <c r="E10" s="51" t="s">
        <v>116</v>
      </c>
      <c r="F10" s="55" t="s">
        <v>1206</v>
      </c>
      <c r="G10" s="56" t="s">
        <v>1207</v>
      </c>
      <c r="H10" s="53" t="s">
        <v>1171</v>
      </c>
    </row>
    <row r="11" spans="2:8" ht="126.75" customHeight="1" thickBot="1" x14ac:dyDescent="0.4">
      <c r="B11" s="46"/>
      <c r="C11" s="54" t="s">
        <v>1208</v>
      </c>
      <c r="D11" s="55" t="s">
        <v>1209</v>
      </c>
      <c r="E11" s="51" t="s">
        <v>116</v>
      </c>
      <c r="F11" s="55" t="s">
        <v>1210</v>
      </c>
      <c r="G11" s="56" t="s">
        <v>1211</v>
      </c>
      <c r="H11" s="53" t="s">
        <v>1171</v>
      </c>
    </row>
    <row r="12" spans="2:8" ht="111" customHeight="1" thickBot="1" x14ac:dyDescent="0.4">
      <c r="B12" s="46"/>
      <c r="C12" s="54" t="s">
        <v>1212</v>
      </c>
      <c r="D12" s="55" t="s">
        <v>1213</v>
      </c>
      <c r="E12" s="51" t="s">
        <v>116</v>
      </c>
      <c r="F12" s="55" t="s">
        <v>1214</v>
      </c>
      <c r="G12" s="56" t="s">
        <v>1215</v>
      </c>
      <c r="H12" s="53" t="s">
        <v>1171</v>
      </c>
    </row>
    <row r="13" spans="2:8" ht="109.5" customHeight="1" thickBot="1" x14ac:dyDescent="0.4">
      <c r="B13" s="46"/>
      <c r="C13" s="54" t="s">
        <v>1216</v>
      </c>
      <c r="D13" s="55" t="s">
        <v>1217</v>
      </c>
      <c r="E13" s="51" t="s">
        <v>116</v>
      </c>
      <c r="F13" s="55" t="s">
        <v>1218</v>
      </c>
      <c r="G13" s="56" t="s">
        <v>1219</v>
      </c>
      <c r="H13" s="53" t="s">
        <v>1171</v>
      </c>
    </row>
    <row r="14" spans="2:8" ht="79.5" customHeight="1" thickBot="1" x14ac:dyDescent="0.4">
      <c r="B14" s="46"/>
      <c r="C14" s="54" t="s">
        <v>1220</v>
      </c>
      <c r="D14" s="55" t="s">
        <v>1221</v>
      </c>
      <c r="E14" s="51" t="s">
        <v>116</v>
      </c>
      <c r="F14" s="55" t="s">
        <v>1222</v>
      </c>
      <c r="G14" s="56" t="s">
        <v>1223</v>
      </c>
      <c r="H14" s="53" t="s">
        <v>1171</v>
      </c>
    </row>
    <row r="15" spans="2:8" ht="114.75" customHeight="1" thickBot="1" x14ac:dyDescent="0.4">
      <c r="B15" s="46"/>
      <c r="C15" s="54" t="s">
        <v>1224</v>
      </c>
      <c r="D15" s="55" t="s">
        <v>1225</v>
      </c>
      <c r="E15" s="51" t="s">
        <v>116</v>
      </c>
      <c r="F15" s="55" t="s">
        <v>1226</v>
      </c>
      <c r="G15" s="56" t="s">
        <v>1227</v>
      </c>
      <c r="H15" s="53" t="s">
        <v>1171</v>
      </c>
    </row>
    <row r="16" spans="2:8" ht="126.75" customHeight="1" thickBot="1" x14ac:dyDescent="0.4">
      <c r="B16" s="46"/>
      <c r="C16" s="54" t="s">
        <v>1228</v>
      </c>
      <c r="D16" s="55" t="s">
        <v>1229</v>
      </c>
      <c r="E16" s="51" t="s">
        <v>116</v>
      </c>
      <c r="F16" s="55" t="s">
        <v>1230</v>
      </c>
      <c r="G16" s="56" t="s">
        <v>1231</v>
      </c>
      <c r="H16" s="53" t="s">
        <v>1171</v>
      </c>
    </row>
    <row r="17" spans="2:8" ht="111" customHeight="1" thickBot="1" x14ac:dyDescent="0.4">
      <c r="B17" s="46"/>
      <c r="C17" s="54" t="s">
        <v>1232</v>
      </c>
      <c r="D17" s="55" t="s">
        <v>1233</v>
      </c>
      <c r="E17" s="51" t="s">
        <v>116</v>
      </c>
      <c r="F17" s="55" t="s">
        <v>1234</v>
      </c>
      <c r="G17" s="56" t="s">
        <v>1235</v>
      </c>
      <c r="H17" s="53" t="s">
        <v>1171</v>
      </c>
    </row>
    <row r="18" spans="2:8" ht="158.25" customHeight="1" thickBot="1" x14ac:dyDescent="0.4">
      <c r="B18" s="46"/>
      <c r="C18" s="54" t="s">
        <v>2232</v>
      </c>
      <c r="D18" s="55" t="s">
        <v>1236</v>
      </c>
      <c r="E18" s="51" t="s">
        <v>116</v>
      </c>
      <c r="F18" s="55" t="s">
        <v>1237</v>
      </c>
      <c r="G18" s="56" t="s">
        <v>1238</v>
      </c>
      <c r="H18" s="53" t="s">
        <v>1171</v>
      </c>
    </row>
    <row r="19" spans="2:8" ht="160.5" customHeight="1" thickBot="1" x14ac:dyDescent="0.4">
      <c r="B19" s="46"/>
      <c r="C19" s="54" t="s">
        <v>2233</v>
      </c>
      <c r="D19" s="55" t="s">
        <v>1239</v>
      </c>
      <c r="E19" s="51" t="s">
        <v>116</v>
      </c>
      <c r="F19" s="55" t="s">
        <v>1240</v>
      </c>
      <c r="G19" s="56" t="s">
        <v>1241</v>
      </c>
      <c r="H19" s="53" t="s">
        <v>1171</v>
      </c>
    </row>
    <row r="20" spans="2:8" ht="158.25" customHeight="1" thickBot="1" x14ac:dyDescent="0.4">
      <c r="B20" s="46"/>
      <c r="C20" s="54" t="s">
        <v>2234</v>
      </c>
      <c r="D20" s="55" t="s">
        <v>1242</v>
      </c>
      <c r="E20" s="51" t="s">
        <v>116</v>
      </c>
      <c r="F20" s="55" t="s">
        <v>1243</v>
      </c>
      <c r="G20" s="56" t="s">
        <v>1244</v>
      </c>
      <c r="H20" s="53" t="s">
        <v>1171</v>
      </c>
    </row>
    <row r="21" spans="2:8" ht="158.25" customHeight="1" thickBot="1" x14ac:dyDescent="0.4">
      <c r="B21" s="46"/>
      <c r="C21" s="54" t="s">
        <v>1245</v>
      </c>
      <c r="D21" s="55" t="s">
        <v>1246</v>
      </c>
      <c r="E21" s="51" t="s">
        <v>116</v>
      </c>
      <c r="F21" s="55" t="s">
        <v>1247</v>
      </c>
      <c r="G21" s="56" t="s">
        <v>1248</v>
      </c>
      <c r="H21" s="53" t="s">
        <v>1171</v>
      </c>
    </row>
    <row r="22" spans="2:8" ht="158.25" customHeight="1" thickBot="1" x14ac:dyDescent="0.4">
      <c r="B22" s="46"/>
      <c r="C22" s="54" t="s">
        <v>1249</v>
      </c>
      <c r="D22" s="55" t="s">
        <v>2235</v>
      </c>
      <c r="E22" s="51" t="s">
        <v>116</v>
      </c>
      <c r="F22" s="55" t="s">
        <v>1250</v>
      </c>
      <c r="G22" s="56" t="s">
        <v>1251</v>
      </c>
      <c r="H22" s="53" t="s">
        <v>1171</v>
      </c>
    </row>
    <row r="23" spans="2:8" ht="111" customHeight="1" thickBot="1" x14ac:dyDescent="0.4">
      <c r="B23" s="46"/>
      <c r="C23" s="54" t="s">
        <v>1252</v>
      </c>
      <c r="D23" s="55" t="s">
        <v>1253</v>
      </c>
      <c r="E23" s="51" t="s">
        <v>116</v>
      </c>
      <c r="F23" s="55" t="s">
        <v>1254</v>
      </c>
      <c r="G23" s="56" t="s">
        <v>1255</v>
      </c>
      <c r="H23" s="53" t="s">
        <v>1171</v>
      </c>
    </row>
    <row r="24" spans="2:8" ht="189.75" customHeight="1" thickBot="1" x14ac:dyDescent="0.4">
      <c r="B24" s="46"/>
      <c r="C24" s="54" t="s">
        <v>1256</v>
      </c>
      <c r="D24" s="55" t="s">
        <v>1257</v>
      </c>
      <c r="E24" s="51" t="s">
        <v>116</v>
      </c>
      <c r="F24" s="55" t="s">
        <v>1258</v>
      </c>
      <c r="G24" s="56" t="s">
        <v>1259</v>
      </c>
      <c r="H24" s="53" t="s">
        <v>1171</v>
      </c>
    </row>
    <row r="25" spans="2:8" ht="158.25" customHeight="1" thickBot="1" x14ac:dyDescent="0.4">
      <c r="B25" s="46"/>
      <c r="C25" s="54" t="s">
        <v>1260</v>
      </c>
      <c r="D25" s="55" t="s">
        <v>1261</v>
      </c>
      <c r="E25" s="51" t="s">
        <v>116</v>
      </c>
      <c r="F25" s="55" t="s">
        <v>1262</v>
      </c>
      <c r="G25" s="56" t="s">
        <v>1263</v>
      </c>
      <c r="H25" s="53" t="s">
        <v>1171</v>
      </c>
    </row>
    <row r="26" spans="2:8" ht="158.25" customHeight="1" thickBot="1" x14ac:dyDescent="0.4">
      <c r="B26" s="46"/>
      <c r="C26" s="54" t="s">
        <v>1264</v>
      </c>
      <c r="D26" s="55" t="s">
        <v>1265</v>
      </c>
      <c r="E26" s="51" t="s">
        <v>116</v>
      </c>
      <c r="F26" s="55" t="s">
        <v>1266</v>
      </c>
      <c r="G26" s="56" t="s">
        <v>1267</v>
      </c>
      <c r="H26" s="53" t="s">
        <v>1171</v>
      </c>
    </row>
    <row r="27" spans="2:8" ht="158.25" customHeight="1" thickBot="1" x14ac:dyDescent="0.4">
      <c r="B27" s="46"/>
      <c r="C27" s="54" t="s">
        <v>1268</v>
      </c>
      <c r="D27" s="55" t="s">
        <v>1269</v>
      </c>
      <c r="E27" s="51" t="s">
        <v>116</v>
      </c>
      <c r="F27" s="55" t="s">
        <v>1266</v>
      </c>
      <c r="G27" s="56" t="s">
        <v>1270</v>
      </c>
      <c r="H27" s="53" t="s">
        <v>1171</v>
      </c>
    </row>
    <row r="28" spans="2:8" ht="189.75" customHeight="1" thickBot="1" x14ac:dyDescent="0.4">
      <c r="B28" s="46"/>
      <c r="C28" s="54" t="s">
        <v>1271</v>
      </c>
      <c r="D28" s="55" t="s">
        <v>1272</v>
      </c>
      <c r="E28" s="51" t="s">
        <v>116</v>
      </c>
      <c r="F28" s="55" t="s">
        <v>1273</v>
      </c>
      <c r="G28" s="56" t="s">
        <v>1274</v>
      </c>
      <c r="H28" s="53" t="s">
        <v>1171</v>
      </c>
    </row>
    <row r="29" spans="2:8" ht="205.5" customHeight="1" thickBot="1" x14ac:dyDescent="0.4">
      <c r="B29" s="46"/>
      <c r="C29" s="54" t="s">
        <v>1275</v>
      </c>
      <c r="D29" s="55" t="s">
        <v>1276</v>
      </c>
      <c r="E29" s="51" t="s">
        <v>116</v>
      </c>
      <c r="F29" s="55" t="s">
        <v>1277</v>
      </c>
      <c r="G29" s="56" t="s">
        <v>1278</v>
      </c>
      <c r="H29" s="53" t="s">
        <v>1171</v>
      </c>
    </row>
    <row r="30" spans="2:8" ht="142.5" customHeight="1" thickBot="1" x14ac:dyDescent="0.4">
      <c r="B30" s="46"/>
      <c r="C30" s="54" t="s">
        <v>1279</v>
      </c>
      <c r="D30" s="55" t="s">
        <v>1280</v>
      </c>
      <c r="E30" s="51" t="s">
        <v>116</v>
      </c>
      <c r="F30" s="55" t="s">
        <v>1281</v>
      </c>
      <c r="G30" s="56" t="s">
        <v>1282</v>
      </c>
      <c r="H30" s="53" t="s">
        <v>1171</v>
      </c>
    </row>
    <row r="31" spans="2:8" ht="174" customHeight="1" thickBot="1" x14ac:dyDescent="0.4">
      <c r="B31" s="46"/>
      <c r="C31" s="54" t="s">
        <v>1283</v>
      </c>
      <c r="D31" s="55" t="s">
        <v>2236</v>
      </c>
      <c r="E31" s="51" t="s">
        <v>116</v>
      </c>
      <c r="F31" s="55" t="s">
        <v>1284</v>
      </c>
      <c r="G31" s="56" t="s">
        <v>1285</v>
      </c>
      <c r="H31" s="53" t="s">
        <v>1171</v>
      </c>
    </row>
    <row r="32" spans="2:8" ht="174" customHeight="1" thickBot="1" x14ac:dyDescent="0.4">
      <c r="B32" s="46"/>
      <c r="C32" s="54" t="s">
        <v>1286</v>
      </c>
      <c r="D32" s="55" t="s">
        <v>1287</v>
      </c>
      <c r="E32" s="51" t="s">
        <v>116</v>
      </c>
      <c r="F32" s="55" t="s">
        <v>1284</v>
      </c>
      <c r="G32" s="56" t="s">
        <v>1288</v>
      </c>
      <c r="H32" s="53" t="s">
        <v>1171</v>
      </c>
    </row>
    <row r="33" spans="2:8" ht="174" customHeight="1" thickBot="1" x14ac:dyDescent="0.4">
      <c r="B33" s="46"/>
      <c r="C33" s="54" t="s">
        <v>1289</v>
      </c>
      <c r="D33" s="55" t="s">
        <v>1290</v>
      </c>
      <c r="E33" s="51" t="s">
        <v>116</v>
      </c>
      <c r="F33" s="55" t="s">
        <v>1291</v>
      </c>
      <c r="G33" s="56" t="s">
        <v>1292</v>
      </c>
      <c r="H33" s="53" t="s">
        <v>1171</v>
      </c>
    </row>
    <row r="34" spans="2:8" ht="158.25" customHeight="1" thickBot="1" x14ac:dyDescent="0.4">
      <c r="B34" s="46"/>
      <c r="C34" s="54" t="s">
        <v>1293</v>
      </c>
      <c r="D34" s="55" t="s">
        <v>1294</v>
      </c>
      <c r="E34" s="51" t="s">
        <v>116</v>
      </c>
      <c r="F34" s="55" t="s">
        <v>1295</v>
      </c>
      <c r="G34" s="56" t="s">
        <v>1296</v>
      </c>
      <c r="H34" s="53" t="s">
        <v>1171</v>
      </c>
    </row>
    <row r="35" spans="2:8" ht="205.5" customHeight="1" thickBot="1" x14ac:dyDescent="0.4">
      <c r="B35" s="46"/>
      <c r="C35" s="54" t="s">
        <v>1297</v>
      </c>
      <c r="D35" s="55" t="s">
        <v>1298</v>
      </c>
      <c r="E35" s="51" t="s">
        <v>116</v>
      </c>
      <c r="F35" s="55" t="s">
        <v>1299</v>
      </c>
      <c r="G35" s="56" t="s">
        <v>1300</v>
      </c>
      <c r="H35" s="53" t="s">
        <v>1171</v>
      </c>
    </row>
    <row r="36" spans="2:8" ht="126.75" customHeight="1" thickBot="1" x14ac:dyDescent="0.4">
      <c r="B36" s="46"/>
      <c r="C36" s="54" t="s">
        <v>1301</v>
      </c>
      <c r="D36" s="55" t="s">
        <v>1302</v>
      </c>
      <c r="E36" s="51" t="s">
        <v>116</v>
      </c>
      <c r="F36" s="55" t="s">
        <v>1303</v>
      </c>
      <c r="G36" s="56" t="s">
        <v>1304</v>
      </c>
      <c r="H36" s="53" t="s">
        <v>1171</v>
      </c>
    </row>
    <row r="37" spans="2:8" ht="205.5" customHeight="1" thickBot="1" x14ac:dyDescent="0.4">
      <c r="B37" s="46"/>
      <c r="C37" s="54" t="s">
        <v>1305</v>
      </c>
      <c r="D37" s="55" t="s">
        <v>1306</v>
      </c>
      <c r="E37" s="51" t="s">
        <v>116</v>
      </c>
      <c r="F37" s="55" t="s">
        <v>1307</v>
      </c>
      <c r="G37" s="56" t="s">
        <v>1308</v>
      </c>
      <c r="H37" s="53" t="s">
        <v>1171</v>
      </c>
    </row>
    <row r="38" spans="2:8" ht="174" customHeight="1" thickBot="1" x14ac:dyDescent="0.4">
      <c r="B38" s="46"/>
      <c r="C38" s="54" t="s">
        <v>1309</v>
      </c>
      <c r="D38" s="55" t="s">
        <v>1310</v>
      </c>
      <c r="E38" s="51" t="s">
        <v>116</v>
      </c>
      <c r="F38" s="55" t="s">
        <v>1311</v>
      </c>
      <c r="G38" s="56" t="s">
        <v>1312</v>
      </c>
      <c r="H38" s="53" t="s">
        <v>1171</v>
      </c>
    </row>
    <row r="39" spans="2:8" ht="158.25" customHeight="1" thickBot="1" x14ac:dyDescent="0.4">
      <c r="B39" s="46"/>
      <c r="C39" s="54" t="s">
        <v>1313</v>
      </c>
      <c r="D39" s="55" t="s">
        <v>1314</v>
      </c>
      <c r="E39" s="51" t="s">
        <v>116</v>
      </c>
      <c r="F39" s="55" t="s">
        <v>1315</v>
      </c>
      <c r="G39" s="56" t="s">
        <v>1316</v>
      </c>
      <c r="H39" s="53" t="s">
        <v>1171</v>
      </c>
    </row>
    <row r="40" spans="2:8" ht="126.75" customHeight="1" thickBot="1" x14ac:dyDescent="0.4">
      <c r="B40" s="46"/>
      <c r="C40" s="54" t="s">
        <v>1317</v>
      </c>
      <c r="D40" s="55" t="s">
        <v>1318</v>
      </c>
      <c r="E40" s="51" t="s">
        <v>116</v>
      </c>
      <c r="F40" s="55" t="s">
        <v>1319</v>
      </c>
      <c r="G40" s="56" t="s">
        <v>1320</v>
      </c>
      <c r="H40" s="53" t="s">
        <v>1171</v>
      </c>
    </row>
    <row r="41" spans="2:8" ht="79.5" customHeight="1" thickBot="1" x14ac:dyDescent="0.4">
      <c r="B41" s="46"/>
      <c r="C41" s="54" t="s">
        <v>1321</v>
      </c>
      <c r="D41" s="55" t="s">
        <v>1322</v>
      </c>
      <c r="E41" s="51" t="s">
        <v>116</v>
      </c>
      <c r="F41" s="55" t="s">
        <v>1323</v>
      </c>
      <c r="G41" s="56" t="s">
        <v>1324</v>
      </c>
      <c r="H41" s="53" t="s">
        <v>1171</v>
      </c>
    </row>
    <row r="42" spans="2:8" ht="63.75" customHeight="1" thickBot="1" x14ac:dyDescent="0.4">
      <c r="B42" s="46"/>
      <c r="C42" s="54" t="s">
        <v>1325</v>
      </c>
      <c r="D42" s="55" t="s">
        <v>1326</v>
      </c>
      <c r="E42" s="51" t="s">
        <v>116</v>
      </c>
      <c r="F42" s="55" t="s">
        <v>1327</v>
      </c>
      <c r="G42" s="56" t="s">
        <v>1328</v>
      </c>
      <c r="H42" s="53" t="s">
        <v>1171</v>
      </c>
    </row>
    <row r="43" spans="2:8" ht="142.5" customHeight="1" thickBot="1" x14ac:dyDescent="0.4">
      <c r="B43" s="46"/>
      <c r="C43" s="54" t="s">
        <v>1329</v>
      </c>
      <c r="D43" s="55" t="s">
        <v>1330</v>
      </c>
      <c r="E43" s="51" t="s">
        <v>116</v>
      </c>
      <c r="F43" s="55" t="s">
        <v>1331</v>
      </c>
      <c r="G43" s="56" t="s">
        <v>1332</v>
      </c>
      <c r="H43" s="53" t="s">
        <v>1171</v>
      </c>
    </row>
    <row r="44" spans="2:8" ht="95.25" customHeight="1" thickBot="1" x14ac:dyDescent="0.4">
      <c r="B44" s="46"/>
      <c r="C44" s="54" t="s">
        <v>1333</v>
      </c>
      <c r="D44" s="55" t="s">
        <v>1334</v>
      </c>
      <c r="E44" s="51" t="s">
        <v>116</v>
      </c>
      <c r="F44" s="55" t="s">
        <v>1335</v>
      </c>
      <c r="G44" s="56" t="s">
        <v>1336</v>
      </c>
      <c r="H44" s="53" t="s">
        <v>1171</v>
      </c>
    </row>
    <row r="45" spans="2:8" ht="95.25" customHeight="1" thickBot="1" x14ac:dyDescent="0.4">
      <c r="B45" s="46"/>
      <c r="C45" s="54" t="s">
        <v>1337</v>
      </c>
      <c r="D45" s="55" t="s">
        <v>1338</v>
      </c>
      <c r="E45" s="51" t="s">
        <v>116</v>
      </c>
      <c r="F45" s="55" t="s">
        <v>1339</v>
      </c>
      <c r="G45" s="56" t="s">
        <v>1340</v>
      </c>
      <c r="H45" s="53" t="s">
        <v>1171</v>
      </c>
    </row>
    <row r="46" spans="2:8" ht="142.5" customHeight="1" thickBot="1" x14ac:dyDescent="0.4">
      <c r="B46" s="46"/>
      <c r="C46" s="54" t="s">
        <v>1341</v>
      </c>
      <c r="D46" s="55" t="s">
        <v>1342</v>
      </c>
      <c r="E46" s="51" t="s">
        <v>116</v>
      </c>
      <c r="F46" s="55" t="s">
        <v>1343</v>
      </c>
      <c r="G46" s="56" t="s">
        <v>1344</v>
      </c>
      <c r="H46" s="53" t="s">
        <v>1171</v>
      </c>
    </row>
    <row r="47" spans="2:8" ht="126.75" customHeight="1" thickBot="1" x14ac:dyDescent="0.4">
      <c r="B47" s="46"/>
      <c r="C47" s="54" t="s">
        <v>1345</v>
      </c>
      <c r="D47" s="55" t="s">
        <v>1346</v>
      </c>
      <c r="E47" s="51" t="s">
        <v>116</v>
      </c>
      <c r="F47" s="55" t="s">
        <v>1347</v>
      </c>
      <c r="G47" s="56" t="s">
        <v>1348</v>
      </c>
      <c r="H47" s="53" t="s">
        <v>1171</v>
      </c>
    </row>
    <row r="48" spans="2:8" ht="126.75" customHeight="1" thickBot="1" x14ac:dyDescent="0.4">
      <c r="B48" s="46"/>
      <c r="C48" s="54" t="s">
        <v>1349</v>
      </c>
      <c r="D48" s="55" t="s">
        <v>1350</v>
      </c>
      <c r="E48" s="51" t="s">
        <v>116</v>
      </c>
      <c r="F48" s="55" t="s">
        <v>1351</v>
      </c>
      <c r="G48" s="56" t="s">
        <v>1352</v>
      </c>
      <c r="H48" s="53" t="s">
        <v>1171</v>
      </c>
    </row>
    <row r="49" spans="2:8" ht="126.75" customHeight="1" thickBot="1" x14ac:dyDescent="0.4">
      <c r="B49" s="46"/>
      <c r="C49" s="54" t="s">
        <v>1353</v>
      </c>
      <c r="D49" s="55" t="s">
        <v>1354</v>
      </c>
      <c r="E49" s="51" t="s">
        <v>116</v>
      </c>
      <c r="F49" s="55" t="s">
        <v>1355</v>
      </c>
      <c r="G49" s="56" t="s">
        <v>1356</v>
      </c>
      <c r="H49" s="53" t="s">
        <v>1171</v>
      </c>
    </row>
    <row r="50" spans="2:8" ht="111" customHeight="1" thickBot="1" x14ac:dyDescent="0.4">
      <c r="B50" s="46"/>
      <c r="C50" s="54" t="s">
        <v>1357</v>
      </c>
      <c r="D50" s="55" t="s">
        <v>1358</v>
      </c>
      <c r="E50" s="51" t="s">
        <v>116</v>
      </c>
      <c r="F50" s="55" t="s">
        <v>1359</v>
      </c>
      <c r="G50" s="56" t="s">
        <v>1360</v>
      </c>
      <c r="H50" s="53" t="s">
        <v>1171</v>
      </c>
    </row>
    <row r="51" spans="2:8" ht="111" customHeight="1" thickBot="1" x14ac:dyDescent="0.4">
      <c r="B51" s="46"/>
      <c r="C51" s="54" t="s">
        <v>1361</v>
      </c>
      <c r="D51" s="55" t="s">
        <v>1362</v>
      </c>
      <c r="E51" s="51" t="s">
        <v>116</v>
      </c>
      <c r="F51" s="55" t="s">
        <v>1363</v>
      </c>
      <c r="G51" s="56" t="s">
        <v>1364</v>
      </c>
      <c r="H51" s="53" t="s">
        <v>1171</v>
      </c>
    </row>
    <row r="52" spans="2:8" ht="111" customHeight="1" thickBot="1" x14ac:dyDescent="0.4">
      <c r="B52" s="46"/>
      <c r="C52" s="54" t="s">
        <v>1365</v>
      </c>
      <c r="D52" s="55" t="s">
        <v>1366</v>
      </c>
      <c r="E52" s="51" t="s">
        <v>116</v>
      </c>
      <c r="F52" s="55" t="s">
        <v>1367</v>
      </c>
      <c r="G52" s="56" t="s">
        <v>1368</v>
      </c>
      <c r="H52" s="53" t="s">
        <v>1171</v>
      </c>
    </row>
    <row r="53" spans="2:8" ht="95.25" customHeight="1" thickBot="1" x14ac:dyDescent="0.4">
      <c r="B53" s="46"/>
      <c r="C53" s="54" t="s">
        <v>1369</v>
      </c>
      <c r="D53" s="55" t="s">
        <v>1370</v>
      </c>
      <c r="E53" s="51" t="s">
        <v>116</v>
      </c>
      <c r="F53" s="55" t="s">
        <v>1371</v>
      </c>
      <c r="G53" s="56" t="s">
        <v>1372</v>
      </c>
      <c r="H53" s="53" t="s">
        <v>1171</v>
      </c>
    </row>
    <row r="54" spans="2:8" ht="79.5" customHeight="1" thickBot="1" x14ac:dyDescent="0.4">
      <c r="B54" s="46"/>
      <c r="C54" s="54" t="s">
        <v>1373</v>
      </c>
      <c r="D54" s="55" t="s">
        <v>1374</v>
      </c>
      <c r="E54" s="51" t="s">
        <v>116</v>
      </c>
      <c r="F54" s="55" t="s">
        <v>1375</v>
      </c>
      <c r="G54" s="56" t="s">
        <v>1376</v>
      </c>
      <c r="H54" s="53" t="s">
        <v>1171</v>
      </c>
    </row>
    <row r="55" spans="2:8" ht="142.5" customHeight="1" thickBot="1" x14ac:dyDescent="0.4">
      <c r="B55" s="46"/>
      <c r="C55" s="54" t="s">
        <v>1377</v>
      </c>
      <c r="D55" s="55" t="s">
        <v>1378</v>
      </c>
      <c r="E55" s="51" t="s">
        <v>116</v>
      </c>
      <c r="F55" s="55" t="s">
        <v>1379</v>
      </c>
      <c r="G55" s="56" t="s">
        <v>1380</v>
      </c>
      <c r="H55" s="53" t="s">
        <v>1171</v>
      </c>
    </row>
    <row r="56" spans="2:8" ht="79.5" customHeight="1" thickBot="1" x14ac:dyDescent="0.4">
      <c r="B56" s="46"/>
      <c r="C56" s="54" t="s">
        <v>1381</v>
      </c>
      <c r="D56" s="55" t="s">
        <v>1382</v>
      </c>
      <c r="E56" s="51" t="s">
        <v>116</v>
      </c>
      <c r="F56" s="55" t="s">
        <v>1383</v>
      </c>
      <c r="G56" s="56" t="s">
        <v>1384</v>
      </c>
      <c r="H56" s="53" t="s">
        <v>1171</v>
      </c>
    </row>
    <row r="57" spans="2:8" ht="63.75" customHeight="1" thickBot="1" x14ac:dyDescent="0.4">
      <c r="B57" s="46"/>
      <c r="C57" s="54" t="s">
        <v>1385</v>
      </c>
      <c r="D57" s="55" t="s">
        <v>1386</v>
      </c>
      <c r="E57" s="51" t="s">
        <v>116</v>
      </c>
      <c r="F57" s="55" t="s">
        <v>1387</v>
      </c>
      <c r="G57" s="56" t="s">
        <v>1388</v>
      </c>
      <c r="H57" s="53" t="s">
        <v>1171</v>
      </c>
    </row>
    <row r="58" spans="2:8" ht="126.75" customHeight="1" thickBot="1" x14ac:dyDescent="0.4">
      <c r="B58" s="46"/>
      <c r="C58" s="54" t="s">
        <v>1389</v>
      </c>
      <c r="D58" s="55" t="s">
        <v>1390</v>
      </c>
      <c r="E58" s="51" t="s">
        <v>116</v>
      </c>
      <c r="F58" s="55" t="s">
        <v>1391</v>
      </c>
      <c r="G58" s="56" t="s">
        <v>1392</v>
      </c>
      <c r="H58" s="53" t="s">
        <v>1171</v>
      </c>
    </row>
    <row r="59" spans="2:8" ht="174" customHeight="1" thickBot="1" x14ac:dyDescent="0.4">
      <c r="B59" s="46"/>
      <c r="C59" s="54" t="s">
        <v>1393</v>
      </c>
      <c r="D59" s="55" t="s">
        <v>1394</v>
      </c>
      <c r="E59" s="51" t="s">
        <v>116</v>
      </c>
      <c r="F59" s="55" t="s">
        <v>1395</v>
      </c>
      <c r="G59" s="56" t="s">
        <v>1396</v>
      </c>
      <c r="H59" s="53" t="s">
        <v>1171</v>
      </c>
    </row>
    <row r="60" spans="2:8" ht="95.25" customHeight="1" thickBot="1" x14ac:dyDescent="0.4">
      <c r="B60" s="46"/>
      <c r="C60" s="54" t="s">
        <v>1397</v>
      </c>
      <c r="D60" s="55" t="s">
        <v>1398</v>
      </c>
      <c r="E60" s="51" t="s">
        <v>116</v>
      </c>
      <c r="F60" s="55" t="s">
        <v>1399</v>
      </c>
      <c r="G60" s="56" t="s">
        <v>1400</v>
      </c>
      <c r="H60" s="53" t="s">
        <v>1171</v>
      </c>
    </row>
    <row r="61" spans="2:8" ht="63.75" customHeight="1" thickBot="1" x14ac:dyDescent="0.4">
      <c r="B61" s="46"/>
      <c r="C61" s="54" t="s">
        <v>1401</v>
      </c>
      <c r="D61" s="55" t="s">
        <v>1402</v>
      </c>
      <c r="E61" s="51" t="s">
        <v>116</v>
      </c>
      <c r="F61" s="55" t="s">
        <v>1403</v>
      </c>
      <c r="G61" s="56" t="s">
        <v>1404</v>
      </c>
      <c r="H61" s="53" t="s">
        <v>1171</v>
      </c>
    </row>
    <row r="62" spans="2:8" ht="63.75" customHeight="1" thickBot="1" x14ac:dyDescent="0.4">
      <c r="B62" s="46"/>
      <c r="C62" s="54" t="s">
        <v>1405</v>
      </c>
      <c r="D62" s="55" t="s">
        <v>1406</v>
      </c>
      <c r="E62" s="51" t="s">
        <v>116</v>
      </c>
      <c r="F62" s="55" t="s">
        <v>1407</v>
      </c>
      <c r="G62" s="56" t="s">
        <v>1408</v>
      </c>
      <c r="H62" s="53" t="s">
        <v>1171</v>
      </c>
    </row>
    <row r="63" spans="2:8" ht="63.75" customHeight="1" thickBot="1" x14ac:dyDescent="0.4">
      <c r="B63" s="46"/>
      <c r="C63" s="54" t="s">
        <v>1409</v>
      </c>
      <c r="D63" s="55" t="s">
        <v>1410</v>
      </c>
      <c r="E63" s="51" t="s">
        <v>116</v>
      </c>
      <c r="F63" s="55" t="s">
        <v>1411</v>
      </c>
      <c r="G63" s="56" t="s">
        <v>1412</v>
      </c>
      <c r="H63" s="53" t="s">
        <v>1171</v>
      </c>
    </row>
    <row r="64" spans="2:8" ht="63.75" customHeight="1" thickBot="1" x14ac:dyDescent="0.4">
      <c r="B64" s="46"/>
      <c r="C64" s="54" t="s">
        <v>1413</v>
      </c>
      <c r="D64" s="55" t="s">
        <v>1414</v>
      </c>
      <c r="E64" s="51" t="s">
        <v>116</v>
      </c>
      <c r="F64" s="55" t="s">
        <v>1411</v>
      </c>
      <c r="G64" s="56" t="s">
        <v>1415</v>
      </c>
      <c r="H64" s="53" t="s">
        <v>1171</v>
      </c>
    </row>
    <row r="65" spans="2:8" ht="63.75" customHeight="1" thickBot="1" x14ac:dyDescent="0.4">
      <c r="B65" s="46"/>
      <c r="C65" s="54" t="s">
        <v>1416</v>
      </c>
      <c r="D65" s="55" t="s">
        <v>1417</v>
      </c>
      <c r="E65" s="51" t="s">
        <v>116</v>
      </c>
      <c r="F65" s="55" t="s">
        <v>1411</v>
      </c>
      <c r="G65" s="56" t="s">
        <v>1418</v>
      </c>
      <c r="H65" s="53" t="s">
        <v>1171</v>
      </c>
    </row>
    <row r="66" spans="2:8" ht="63.75" customHeight="1" thickBot="1" x14ac:dyDescent="0.4">
      <c r="B66" s="46"/>
      <c r="C66" s="54" t="s">
        <v>1419</v>
      </c>
      <c r="D66" s="55" t="s">
        <v>1420</v>
      </c>
      <c r="E66" s="51" t="s">
        <v>116</v>
      </c>
      <c r="F66" s="55" t="s">
        <v>1411</v>
      </c>
      <c r="G66" s="56" t="s">
        <v>1421</v>
      </c>
      <c r="H66" s="53" t="s">
        <v>1171</v>
      </c>
    </row>
    <row r="67" spans="2:8" ht="63.75" customHeight="1" thickBot="1" x14ac:dyDescent="0.4">
      <c r="B67" s="46"/>
      <c r="C67" s="54" t="s">
        <v>1422</v>
      </c>
      <c r="D67" s="55" t="s">
        <v>1423</v>
      </c>
      <c r="E67" s="51" t="s">
        <v>116</v>
      </c>
      <c r="F67" s="55" t="s">
        <v>1411</v>
      </c>
      <c r="G67" s="56" t="s">
        <v>1424</v>
      </c>
      <c r="H67" s="53" t="s">
        <v>1171</v>
      </c>
    </row>
    <row r="68" spans="2:8" ht="79.5" customHeight="1" thickBot="1" x14ac:dyDescent="0.4">
      <c r="B68" s="46"/>
      <c r="C68" s="54" t="s">
        <v>1425</v>
      </c>
      <c r="D68" s="55" t="s">
        <v>1426</v>
      </c>
      <c r="E68" s="51" t="s">
        <v>116</v>
      </c>
      <c r="F68" s="55" t="s">
        <v>1427</v>
      </c>
      <c r="G68" s="56" t="s">
        <v>1428</v>
      </c>
      <c r="H68" s="53" t="s">
        <v>1171</v>
      </c>
    </row>
    <row r="69" spans="2:8" ht="79.5" customHeight="1" thickBot="1" x14ac:dyDescent="0.4">
      <c r="B69" s="46"/>
      <c r="C69" s="54" t="s">
        <v>1429</v>
      </c>
      <c r="D69" s="55" t="s">
        <v>1430</v>
      </c>
      <c r="E69" s="51" t="s">
        <v>116</v>
      </c>
      <c r="F69" s="55" t="s">
        <v>1431</v>
      </c>
      <c r="G69" s="56" t="s">
        <v>1432</v>
      </c>
      <c r="H69" s="53" t="s">
        <v>1171</v>
      </c>
    </row>
    <row r="70" spans="2:8" ht="63.75" customHeight="1" thickBot="1" x14ac:dyDescent="0.4">
      <c r="B70" s="46"/>
      <c r="C70" s="54" t="s">
        <v>1433</v>
      </c>
      <c r="D70" s="55" t="s">
        <v>1434</v>
      </c>
      <c r="E70" s="51" t="s">
        <v>116</v>
      </c>
      <c r="F70" s="55" t="s">
        <v>1435</v>
      </c>
      <c r="G70" s="56" t="s">
        <v>1436</v>
      </c>
      <c r="H70" s="53" t="s">
        <v>1171</v>
      </c>
    </row>
    <row r="71" spans="2:8" ht="95.25" customHeight="1" thickBot="1" x14ac:dyDescent="0.4">
      <c r="B71" s="46"/>
      <c r="C71" s="54" t="s">
        <v>1437</v>
      </c>
      <c r="D71" s="55" t="s">
        <v>1438</v>
      </c>
      <c r="E71" s="51" t="s">
        <v>116</v>
      </c>
      <c r="F71" s="55" t="s">
        <v>1439</v>
      </c>
      <c r="G71" s="56" t="s">
        <v>1440</v>
      </c>
      <c r="H71" s="53" t="s">
        <v>1171</v>
      </c>
    </row>
    <row r="72" spans="2:8" ht="79.5" customHeight="1" thickBot="1" x14ac:dyDescent="0.4">
      <c r="B72" s="46"/>
      <c r="C72" s="54" t="s">
        <v>1441</v>
      </c>
      <c r="D72" s="55" t="s">
        <v>1442</v>
      </c>
      <c r="E72" s="51" t="s">
        <v>116</v>
      </c>
      <c r="F72" s="55" t="s">
        <v>1443</v>
      </c>
      <c r="G72" s="56" t="s">
        <v>1444</v>
      </c>
      <c r="H72" s="53" t="s">
        <v>1171</v>
      </c>
    </row>
    <row r="73" spans="2:8" ht="79.5" customHeight="1" thickBot="1" x14ac:dyDescent="0.4">
      <c r="B73" s="46"/>
      <c r="C73" s="54" t="s">
        <v>1445</v>
      </c>
      <c r="D73" s="55" t="s">
        <v>1446</v>
      </c>
      <c r="E73" s="51" t="s">
        <v>116</v>
      </c>
      <c r="F73" s="55" t="s">
        <v>1447</v>
      </c>
      <c r="G73" s="56" t="s">
        <v>1448</v>
      </c>
      <c r="H73" s="53" t="s">
        <v>1171</v>
      </c>
    </row>
    <row r="74" spans="2:8" ht="79.5" customHeight="1" thickBot="1" x14ac:dyDescent="0.4">
      <c r="B74" s="46"/>
      <c r="C74" s="54" t="s">
        <v>1449</v>
      </c>
      <c r="D74" s="55" t="s">
        <v>1450</v>
      </c>
      <c r="E74" s="51" t="s">
        <v>116</v>
      </c>
      <c r="F74" s="55" t="s">
        <v>1451</v>
      </c>
      <c r="G74" s="56" t="s">
        <v>1452</v>
      </c>
      <c r="H74" s="53" t="s">
        <v>1171</v>
      </c>
    </row>
    <row r="75" spans="2:8" ht="63.75" customHeight="1" thickBot="1" x14ac:dyDescent="0.4">
      <c r="B75" s="46"/>
      <c r="C75" s="54" t="s">
        <v>1453</v>
      </c>
      <c r="D75" s="55" t="s">
        <v>1454</v>
      </c>
      <c r="E75" s="51" t="s">
        <v>116</v>
      </c>
      <c r="F75" s="55" t="s">
        <v>1455</v>
      </c>
      <c r="G75" s="56" t="s">
        <v>1456</v>
      </c>
      <c r="H75" s="53" t="s">
        <v>1171</v>
      </c>
    </row>
    <row r="76" spans="2:8" ht="63.75" customHeight="1" thickBot="1" x14ac:dyDescent="0.4">
      <c r="B76" s="46"/>
      <c r="C76" s="54" t="s">
        <v>1457</v>
      </c>
      <c r="D76" s="55" t="s">
        <v>1458</v>
      </c>
      <c r="E76" s="51" t="s">
        <v>116</v>
      </c>
      <c r="F76" s="55" t="s">
        <v>1459</v>
      </c>
      <c r="G76" s="56" t="s">
        <v>1460</v>
      </c>
      <c r="H76" s="53" t="s">
        <v>1171</v>
      </c>
    </row>
    <row r="77" spans="2:8" ht="79.5" customHeight="1" thickBot="1" x14ac:dyDescent="0.4">
      <c r="B77" s="46"/>
      <c r="C77" s="54" t="s">
        <v>1461</v>
      </c>
      <c r="D77" s="55" t="s">
        <v>1462</v>
      </c>
      <c r="E77" s="51" t="s">
        <v>116</v>
      </c>
      <c r="F77" s="55" t="s">
        <v>1463</v>
      </c>
      <c r="G77" s="56" t="s">
        <v>1464</v>
      </c>
      <c r="H77" s="53" t="s">
        <v>1171</v>
      </c>
    </row>
    <row r="78" spans="2:8" ht="79.5" customHeight="1" thickBot="1" x14ac:dyDescent="0.4">
      <c r="B78" s="46"/>
      <c r="C78" s="54" t="s">
        <v>1465</v>
      </c>
      <c r="D78" s="55" t="s">
        <v>1466</v>
      </c>
      <c r="E78" s="51" t="s">
        <v>116</v>
      </c>
      <c r="F78" s="55" t="s">
        <v>1467</v>
      </c>
      <c r="G78" s="56" t="s">
        <v>1468</v>
      </c>
      <c r="H78" s="53" t="s">
        <v>1171</v>
      </c>
    </row>
    <row r="79" spans="2:8" ht="63.75" customHeight="1" thickBot="1" x14ac:dyDescent="0.4">
      <c r="B79" s="46"/>
      <c r="C79" s="54" t="s">
        <v>1469</v>
      </c>
      <c r="D79" s="55" t="s">
        <v>1470</v>
      </c>
      <c r="E79" s="51" t="s">
        <v>116</v>
      </c>
      <c r="F79" s="55" t="s">
        <v>1471</v>
      </c>
      <c r="G79" s="56" t="s">
        <v>1472</v>
      </c>
      <c r="H79" s="53" t="s">
        <v>1171</v>
      </c>
    </row>
    <row r="80" spans="2:8" ht="111" customHeight="1" thickBot="1" x14ac:dyDescent="0.4">
      <c r="B80" s="46"/>
      <c r="C80" s="54" t="s">
        <v>1473</v>
      </c>
      <c r="D80" s="55" t="s">
        <v>1474</v>
      </c>
      <c r="E80" s="51" t="s">
        <v>116</v>
      </c>
      <c r="F80" s="55" t="s">
        <v>1475</v>
      </c>
      <c r="G80" s="56" t="s">
        <v>1476</v>
      </c>
      <c r="H80" s="53" t="s">
        <v>1171</v>
      </c>
    </row>
    <row r="81" spans="2:8" ht="142.5" customHeight="1" thickBot="1" x14ac:dyDescent="0.4">
      <c r="B81" s="46"/>
      <c r="C81" s="54" t="s">
        <v>1477</v>
      </c>
      <c r="D81" s="55" t="s">
        <v>1478</v>
      </c>
      <c r="E81" s="51" t="s">
        <v>116</v>
      </c>
      <c r="F81" s="55" t="s">
        <v>1479</v>
      </c>
      <c r="G81" s="56" t="s">
        <v>1480</v>
      </c>
      <c r="H81" s="53" t="s">
        <v>1171</v>
      </c>
    </row>
    <row r="82" spans="2:8" ht="79.5" customHeight="1" thickBot="1" x14ac:dyDescent="0.4">
      <c r="B82" s="46"/>
      <c r="C82" s="49" t="s">
        <v>1481</v>
      </c>
      <c r="D82" s="50" t="s">
        <v>1482</v>
      </c>
      <c r="E82" s="51" t="s">
        <v>116</v>
      </c>
      <c r="F82" s="50" t="s">
        <v>1483</v>
      </c>
      <c r="G82" s="52" t="s">
        <v>1484</v>
      </c>
      <c r="H82" s="53" t="s">
        <v>1171</v>
      </c>
    </row>
    <row r="83" spans="2:8" ht="79.5" customHeight="1" thickBot="1" x14ac:dyDescent="0.4">
      <c r="B83" s="46"/>
      <c r="C83" s="54" t="s">
        <v>1485</v>
      </c>
      <c r="D83" s="55" t="s">
        <v>1486</v>
      </c>
      <c r="E83" s="51" t="s">
        <v>116</v>
      </c>
      <c r="F83" s="55" t="s">
        <v>1487</v>
      </c>
      <c r="G83" s="56" t="s">
        <v>1488</v>
      </c>
      <c r="H83" s="53" t="s">
        <v>1171</v>
      </c>
    </row>
    <row r="84" spans="2:8" ht="126.75" customHeight="1" thickBot="1" x14ac:dyDescent="0.4">
      <c r="B84" s="46"/>
      <c r="C84" s="54" t="s">
        <v>1489</v>
      </c>
      <c r="D84" s="55" t="s">
        <v>1490</v>
      </c>
      <c r="E84" s="51" t="s">
        <v>116</v>
      </c>
      <c r="F84" s="55" t="s">
        <v>1491</v>
      </c>
      <c r="G84" s="56" t="s">
        <v>1492</v>
      </c>
      <c r="H84" s="53" t="s">
        <v>1171</v>
      </c>
    </row>
    <row r="85" spans="2:8" ht="111" customHeight="1" thickBot="1" x14ac:dyDescent="0.4">
      <c r="B85" s="46"/>
      <c r="C85" s="54" t="s">
        <v>1493</v>
      </c>
      <c r="D85" s="55" t="s">
        <v>1494</v>
      </c>
      <c r="E85" s="51" t="s">
        <v>116</v>
      </c>
      <c r="F85" s="55" t="s">
        <v>1495</v>
      </c>
      <c r="G85" s="56" t="s">
        <v>1496</v>
      </c>
      <c r="H85" s="53" t="s">
        <v>1171</v>
      </c>
    </row>
    <row r="86" spans="2:8" ht="95.25" customHeight="1" thickBot="1" x14ac:dyDescent="0.4">
      <c r="B86" s="46"/>
      <c r="C86" s="54" t="s">
        <v>1497</v>
      </c>
      <c r="D86" s="55" t="s">
        <v>1498</v>
      </c>
      <c r="E86" s="51" t="s">
        <v>116</v>
      </c>
      <c r="F86" s="55" t="s">
        <v>1194</v>
      </c>
      <c r="G86" s="56" t="s">
        <v>1499</v>
      </c>
      <c r="H86" s="53" t="s">
        <v>1171</v>
      </c>
    </row>
    <row r="87" spans="2:8" ht="126.75" customHeight="1" thickBot="1" x14ac:dyDescent="0.4">
      <c r="B87" s="46"/>
      <c r="C87" s="54" t="s">
        <v>1500</v>
      </c>
      <c r="D87" s="55" t="s">
        <v>1501</v>
      </c>
      <c r="E87" s="51" t="s">
        <v>116</v>
      </c>
      <c r="F87" s="55" t="s">
        <v>1502</v>
      </c>
      <c r="G87" s="56" t="s">
        <v>1503</v>
      </c>
      <c r="H87" s="53" t="s">
        <v>1171</v>
      </c>
    </row>
    <row r="88" spans="2:8" ht="79.5" customHeight="1" thickBot="1" x14ac:dyDescent="0.4">
      <c r="B88" s="46"/>
      <c r="C88" s="54" t="s">
        <v>1504</v>
      </c>
      <c r="D88" s="55" t="s">
        <v>1201</v>
      </c>
      <c r="E88" s="51" t="s">
        <v>116</v>
      </c>
      <c r="F88" s="55" t="s">
        <v>1202</v>
      </c>
      <c r="G88" s="56" t="s">
        <v>1203</v>
      </c>
      <c r="H88" s="53" t="s">
        <v>1171</v>
      </c>
    </row>
    <row r="89" spans="2:8" ht="79.5" customHeight="1" thickBot="1" x14ac:dyDescent="0.4">
      <c r="B89" s="46"/>
      <c r="C89" s="54" t="s">
        <v>1505</v>
      </c>
      <c r="D89" s="55" t="s">
        <v>1506</v>
      </c>
      <c r="E89" s="51" t="s">
        <v>116</v>
      </c>
      <c r="F89" s="55" t="s">
        <v>1206</v>
      </c>
      <c r="G89" s="56" t="s">
        <v>1507</v>
      </c>
      <c r="H89" s="53" t="s">
        <v>1171</v>
      </c>
    </row>
    <row r="90" spans="2:8" ht="126.75" customHeight="1" thickBot="1" x14ac:dyDescent="0.4">
      <c r="B90" s="46"/>
      <c r="C90" s="54" t="s">
        <v>1508</v>
      </c>
      <c r="D90" s="55" t="s">
        <v>1209</v>
      </c>
      <c r="E90" s="51" t="s">
        <v>116</v>
      </c>
      <c r="F90" s="55" t="s">
        <v>1509</v>
      </c>
      <c r="G90" s="56" t="s">
        <v>1211</v>
      </c>
      <c r="H90" s="53" t="s">
        <v>1171</v>
      </c>
    </row>
    <row r="91" spans="2:8" ht="111" customHeight="1" thickBot="1" x14ac:dyDescent="0.4">
      <c r="B91" s="46"/>
      <c r="C91" s="54" t="s">
        <v>1510</v>
      </c>
      <c r="D91" s="55" t="s">
        <v>1213</v>
      </c>
      <c r="E91" s="51" t="s">
        <v>116</v>
      </c>
      <c r="F91" s="55" t="s">
        <v>1214</v>
      </c>
      <c r="G91" s="56" t="s">
        <v>1215</v>
      </c>
      <c r="H91" s="53" t="s">
        <v>1171</v>
      </c>
    </row>
    <row r="92" spans="2:8" ht="111" customHeight="1" thickBot="1" x14ac:dyDescent="0.4">
      <c r="B92" s="46"/>
      <c r="C92" s="54" t="s">
        <v>1511</v>
      </c>
      <c r="D92" s="55" t="s">
        <v>1512</v>
      </c>
      <c r="E92" s="51" t="s">
        <v>116</v>
      </c>
      <c r="F92" s="55" t="s">
        <v>1513</v>
      </c>
      <c r="G92" s="56" t="s">
        <v>1219</v>
      </c>
      <c r="H92" s="53" t="s">
        <v>1171</v>
      </c>
    </row>
    <row r="93" spans="2:8" ht="79.5" customHeight="1" thickBot="1" x14ac:dyDescent="0.4">
      <c r="B93" s="46"/>
      <c r="C93" s="54" t="s">
        <v>1514</v>
      </c>
      <c r="D93" s="55" t="s">
        <v>1221</v>
      </c>
      <c r="E93" s="51" t="s">
        <v>116</v>
      </c>
      <c r="F93" s="55" t="s">
        <v>1222</v>
      </c>
      <c r="G93" s="56" t="s">
        <v>1223</v>
      </c>
      <c r="H93" s="53" t="s">
        <v>1171</v>
      </c>
    </row>
    <row r="94" spans="2:8" ht="111" customHeight="1" thickBot="1" x14ac:dyDescent="0.4">
      <c r="B94" s="46"/>
      <c r="C94" s="54" t="s">
        <v>1515</v>
      </c>
      <c r="D94" s="55" t="s">
        <v>1225</v>
      </c>
      <c r="E94" s="51" t="s">
        <v>116</v>
      </c>
      <c r="F94" s="55" t="s">
        <v>1516</v>
      </c>
      <c r="G94" s="56" t="s">
        <v>1227</v>
      </c>
      <c r="H94" s="53" t="s">
        <v>1171</v>
      </c>
    </row>
    <row r="95" spans="2:8" ht="205.5" customHeight="1" thickBot="1" x14ac:dyDescent="0.4">
      <c r="B95" s="46"/>
      <c r="C95" s="54" t="s">
        <v>1517</v>
      </c>
      <c r="D95" s="55" t="s">
        <v>1518</v>
      </c>
      <c r="E95" s="51" t="s">
        <v>116</v>
      </c>
      <c r="F95" s="55" t="s">
        <v>1519</v>
      </c>
      <c r="G95" s="56" t="s">
        <v>1520</v>
      </c>
      <c r="H95" s="53" t="s">
        <v>1171</v>
      </c>
    </row>
    <row r="96" spans="2:8" ht="158.25" customHeight="1" thickBot="1" x14ac:dyDescent="0.4">
      <c r="B96" s="46"/>
      <c r="C96" s="54" t="s">
        <v>1521</v>
      </c>
      <c r="D96" s="55" t="s">
        <v>1522</v>
      </c>
      <c r="E96" s="51" t="s">
        <v>116</v>
      </c>
      <c r="F96" s="55" t="s">
        <v>1237</v>
      </c>
      <c r="G96" s="56" t="s">
        <v>1523</v>
      </c>
      <c r="H96" s="53" t="s">
        <v>1171</v>
      </c>
    </row>
    <row r="97" spans="2:8" ht="174" customHeight="1" thickBot="1" x14ac:dyDescent="0.4">
      <c r="B97" s="46"/>
      <c r="C97" s="54" t="s">
        <v>1524</v>
      </c>
      <c r="D97" s="55" t="s">
        <v>1525</v>
      </c>
      <c r="E97" s="51" t="s">
        <v>116</v>
      </c>
      <c r="F97" s="55" t="s">
        <v>1526</v>
      </c>
      <c r="G97" s="56" t="s">
        <v>1527</v>
      </c>
      <c r="H97" s="53" t="s">
        <v>1171</v>
      </c>
    </row>
    <row r="98" spans="2:8" ht="142.5" customHeight="1" thickBot="1" x14ac:dyDescent="0.4">
      <c r="B98" s="46"/>
      <c r="C98" s="54" t="s">
        <v>1528</v>
      </c>
      <c r="D98" s="55" t="s">
        <v>1529</v>
      </c>
      <c r="E98" s="51" t="s">
        <v>116</v>
      </c>
      <c r="F98" s="55" t="s">
        <v>1530</v>
      </c>
      <c r="G98" s="56" t="s">
        <v>1531</v>
      </c>
      <c r="H98" s="53" t="s">
        <v>1171</v>
      </c>
    </row>
    <row r="99" spans="2:8" ht="111" customHeight="1" thickBot="1" x14ac:dyDescent="0.4">
      <c r="B99" s="46"/>
      <c r="C99" s="54" t="s">
        <v>1532</v>
      </c>
      <c r="D99" s="55" t="s">
        <v>1533</v>
      </c>
      <c r="E99" s="51" t="s">
        <v>116</v>
      </c>
      <c r="F99" s="55" t="s">
        <v>1534</v>
      </c>
      <c r="G99" s="56" t="s">
        <v>1535</v>
      </c>
      <c r="H99" s="53" t="s">
        <v>1171</v>
      </c>
    </row>
    <row r="100" spans="2:8" ht="189.75" customHeight="1" thickBot="1" x14ac:dyDescent="0.4">
      <c r="B100" s="46"/>
      <c r="C100" s="54" t="s">
        <v>1536</v>
      </c>
      <c r="D100" s="55" t="s">
        <v>1537</v>
      </c>
      <c r="E100" s="51" t="s">
        <v>116</v>
      </c>
      <c r="F100" s="55" t="s">
        <v>1538</v>
      </c>
      <c r="G100" s="56" t="s">
        <v>1539</v>
      </c>
      <c r="H100" s="53" t="s">
        <v>1171</v>
      </c>
    </row>
    <row r="101" spans="2:8" ht="95.25" customHeight="1" thickBot="1" x14ac:dyDescent="0.4">
      <c r="B101" s="46"/>
      <c r="C101" s="54" t="s">
        <v>1540</v>
      </c>
      <c r="D101" s="55" t="s">
        <v>1541</v>
      </c>
      <c r="E101" s="51" t="s">
        <v>116</v>
      </c>
      <c r="F101" s="55" t="s">
        <v>1542</v>
      </c>
      <c r="G101" s="56" t="s">
        <v>1543</v>
      </c>
      <c r="H101" s="53" t="s">
        <v>1171</v>
      </c>
    </row>
    <row r="102" spans="2:8" ht="158.25" customHeight="1" thickBot="1" x14ac:dyDescent="0.4">
      <c r="B102" s="46"/>
      <c r="C102" s="54" t="s">
        <v>1544</v>
      </c>
      <c r="D102" s="55" t="s">
        <v>1314</v>
      </c>
      <c r="E102" s="51" t="s">
        <v>116</v>
      </c>
      <c r="F102" s="55" t="s">
        <v>1545</v>
      </c>
      <c r="G102" s="56" t="s">
        <v>1316</v>
      </c>
      <c r="H102" s="53" t="s">
        <v>1171</v>
      </c>
    </row>
    <row r="103" spans="2:8" ht="126.75" customHeight="1" thickBot="1" x14ac:dyDescent="0.4">
      <c r="B103" s="46"/>
      <c r="C103" s="54" t="s">
        <v>1546</v>
      </c>
      <c r="D103" s="55" t="s">
        <v>1547</v>
      </c>
      <c r="E103" s="51" t="s">
        <v>116</v>
      </c>
      <c r="F103" s="55" t="s">
        <v>1319</v>
      </c>
      <c r="G103" s="56" t="s">
        <v>1320</v>
      </c>
      <c r="H103" s="53" t="s">
        <v>1171</v>
      </c>
    </row>
    <row r="104" spans="2:8" ht="79.5" customHeight="1" thickBot="1" x14ac:dyDescent="0.4">
      <c r="B104" s="46"/>
      <c r="C104" s="54" t="s">
        <v>1548</v>
      </c>
      <c r="D104" s="55" t="s">
        <v>1549</v>
      </c>
      <c r="E104" s="51" t="s">
        <v>116</v>
      </c>
      <c r="F104" s="55" t="s">
        <v>1550</v>
      </c>
      <c r="G104" s="56" t="s">
        <v>1324</v>
      </c>
      <c r="H104" s="53" t="s">
        <v>1171</v>
      </c>
    </row>
    <row r="105" spans="2:8" ht="63.75" customHeight="1" thickBot="1" x14ac:dyDescent="0.4">
      <c r="B105" s="46"/>
      <c r="C105" s="54" t="s">
        <v>1551</v>
      </c>
      <c r="D105" s="55" t="s">
        <v>1552</v>
      </c>
      <c r="E105" s="51" t="s">
        <v>116</v>
      </c>
      <c r="F105" s="55" t="s">
        <v>1327</v>
      </c>
      <c r="G105" s="56" t="s">
        <v>1328</v>
      </c>
      <c r="H105" s="53" t="s">
        <v>1171</v>
      </c>
    </row>
    <row r="106" spans="2:8" ht="142.5" customHeight="1" thickBot="1" x14ac:dyDescent="0.4">
      <c r="B106" s="46"/>
      <c r="C106" s="54" t="s">
        <v>1553</v>
      </c>
      <c r="D106" s="55" t="s">
        <v>1554</v>
      </c>
      <c r="E106" s="51" t="s">
        <v>116</v>
      </c>
      <c r="F106" s="55" t="s">
        <v>1331</v>
      </c>
      <c r="G106" s="56" t="s">
        <v>1332</v>
      </c>
      <c r="H106" s="53" t="s">
        <v>1171</v>
      </c>
    </row>
    <row r="107" spans="2:8" ht="111" customHeight="1" thickBot="1" x14ac:dyDescent="0.4">
      <c r="B107" s="46"/>
      <c r="C107" s="54" t="s">
        <v>1555</v>
      </c>
      <c r="D107" s="55" t="s">
        <v>1556</v>
      </c>
      <c r="E107" s="51" t="s">
        <v>116</v>
      </c>
      <c r="F107" s="55" t="s">
        <v>1557</v>
      </c>
      <c r="G107" s="56" t="s">
        <v>1336</v>
      </c>
      <c r="H107" s="53" t="s">
        <v>1171</v>
      </c>
    </row>
    <row r="108" spans="2:8" ht="95.25" customHeight="1" thickBot="1" x14ac:dyDescent="0.4">
      <c r="B108" s="46"/>
      <c r="C108" s="54" t="s">
        <v>1558</v>
      </c>
      <c r="D108" s="55" t="s">
        <v>1338</v>
      </c>
      <c r="E108" s="51" t="s">
        <v>116</v>
      </c>
      <c r="F108" s="55" t="s">
        <v>1339</v>
      </c>
      <c r="G108" s="56" t="s">
        <v>1340</v>
      </c>
      <c r="H108" s="53" t="s">
        <v>1171</v>
      </c>
    </row>
    <row r="109" spans="2:8" ht="142.5" customHeight="1" thickBot="1" x14ac:dyDescent="0.4">
      <c r="B109" s="46"/>
      <c r="C109" s="54" t="s">
        <v>1559</v>
      </c>
      <c r="D109" s="55" t="s">
        <v>1342</v>
      </c>
      <c r="E109" s="51" t="s">
        <v>116</v>
      </c>
      <c r="F109" s="55" t="s">
        <v>1343</v>
      </c>
      <c r="G109" s="56" t="s">
        <v>1344</v>
      </c>
      <c r="H109" s="53" t="s">
        <v>1171</v>
      </c>
    </row>
    <row r="110" spans="2:8" ht="126.75" customHeight="1" thickBot="1" x14ac:dyDescent="0.4">
      <c r="B110" s="46"/>
      <c r="C110" s="54" t="s">
        <v>1560</v>
      </c>
      <c r="D110" s="55" t="s">
        <v>1346</v>
      </c>
      <c r="E110" s="51" t="s">
        <v>116</v>
      </c>
      <c r="F110" s="55" t="s">
        <v>1347</v>
      </c>
      <c r="G110" s="56" t="s">
        <v>1348</v>
      </c>
      <c r="H110" s="53" t="s">
        <v>1171</v>
      </c>
    </row>
    <row r="111" spans="2:8" ht="126.75" customHeight="1" thickBot="1" x14ac:dyDescent="0.4">
      <c r="B111" s="46"/>
      <c r="C111" s="54" t="s">
        <v>1561</v>
      </c>
      <c r="D111" s="55" t="s">
        <v>1350</v>
      </c>
      <c r="E111" s="51" t="s">
        <v>116</v>
      </c>
      <c r="F111" s="55" t="s">
        <v>1351</v>
      </c>
      <c r="G111" s="56" t="s">
        <v>1352</v>
      </c>
      <c r="H111" s="53" t="s">
        <v>1171</v>
      </c>
    </row>
    <row r="112" spans="2:8" ht="126.75" customHeight="1" thickBot="1" x14ac:dyDescent="0.4">
      <c r="B112" s="46"/>
      <c r="C112" s="54" t="s">
        <v>1562</v>
      </c>
      <c r="D112" s="55" t="s">
        <v>1354</v>
      </c>
      <c r="E112" s="51" t="s">
        <v>116</v>
      </c>
      <c r="F112" s="55" t="s">
        <v>1355</v>
      </c>
      <c r="G112" s="56" t="s">
        <v>1356</v>
      </c>
      <c r="H112" s="53" t="s">
        <v>1171</v>
      </c>
    </row>
    <row r="113" spans="2:8" ht="111" customHeight="1" thickBot="1" x14ac:dyDescent="0.4">
      <c r="B113" s="46"/>
      <c r="C113" s="54" t="s">
        <v>1563</v>
      </c>
      <c r="D113" s="55" t="s">
        <v>1358</v>
      </c>
      <c r="E113" s="51" t="s">
        <v>116</v>
      </c>
      <c r="F113" s="55" t="s">
        <v>1359</v>
      </c>
      <c r="G113" s="56" t="s">
        <v>1360</v>
      </c>
      <c r="H113" s="53" t="s">
        <v>1171</v>
      </c>
    </row>
    <row r="114" spans="2:8" ht="111" customHeight="1" thickBot="1" x14ac:dyDescent="0.4">
      <c r="B114" s="46"/>
      <c r="C114" s="54" t="s">
        <v>1564</v>
      </c>
      <c r="D114" s="55" t="s">
        <v>1362</v>
      </c>
      <c r="E114" s="51" t="s">
        <v>116</v>
      </c>
      <c r="F114" s="55" t="s">
        <v>1363</v>
      </c>
      <c r="G114" s="56" t="s">
        <v>1364</v>
      </c>
      <c r="H114" s="53" t="s">
        <v>1171</v>
      </c>
    </row>
    <row r="115" spans="2:8" ht="111" customHeight="1" thickBot="1" x14ac:dyDescent="0.4">
      <c r="B115" s="46"/>
      <c r="C115" s="54" t="s">
        <v>1565</v>
      </c>
      <c r="D115" s="55" t="s">
        <v>1366</v>
      </c>
      <c r="E115" s="51" t="s">
        <v>116</v>
      </c>
      <c r="F115" s="55" t="s">
        <v>1367</v>
      </c>
      <c r="G115" s="56" t="s">
        <v>1368</v>
      </c>
      <c r="H115" s="53" t="s">
        <v>1171</v>
      </c>
    </row>
    <row r="116" spans="2:8" ht="126" customHeight="1" thickBot="1" x14ac:dyDescent="0.4">
      <c r="B116" s="46"/>
      <c r="C116" s="54" t="s">
        <v>1566</v>
      </c>
      <c r="D116" s="55" t="s">
        <v>1567</v>
      </c>
      <c r="E116" s="51" t="s">
        <v>116</v>
      </c>
      <c r="F116" s="55" t="s">
        <v>1371</v>
      </c>
      <c r="G116" s="56" t="s">
        <v>1372</v>
      </c>
      <c r="H116" s="53" t="s">
        <v>1171</v>
      </c>
    </row>
    <row r="117" spans="2:8" ht="79.5" customHeight="1" thickBot="1" x14ac:dyDescent="0.4">
      <c r="B117" s="46"/>
      <c r="C117" s="54" t="s">
        <v>1568</v>
      </c>
      <c r="D117" s="55" t="s">
        <v>1569</v>
      </c>
      <c r="E117" s="51" t="s">
        <v>116</v>
      </c>
      <c r="F117" s="55" t="s">
        <v>1375</v>
      </c>
      <c r="G117" s="56" t="s">
        <v>1376</v>
      </c>
      <c r="H117" s="53" t="s">
        <v>1171</v>
      </c>
    </row>
    <row r="118" spans="2:8" ht="142.5" customHeight="1" thickBot="1" x14ac:dyDescent="0.4">
      <c r="B118" s="46"/>
      <c r="C118" s="54" t="s">
        <v>1570</v>
      </c>
      <c r="D118" s="55" t="s">
        <v>1571</v>
      </c>
      <c r="E118" s="51" t="s">
        <v>116</v>
      </c>
      <c r="F118" s="55" t="s">
        <v>1379</v>
      </c>
      <c r="G118" s="56" t="s">
        <v>1380</v>
      </c>
      <c r="H118" s="53" t="s">
        <v>1171</v>
      </c>
    </row>
    <row r="119" spans="2:8" ht="79.5" customHeight="1" thickBot="1" x14ac:dyDescent="0.4">
      <c r="B119" s="46"/>
      <c r="C119" s="54" t="s">
        <v>1572</v>
      </c>
      <c r="D119" s="55" t="s">
        <v>1573</v>
      </c>
      <c r="E119" s="51" t="s">
        <v>116</v>
      </c>
      <c r="F119" s="55" t="s">
        <v>1383</v>
      </c>
      <c r="G119" s="56" t="s">
        <v>1384</v>
      </c>
      <c r="H119" s="53" t="s">
        <v>1171</v>
      </c>
    </row>
    <row r="120" spans="2:8" ht="63.75" customHeight="1" thickBot="1" x14ac:dyDescent="0.4">
      <c r="B120" s="46"/>
      <c r="C120" s="54" t="s">
        <v>1574</v>
      </c>
      <c r="D120" s="55" t="s">
        <v>1386</v>
      </c>
      <c r="E120" s="51" t="s">
        <v>116</v>
      </c>
      <c r="F120" s="55" t="s">
        <v>1387</v>
      </c>
      <c r="G120" s="56" t="s">
        <v>1388</v>
      </c>
      <c r="H120" s="53" t="s">
        <v>1171</v>
      </c>
    </row>
    <row r="121" spans="2:8" ht="126.75" customHeight="1" thickBot="1" x14ac:dyDescent="0.4">
      <c r="B121" s="46"/>
      <c r="C121" s="54" t="s">
        <v>1575</v>
      </c>
      <c r="D121" s="55" t="s">
        <v>1576</v>
      </c>
      <c r="E121" s="51" t="s">
        <v>116</v>
      </c>
      <c r="F121" s="55" t="s">
        <v>1391</v>
      </c>
      <c r="G121" s="56" t="s">
        <v>1392</v>
      </c>
      <c r="H121" s="53" t="s">
        <v>1171</v>
      </c>
    </row>
    <row r="122" spans="2:8" ht="174" customHeight="1" thickBot="1" x14ac:dyDescent="0.4">
      <c r="B122" s="46"/>
      <c r="C122" s="54" t="s">
        <v>1577</v>
      </c>
      <c r="D122" s="55" t="s">
        <v>1394</v>
      </c>
      <c r="E122" s="51" t="s">
        <v>116</v>
      </c>
      <c r="F122" s="55" t="s">
        <v>1395</v>
      </c>
      <c r="G122" s="56" t="s">
        <v>1396</v>
      </c>
      <c r="H122" s="53" t="s">
        <v>1171</v>
      </c>
    </row>
    <row r="123" spans="2:8" ht="95.25" customHeight="1" thickBot="1" x14ac:dyDescent="0.4">
      <c r="B123" s="46"/>
      <c r="C123" s="54" t="s">
        <v>1578</v>
      </c>
      <c r="D123" s="55" t="s">
        <v>1579</v>
      </c>
      <c r="E123" s="51" t="s">
        <v>116</v>
      </c>
      <c r="F123" s="55" t="s">
        <v>1399</v>
      </c>
      <c r="G123" s="56" t="s">
        <v>1400</v>
      </c>
      <c r="H123" s="53" t="s">
        <v>1171</v>
      </c>
    </row>
    <row r="124" spans="2:8" ht="79.5" customHeight="1" thickBot="1" x14ac:dyDescent="0.4">
      <c r="B124" s="46"/>
      <c r="C124" s="54" t="s">
        <v>1580</v>
      </c>
      <c r="D124" s="55" t="s">
        <v>1581</v>
      </c>
      <c r="E124" s="51" t="s">
        <v>116</v>
      </c>
      <c r="F124" s="55" t="s">
        <v>1403</v>
      </c>
      <c r="G124" s="56" t="s">
        <v>1582</v>
      </c>
      <c r="H124" s="53" t="s">
        <v>1171</v>
      </c>
    </row>
    <row r="125" spans="2:8" ht="63.75" customHeight="1" thickBot="1" x14ac:dyDescent="0.4">
      <c r="B125" s="46"/>
      <c r="C125" s="54" t="s">
        <v>1583</v>
      </c>
      <c r="D125" s="55" t="s">
        <v>1584</v>
      </c>
      <c r="E125" s="51" t="s">
        <v>116</v>
      </c>
      <c r="F125" s="55" t="s">
        <v>1585</v>
      </c>
      <c r="G125" s="56" t="s">
        <v>1586</v>
      </c>
      <c r="H125" s="53" t="s">
        <v>1171</v>
      </c>
    </row>
    <row r="126" spans="2:8" ht="79.5" customHeight="1" thickBot="1" x14ac:dyDescent="0.4">
      <c r="B126" s="46"/>
      <c r="C126" s="54" t="s">
        <v>1587</v>
      </c>
      <c r="D126" s="55" t="s">
        <v>1588</v>
      </c>
      <c r="E126" s="51" t="s">
        <v>116</v>
      </c>
      <c r="F126" s="55" t="s">
        <v>1589</v>
      </c>
      <c r="G126" s="56" t="s">
        <v>1590</v>
      </c>
      <c r="H126" s="53" t="s">
        <v>1171</v>
      </c>
    </row>
    <row r="127" spans="2:8" ht="79.5" customHeight="1" thickBot="1" x14ac:dyDescent="0.4">
      <c r="B127" s="46"/>
      <c r="C127" s="54" t="s">
        <v>1591</v>
      </c>
      <c r="D127" s="55" t="s">
        <v>1426</v>
      </c>
      <c r="E127" s="51" t="s">
        <v>116</v>
      </c>
      <c r="F127" s="55" t="s">
        <v>1427</v>
      </c>
      <c r="G127" s="56" t="s">
        <v>1428</v>
      </c>
      <c r="H127" s="53" t="s">
        <v>1171</v>
      </c>
    </row>
    <row r="128" spans="2:8" ht="79.5" customHeight="1" thickBot="1" x14ac:dyDescent="0.4">
      <c r="B128" s="46"/>
      <c r="C128" s="54" t="s">
        <v>1592</v>
      </c>
      <c r="D128" s="55" t="s">
        <v>1430</v>
      </c>
      <c r="E128" s="51" t="s">
        <v>116</v>
      </c>
      <c r="F128" s="55" t="s">
        <v>1431</v>
      </c>
      <c r="G128" s="56" t="s">
        <v>1432</v>
      </c>
      <c r="H128" s="53" t="s">
        <v>1171</v>
      </c>
    </row>
    <row r="129" spans="2:8" ht="63.75" customHeight="1" thickBot="1" x14ac:dyDescent="0.4">
      <c r="B129" s="46"/>
      <c r="C129" s="54" t="s">
        <v>1593</v>
      </c>
      <c r="D129" s="55" t="s">
        <v>1594</v>
      </c>
      <c r="E129" s="51" t="s">
        <v>116</v>
      </c>
      <c r="F129" s="55" t="s">
        <v>1435</v>
      </c>
      <c r="G129" s="56" t="s">
        <v>1436</v>
      </c>
      <c r="H129" s="53" t="s">
        <v>1171</v>
      </c>
    </row>
    <row r="130" spans="2:8" ht="95.25" customHeight="1" thickBot="1" x14ac:dyDescent="0.4">
      <c r="B130" s="46"/>
      <c r="C130" s="54" t="s">
        <v>1595</v>
      </c>
      <c r="D130" s="55" t="s">
        <v>1438</v>
      </c>
      <c r="E130" s="51" t="s">
        <v>116</v>
      </c>
      <c r="F130" s="55" t="s">
        <v>1439</v>
      </c>
      <c r="G130" s="56" t="s">
        <v>1440</v>
      </c>
      <c r="H130" s="53" t="s">
        <v>1171</v>
      </c>
    </row>
    <row r="131" spans="2:8" ht="79.5" customHeight="1" thickBot="1" x14ac:dyDescent="0.4">
      <c r="B131" s="46"/>
      <c r="C131" s="54" t="s">
        <v>1596</v>
      </c>
      <c r="D131" s="55" t="s">
        <v>1442</v>
      </c>
      <c r="E131" s="51" t="s">
        <v>116</v>
      </c>
      <c r="F131" s="55" t="s">
        <v>1443</v>
      </c>
      <c r="G131" s="56" t="s">
        <v>1444</v>
      </c>
      <c r="H131" s="53" t="s">
        <v>1171</v>
      </c>
    </row>
    <row r="132" spans="2:8" ht="79.5" customHeight="1" thickBot="1" x14ac:dyDescent="0.4">
      <c r="B132" s="46"/>
      <c r="C132" s="54" t="s">
        <v>1597</v>
      </c>
      <c r="D132" s="55" t="s">
        <v>1446</v>
      </c>
      <c r="E132" s="51" t="s">
        <v>116</v>
      </c>
      <c r="F132" s="55" t="s">
        <v>1447</v>
      </c>
      <c r="G132" s="56" t="s">
        <v>1448</v>
      </c>
      <c r="H132" s="53" t="s">
        <v>1171</v>
      </c>
    </row>
    <row r="133" spans="2:8" ht="79.5" customHeight="1" thickBot="1" x14ac:dyDescent="0.4">
      <c r="B133" s="46"/>
      <c r="C133" s="54" t="s">
        <v>1598</v>
      </c>
      <c r="D133" s="55" t="s">
        <v>1450</v>
      </c>
      <c r="E133" s="51" t="s">
        <v>116</v>
      </c>
      <c r="F133" s="55" t="s">
        <v>1451</v>
      </c>
      <c r="G133" s="56" t="s">
        <v>1452</v>
      </c>
      <c r="H133" s="53" t="s">
        <v>1171</v>
      </c>
    </row>
    <row r="134" spans="2:8" ht="63.75" customHeight="1" thickBot="1" x14ac:dyDescent="0.4">
      <c r="B134" s="46"/>
      <c r="C134" s="54" t="s">
        <v>1599</v>
      </c>
      <c r="D134" s="55" t="s">
        <v>1454</v>
      </c>
      <c r="E134" s="51" t="s">
        <v>116</v>
      </c>
      <c r="F134" s="55" t="s">
        <v>1455</v>
      </c>
      <c r="G134" s="56" t="s">
        <v>1456</v>
      </c>
      <c r="H134" s="53" t="s">
        <v>1171</v>
      </c>
    </row>
    <row r="135" spans="2:8" ht="79.5" customHeight="1" thickBot="1" x14ac:dyDescent="0.4">
      <c r="B135" s="46"/>
      <c r="C135" s="54" t="s">
        <v>1600</v>
      </c>
      <c r="D135" s="55" t="s">
        <v>1458</v>
      </c>
      <c r="E135" s="51" t="s">
        <v>116</v>
      </c>
      <c r="F135" s="55" t="s">
        <v>1459</v>
      </c>
      <c r="G135" s="56" t="s">
        <v>1460</v>
      </c>
      <c r="H135" s="53" t="s">
        <v>1171</v>
      </c>
    </row>
    <row r="136" spans="2:8" ht="79.5" customHeight="1" thickBot="1" x14ac:dyDescent="0.4">
      <c r="B136" s="46"/>
      <c r="C136" s="54" t="s">
        <v>1601</v>
      </c>
      <c r="D136" s="55" t="s">
        <v>1602</v>
      </c>
      <c r="E136" s="51" t="s">
        <v>116</v>
      </c>
      <c r="F136" s="55" t="s">
        <v>1463</v>
      </c>
      <c r="G136" s="56" t="s">
        <v>1464</v>
      </c>
      <c r="H136" s="53" t="s">
        <v>1171</v>
      </c>
    </row>
    <row r="137" spans="2:8" ht="79.5" customHeight="1" thickBot="1" x14ac:dyDescent="0.4">
      <c r="B137" s="46"/>
      <c r="C137" s="54" t="s">
        <v>1603</v>
      </c>
      <c r="D137" s="55" t="s">
        <v>1466</v>
      </c>
      <c r="E137" s="51" t="s">
        <v>116</v>
      </c>
      <c r="F137" s="55" t="s">
        <v>1467</v>
      </c>
      <c r="G137" s="56" t="s">
        <v>1468</v>
      </c>
      <c r="H137" s="53" t="s">
        <v>1171</v>
      </c>
    </row>
    <row r="138" spans="2:8" ht="63.75" customHeight="1" thickBot="1" x14ac:dyDescent="0.4">
      <c r="B138" s="46"/>
      <c r="C138" s="54" t="s">
        <v>1604</v>
      </c>
      <c r="D138" s="55" t="s">
        <v>1470</v>
      </c>
      <c r="E138" s="51" t="s">
        <v>116</v>
      </c>
      <c r="F138" s="55" t="s">
        <v>1471</v>
      </c>
      <c r="G138" s="56" t="s">
        <v>1472</v>
      </c>
      <c r="H138" s="53" t="s">
        <v>1171</v>
      </c>
    </row>
    <row r="139" spans="2:8" ht="111" customHeight="1" thickBot="1" x14ac:dyDescent="0.4">
      <c r="B139" s="46"/>
      <c r="C139" s="54" t="s">
        <v>1605</v>
      </c>
      <c r="D139" s="55" t="s">
        <v>1474</v>
      </c>
      <c r="E139" s="51" t="s">
        <v>116</v>
      </c>
      <c r="F139" s="55" t="s">
        <v>1475</v>
      </c>
      <c r="G139" s="56" t="s">
        <v>1476</v>
      </c>
      <c r="H139" s="53" t="s">
        <v>1171</v>
      </c>
    </row>
    <row r="140" spans="2:8" ht="142.5" customHeight="1" thickBot="1" x14ac:dyDescent="0.4">
      <c r="B140" s="46"/>
      <c r="C140" s="54" t="s">
        <v>1606</v>
      </c>
      <c r="D140" s="55" t="s">
        <v>1607</v>
      </c>
      <c r="E140" s="51" t="s">
        <v>116</v>
      </c>
      <c r="F140" s="55" t="s">
        <v>1479</v>
      </c>
      <c r="G140" s="56" t="s">
        <v>1480</v>
      </c>
      <c r="H140" s="53" t="s">
        <v>1171</v>
      </c>
    </row>
    <row r="141" spans="2:8" ht="95.25" customHeight="1" thickBot="1" x14ac:dyDescent="0.4">
      <c r="B141" s="46"/>
      <c r="C141" s="49" t="s">
        <v>1608</v>
      </c>
      <c r="D141" s="50" t="s">
        <v>1609</v>
      </c>
      <c r="E141" s="51" t="s">
        <v>122</v>
      </c>
      <c r="F141" s="50" t="s">
        <v>1610</v>
      </c>
      <c r="G141" s="52" t="s">
        <v>1611</v>
      </c>
      <c r="H141" s="53" t="s">
        <v>1171</v>
      </c>
    </row>
    <row r="142" spans="2:8" ht="95.25" customHeight="1" thickBot="1" x14ac:dyDescent="0.4">
      <c r="B142" s="46"/>
      <c r="C142" s="54" t="s">
        <v>1612</v>
      </c>
      <c r="D142" s="55" t="s">
        <v>1613</v>
      </c>
      <c r="E142" s="51" t="s">
        <v>122</v>
      </c>
      <c r="F142" s="55" t="s">
        <v>1610</v>
      </c>
      <c r="G142" s="56" t="s">
        <v>1614</v>
      </c>
      <c r="H142" s="53" t="s">
        <v>1171</v>
      </c>
    </row>
    <row r="143" spans="2:8" ht="95.25" customHeight="1" thickBot="1" x14ac:dyDescent="0.4">
      <c r="B143" s="46"/>
      <c r="C143" s="54" t="s">
        <v>1615</v>
      </c>
      <c r="D143" s="55" t="s">
        <v>1616</v>
      </c>
      <c r="E143" s="51" t="s">
        <v>122</v>
      </c>
      <c r="F143" s="55" t="s">
        <v>1617</v>
      </c>
      <c r="G143" s="56" t="s">
        <v>1618</v>
      </c>
      <c r="H143" s="53" t="s">
        <v>1171</v>
      </c>
    </row>
    <row r="144" spans="2:8" ht="95.25" customHeight="1" thickBot="1" x14ac:dyDescent="0.4">
      <c r="B144" s="46"/>
      <c r="C144" s="54" t="s">
        <v>1619</v>
      </c>
      <c r="D144" s="55" t="s">
        <v>2237</v>
      </c>
      <c r="E144" s="51" t="s">
        <v>122</v>
      </c>
      <c r="F144" s="55" t="s">
        <v>1617</v>
      </c>
      <c r="G144" s="56" t="s">
        <v>1620</v>
      </c>
      <c r="H144" s="53" t="s">
        <v>1171</v>
      </c>
    </row>
    <row r="145" spans="2:8" ht="95.25" customHeight="1" thickBot="1" x14ac:dyDescent="0.4">
      <c r="B145" s="46"/>
      <c r="C145" s="54" t="s">
        <v>1621</v>
      </c>
      <c r="D145" s="55" t="s">
        <v>2238</v>
      </c>
      <c r="E145" s="51" t="s">
        <v>122</v>
      </c>
      <c r="F145" s="55" t="s">
        <v>1617</v>
      </c>
      <c r="G145" s="56" t="s">
        <v>1622</v>
      </c>
      <c r="H145" s="53" t="s">
        <v>1171</v>
      </c>
    </row>
    <row r="146" spans="2:8" ht="111" customHeight="1" thickBot="1" x14ac:dyDescent="0.4">
      <c r="B146" s="46"/>
      <c r="C146" s="54" t="s">
        <v>1623</v>
      </c>
      <c r="D146" s="55" t="s">
        <v>1624</v>
      </c>
      <c r="E146" s="51" t="s">
        <v>122</v>
      </c>
      <c r="F146" s="55" t="s">
        <v>1625</v>
      </c>
      <c r="G146" s="56" t="s">
        <v>1626</v>
      </c>
      <c r="H146" s="53" t="s">
        <v>1171</v>
      </c>
    </row>
    <row r="147" spans="2:8" ht="95.25" customHeight="1" thickBot="1" x14ac:dyDescent="0.4">
      <c r="B147" s="46"/>
      <c r="C147" s="54" t="s">
        <v>1627</v>
      </c>
      <c r="D147" s="55" t="s">
        <v>2239</v>
      </c>
      <c r="E147" s="51" t="s">
        <v>122</v>
      </c>
      <c r="F147" s="55" t="s">
        <v>1628</v>
      </c>
      <c r="G147" s="56" t="s">
        <v>1629</v>
      </c>
      <c r="H147" s="53" t="s">
        <v>1171</v>
      </c>
    </row>
    <row r="148" spans="2:8" ht="126.75" customHeight="1" thickBot="1" x14ac:dyDescent="0.4">
      <c r="B148" s="46"/>
      <c r="C148" s="54" t="s">
        <v>1630</v>
      </c>
      <c r="D148" s="55" t="s">
        <v>1631</v>
      </c>
      <c r="E148" s="51" t="s">
        <v>122</v>
      </c>
      <c r="F148" s="55" t="s">
        <v>1186</v>
      </c>
      <c r="G148" s="56" t="s">
        <v>1187</v>
      </c>
      <c r="H148" s="53" t="s">
        <v>1171</v>
      </c>
    </row>
    <row r="149" spans="2:8" ht="111" customHeight="1" thickBot="1" x14ac:dyDescent="0.4">
      <c r="B149" s="46"/>
      <c r="C149" s="54" t="s">
        <v>1632</v>
      </c>
      <c r="D149" s="55" t="s">
        <v>1633</v>
      </c>
      <c r="E149" s="51" t="s">
        <v>122</v>
      </c>
      <c r="F149" s="55" t="s">
        <v>1495</v>
      </c>
      <c r="G149" s="56" t="s">
        <v>1496</v>
      </c>
      <c r="H149" s="53" t="s">
        <v>1171</v>
      </c>
    </row>
    <row r="150" spans="2:8" ht="95.25" customHeight="1" thickBot="1" x14ac:dyDescent="0.4">
      <c r="B150" s="46"/>
      <c r="C150" s="54" t="s">
        <v>1634</v>
      </c>
      <c r="D150" s="55" t="s">
        <v>1498</v>
      </c>
      <c r="E150" s="51" t="s">
        <v>122</v>
      </c>
      <c r="F150" s="55" t="s">
        <v>1194</v>
      </c>
      <c r="G150" s="56" t="s">
        <v>1499</v>
      </c>
      <c r="H150" s="53" t="s">
        <v>1171</v>
      </c>
    </row>
    <row r="151" spans="2:8" ht="221.25" customHeight="1" thickBot="1" x14ac:dyDescent="0.4">
      <c r="B151" s="46"/>
      <c r="C151" s="54" t="s">
        <v>1635</v>
      </c>
      <c r="D151" s="55" t="s">
        <v>1636</v>
      </c>
      <c r="E151" s="51" t="s">
        <v>122</v>
      </c>
      <c r="F151" s="55" t="s">
        <v>1637</v>
      </c>
      <c r="G151" s="56" t="s">
        <v>1638</v>
      </c>
      <c r="H151" s="53" t="s">
        <v>1171</v>
      </c>
    </row>
    <row r="152" spans="2:8" ht="79.5" customHeight="1" thickBot="1" x14ac:dyDescent="0.4">
      <c r="B152" s="46"/>
      <c r="C152" s="54" t="s">
        <v>1639</v>
      </c>
      <c r="D152" s="55" t="s">
        <v>1201</v>
      </c>
      <c r="E152" s="51" t="s">
        <v>122</v>
      </c>
      <c r="F152" s="55" t="s">
        <v>1202</v>
      </c>
      <c r="G152" s="56" t="s">
        <v>1203</v>
      </c>
      <c r="H152" s="53" t="s">
        <v>1171</v>
      </c>
    </row>
    <row r="153" spans="2:8" ht="79.5" customHeight="1" thickBot="1" x14ac:dyDescent="0.4">
      <c r="B153" s="46"/>
      <c r="C153" s="54" t="s">
        <v>1640</v>
      </c>
      <c r="D153" s="55" t="s">
        <v>1506</v>
      </c>
      <c r="E153" s="51" t="s">
        <v>122</v>
      </c>
      <c r="F153" s="55" t="s">
        <v>1206</v>
      </c>
      <c r="G153" s="56" t="s">
        <v>1507</v>
      </c>
      <c r="H153" s="53" t="s">
        <v>1171</v>
      </c>
    </row>
    <row r="154" spans="2:8" ht="126.75" customHeight="1" thickBot="1" x14ac:dyDescent="0.4">
      <c r="B154" s="46"/>
      <c r="C154" s="54" t="s">
        <v>1641</v>
      </c>
      <c r="D154" s="55" t="s">
        <v>1642</v>
      </c>
      <c r="E154" s="51" t="s">
        <v>122</v>
      </c>
      <c r="F154" s="55" t="s">
        <v>1509</v>
      </c>
      <c r="G154" s="56" t="s">
        <v>1211</v>
      </c>
      <c r="H154" s="53" t="s">
        <v>1171</v>
      </c>
    </row>
    <row r="155" spans="2:8" ht="111" customHeight="1" thickBot="1" x14ac:dyDescent="0.4">
      <c r="B155" s="46"/>
      <c r="C155" s="54" t="s">
        <v>1643</v>
      </c>
      <c r="D155" s="55" t="s">
        <v>1213</v>
      </c>
      <c r="E155" s="51" t="s">
        <v>122</v>
      </c>
      <c r="F155" s="55" t="s">
        <v>1214</v>
      </c>
      <c r="G155" s="56" t="s">
        <v>1215</v>
      </c>
      <c r="H155" s="53" t="s">
        <v>1171</v>
      </c>
    </row>
    <row r="156" spans="2:8" ht="111" customHeight="1" thickBot="1" x14ac:dyDescent="0.4">
      <c r="B156" s="46"/>
      <c r="C156" s="54" t="s">
        <v>1644</v>
      </c>
      <c r="D156" s="55" t="s">
        <v>1645</v>
      </c>
      <c r="E156" s="51" t="s">
        <v>122</v>
      </c>
      <c r="F156" s="55" t="s">
        <v>1513</v>
      </c>
      <c r="G156" s="56" t="s">
        <v>1219</v>
      </c>
      <c r="H156" s="53" t="s">
        <v>1171</v>
      </c>
    </row>
    <row r="157" spans="2:8" ht="79.5" customHeight="1" thickBot="1" x14ac:dyDescent="0.4">
      <c r="B157" s="46"/>
      <c r="C157" s="54" t="s">
        <v>1646</v>
      </c>
      <c r="D157" s="55" t="s">
        <v>1221</v>
      </c>
      <c r="E157" s="51" t="s">
        <v>122</v>
      </c>
      <c r="F157" s="55" t="s">
        <v>1222</v>
      </c>
      <c r="G157" s="56" t="s">
        <v>1223</v>
      </c>
      <c r="H157" s="53" t="s">
        <v>1171</v>
      </c>
    </row>
    <row r="158" spans="2:8" ht="111" customHeight="1" thickBot="1" x14ac:dyDescent="0.4">
      <c r="B158" s="46"/>
      <c r="C158" s="54" t="s">
        <v>1647</v>
      </c>
      <c r="D158" s="55" t="s">
        <v>1225</v>
      </c>
      <c r="E158" s="51" t="s">
        <v>122</v>
      </c>
      <c r="F158" s="55" t="s">
        <v>1516</v>
      </c>
      <c r="G158" s="56" t="s">
        <v>1227</v>
      </c>
      <c r="H158" s="53" t="s">
        <v>1171</v>
      </c>
    </row>
    <row r="159" spans="2:8" ht="237" customHeight="1" thickBot="1" x14ac:dyDescent="0.4">
      <c r="B159" s="46"/>
      <c r="C159" s="54" t="s">
        <v>1648</v>
      </c>
      <c r="D159" s="55" t="s">
        <v>1649</v>
      </c>
      <c r="E159" s="51" t="s">
        <v>122</v>
      </c>
      <c r="F159" s="55" t="s">
        <v>1273</v>
      </c>
      <c r="G159" s="56" t="s">
        <v>1274</v>
      </c>
      <c r="H159" s="53" t="s">
        <v>1171</v>
      </c>
    </row>
    <row r="160" spans="2:8" ht="174" customHeight="1" thickBot="1" x14ac:dyDescent="0.4">
      <c r="B160" s="46"/>
      <c r="C160" s="54" t="s">
        <v>1650</v>
      </c>
      <c r="D160" s="55" t="s">
        <v>1651</v>
      </c>
      <c r="E160" s="51" t="s">
        <v>122</v>
      </c>
      <c r="F160" s="55" t="s">
        <v>1277</v>
      </c>
      <c r="G160" s="56" t="s">
        <v>1278</v>
      </c>
      <c r="H160" s="53" t="s">
        <v>1171</v>
      </c>
    </row>
    <row r="161" spans="2:8" ht="111" customHeight="1" thickBot="1" x14ac:dyDescent="0.4">
      <c r="B161" s="46"/>
      <c r="C161" s="54" t="s">
        <v>1652</v>
      </c>
      <c r="D161" s="55" t="s">
        <v>1653</v>
      </c>
      <c r="E161" s="51" t="s">
        <v>122</v>
      </c>
      <c r="F161" s="55" t="s">
        <v>1281</v>
      </c>
      <c r="G161" s="56" t="s">
        <v>1654</v>
      </c>
      <c r="H161" s="53" t="s">
        <v>1171</v>
      </c>
    </row>
    <row r="162" spans="2:8" ht="189.75" customHeight="1" thickBot="1" x14ac:dyDescent="0.4">
      <c r="B162" s="46"/>
      <c r="C162" s="54" t="s">
        <v>1655</v>
      </c>
      <c r="D162" s="55" t="s">
        <v>1656</v>
      </c>
      <c r="E162" s="51" t="s">
        <v>122</v>
      </c>
      <c r="F162" s="55" t="s">
        <v>1284</v>
      </c>
      <c r="G162" s="56" t="s">
        <v>1657</v>
      </c>
      <c r="H162" s="53" t="s">
        <v>1171</v>
      </c>
    </row>
    <row r="163" spans="2:8" ht="142.5" customHeight="1" thickBot="1" x14ac:dyDescent="0.4">
      <c r="B163" s="46"/>
      <c r="C163" s="54" t="s">
        <v>1658</v>
      </c>
      <c r="D163" s="55" t="s">
        <v>1659</v>
      </c>
      <c r="E163" s="51" t="s">
        <v>122</v>
      </c>
      <c r="F163" s="55" t="s">
        <v>1660</v>
      </c>
      <c r="G163" s="56" t="s">
        <v>1661</v>
      </c>
      <c r="H163" s="53" t="s">
        <v>1171</v>
      </c>
    </row>
    <row r="164" spans="2:8" ht="221.25" customHeight="1" thickBot="1" x14ac:dyDescent="0.4">
      <c r="B164" s="46"/>
      <c r="C164" s="54" t="s">
        <v>1662</v>
      </c>
      <c r="D164" s="55" t="s">
        <v>1663</v>
      </c>
      <c r="E164" s="51" t="s">
        <v>122</v>
      </c>
      <c r="F164" s="55" t="s">
        <v>1664</v>
      </c>
      <c r="G164" s="56" t="s">
        <v>1665</v>
      </c>
      <c r="H164" s="53" t="s">
        <v>1171</v>
      </c>
    </row>
    <row r="165" spans="2:8" ht="189.75" customHeight="1" thickBot="1" x14ac:dyDescent="0.4">
      <c r="B165" s="46"/>
      <c r="C165" s="54" t="s">
        <v>1666</v>
      </c>
      <c r="D165" s="55" t="s">
        <v>1667</v>
      </c>
      <c r="E165" s="51" t="s">
        <v>122</v>
      </c>
      <c r="F165" s="55" t="s">
        <v>1262</v>
      </c>
      <c r="G165" s="56" t="s">
        <v>1520</v>
      </c>
      <c r="H165" s="53" t="s">
        <v>1171</v>
      </c>
    </row>
    <row r="166" spans="2:8" ht="142.5" customHeight="1" thickBot="1" x14ac:dyDescent="0.4">
      <c r="B166" s="46"/>
      <c r="C166" s="54" t="s">
        <v>1668</v>
      </c>
      <c r="D166" s="55" t="s">
        <v>1669</v>
      </c>
      <c r="E166" s="51" t="s">
        <v>122</v>
      </c>
      <c r="F166" s="55" t="s">
        <v>1670</v>
      </c>
      <c r="G166" s="56" t="s">
        <v>1671</v>
      </c>
      <c r="H166" s="53" t="s">
        <v>1171</v>
      </c>
    </row>
    <row r="167" spans="2:8" ht="174" customHeight="1" thickBot="1" x14ac:dyDescent="0.4">
      <c r="B167" s="46"/>
      <c r="C167" s="54" t="s">
        <v>1672</v>
      </c>
      <c r="D167" s="55" t="s">
        <v>1673</v>
      </c>
      <c r="E167" s="51" t="s">
        <v>122</v>
      </c>
      <c r="F167" s="55" t="s">
        <v>1237</v>
      </c>
      <c r="G167" s="56" t="s">
        <v>1674</v>
      </c>
      <c r="H167" s="53" t="s">
        <v>1171</v>
      </c>
    </row>
    <row r="168" spans="2:8" ht="189.75" customHeight="1" thickBot="1" x14ac:dyDescent="0.4">
      <c r="B168" s="46"/>
      <c r="C168" s="54" t="s">
        <v>1675</v>
      </c>
      <c r="D168" s="55" t="s">
        <v>1676</v>
      </c>
      <c r="E168" s="51" t="s">
        <v>122</v>
      </c>
      <c r="F168" s="55" t="s">
        <v>1677</v>
      </c>
      <c r="G168" s="56" t="s">
        <v>1527</v>
      </c>
      <c r="H168" s="53" t="s">
        <v>1171</v>
      </c>
    </row>
    <row r="169" spans="2:8" ht="174" customHeight="1" thickBot="1" x14ac:dyDescent="0.4">
      <c r="B169" s="46"/>
      <c r="C169" s="54" t="s">
        <v>1678</v>
      </c>
      <c r="D169" s="55" t="s">
        <v>1679</v>
      </c>
      <c r="E169" s="51" t="s">
        <v>122</v>
      </c>
      <c r="F169" s="55" t="s">
        <v>1680</v>
      </c>
      <c r="G169" s="56" t="s">
        <v>1681</v>
      </c>
      <c r="H169" s="53" t="s">
        <v>1171</v>
      </c>
    </row>
    <row r="170" spans="2:8" ht="205.5" customHeight="1" thickBot="1" x14ac:dyDescent="0.4">
      <c r="B170" s="46"/>
      <c r="C170" s="54" t="s">
        <v>1682</v>
      </c>
      <c r="D170" s="55" t="s">
        <v>1683</v>
      </c>
      <c r="E170" s="51" t="s">
        <v>122</v>
      </c>
      <c r="F170" s="55" t="s">
        <v>1684</v>
      </c>
      <c r="G170" s="56" t="s">
        <v>1531</v>
      </c>
      <c r="H170" s="53" t="s">
        <v>1171</v>
      </c>
    </row>
    <row r="171" spans="2:8" ht="79.5" customHeight="1" thickBot="1" x14ac:dyDescent="0.4">
      <c r="B171" s="46"/>
      <c r="C171" s="54" t="s">
        <v>1685</v>
      </c>
      <c r="D171" s="55" t="s">
        <v>1686</v>
      </c>
      <c r="E171" s="51" t="s">
        <v>122</v>
      </c>
      <c r="F171" s="55" t="s">
        <v>1687</v>
      </c>
      <c r="G171" s="56" t="s">
        <v>1688</v>
      </c>
      <c r="H171" s="53" t="s">
        <v>1171</v>
      </c>
    </row>
    <row r="172" spans="2:8" ht="189.75" customHeight="1" thickBot="1" x14ac:dyDescent="0.4">
      <c r="B172" s="46"/>
      <c r="C172" s="54" t="s">
        <v>1689</v>
      </c>
      <c r="D172" s="55" t="s">
        <v>1537</v>
      </c>
      <c r="E172" s="51" t="s">
        <v>122</v>
      </c>
      <c r="F172" s="55" t="s">
        <v>1690</v>
      </c>
      <c r="G172" s="56" t="s">
        <v>1539</v>
      </c>
      <c r="H172" s="53" t="s">
        <v>1171</v>
      </c>
    </row>
    <row r="173" spans="2:8" ht="284.25" customHeight="1" thickBot="1" x14ac:dyDescent="0.4">
      <c r="B173" s="46"/>
      <c r="C173" s="54" t="s">
        <v>1691</v>
      </c>
      <c r="D173" s="55" t="s">
        <v>1692</v>
      </c>
      <c r="E173" s="51" t="s">
        <v>122</v>
      </c>
      <c r="F173" s="55" t="s">
        <v>1693</v>
      </c>
      <c r="G173" s="56" t="s">
        <v>1694</v>
      </c>
      <c r="H173" s="53" t="s">
        <v>1171</v>
      </c>
    </row>
    <row r="174" spans="2:8" ht="95.25" customHeight="1" thickBot="1" x14ac:dyDescent="0.4">
      <c r="B174" s="46"/>
      <c r="C174" s="54" t="s">
        <v>1695</v>
      </c>
      <c r="D174" s="55" t="s">
        <v>1696</v>
      </c>
      <c r="E174" s="51" t="s">
        <v>122</v>
      </c>
      <c r="F174" s="55" t="s">
        <v>1542</v>
      </c>
      <c r="G174" s="56" t="s">
        <v>1697</v>
      </c>
      <c r="H174" s="53" t="s">
        <v>1171</v>
      </c>
    </row>
    <row r="175" spans="2:8" ht="252.75" customHeight="1" thickBot="1" x14ac:dyDescent="0.4">
      <c r="B175" s="46"/>
      <c r="C175" s="54" t="s">
        <v>1698</v>
      </c>
      <c r="D175" s="55" t="s">
        <v>1699</v>
      </c>
      <c r="E175" s="51" t="s">
        <v>122</v>
      </c>
      <c r="F175" s="55" t="s">
        <v>1258</v>
      </c>
      <c r="G175" s="56" t="s">
        <v>1700</v>
      </c>
      <c r="H175" s="53" t="s">
        <v>1171</v>
      </c>
    </row>
    <row r="176" spans="2:8" ht="142.5" customHeight="1" thickBot="1" x14ac:dyDescent="0.4">
      <c r="B176" s="46"/>
      <c r="C176" s="54" t="s">
        <v>1701</v>
      </c>
      <c r="D176" s="55" t="s">
        <v>1342</v>
      </c>
      <c r="E176" s="51" t="s">
        <v>122</v>
      </c>
      <c r="F176" s="55" t="s">
        <v>1343</v>
      </c>
      <c r="G176" s="56" t="s">
        <v>1344</v>
      </c>
      <c r="H176" s="53" t="s">
        <v>1171</v>
      </c>
    </row>
    <row r="177" spans="2:8" ht="126.75" customHeight="1" thickBot="1" x14ac:dyDescent="0.4">
      <c r="B177" s="46"/>
      <c r="C177" s="54" t="s">
        <v>1702</v>
      </c>
      <c r="D177" s="55" t="s">
        <v>1346</v>
      </c>
      <c r="E177" s="51" t="s">
        <v>122</v>
      </c>
      <c r="F177" s="55" t="s">
        <v>1347</v>
      </c>
      <c r="G177" s="56" t="s">
        <v>1348</v>
      </c>
      <c r="H177" s="53" t="s">
        <v>1171</v>
      </c>
    </row>
    <row r="178" spans="2:8" ht="126.75" customHeight="1" thickBot="1" x14ac:dyDescent="0.4">
      <c r="B178" s="46"/>
      <c r="C178" s="54" t="s">
        <v>1703</v>
      </c>
      <c r="D178" s="55" t="s">
        <v>1350</v>
      </c>
      <c r="E178" s="51" t="s">
        <v>122</v>
      </c>
      <c r="F178" s="55" t="s">
        <v>1351</v>
      </c>
      <c r="G178" s="56" t="s">
        <v>1352</v>
      </c>
      <c r="H178" s="53" t="s">
        <v>1171</v>
      </c>
    </row>
    <row r="179" spans="2:8" ht="409.6" customHeight="1" thickBot="1" x14ac:dyDescent="0.4">
      <c r="B179" s="46"/>
      <c r="C179" s="54" t="s">
        <v>1704</v>
      </c>
      <c r="D179" s="55" t="s">
        <v>1354</v>
      </c>
      <c r="E179" s="55" t="s">
        <v>122</v>
      </c>
      <c r="F179" s="55" t="s">
        <v>1355</v>
      </c>
      <c r="G179" s="56" t="s">
        <v>1356</v>
      </c>
      <c r="H179" s="53" t="s">
        <v>1171</v>
      </c>
    </row>
    <row r="180" spans="2:8" ht="111" customHeight="1" thickBot="1" x14ac:dyDescent="0.4">
      <c r="B180" s="46"/>
      <c r="C180" s="54" t="s">
        <v>1705</v>
      </c>
      <c r="D180" s="55" t="s">
        <v>1358</v>
      </c>
      <c r="E180" s="51" t="s">
        <v>122</v>
      </c>
      <c r="F180" s="55" t="s">
        <v>1359</v>
      </c>
      <c r="G180" s="56" t="s">
        <v>1360</v>
      </c>
      <c r="H180" s="57" t="s">
        <v>1171</v>
      </c>
    </row>
    <row r="181" spans="2:8" ht="111" customHeight="1" thickBot="1" x14ac:dyDescent="0.4">
      <c r="B181" s="46"/>
      <c r="C181" s="54" t="s">
        <v>1706</v>
      </c>
      <c r="D181" s="55" t="s">
        <v>1362</v>
      </c>
      <c r="E181" s="51" t="s">
        <v>122</v>
      </c>
      <c r="F181" s="55" t="s">
        <v>1363</v>
      </c>
      <c r="G181" s="56" t="s">
        <v>1364</v>
      </c>
      <c r="H181" s="57" t="s">
        <v>1171</v>
      </c>
    </row>
    <row r="182" spans="2:8" ht="111" customHeight="1" thickBot="1" x14ac:dyDescent="0.4">
      <c r="B182" s="46"/>
      <c r="C182" s="54" t="s">
        <v>1707</v>
      </c>
      <c r="D182" s="55" t="s">
        <v>1366</v>
      </c>
      <c r="E182" s="51" t="s">
        <v>122</v>
      </c>
      <c r="F182" s="55" t="s">
        <v>1367</v>
      </c>
      <c r="G182" s="56" t="s">
        <v>1368</v>
      </c>
      <c r="H182" s="57" t="s">
        <v>1171</v>
      </c>
    </row>
    <row r="183" spans="2:8" ht="108.75" customHeight="1" thickBot="1" x14ac:dyDescent="0.4">
      <c r="B183" s="46"/>
      <c r="C183" s="54" t="s">
        <v>1708</v>
      </c>
      <c r="D183" s="55" t="s">
        <v>1709</v>
      </c>
      <c r="E183" s="51" t="s">
        <v>122</v>
      </c>
      <c r="F183" s="55" t="s">
        <v>1371</v>
      </c>
      <c r="G183" s="56" t="s">
        <v>1372</v>
      </c>
      <c r="H183" s="57" t="s">
        <v>1171</v>
      </c>
    </row>
    <row r="184" spans="2:8" ht="79.5" customHeight="1" thickBot="1" x14ac:dyDescent="0.4">
      <c r="B184" s="46"/>
      <c r="C184" s="54" t="s">
        <v>1710</v>
      </c>
      <c r="D184" s="55" t="s">
        <v>1711</v>
      </c>
      <c r="E184" s="51" t="s">
        <v>122</v>
      </c>
      <c r="F184" s="55" t="s">
        <v>1375</v>
      </c>
      <c r="G184" s="56" t="s">
        <v>1376</v>
      </c>
      <c r="H184" s="57" t="s">
        <v>1171</v>
      </c>
    </row>
    <row r="185" spans="2:8" ht="158.25" customHeight="1" thickBot="1" x14ac:dyDescent="0.4">
      <c r="B185" s="46"/>
      <c r="C185" s="54" t="s">
        <v>1712</v>
      </c>
      <c r="D185" s="55" t="s">
        <v>1713</v>
      </c>
      <c r="E185" s="51" t="s">
        <v>122</v>
      </c>
      <c r="F185" s="55" t="s">
        <v>1379</v>
      </c>
      <c r="G185" s="56" t="s">
        <v>1380</v>
      </c>
      <c r="H185" s="57" t="s">
        <v>1171</v>
      </c>
    </row>
    <row r="186" spans="2:8" ht="79.5" customHeight="1" thickBot="1" x14ac:dyDescent="0.4">
      <c r="B186" s="46"/>
      <c r="C186" s="54" t="s">
        <v>1714</v>
      </c>
      <c r="D186" s="55" t="s">
        <v>1715</v>
      </c>
      <c r="E186" s="51" t="s">
        <v>122</v>
      </c>
      <c r="F186" s="55" t="s">
        <v>1383</v>
      </c>
      <c r="G186" s="56" t="s">
        <v>1384</v>
      </c>
      <c r="H186" s="57" t="s">
        <v>1171</v>
      </c>
    </row>
    <row r="187" spans="2:8" ht="63.75" customHeight="1" thickBot="1" x14ac:dyDescent="0.4">
      <c r="B187" s="46"/>
      <c r="C187" s="54" t="s">
        <v>1716</v>
      </c>
      <c r="D187" s="55" t="s">
        <v>1386</v>
      </c>
      <c r="E187" s="51" t="s">
        <v>122</v>
      </c>
      <c r="F187" s="55" t="s">
        <v>1387</v>
      </c>
      <c r="G187" s="56" t="s">
        <v>1388</v>
      </c>
      <c r="H187" s="57" t="s">
        <v>1171</v>
      </c>
    </row>
    <row r="188" spans="2:8" ht="126.75" customHeight="1" thickBot="1" x14ac:dyDescent="0.4">
      <c r="B188" s="46"/>
      <c r="C188" s="54" t="s">
        <v>1717</v>
      </c>
      <c r="D188" s="55" t="s">
        <v>1718</v>
      </c>
      <c r="E188" s="51" t="s">
        <v>122</v>
      </c>
      <c r="F188" s="55" t="s">
        <v>1391</v>
      </c>
      <c r="G188" s="56" t="s">
        <v>1392</v>
      </c>
      <c r="H188" s="57" t="s">
        <v>1171</v>
      </c>
    </row>
    <row r="189" spans="2:8" ht="174" customHeight="1" thickBot="1" x14ac:dyDescent="0.4">
      <c r="B189" s="46"/>
      <c r="C189" s="54" t="s">
        <v>1719</v>
      </c>
      <c r="D189" s="55" t="s">
        <v>1394</v>
      </c>
      <c r="E189" s="51" t="s">
        <v>122</v>
      </c>
      <c r="F189" s="55" t="s">
        <v>1395</v>
      </c>
      <c r="G189" s="56" t="s">
        <v>1396</v>
      </c>
      <c r="H189" s="57" t="s">
        <v>1171</v>
      </c>
    </row>
    <row r="190" spans="2:8" ht="95.25" customHeight="1" thickBot="1" x14ac:dyDescent="0.4">
      <c r="B190" s="46"/>
      <c r="C190" s="54" t="s">
        <v>1720</v>
      </c>
      <c r="D190" s="55" t="s">
        <v>1721</v>
      </c>
      <c r="E190" s="51" t="s">
        <v>122</v>
      </c>
      <c r="F190" s="55" t="s">
        <v>1399</v>
      </c>
      <c r="G190" s="56" t="s">
        <v>1400</v>
      </c>
      <c r="H190" s="57" t="s">
        <v>1171</v>
      </c>
    </row>
    <row r="191" spans="2:8" ht="63.75" customHeight="1" thickBot="1" x14ac:dyDescent="0.4">
      <c r="B191" s="46"/>
      <c r="C191" s="54" t="s">
        <v>1722</v>
      </c>
      <c r="D191" s="55" t="s">
        <v>1723</v>
      </c>
      <c r="E191" s="51" t="s">
        <v>122</v>
      </c>
      <c r="F191" s="55" t="s">
        <v>1403</v>
      </c>
      <c r="G191" s="56" t="s">
        <v>1404</v>
      </c>
      <c r="H191" s="57" t="s">
        <v>1171</v>
      </c>
    </row>
    <row r="192" spans="2:8" ht="79.5" customHeight="1" thickBot="1" x14ac:dyDescent="0.4">
      <c r="B192" s="46"/>
      <c r="C192" s="54" t="s">
        <v>1724</v>
      </c>
      <c r="D192" s="55" t="s">
        <v>1725</v>
      </c>
      <c r="E192" s="51" t="s">
        <v>122</v>
      </c>
      <c r="F192" s="55" t="s">
        <v>1726</v>
      </c>
      <c r="G192" s="56" t="s">
        <v>1727</v>
      </c>
      <c r="H192" s="57" t="s">
        <v>1171</v>
      </c>
    </row>
    <row r="193" spans="2:8" ht="79.5" customHeight="1" thickBot="1" x14ac:dyDescent="0.4">
      <c r="B193" s="46"/>
      <c r="C193" s="54" t="s">
        <v>1728</v>
      </c>
      <c r="D193" s="55" t="s">
        <v>1426</v>
      </c>
      <c r="E193" s="51" t="s">
        <v>122</v>
      </c>
      <c r="F193" s="55" t="s">
        <v>1427</v>
      </c>
      <c r="G193" s="56" t="s">
        <v>1428</v>
      </c>
      <c r="H193" s="57" t="s">
        <v>1171</v>
      </c>
    </row>
    <row r="194" spans="2:8" ht="79.5" customHeight="1" thickBot="1" x14ac:dyDescent="0.4">
      <c r="B194" s="46"/>
      <c r="C194" s="54" t="s">
        <v>1729</v>
      </c>
      <c r="D194" s="55" t="s">
        <v>1430</v>
      </c>
      <c r="E194" s="51" t="s">
        <v>122</v>
      </c>
      <c r="F194" s="55" t="s">
        <v>1431</v>
      </c>
      <c r="G194" s="56" t="s">
        <v>1432</v>
      </c>
      <c r="H194" s="57" t="s">
        <v>1171</v>
      </c>
    </row>
    <row r="195" spans="2:8" ht="63.75" customHeight="1" thickBot="1" x14ac:dyDescent="0.4">
      <c r="B195" s="46"/>
      <c r="C195" s="54" t="s">
        <v>1730</v>
      </c>
      <c r="D195" s="55" t="s">
        <v>1731</v>
      </c>
      <c r="E195" s="51" t="s">
        <v>122</v>
      </c>
      <c r="F195" s="55" t="s">
        <v>1435</v>
      </c>
      <c r="G195" s="56" t="s">
        <v>1436</v>
      </c>
      <c r="H195" s="57" t="s">
        <v>1171</v>
      </c>
    </row>
    <row r="196" spans="2:8" ht="111" customHeight="1" thickBot="1" x14ac:dyDescent="0.4">
      <c r="B196" s="46"/>
      <c r="C196" s="54" t="s">
        <v>1732</v>
      </c>
      <c r="D196" s="55" t="s">
        <v>1438</v>
      </c>
      <c r="E196" s="51" t="s">
        <v>122</v>
      </c>
      <c r="F196" s="55" t="s">
        <v>1439</v>
      </c>
      <c r="G196" s="56" t="s">
        <v>1440</v>
      </c>
      <c r="H196" s="57" t="s">
        <v>1171</v>
      </c>
    </row>
    <row r="197" spans="2:8" ht="79.5" customHeight="1" thickBot="1" x14ac:dyDescent="0.4">
      <c r="B197" s="46"/>
      <c r="C197" s="54" t="s">
        <v>1733</v>
      </c>
      <c r="D197" s="55" t="s">
        <v>1442</v>
      </c>
      <c r="E197" s="51" t="s">
        <v>122</v>
      </c>
      <c r="F197" s="55" t="s">
        <v>1443</v>
      </c>
      <c r="G197" s="56" t="s">
        <v>1444</v>
      </c>
      <c r="H197" s="57" t="s">
        <v>1171</v>
      </c>
    </row>
    <row r="198" spans="2:8" ht="79.5" customHeight="1" thickBot="1" x14ac:dyDescent="0.4">
      <c r="B198" s="46"/>
      <c r="C198" s="54" t="s">
        <v>1734</v>
      </c>
      <c r="D198" s="55" t="s">
        <v>1446</v>
      </c>
      <c r="E198" s="51" t="s">
        <v>122</v>
      </c>
      <c r="F198" s="55" t="s">
        <v>1447</v>
      </c>
      <c r="G198" s="56" t="s">
        <v>1448</v>
      </c>
      <c r="H198" s="57" t="s">
        <v>1171</v>
      </c>
    </row>
    <row r="199" spans="2:8" ht="79.5" customHeight="1" thickBot="1" x14ac:dyDescent="0.4">
      <c r="B199" s="46"/>
      <c r="C199" s="54" t="s">
        <v>1735</v>
      </c>
      <c r="D199" s="55" t="s">
        <v>1450</v>
      </c>
      <c r="E199" s="51" t="s">
        <v>122</v>
      </c>
      <c r="F199" s="55" t="s">
        <v>1451</v>
      </c>
      <c r="G199" s="56" t="s">
        <v>1452</v>
      </c>
      <c r="H199" s="57" t="s">
        <v>1171</v>
      </c>
    </row>
    <row r="200" spans="2:8" ht="63.75" customHeight="1" thickBot="1" x14ac:dyDescent="0.4">
      <c r="B200" s="46"/>
      <c r="C200" s="54" t="s">
        <v>1736</v>
      </c>
      <c r="D200" s="55" t="s">
        <v>1454</v>
      </c>
      <c r="E200" s="51" t="s">
        <v>122</v>
      </c>
      <c r="F200" s="55" t="s">
        <v>1455</v>
      </c>
      <c r="G200" s="56" t="s">
        <v>1456</v>
      </c>
      <c r="H200" s="57" t="s">
        <v>1171</v>
      </c>
    </row>
    <row r="201" spans="2:8" ht="63.75" customHeight="1" thickBot="1" x14ac:dyDescent="0.4">
      <c r="B201" s="46"/>
      <c r="C201" s="54" t="s">
        <v>1737</v>
      </c>
      <c r="D201" s="55" t="s">
        <v>1458</v>
      </c>
      <c r="E201" s="51" t="s">
        <v>122</v>
      </c>
      <c r="F201" s="55" t="s">
        <v>1459</v>
      </c>
      <c r="G201" s="56" t="s">
        <v>1460</v>
      </c>
      <c r="H201" s="57" t="s">
        <v>1171</v>
      </c>
    </row>
    <row r="202" spans="2:8" ht="79.5" customHeight="1" thickBot="1" x14ac:dyDescent="0.4">
      <c r="B202" s="46"/>
      <c r="C202" s="54" t="s">
        <v>1738</v>
      </c>
      <c r="D202" s="55" t="s">
        <v>1739</v>
      </c>
      <c r="E202" s="51" t="s">
        <v>122</v>
      </c>
      <c r="F202" s="55" t="s">
        <v>1463</v>
      </c>
      <c r="G202" s="56" t="s">
        <v>1464</v>
      </c>
      <c r="H202" s="57" t="s">
        <v>1171</v>
      </c>
    </row>
    <row r="203" spans="2:8" ht="79.5" customHeight="1" thickBot="1" x14ac:dyDescent="0.4">
      <c r="B203" s="46"/>
      <c r="C203" s="54" t="s">
        <v>1740</v>
      </c>
      <c r="D203" s="55" t="s">
        <v>1466</v>
      </c>
      <c r="E203" s="51" t="s">
        <v>122</v>
      </c>
      <c r="F203" s="55" t="s">
        <v>1467</v>
      </c>
      <c r="G203" s="56" t="s">
        <v>1468</v>
      </c>
      <c r="H203" s="57" t="s">
        <v>1171</v>
      </c>
    </row>
    <row r="204" spans="2:8" ht="63.75" customHeight="1" thickBot="1" x14ac:dyDescent="0.4">
      <c r="B204" s="46"/>
      <c r="C204" s="54" t="s">
        <v>1741</v>
      </c>
      <c r="D204" s="55" t="s">
        <v>1470</v>
      </c>
      <c r="E204" s="51" t="s">
        <v>122</v>
      </c>
      <c r="F204" s="55" t="s">
        <v>1471</v>
      </c>
      <c r="G204" s="56" t="s">
        <v>1472</v>
      </c>
      <c r="H204" s="57" t="s">
        <v>1171</v>
      </c>
    </row>
    <row r="205" spans="2:8" ht="111" customHeight="1" thickBot="1" x14ac:dyDescent="0.4">
      <c r="B205" s="46"/>
      <c r="C205" s="54" t="s">
        <v>1742</v>
      </c>
      <c r="D205" s="55" t="s">
        <v>1474</v>
      </c>
      <c r="E205" s="51" t="s">
        <v>122</v>
      </c>
      <c r="F205" s="55" t="s">
        <v>1475</v>
      </c>
      <c r="G205" s="56" t="s">
        <v>1476</v>
      </c>
      <c r="H205" s="57" t="s">
        <v>1171</v>
      </c>
    </row>
    <row r="206" spans="2:8" ht="142.5" customHeight="1" thickBot="1" x14ac:dyDescent="0.4">
      <c r="B206" s="46"/>
      <c r="C206" s="54" t="s">
        <v>1743</v>
      </c>
      <c r="D206" s="55" t="s">
        <v>1744</v>
      </c>
      <c r="E206" s="51" t="s">
        <v>122</v>
      </c>
      <c r="F206" s="55" t="s">
        <v>1479</v>
      </c>
      <c r="G206" s="56" t="s">
        <v>1480</v>
      </c>
      <c r="H206" s="57" t="s">
        <v>1171</v>
      </c>
    </row>
    <row r="207" spans="2:8" ht="95.25" customHeight="1" thickBot="1" x14ac:dyDescent="0.4">
      <c r="B207" s="46"/>
      <c r="C207" s="49" t="s">
        <v>1745</v>
      </c>
      <c r="D207" s="50" t="s">
        <v>1746</v>
      </c>
      <c r="E207" s="51" t="s">
        <v>122</v>
      </c>
      <c r="F207" s="50" t="s">
        <v>1747</v>
      </c>
      <c r="G207" s="52" t="s">
        <v>1748</v>
      </c>
      <c r="H207" s="57" t="s">
        <v>1171</v>
      </c>
    </row>
    <row r="208" spans="2:8" ht="79.5" customHeight="1" thickBot="1" x14ac:dyDescent="0.4">
      <c r="B208" s="46"/>
      <c r="C208" s="54" t="s">
        <v>1749</v>
      </c>
      <c r="D208" s="55" t="s">
        <v>1750</v>
      </c>
      <c r="E208" s="51" t="s">
        <v>122</v>
      </c>
      <c r="F208" s="55" t="s">
        <v>1751</v>
      </c>
      <c r="G208" s="56" t="s">
        <v>1752</v>
      </c>
      <c r="H208" s="57" t="s">
        <v>1171</v>
      </c>
    </row>
    <row r="209" spans="2:8" ht="95.25" customHeight="1" thickBot="1" x14ac:dyDescent="0.4">
      <c r="B209" s="46"/>
      <c r="C209" s="54" t="s">
        <v>1753</v>
      </c>
      <c r="D209" s="55" t="s">
        <v>1754</v>
      </c>
      <c r="E209" s="51" t="s">
        <v>122</v>
      </c>
      <c r="F209" s="55" t="s">
        <v>1755</v>
      </c>
      <c r="G209" s="56" t="s">
        <v>1756</v>
      </c>
      <c r="H209" s="57" t="s">
        <v>1171</v>
      </c>
    </row>
    <row r="210" spans="2:8" ht="126.75" customHeight="1" thickBot="1" x14ac:dyDescent="0.4">
      <c r="B210" s="46"/>
      <c r="C210" s="54" t="s">
        <v>1757</v>
      </c>
      <c r="D210" s="55" t="s">
        <v>1758</v>
      </c>
      <c r="E210" s="51" t="s">
        <v>122</v>
      </c>
      <c r="F210" s="55" t="s">
        <v>1186</v>
      </c>
      <c r="G210" s="56" t="s">
        <v>1187</v>
      </c>
      <c r="H210" s="57" t="s">
        <v>1171</v>
      </c>
    </row>
    <row r="211" spans="2:8" ht="111" customHeight="1" thickBot="1" x14ac:dyDescent="0.4">
      <c r="B211" s="46"/>
      <c r="C211" s="54" t="s">
        <v>1759</v>
      </c>
      <c r="D211" s="55" t="s">
        <v>1760</v>
      </c>
      <c r="E211" s="51" t="s">
        <v>122</v>
      </c>
      <c r="F211" s="55" t="s">
        <v>1495</v>
      </c>
      <c r="G211" s="56" t="s">
        <v>1496</v>
      </c>
      <c r="H211" s="57" t="s">
        <v>1171</v>
      </c>
    </row>
    <row r="212" spans="2:8" ht="95.25" customHeight="1" thickBot="1" x14ac:dyDescent="0.4">
      <c r="B212" s="46"/>
      <c r="C212" s="54" t="s">
        <v>1761</v>
      </c>
      <c r="D212" s="55" t="s">
        <v>1498</v>
      </c>
      <c r="E212" s="51" t="s">
        <v>122</v>
      </c>
      <c r="F212" s="55" t="s">
        <v>1194</v>
      </c>
      <c r="G212" s="56" t="s">
        <v>1499</v>
      </c>
      <c r="H212" s="57" t="s">
        <v>1171</v>
      </c>
    </row>
    <row r="213" spans="2:8" ht="268.5" customHeight="1" thickBot="1" x14ac:dyDescent="0.4">
      <c r="B213" s="46"/>
      <c r="C213" s="54" t="s">
        <v>1762</v>
      </c>
      <c r="D213" s="55" t="s">
        <v>1763</v>
      </c>
      <c r="E213" s="51" t="s">
        <v>122</v>
      </c>
      <c r="F213" s="55" t="s">
        <v>1764</v>
      </c>
      <c r="G213" s="56" t="s">
        <v>1765</v>
      </c>
      <c r="H213" s="57" t="s">
        <v>1171</v>
      </c>
    </row>
    <row r="214" spans="2:8" ht="174" customHeight="1" thickBot="1" x14ac:dyDescent="0.4">
      <c r="B214" s="46"/>
      <c r="C214" s="54" t="s">
        <v>1766</v>
      </c>
      <c r="D214" s="55" t="s">
        <v>1767</v>
      </c>
      <c r="E214" s="51" t="s">
        <v>122</v>
      </c>
      <c r="F214" s="55" t="s">
        <v>1768</v>
      </c>
      <c r="G214" s="56" t="s">
        <v>1769</v>
      </c>
      <c r="H214" s="57" t="s">
        <v>1171</v>
      </c>
    </row>
    <row r="215" spans="2:8" ht="142.5" customHeight="1" thickBot="1" x14ac:dyDescent="0.4">
      <c r="B215" s="46"/>
      <c r="C215" s="54" t="s">
        <v>1770</v>
      </c>
      <c r="D215" s="55" t="s">
        <v>1771</v>
      </c>
      <c r="E215" s="51" t="s">
        <v>122</v>
      </c>
      <c r="F215" s="55" t="s">
        <v>1772</v>
      </c>
      <c r="G215" s="56" t="s">
        <v>1773</v>
      </c>
      <c r="H215" s="57" t="s">
        <v>1171</v>
      </c>
    </row>
    <row r="216" spans="2:8" ht="126.75" customHeight="1" thickBot="1" x14ac:dyDescent="0.4">
      <c r="B216" s="46"/>
      <c r="C216" s="54" t="s">
        <v>1774</v>
      </c>
      <c r="D216" s="55" t="s">
        <v>1642</v>
      </c>
      <c r="E216" s="51" t="s">
        <v>122</v>
      </c>
      <c r="F216" s="55" t="s">
        <v>1509</v>
      </c>
      <c r="G216" s="56" t="s">
        <v>1211</v>
      </c>
      <c r="H216" s="57" t="s">
        <v>1171</v>
      </c>
    </row>
    <row r="217" spans="2:8" ht="111" customHeight="1" thickBot="1" x14ac:dyDescent="0.4">
      <c r="B217" s="46"/>
      <c r="C217" s="54" t="s">
        <v>1775</v>
      </c>
      <c r="D217" s="55" t="s">
        <v>1213</v>
      </c>
      <c r="E217" s="51" t="s">
        <v>122</v>
      </c>
      <c r="F217" s="55" t="s">
        <v>1214</v>
      </c>
      <c r="G217" s="56" t="s">
        <v>1215</v>
      </c>
      <c r="H217" s="57" t="s">
        <v>1171</v>
      </c>
    </row>
    <row r="218" spans="2:8" ht="111" customHeight="1" thickBot="1" x14ac:dyDescent="0.4">
      <c r="B218" s="46"/>
      <c r="C218" s="54" t="s">
        <v>1776</v>
      </c>
      <c r="D218" s="55" t="s">
        <v>1777</v>
      </c>
      <c r="E218" s="51" t="s">
        <v>122</v>
      </c>
      <c r="F218" s="55" t="s">
        <v>1513</v>
      </c>
      <c r="G218" s="56" t="s">
        <v>1219</v>
      </c>
      <c r="H218" s="57" t="s">
        <v>1171</v>
      </c>
    </row>
    <row r="219" spans="2:8" ht="79.5" customHeight="1" thickBot="1" x14ac:dyDescent="0.4">
      <c r="B219" s="46"/>
      <c r="C219" s="54" t="s">
        <v>1778</v>
      </c>
      <c r="D219" s="55" t="s">
        <v>1221</v>
      </c>
      <c r="E219" s="51" t="s">
        <v>122</v>
      </c>
      <c r="F219" s="55" t="s">
        <v>1222</v>
      </c>
      <c r="G219" s="56" t="s">
        <v>1223</v>
      </c>
      <c r="H219" s="57" t="s">
        <v>1171</v>
      </c>
    </row>
    <row r="220" spans="2:8" ht="158.25" customHeight="1" thickBot="1" x14ac:dyDescent="0.4">
      <c r="B220" s="46"/>
      <c r="C220" s="54" t="s">
        <v>1779</v>
      </c>
      <c r="D220" s="55" t="s">
        <v>1780</v>
      </c>
      <c r="E220" s="51" t="s">
        <v>122</v>
      </c>
      <c r="F220" s="55" t="s">
        <v>1516</v>
      </c>
      <c r="G220" s="56" t="s">
        <v>1227</v>
      </c>
      <c r="H220" s="57" t="s">
        <v>1171</v>
      </c>
    </row>
    <row r="221" spans="2:8" ht="252.75" customHeight="1" thickBot="1" x14ac:dyDescent="0.4">
      <c r="B221" s="46"/>
      <c r="C221" s="54" t="s">
        <v>1781</v>
      </c>
      <c r="D221" s="55" t="s">
        <v>1782</v>
      </c>
      <c r="E221" s="51" t="s">
        <v>122</v>
      </c>
      <c r="F221" s="55" t="s">
        <v>1273</v>
      </c>
      <c r="G221" s="56" t="s">
        <v>1274</v>
      </c>
      <c r="H221" s="57" t="s">
        <v>1171</v>
      </c>
    </row>
    <row r="222" spans="2:8" ht="205.5" customHeight="1" thickBot="1" x14ac:dyDescent="0.4">
      <c r="B222" s="46"/>
      <c r="C222" s="54" t="s">
        <v>1783</v>
      </c>
      <c r="D222" s="55" t="s">
        <v>1784</v>
      </c>
      <c r="E222" s="51" t="s">
        <v>122</v>
      </c>
      <c r="F222" s="55" t="s">
        <v>1277</v>
      </c>
      <c r="G222" s="56" t="s">
        <v>1278</v>
      </c>
      <c r="H222" s="57" t="s">
        <v>1171</v>
      </c>
    </row>
    <row r="223" spans="2:8" ht="142.5" customHeight="1" thickBot="1" x14ac:dyDescent="0.4">
      <c r="B223" s="46"/>
      <c r="C223" s="54" t="s">
        <v>1785</v>
      </c>
      <c r="D223" s="55" t="s">
        <v>1659</v>
      </c>
      <c r="E223" s="51" t="s">
        <v>122</v>
      </c>
      <c r="F223" s="55" t="s">
        <v>1660</v>
      </c>
      <c r="G223" s="56" t="s">
        <v>1661</v>
      </c>
      <c r="H223" s="57" t="s">
        <v>1171</v>
      </c>
    </row>
    <row r="224" spans="2:8" ht="252.75" customHeight="1" thickBot="1" x14ac:dyDescent="0.4">
      <c r="B224" s="46"/>
      <c r="C224" s="54" t="s">
        <v>1786</v>
      </c>
      <c r="D224" s="55" t="s">
        <v>1787</v>
      </c>
      <c r="E224" s="51" t="s">
        <v>122</v>
      </c>
      <c r="F224" s="55" t="s">
        <v>1664</v>
      </c>
      <c r="G224" s="56" t="s">
        <v>1788</v>
      </c>
      <c r="H224" s="57" t="s">
        <v>1171</v>
      </c>
    </row>
    <row r="225" spans="2:8" ht="174" customHeight="1" thickBot="1" x14ac:dyDescent="0.4">
      <c r="B225" s="46"/>
      <c r="C225" s="54" t="s">
        <v>1789</v>
      </c>
      <c r="D225" s="55" t="s">
        <v>1310</v>
      </c>
      <c r="E225" s="51" t="s">
        <v>122</v>
      </c>
      <c r="F225" s="55" t="s">
        <v>1311</v>
      </c>
      <c r="G225" s="56" t="s">
        <v>1312</v>
      </c>
      <c r="H225" s="57" t="s">
        <v>1171</v>
      </c>
    </row>
    <row r="226" spans="2:8" ht="205.5" customHeight="1" thickBot="1" x14ac:dyDescent="0.4">
      <c r="B226" s="46"/>
      <c r="C226" s="54" t="s">
        <v>1790</v>
      </c>
      <c r="D226" s="55" t="s">
        <v>1791</v>
      </c>
      <c r="E226" s="51" t="s">
        <v>122</v>
      </c>
      <c r="F226" s="55" t="s">
        <v>1792</v>
      </c>
      <c r="G226" s="56" t="s">
        <v>1793</v>
      </c>
      <c r="H226" s="57" t="s">
        <v>1171</v>
      </c>
    </row>
    <row r="227" spans="2:8" ht="189.75" customHeight="1" thickBot="1" x14ac:dyDescent="0.4">
      <c r="B227" s="46"/>
      <c r="C227" s="54" t="s">
        <v>1794</v>
      </c>
      <c r="D227" s="55" t="s">
        <v>1795</v>
      </c>
      <c r="E227" s="51" t="s">
        <v>122</v>
      </c>
      <c r="F227" s="55" t="s">
        <v>1262</v>
      </c>
      <c r="G227" s="56" t="s">
        <v>1520</v>
      </c>
      <c r="H227" s="57" t="s">
        <v>1171</v>
      </c>
    </row>
    <row r="228" spans="2:8" ht="174" customHeight="1" thickBot="1" x14ac:dyDescent="0.4">
      <c r="B228" s="46"/>
      <c r="C228" s="54" t="s">
        <v>1796</v>
      </c>
      <c r="D228" s="55" t="s">
        <v>1797</v>
      </c>
      <c r="E228" s="51" t="s">
        <v>122</v>
      </c>
      <c r="F228" s="55" t="s">
        <v>1237</v>
      </c>
      <c r="G228" s="56" t="s">
        <v>1798</v>
      </c>
      <c r="H228" s="57" t="s">
        <v>1171</v>
      </c>
    </row>
    <row r="229" spans="2:8" ht="189.75" customHeight="1" thickBot="1" x14ac:dyDescent="0.4">
      <c r="B229" s="46"/>
      <c r="C229" s="54" t="s">
        <v>1799</v>
      </c>
      <c r="D229" s="55" t="s">
        <v>1676</v>
      </c>
      <c r="E229" s="51" t="s">
        <v>122</v>
      </c>
      <c r="F229" s="55" t="s">
        <v>1677</v>
      </c>
      <c r="G229" s="56" t="s">
        <v>1527</v>
      </c>
      <c r="H229" s="57" t="s">
        <v>1171</v>
      </c>
    </row>
    <row r="230" spans="2:8" ht="205.5" customHeight="1" thickBot="1" x14ac:dyDescent="0.4">
      <c r="B230" s="46"/>
      <c r="C230" s="54" t="s">
        <v>1800</v>
      </c>
      <c r="D230" s="55" t="s">
        <v>1683</v>
      </c>
      <c r="E230" s="51" t="s">
        <v>122</v>
      </c>
      <c r="F230" s="55" t="s">
        <v>1684</v>
      </c>
      <c r="G230" s="56" t="s">
        <v>1531</v>
      </c>
      <c r="H230" s="57" t="s">
        <v>1171</v>
      </c>
    </row>
    <row r="231" spans="2:8" ht="189.75" customHeight="1" thickBot="1" x14ac:dyDescent="0.4">
      <c r="B231" s="46"/>
      <c r="C231" s="54" t="s">
        <v>1801</v>
      </c>
      <c r="D231" s="55" t="s">
        <v>1537</v>
      </c>
      <c r="E231" s="51" t="s">
        <v>122</v>
      </c>
      <c r="F231" s="55" t="s">
        <v>1690</v>
      </c>
      <c r="G231" s="56" t="s">
        <v>1539</v>
      </c>
      <c r="H231" s="57" t="s">
        <v>1171</v>
      </c>
    </row>
    <row r="232" spans="2:8" ht="252.75" customHeight="1" thickBot="1" x14ac:dyDescent="0.4">
      <c r="B232" s="46"/>
      <c r="C232" s="54" t="s">
        <v>1802</v>
      </c>
      <c r="D232" s="55" t="s">
        <v>1803</v>
      </c>
      <c r="E232" s="51" t="s">
        <v>122</v>
      </c>
      <c r="F232" s="55" t="s">
        <v>1258</v>
      </c>
      <c r="G232" s="56" t="s">
        <v>1700</v>
      </c>
      <c r="H232" s="57" t="s">
        <v>1171</v>
      </c>
    </row>
    <row r="233" spans="2:8" ht="205.5" customHeight="1" thickBot="1" x14ac:dyDescent="0.4">
      <c r="B233" s="46"/>
      <c r="C233" s="54" t="s">
        <v>1804</v>
      </c>
      <c r="D233" s="55" t="s">
        <v>1805</v>
      </c>
      <c r="E233" s="51" t="s">
        <v>122</v>
      </c>
      <c r="F233" s="55" t="s">
        <v>1250</v>
      </c>
      <c r="G233" s="56" t="s">
        <v>1251</v>
      </c>
      <c r="H233" s="57" t="s">
        <v>1171</v>
      </c>
    </row>
    <row r="234" spans="2:8" ht="189.75" customHeight="1" thickBot="1" x14ac:dyDescent="0.4">
      <c r="B234" s="46"/>
      <c r="C234" s="54" t="s">
        <v>1806</v>
      </c>
      <c r="D234" s="55" t="s">
        <v>1807</v>
      </c>
      <c r="E234" s="51" t="s">
        <v>122</v>
      </c>
      <c r="F234" s="55" t="s">
        <v>1266</v>
      </c>
      <c r="G234" s="56" t="s">
        <v>1808</v>
      </c>
      <c r="H234" s="57" t="s">
        <v>1171</v>
      </c>
    </row>
    <row r="235" spans="2:8" ht="158.25" customHeight="1" thickBot="1" x14ac:dyDescent="0.4">
      <c r="B235" s="46"/>
      <c r="C235" s="54" t="s">
        <v>1809</v>
      </c>
      <c r="D235" s="55" t="s">
        <v>1810</v>
      </c>
      <c r="E235" s="51" t="s">
        <v>122</v>
      </c>
      <c r="F235" s="55" t="s">
        <v>1545</v>
      </c>
      <c r="G235" s="56" t="s">
        <v>1316</v>
      </c>
      <c r="H235" s="57" t="s">
        <v>1171</v>
      </c>
    </row>
    <row r="236" spans="2:8" ht="174" customHeight="1" thickBot="1" x14ac:dyDescent="0.4">
      <c r="B236" s="46"/>
      <c r="C236" s="54" t="s">
        <v>1811</v>
      </c>
      <c r="D236" s="55" t="s">
        <v>1812</v>
      </c>
      <c r="E236" s="51" t="s">
        <v>122</v>
      </c>
      <c r="F236" s="55" t="s">
        <v>1319</v>
      </c>
      <c r="G236" s="56" t="s">
        <v>1320</v>
      </c>
      <c r="H236" s="57" t="s">
        <v>1171</v>
      </c>
    </row>
    <row r="237" spans="2:8" ht="79.5" customHeight="1" thickBot="1" x14ac:dyDescent="0.4">
      <c r="B237" s="46"/>
      <c r="C237" s="54" t="s">
        <v>1813</v>
      </c>
      <c r="D237" s="55" t="s">
        <v>1814</v>
      </c>
      <c r="E237" s="51" t="s">
        <v>122</v>
      </c>
      <c r="F237" s="55" t="s">
        <v>1815</v>
      </c>
      <c r="G237" s="56" t="s">
        <v>1324</v>
      </c>
      <c r="H237" s="57" t="s">
        <v>1171</v>
      </c>
    </row>
    <row r="238" spans="2:8" ht="63.75" customHeight="1" thickBot="1" x14ac:dyDescent="0.4">
      <c r="B238" s="46"/>
      <c r="C238" s="54" t="s">
        <v>1816</v>
      </c>
      <c r="D238" s="55" t="s">
        <v>1817</v>
      </c>
      <c r="E238" s="51" t="s">
        <v>122</v>
      </c>
      <c r="F238" s="55" t="s">
        <v>1327</v>
      </c>
      <c r="G238" s="56" t="s">
        <v>1328</v>
      </c>
      <c r="H238" s="57" t="s">
        <v>1171</v>
      </c>
    </row>
    <row r="239" spans="2:8" ht="205.5" customHeight="1" thickBot="1" x14ac:dyDescent="0.4">
      <c r="B239" s="46"/>
      <c r="C239" s="54" t="s">
        <v>1818</v>
      </c>
      <c r="D239" s="55" t="s">
        <v>1819</v>
      </c>
      <c r="E239" s="51" t="s">
        <v>122</v>
      </c>
      <c r="F239" s="55" t="s">
        <v>1331</v>
      </c>
      <c r="G239" s="56" t="s">
        <v>1332</v>
      </c>
      <c r="H239" s="57" t="s">
        <v>1171</v>
      </c>
    </row>
    <row r="240" spans="2:8" ht="111" customHeight="1" thickBot="1" x14ac:dyDescent="0.4">
      <c r="B240" s="46"/>
      <c r="C240" s="54" t="s">
        <v>1820</v>
      </c>
      <c r="D240" s="55" t="s">
        <v>1556</v>
      </c>
      <c r="E240" s="51" t="s">
        <v>122</v>
      </c>
      <c r="F240" s="55" t="s">
        <v>1821</v>
      </c>
      <c r="G240" s="56" t="s">
        <v>1336</v>
      </c>
      <c r="H240" s="57" t="s">
        <v>1171</v>
      </c>
    </row>
    <row r="241" spans="2:8" ht="95.25" customHeight="1" thickBot="1" x14ac:dyDescent="0.4">
      <c r="B241" s="46"/>
      <c r="C241" s="54" t="s">
        <v>1822</v>
      </c>
      <c r="D241" s="55" t="s">
        <v>1338</v>
      </c>
      <c r="E241" s="51" t="s">
        <v>122</v>
      </c>
      <c r="F241" s="55" t="s">
        <v>1339</v>
      </c>
      <c r="G241" s="56" t="s">
        <v>1340</v>
      </c>
      <c r="H241" s="57" t="s">
        <v>1171</v>
      </c>
    </row>
    <row r="242" spans="2:8" ht="126.75" customHeight="1" thickBot="1" x14ac:dyDescent="0.4">
      <c r="B242" s="46"/>
      <c r="C242" s="54" t="s">
        <v>1823</v>
      </c>
      <c r="D242" s="55" t="s">
        <v>1342</v>
      </c>
      <c r="E242" s="51" t="s">
        <v>122</v>
      </c>
      <c r="F242" s="55" t="s">
        <v>1343</v>
      </c>
      <c r="G242" s="56" t="s">
        <v>1344</v>
      </c>
      <c r="H242" s="57" t="s">
        <v>1171</v>
      </c>
    </row>
    <row r="243" spans="2:8" ht="126.75" customHeight="1" thickBot="1" x14ac:dyDescent="0.4">
      <c r="B243" s="46"/>
      <c r="C243" s="54" t="s">
        <v>1824</v>
      </c>
      <c r="D243" s="55" t="s">
        <v>1346</v>
      </c>
      <c r="E243" s="51" t="s">
        <v>122</v>
      </c>
      <c r="F243" s="55" t="s">
        <v>1347</v>
      </c>
      <c r="G243" s="56" t="s">
        <v>1348</v>
      </c>
      <c r="H243" s="57" t="s">
        <v>1171</v>
      </c>
    </row>
    <row r="244" spans="2:8" ht="126.75" customHeight="1" thickBot="1" x14ac:dyDescent="0.4">
      <c r="B244" s="46"/>
      <c r="C244" s="54" t="s">
        <v>1825</v>
      </c>
      <c r="D244" s="55" t="s">
        <v>1350</v>
      </c>
      <c r="E244" s="51" t="s">
        <v>122</v>
      </c>
      <c r="F244" s="55" t="s">
        <v>1351</v>
      </c>
      <c r="G244" s="56" t="s">
        <v>1352</v>
      </c>
      <c r="H244" s="57" t="s">
        <v>1171</v>
      </c>
    </row>
    <row r="245" spans="2:8" ht="126.75" customHeight="1" thickBot="1" x14ac:dyDescent="0.4">
      <c r="B245" s="46"/>
      <c r="C245" s="54" t="s">
        <v>1826</v>
      </c>
      <c r="D245" s="55" t="s">
        <v>1354</v>
      </c>
      <c r="E245" s="51" t="s">
        <v>122</v>
      </c>
      <c r="F245" s="55" t="s">
        <v>1355</v>
      </c>
      <c r="G245" s="56" t="s">
        <v>1356</v>
      </c>
      <c r="H245" s="57" t="s">
        <v>1171</v>
      </c>
    </row>
    <row r="246" spans="2:8" ht="111" customHeight="1" thickBot="1" x14ac:dyDescent="0.4">
      <c r="B246" s="46"/>
      <c r="C246" s="54" t="s">
        <v>1827</v>
      </c>
      <c r="D246" s="55" t="s">
        <v>1358</v>
      </c>
      <c r="E246" s="51" t="s">
        <v>122</v>
      </c>
      <c r="F246" s="55" t="s">
        <v>1359</v>
      </c>
      <c r="G246" s="56" t="s">
        <v>1360</v>
      </c>
      <c r="H246" s="57" t="s">
        <v>1171</v>
      </c>
    </row>
    <row r="247" spans="2:8" ht="111" customHeight="1" thickBot="1" x14ac:dyDescent="0.4">
      <c r="B247" s="46"/>
      <c r="C247" s="54" t="s">
        <v>1828</v>
      </c>
      <c r="D247" s="55" t="s">
        <v>1362</v>
      </c>
      <c r="E247" s="51" t="s">
        <v>122</v>
      </c>
      <c r="F247" s="55" t="s">
        <v>1363</v>
      </c>
      <c r="G247" s="56" t="s">
        <v>1364</v>
      </c>
      <c r="H247" s="57" t="s">
        <v>1171</v>
      </c>
    </row>
    <row r="248" spans="2:8" ht="111" customHeight="1" thickBot="1" x14ac:dyDescent="0.4">
      <c r="B248" s="46"/>
      <c r="C248" s="54" t="s">
        <v>1829</v>
      </c>
      <c r="D248" s="55" t="s">
        <v>1366</v>
      </c>
      <c r="E248" s="51" t="s">
        <v>122</v>
      </c>
      <c r="F248" s="55" t="s">
        <v>1367</v>
      </c>
      <c r="G248" s="56" t="s">
        <v>1368</v>
      </c>
      <c r="H248" s="57" t="s">
        <v>1171</v>
      </c>
    </row>
    <row r="249" spans="2:8" ht="111" customHeight="1" thickBot="1" x14ac:dyDescent="0.4">
      <c r="B249" s="46"/>
      <c r="C249" s="54" t="s">
        <v>1830</v>
      </c>
      <c r="D249" s="55" t="s">
        <v>1831</v>
      </c>
      <c r="E249" s="51" t="s">
        <v>122</v>
      </c>
      <c r="F249" s="55" t="s">
        <v>1371</v>
      </c>
      <c r="G249" s="56" t="s">
        <v>1372</v>
      </c>
      <c r="H249" s="57" t="s">
        <v>1171</v>
      </c>
    </row>
    <row r="250" spans="2:8" ht="79.5" customHeight="1" thickBot="1" x14ac:dyDescent="0.4">
      <c r="B250" s="46"/>
      <c r="C250" s="54" t="s">
        <v>1832</v>
      </c>
      <c r="D250" s="55" t="s">
        <v>1833</v>
      </c>
      <c r="E250" s="51" t="s">
        <v>122</v>
      </c>
      <c r="F250" s="55" t="s">
        <v>1375</v>
      </c>
      <c r="G250" s="56" t="s">
        <v>1376</v>
      </c>
      <c r="H250" s="57" t="s">
        <v>1171</v>
      </c>
    </row>
    <row r="251" spans="2:8" ht="158.25" customHeight="1" thickBot="1" x14ac:dyDescent="0.4">
      <c r="B251" s="46"/>
      <c r="C251" s="54" t="s">
        <v>1834</v>
      </c>
      <c r="D251" s="55" t="s">
        <v>1835</v>
      </c>
      <c r="E251" s="51" t="s">
        <v>122</v>
      </c>
      <c r="F251" s="55" t="s">
        <v>1379</v>
      </c>
      <c r="G251" s="56" t="s">
        <v>1380</v>
      </c>
      <c r="H251" s="57" t="s">
        <v>1171</v>
      </c>
    </row>
    <row r="252" spans="2:8" ht="79.5" customHeight="1" thickBot="1" x14ac:dyDescent="0.4">
      <c r="B252" s="46"/>
      <c r="C252" s="54" t="s">
        <v>1836</v>
      </c>
      <c r="D252" s="55" t="s">
        <v>1837</v>
      </c>
      <c r="E252" s="51" t="s">
        <v>122</v>
      </c>
      <c r="F252" s="55" t="s">
        <v>1383</v>
      </c>
      <c r="G252" s="56" t="s">
        <v>1384</v>
      </c>
      <c r="H252" s="57" t="s">
        <v>1171</v>
      </c>
    </row>
    <row r="253" spans="2:8" ht="63.75" customHeight="1" thickBot="1" x14ac:dyDescent="0.4">
      <c r="B253" s="46"/>
      <c r="C253" s="54" t="s">
        <v>1838</v>
      </c>
      <c r="D253" s="55" t="s">
        <v>1386</v>
      </c>
      <c r="E253" s="51" t="s">
        <v>122</v>
      </c>
      <c r="F253" s="55" t="s">
        <v>1387</v>
      </c>
      <c r="G253" s="56" t="s">
        <v>1388</v>
      </c>
      <c r="H253" s="57" t="s">
        <v>1171</v>
      </c>
    </row>
    <row r="254" spans="2:8" ht="126.75" customHeight="1" thickBot="1" x14ac:dyDescent="0.4">
      <c r="B254" s="46"/>
      <c r="C254" s="54" t="s">
        <v>1839</v>
      </c>
      <c r="D254" s="55" t="s">
        <v>1840</v>
      </c>
      <c r="E254" s="51" t="s">
        <v>122</v>
      </c>
      <c r="F254" s="55" t="s">
        <v>1391</v>
      </c>
      <c r="G254" s="56" t="s">
        <v>1392</v>
      </c>
      <c r="H254" s="57" t="s">
        <v>1171</v>
      </c>
    </row>
    <row r="255" spans="2:8" ht="174" customHeight="1" thickBot="1" x14ac:dyDescent="0.4">
      <c r="B255" s="46"/>
      <c r="C255" s="54" t="s">
        <v>1841</v>
      </c>
      <c r="D255" s="55" t="s">
        <v>1394</v>
      </c>
      <c r="E255" s="51" t="s">
        <v>122</v>
      </c>
      <c r="F255" s="55" t="s">
        <v>1395</v>
      </c>
      <c r="G255" s="56" t="s">
        <v>1396</v>
      </c>
      <c r="H255" s="57" t="s">
        <v>1171</v>
      </c>
    </row>
    <row r="256" spans="2:8" ht="95.25" customHeight="1" thickBot="1" x14ac:dyDescent="0.4">
      <c r="B256" s="46"/>
      <c r="C256" s="54" t="s">
        <v>1842</v>
      </c>
      <c r="D256" s="55" t="s">
        <v>1843</v>
      </c>
      <c r="E256" s="51" t="s">
        <v>122</v>
      </c>
      <c r="F256" s="55" t="s">
        <v>1399</v>
      </c>
      <c r="G256" s="56" t="s">
        <v>1400</v>
      </c>
      <c r="H256" s="57" t="s">
        <v>1171</v>
      </c>
    </row>
    <row r="257" spans="2:8" ht="63.75" customHeight="1" thickBot="1" x14ac:dyDescent="0.4">
      <c r="B257" s="46"/>
      <c r="C257" s="54" t="s">
        <v>1844</v>
      </c>
      <c r="D257" s="55" t="s">
        <v>1845</v>
      </c>
      <c r="E257" s="51" t="s">
        <v>122</v>
      </c>
      <c r="F257" s="55" t="s">
        <v>1403</v>
      </c>
      <c r="G257" s="56" t="s">
        <v>1404</v>
      </c>
      <c r="H257" s="57" t="s">
        <v>1171</v>
      </c>
    </row>
    <row r="258" spans="2:8" ht="95.25" customHeight="1" thickBot="1" x14ac:dyDescent="0.4">
      <c r="B258" s="46"/>
      <c r="C258" s="54" t="s">
        <v>1846</v>
      </c>
      <c r="D258" s="55" t="s">
        <v>1426</v>
      </c>
      <c r="E258" s="51" t="s">
        <v>122</v>
      </c>
      <c r="F258" s="55" t="s">
        <v>1427</v>
      </c>
      <c r="G258" s="56" t="s">
        <v>1428</v>
      </c>
      <c r="H258" s="57" t="s">
        <v>1171</v>
      </c>
    </row>
    <row r="259" spans="2:8" ht="79.5" customHeight="1" thickBot="1" x14ac:dyDescent="0.4">
      <c r="B259" s="46"/>
      <c r="C259" s="54" t="s">
        <v>1847</v>
      </c>
      <c r="D259" s="55" t="s">
        <v>1430</v>
      </c>
      <c r="E259" s="51" t="s">
        <v>122</v>
      </c>
      <c r="F259" s="55" t="s">
        <v>1431</v>
      </c>
      <c r="G259" s="56" t="s">
        <v>1432</v>
      </c>
      <c r="H259" s="57" t="s">
        <v>1171</v>
      </c>
    </row>
    <row r="260" spans="2:8" ht="63.75" customHeight="1" thickBot="1" x14ac:dyDescent="0.4">
      <c r="B260" s="46"/>
      <c r="C260" s="54" t="s">
        <v>1848</v>
      </c>
      <c r="D260" s="55" t="s">
        <v>1731</v>
      </c>
      <c r="E260" s="51" t="s">
        <v>122</v>
      </c>
      <c r="F260" s="55" t="s">
        <v>1435</v>
      </c>
      <c r="G260" s="56" t="s">
        <v>1436</v>
      </c>
      <c r="H260" s="57" t="s">
        <v>1171</v>
      </c>
    </row>
    <row r="261" spans="2:8" ht="111" customHeight="1" thickBot="1" x14ac:dyDescent="0.4">
      <c r="B261" s="46"/>
      <c r="C261" s="54" t="s">
        <v>1849</v>
      </c>
      <c r="D261" s="55" t="s">
        <v>1438</v>
      </c>
      <c r="E261" s="51" t="s">
        <v>122</v>
      </c>
      <c r="F261" s="55" t="s">
        <v>1439</v>
      </c>
      <c r="G261" s="56" t="s">
        <v>1440</v>
      </c>
      <c r="H261" s="57" t="s">
        <v>1171</v>
      </c>
    </row>
    <row r="262" spans="2:8" ht="79.5" customHeight="1" thickBot="1" x14ac:dyDescent="0.4">
      <c r="B262" s="46"/>
      <c r="C262" s="54" t="s">
        <v>1850</v>
      </c>
      <c r="D262" s="55" t="s">
        <v>1442</v>
      </c>
      <c r="E262" s="51" t="s">
        <v>122</v>
      </c>
      <c r="F262" s="55" t="s">
        <v>1443</v>
      </c>
      <c r="G262" s="56" t="s">
        <v>1444</v>
      </c>
      <c r="H262" s="57" t="s">
        <v>1171</v>
      </c>
    </row>
    <row r="263" spans="2:8" ht="79.5" customHeight="1" thickBot="1" x14ac:dyDescent="0.4">
      <c r="B263" s="46"/>
      <c r="C263" s="54" t="s">
        <v>1851</v>
      </c>
      <c r="D263" s="55" t="s">
        <v>1446</v>
      </c>
      <c r="E263" s="51" t="s">
        <v>122</v>
      </c>
      <c r="F263" s="55" t="s">
        <v>1447</v>
      </c>
      <c r="G263" s="56" t="s">
        <v>1448</v>
      </c>
      <c r="H263" s="57" t="s">
        <v>1171</v>
      </c>
    </row>
    <row r="264" spans="2:8" ht="79.5" customHeight="1" thickBot="1" x14ac:dyDescent="0.4">
      <c r="B264" s="46"/>
      <c r="C264" s="54" t="s">
        <v>1852</v>
      </c>
      <c r="D264" s="55" t="s">
        <v>1450</v>
      </c>
      <c r="E264" s="51" t="s">
        <v>122</v>
      </c>
      <c r="F264" s="55" t="s">
        <v>1451</v>
      </c>
      <c r="G264" s="56" t="s">
        <v>1452</v>
      </c>
      <c r="H264" s="57" t="s">
        <v>1171</v>
      </c>
    </row>
    <row r="265" spans="2:8" ht="63.75" customHeight="1" thickBot="1" x14ac:dyDescent="0.4">
      <c r="B265" s="46"/>
      <c r="C265" s="54" t="s">
        <v>1853</v>
      </c>
      <c r="D265" s="55" t="s">
        <v>1454</v>
      </c>
      <c r="E265" s="51" t="s">
        <v>122</v>
      </c>
      <c r="F265" s="55" t="s">
        <v>1455</v>
      </c>
      <c r="G265" s="56" t="s">
        <v>1456</v>
      </c>
      <c r="H265" s="57" t="s">
        <v>1171</v>
      </c>
    </row>
    <row r="266" spans="2:8" ht="80.25" customHeight="1" thickBot="1" x14ac:dyDescent="0.4">
      <c r="B266" s="46"/>
      <c r="C266" s="54" t="s">
        <v>1854</v>
      </c>
      <c r="D266" s="55" t="s">
        <v>1458</v>
      </c>
      <c r="E266" s="51" t="s">
        <v>122</v>
      </c>
      <c r="F266" s="55" t="s">
        <v>1459</v>
      </c>
      <c r="G266" s="56" t="s">
        <v>1460</v>
      </c>
      <c r="H266" s="57" t="s">
        <v>1171</v>
      </c>
    </row>
    <row r="267" spans="2:8" ht="79.5" customHeight="1" thickBot="1" x14ac:dyDescent="0.4">
      <c r="B267" s="46"/>
      <c r="C267" s="54" t="s">
        <v>1855</v>
      </c>
      <c r="D267" s="55" t="s">
        <v>1856</v>
      </c>
      <c r="E267" s="51" t="s">
        <v>122</v>
      </c>
      <c r="F267" s="55" t="s">
        <v>1463</v>
      </c>
      <c r="G267" s="56" t="s">
        <v>1464</v>
      </c>
      <c r="H267" s="57" t="s">
        <v>1171</v>
      </c>
    </row>
    <row r="268" spans="2:8" ht="95.25" customHeight="1" thickBot="1" x14ac:dyDescent="0.4">
      <c r="B268" s="46"/>
      <c r="C268" s="54" t="s">
        <v>1857</v>
      </c>
      <c r="D268" s="55" t="s">
        <v>1466</v>
      </c>
      <c r="E268" s="51" t="s">
        <v>122</v>
      </c>
      <c r="F268" s="55" t="s">
        <v>1467</v>
      </c>
      <c r="G268" s="56" t="s">
        <v>1468</v>
      </c>
      <c r="H268" s="57" t="s">
        <v>1171</v>
      </c>
    </row>
    <row r="269" spans="2:8" ht="63.75" customHeight="1" thickBot="1" x14ac:dyDescent="0.4">
      <c r="B269" s="46"/>
      <c r="C269" s="54" t="s">
        <v>1858</v>
      </c>
      <c r="D269" s="55" t="s">
        <v>1470</v>
      </c>
      <c r="E269" s="51" t="s">
        <v>122</v>
      </c>
      <c r="F269" s="55" t="s">
        <v>1471</v>
      </c>
      <c r="G269" s="56" t="s">
        <v>1472</v>
      </c>
      <c r="H269" s="57" t="s">
        <v>1171</v>
      </c>
    </row>
    <row r="270" spans="2:8" ht="111" customHeight="1" thickBot="1" x14ac:dyDescent="0.4">
      <c r="B270" s="46"/>
      <c r="C270" s="54" t="s">
        <v>1859</v>
      </c>
      <c r="D270" s="55" t="s">
        <v>1474</v>
      </c>
      <c r="E270" s="51" t="s">
        <v>122</v>
      </c>
      <c r="F270" s="55" t="s">
        <v>1475</v>
      </c>
      <c r="G270" s="56" t="s">
        <v>1476</v>
      </c>
      <c r="H270" s="57" t="s">
        <v>1171</v>
      </c>
    </row>
    <row r="271" spans="2:8" ht="142.5" customHeight="1" thickBot="1" x14ac:dyDescent="0.4">
      <c r="B271" s="46"/>
      <c r="C271" s="54" t="s">
        <v>1860</v>
      </c>
      <c r="D271" s="55" t="s">
        <v>1861</v>
      </c>
      <c r="E271" s="51" t="s">
        <v>122</v>
      </c>
      <c r="F271" s="55" t="s">
        <v>1479</v>
      </c>
      <c r="G271" s="56" t="s">
        <v>1480</v>
      </c>
      <c r="H271" s="57" t="s">
        <v>1171</v>
      </c>
    </row>
    <row r="272" spans="2:8" ht="95.25" customHeight="1" thickBot="1" x14ac:dyDescent="0.4">
      <c r="B272" s="46"/>
      <c r="C272" s="49" t="s">
        <v>1862</v>
      </c>
      <c r="D272" s="50" t="s">
        <v>1863</v>
      </c>
      <c r="E272" s="58" t="s">
        <v>125</v>
      </c>
      <c r="F272" s="50" t="s">
        <v>1864</v>
      </c>
      <c r="G272" s="52" t="s">
        <v>1865</v>
      </c>
      <c r="H272" s="57" t="s">
        <v>1171</v>
      </c>
    </row>
    <row r="273" spans="2:8" ht="63.75" customHeight="1" thickBot="1" x14ac:dyDescent="0.4">
      <c r="B273" s="46"/>
      <c r="C273" s="54" t="s">
        <v>1866</v>
      </c>
      <c r="D273" s="55" t="s">
        <v>1867</v>
      </c>
      <c r="E273" s="58" t="s">
        <v>125</v>
      </c>
      <c r="F273" s="55" t="s">
        <v>1868</v>
      </c>
      <c r="G273" s="56" t="s">
        <v>1869</v>
      </c>
      <c r="H273" s="57" t="s">
        <v>1171</v>
      </c>
    </row>
    <row r="274" spans="2:8" ht="79.5" customHeight="1" thickBot="1" x14ac:dyDescent="0.4">
      <c r="B274" s="46"/>
      <c r="C274" s="54" t="s">
        <v>1870</v>
      </c>
      <c r="D274" s="55" t="s">
        <v>1871</v>
      </c>
      <c r="E274" s="58" t="s">
        <v>125</v>
      </c>
      <c r="F274" s="55" t="s">
        <v>1872</v>
      </c>
      <c r="G274" s="56" t="s">
        <v>1873</v>
      </c>
      <c r="H274" s="57" t="s">
        <v>1171</v>
      </c>
    </row>
    <row r="275" spans="2:8" ht="79.5" customHeight="1" thickBot="1" x14ac:dyDescent="0.4">
      <c r="B275" s="46"/>
      <c r="C275" s="54" t="s">
        <v>1874</v>
      </c>
      <c r="D275" s="55" t="s">
        <v>1875</v>
      </c>
      <c r="E275" s="58" t="s">
        <v>125</v>
      </c>
      <c r="F275" s="55" t="s">
        <v>1876</v>
      </c>
      <c r="G275" s="56" t="s">
        <v>1877</v>
      </c>
      <c r="H275" s="57" t="s">
        <v>1171</v>
      </c>
    </row>
    <row r="276" spans="2:8" ht="126.75" customHeight="1" thickBot="1" x14ac:dyDescent="0.4">
      <c r="B276" s="46"/>
      <c r="C276" s="54" t="s">
        <v>1878</v>
      </c>
      <c r="D276" s="55" t="s">
        <v>1879</v>
      </c>
      <c r="E276" s="58" t="s">
        <v>125</v>
      </c>
      <c r="F276" s="55" t="s">
        <v>1186</v>
      </c>
      <c r="G276" s="56" t="s">
        <v>1187</v>
      </c>
      <c r="H276" s="57" t="s">
        <v>1171</v>
      </c>
    </row>
    <row r="277" spans="2:8" ht="126.75" customHeight="1" thickBot="1" x14ac:dyDescent="0.4">
      <c r="B277" s="46"/>
      <c r="C277" s="54" t="s">
        <v>1880</v>
      </c>
      <c r="D277" s="55" t="s">
        <v>1881</v>
      </c>
      <c r="E277" s="58" t="s">
        <v>125</v>
      </c>
      <c r="F277" s="55" t="s">
        <v>1495</v>
      </c>
      <c r="G277" s="56" t="s">
        <v>1496</v>
      </c>
      <c r="H277" s="57" t="s">
        <v>1171</v>
      </c>
    </row>
    <row r="278" spans="2:8" ht="95.25" customHeight="1" thickBot="1" x14ac:dyDescent="0.4">
      <c r="B278" s="46"/>
      <c r="C278" s="54" t="s">
        <v>1882</v>
      </c>
      <c r="D278" s="55" t="s">
        <v>1498</v>
      </c>
      <c r="E278" s="58" t="s">
        <v>125</v>
      </c>
      <c r="F278" s="55" t="s">
        <v>1194</v>
      </c>
      <c r="G278" s="56" t="s">
        <v>1499</v>
      </c>
      <c r="H278" s="57" t="s">
        <v>1171</v>
      </c>
    </row>
    <row r="279" spans="2:8" ht="237" customHeight="1" thickBot="1" x14ac:dyDescent="0.4">
      <c r="B279" s="46"/>
      <c r="C279" s="54" t="s">
        <v>1883</v>
      </c>
      <c r="D279" s="55" t="s">
        <v>1884</v>
      </c>
      <c r="E279" s="58" t="s">
        <v>125</v>
      </c>
      <c r="F279" s="55" t="s">
        <v>1885</v>
      </c>
      <c r="G279" s="56" t="s">
        <v>1886</v>
      </c>
      <c r="H279" s="57" t="s">
        <v>1171</v>
      </c>
    </row>
    <row r="280" spans="2:8" ht="142.5" customHeight="1" thickBot="1" x14ac:dyDescent="0.4">
      <c r="B280" s="46"/>
      <c r="C280" s="54" t="s">
        <v>1887</v>
      </c>
      <c r="D280" s="55" t="s">
        <v>1888</v>
      </c>
      <c r="E280" s="58" t="s">
        <v>125</v>
      </c>
      <c r="F280" s="55" t="s">
        <v>1768</v>
      </c>
      <c r="G280" s="56" t="s">
        <v>1889</v>
      </c>
      <c r="H280" s="57" t="s">
        <v>1171</v>
      </c>
    </row>
    <row r="281" spans="2:8" ht="142.5" customHeight="1" thickBot="1" x14ac:dyDescent="0.4">
      <c r="B281" s="46"/>
      <c r="C281" s="54" t="s">
        <v>1890</v>
      </c>
      <c r="D281" s="55" t="s">
        <v>1771</v>
      </c>
      <c r="E281" s="58" t="s">
        <v>125</v>
      </c>
      <c r="F281" s="55" t="s">
        <v>1772</v>
      </c>
      <c r="G281" s="56" t="s">
        <v>1773</v>
      </c>
      <c r="H281" s="57" t="s">
        <v>1171</v>
      </c>
    </row>
    <row r="282" spans="2:8" ht="126.75" customHeight="1" thickBot="1" x14ac:dyDescent="0.4">
      <c r="B282" s="46"/>
      <c r="C282" s="54" t="s">
        <v>1891</v>
      </c>
      <c r="D282" s="55" t="s">
        <v>1642</v>
      </c>
      <c r="E282" s="58" t="s">
        <v>125</v>
      </c>
      <c r="F282" s="55" t="s">
        <v>1509</v>
      </c>
      <c r="G282" s="56" t="s">
        <v>1211</v>
      </c>
      <c r="H282" s="57" t="s">
        <v>1171</v>
      </c>
    </row>
    <row r="283" spans="2:8" ht="111" customHeight="1" thickBot="1" x14ac:dyDescent="0.4">
      <c r="B283" s="46"/>
      <c r="C283" s="54" t="s">
        <v>1892</v>
      </c>
      <c r="D283" s="55" t="s">
        <v>1213</v>
      </c>
      <c r="E283" s="58" t="s">
        <v>125</v>
      </c>
      <c r="F283" s="55" t="s">
        <v>1214</v>
      </c>
      <c r="G283" s="56" t="s">
        <v>1215</v>
      </c>
      <c r="H283" s="57" t="s">
        <v>1171</v>
      </c>
    </row>
    <row r="284" spans="2:8" ht="111" customHeight="1" thickBot="1" x14ac:dyDescent="0.4">
      <c r="B284" s="46"/>
      <c r="C284" s="54" t="s">
        <v>1893</v>
      </c>
      <c r="D284" s="55" t="s">
        <v>1512</v>
      </c>
      <c r="E284" s="58" t="s">
        <v>125</v>
      </c>
      <c r="F284" s="55" t="s">
        <v>1513</v>
      </c>
      <c r="G284" s="56" t="s">
        <v>1219</v>
      </c>
      <c r="H284" s="57" t="s">
        <v>1171</v>
      </c>
    </row>
    <row r="285" spans="2:8" ht="79.5" customHeight="1" thickBot="1" x14ac:dyDescent="0.4">
      <c r="B285" s="46"/>
      <c r="C285" s="54" t="s">
        <v>1894</v>
      </c>
      <c r="D285" s="55" t="s">
        <v>1221</v>
      </c>
      <c r="E285" s="58" t="s">
        <v>125</v>
      </c>
      <c r="F285" s="55" t="s">
        <v>1222</v>
      </c>
      <c r="G285" s="56" t="s">
        <v>1223</v>
      </c>
      <c r="H285" s="57" t="s">
        <v>1171</v>
      </c>
    </row>
    <row r="286" spans="2:8" ht="158.25" customHeight="1" thickBot="1" x14ac:dyDescent="0.4">
      <c r="B286" s="46"/>
      <c r="C286" s="54" t="s">
        <v>1895</v>
      </c>
      <c r="D286" s="55" t="s">
        <v>1780</v>
      </c>
      <c r="E286" s="58" t="s">
        <v>125</v>
      </c>
      <c r="F286" s="55" t="s">
        <v>1516</v>
      </c>
      <c r="G286" s="56" t="s">
        <v>1227</v>
      </c>
      <c r="H286" s="57" t="s">
        <v>1171</v>
      </c>
    </row>
    <row r="287" spans="2:8" ht="158.25" customHeight="1" thickBot="1" x14ac:dyDescent="0.4">
      <c r="B287" s="46"/>
      <c r="C287" s="54" t="s">
        <v>1896</v>
      </c>
      <c r="D287" s="55" t="s">
        <v>1897</v>
      </c>
      <c r="E287" s="58" t="s">
        <v>125</v>
      </c>
      <c r="F287" s="55" t="s">
        <v>1898</v>
      </c>
      <c r="G287" s="56" t="s">
        <v>1899</v>
      </c>
      <c r="H287" s="57" t="s">
        <v>1171</v>
      </c>
    </row>
    <row r="288" spans="2:8" ht="189.75" customHeight="1" thickBot="1" x14ac:dyDescent="0.4">
      <c r="B288" s="46"/>
      <c r="C288" s="54" t="s">
        <v>1900</v>
      </c>
      <c r="D288" s="55" t="s">
        <v>1901</v>
      </c>
      <c r="E288" s="58" t="s">
        <v>125</v>
      </c>
      <c r="F288" s="55" t="s">
        <v>1262</v>
      </c>
      <c r="G288" s="56" t="s">
        <v>1520</v>
      </c>
      <c r="H288" s="57" t="s">
        <v>1171</v>
      </c>
    </row>
    <row r="289" spans="2:8" ht="189.75" customHeight="1" thickBot="1" x14ac:dyDescent="0.4">
      <c r="B289" s="46"/>
      <c r="C289" s="54" t="s">
        <v>1902</v>
      </c>
      <c r="D289" s="55" t="s">
        <v>1676</v>
      </c>
      <c r="E289" s="58" t="s">
        <v>125</v>
      </c>
      <c r="F289" s="55" t="s">
        <v>1677</v>
      </c>
      <c r="G289" s="56" t="s">
        <v>1903</v>
      </c>
      <c r="H289" s="57" t="s">
        <v>1171</v>
      </c>
    </row>
    <row r="290" spans="2:8" ht="237" customHeight="1" thickBot="1" x14ac:dyDescent="0.4">
      <c r="B290" s="46"/>
      <c r="C290" s="54" t="s">
        <v>1904</v>
      </c>
      <c r="D290" s="55" t="s">
        <v>1905</v>
      </c>
      <c r="E290" s="58" t="s">
        <v>125</v>
      </c>
      <c r="F290" s="55" t="s">
        <v>1906</v>
      </c>
      <c r="G290" s="56" t="s">
        <v>1907</v>
      </c>
      <c r="H290" s="57" t="s">
        <v>1171</v>
      </c>
    </row>
    <row r="291" spans="2:8" ht="189.75" customHeight="1" thickBot="1" x14ac:dyDescent="0.4">
      <c r="B291" s="46"/>
      <c r="C291" s="54" t="s">
        <v>1908</v>
      </c>
      <c r="D291" s="55" t="s">
        <v>1909</v>
      </c>
      <c r="E291" s="58" t="s">
        <v>125</v>
      </c>
      <c r="F291" s="55" t="s">
        <v>1684</v>
      </c>
      <c r="G291" s="56" t="s">
        <v>1531</v>
      </c>
      <c r="H291" s="57" t="s">
        <v>1171</v>
      </c>
    </row>
    <row r="292" spans="2:8" ht="189.75" customHeight="1" thickBot="1" x14ac:dyDescent="0.4">
      <c r="B292" s="46"/>
      <c r="C292" s="54" t="s">
        <v>1910</v>
      </c>
      <c r="D292" s="55" t="s">
        <v>1537</v>
      </c>
      <c r="E292" s="58" t="s">
        <v>125</v>
      </c>
      <c r="F292" s="55" t="s">
        <v>1690</v>
      </c>
      <c r="G292" s="56" t="s">
        <v>1539</v>
      </c>
      <c r="H292" s="57" t="s">
        <v>1171</v>
      </c>
    </row>
    <row r="293" spans="2:8" ht="252.75" customHeight="1" thickBot="1" x14ac:dyDescent="0.4">
      <c r="B293" s="46"/>
      <c r="C293" s="54" t="s">
        <v>1911</v>
      </c>
      <c r="D293" s="55" t="s">
        <v>1912</v>
      </c>
      <c r="E293" s="58" t="s">
        <v>125</v>
      </c>
      <c r="F293" s="55" t="s">
        <v>1258</v>
      </c>
      <c r="G293" s="56" t="s">
        <v>1700</v>
      </c>
      <c r="H293" s="57" t="s">
        <v>1171</v>
      </c>
    </row>
    <row r="294" spans="2:8" ht="158.25" customHeight="1" thickBot="1" x14ac:dyDescent="0.4">
      <c r="B294" s="46"/>
      <c r="C294" s="54" t="s">
        <v>1913</v>
      </c>
      <c r="D294" s="55" t="s">
        <v>1810</v>
      </c>
      <c r="E294" s="58" t="s">
        <v>125</v>
      </c>
      <c r="F294" s="55" t="s">
        <v>1545</v>
      </c>
      <c r="G294" s="56" t="s">
        <v>1316</v>
      </c>
      <c r="H294" s="57" t="s">
        <v>1171</v>
      </c>
    </row>
    <row r="295" spans="2:8" ht="126.75" customHeight="1" thickBot="1" x14ac:dyDescent="0.4">
      <c r="B295" s="46"/>
      <c r="C295" s="54" t="s">
        <v>1914</v>
      </c>
      <c r="D295" s="55" t="s">
        <v>1915</v>
      </c>
      <c r="E295" s="58" t="s">
        <v>125</v>
      </c>
      <c r="F295" s="55" t="s">
        <v>1319</v>
      </c>
      <c r="G295" s="56" t="s">
        <v>1320</v>
      </c>
      <c r="H295" s="57" t="s">
        <v>1171</v>
      </c>
    </row>
    <row r="296" spans="2:8" ht="95.25" customHeight="1" thickBot="1" x14ac:dyDescent="0.4">
      <c r="B296" s="46"/>
      <c r="C296" s="54" t="s">
        <v>1916</v>
      </c>
      <c r="D296" s="55" t="s">
        <v>1917</v>
      </c>
      <c r="E296" s="58" t="s">
        <v>125</v>
      </c>
      <c r="F296" s="55" t="s">
        <v>1815</v>
      </c>
      <c r="G296" s="56" t="s">
        <v>1324</v>
      </c>
      <c r="H296" s="57" t="s">
        <v>1171</v>
      </c>
    </row>
    <row r="297" spans="2:8" ht="63.75" customHeight="1" thickBot="1" x14ac:dyDescent="0.4">
      <c r="B297" s="46"/>
      <c r="C297" s="54" t="s">
        <v>1918</v>
      </c>
      <c r="D297" s="55" t="s">
        <v>1919</v>
      </c>
      <c r="E297" s="58" t="s">
        <v>125</v>
      </c>
      <c r="F297" s="55" t="s">
        <v>1327</v>
      </c>
      <c r="G297" s="56" t="s">
        <v>1328</v>
      </c>
      <c r="H297" s="57" t="s">
        <v>1171</v>
      </c>
    </row>
    <row r="298" spans="2:8" ht="142.5" customHeight="1" thickBot="1" x14ac:dyDescent="0.4">
      <c r="B298" s="46"/>
      <c r="C298" s="54" t="s">
        <v>1920</v>
      </c>
      <c r="D298" s="55" t="s">
        <v>1921</v>
      </c>
      <c r="E298" s="58" t="s">
        <v>125</v>
      </c>
      <c r="F298" s="55" t="s">
        <v>1331</v>
      </c>
      <c r="G298" s="56" t="s">
        <v>1332</v>
      </c>
      <c r="H298" s="57" t="s">
        <v>1171</v>
      </c>
    </row>
    <row r="299" spans="2:8" ht="111" customHeight="1" thickBot="1" x14ac:dyDescent="0.4">
      <c r="B299" s="46"/>
      <c r="C299" s="54" t="s">
        <v>1922</v>
      </c>
      <c r="D299" s="55" t="s">
        <v>1556</v>
      </c>
      <c r="E299" s="58" t="s">
        <v>125</v>
      </c>
      <c r="F299" s="55" t="s">
        <v>1923</v>
      </c>
      <c r="G299" s="56" t="s">
        <v>1336</v>
      </c>
      <c r="H299" s="57" t="s">
        <v>1171</v>
      </c>
    </row>
    <row r="300" spans="2:8" ht="95.25" customHeight="1" thickBot="1" x14ac:dyDescent="0.4">
      <c r="B300" s="46"/>
      <c r="C300" s="54" t="s">
        <v>1924</v>
      </c>
      <c r="D300" s="55" t="s">
        <v>1338</v>
      </c>
      <c r="E300" s="58" t="s">
        <v>125</v>
      </c>
      <c r="F300" s="55" t="s">
        <v>1339</v>
      </c>
      <c r="G300" s="56" t="s">
        <v>1340</v>
      </c>
      <c r="H300" s="57" t="s">
        <v>1171</v>
      </c>
    </row>
    <row r="301" spans="2:8" ht="126.75" customHeight="1" thickBot="1" x14ac:dyDescent="0.4">
      <c r="B301" s="46"/>
      <c r="C301" s="54" t="s">
        <v>1925</v>
      </c>
      <c r="D301" s="55" t="s">
        <v>1342</v>
      </c>
      <c r="E301" s="58" t="s">
        <v>125</v>
      </c>
      <c r="F301" s="55" t="s">
        <v>1343</v>
      </c>
      <c r="G301" s="56" t="s">
        <v>1344</v>
      </c>
      <c r="H301" s="57" t="s">
        <v>1171</v>
      </c>
    </row>
    <row r="302" spans="2:8" ht="126.75" customHeight="1" thickBot="1" x14ac:dyDescent="0.4">
      <c r="B302" s="46"/>
      <c r="C302" s="54" t="s">
        <v>1926</v>
      </c>
      <c r="D302" s="55" t="s">
        <v>1346</v>
      </c>
      <c r="E302" s="58" t="s">
        <v>125</v>
      </c>
      <c r="F302" s="55" t="s">
        <v>1347</v>
      </c>
      <c r="G302" s="56" t="s">
        <v>1348</v>
      </c>
      <c r="H302" s="57" t="s">
        <v>1171</v>
      </c>
    </row>
    <row r="303" spans="2:8" ht="126.75" customHeight="1" thickBot="1" x14ac:dyDescent="0.4">
      <c r="B303" s="46"/>
      <c r="C303" s="54" t="s">
        <v>1927</v>
      </c>
      <c r="D303" s="55" t="s">
        <v>1350</v>
      </c>
      <c r="E303" s="58" t="s">
        <v>125</v>
      </c>
      <c r="F303" s="55" t="s">
        <v>1351</v>
      </c>
      <c r="G303" s="56" t="s">
        <v>1352</v>
      </c>
      <c r="H303" s="57" t="s">
        <v>1171</v>
      </c>
    </row>
    <row r="304" spans="2:8" ht="126.75" customHeight="1" thickBot="1" x14ac:dyDescent="0.4">
      <c r="B304" s="46"/>
      <c r="C304" s="54" t="s">
        <v>1928</v>
      </c>
      <c r="D304" s="55" t="s">
        <v>1354</v>
      </c>
      <c r="E304" s="58" t="s">
        <v>125</v>
      </c>
      <c r="F304" s="55" t="s">
        <v>1355</v>
      </c>
      <c r="G304" s="56" t="s">
        <v>1356</v>
      </c>
      <c r="H304" s="57" t="s">
        <v>1171</v>
      </c>
    </row>
    <row r="305" spans="2:8" ht="111" customHeight="1" thickBot="1" x14ac:dyDescent="0.4">
      <c r="B305" s="46"/>
      <c r="C305" s="54" t="s">
        <v>1929</v>
      </c>
      <c r="D305" s="55" t="s">
        <v>1358</v>
      </c>
      <c r="E305" s="58" t="s">
        <v>125</v>
      </c>
      <c r="F305" s="55" t="s">
        <v>1359</v>
      </c>
      <c r="G305" s="56" t="s">
        <v>1360</v>
      </c>
      <c r="H305" s="57" t="s">
        <v>1171</v>
      </c>
    </row>
    <row r="306" spans="2:8" ht="111" customHeight="1" thickBot="1" x14ac:dyDescent="0.4">
      <c r="B306" s="46"/>
      <c r="C306" s="54" t="s">
        <v>1930</v>
      </c>
      <c r="D306" s="55" t="s">
        <v>1362</v>
      </c>
      <c r="E306" s="58" t="s">
        <v>125</v>
      </c>
      <c r="F306" s="55" t="s">
        <v>1363</v>
      </c>
      <c r="G306" s="56" t="s">
        <v>1364</v>
      </c>
      <c r="H306" s="57" t="s">
        <v>1171</v>
      </c>
    </row>
    <row r="307" spans="2:8" ht="111" customHeight="1" thickBot="1" x14ac:dyDescent="0.4">
      <c r="B307" s="46"/>
      <c r="C307" s="54" t="s">
        <v>1931</v>
      </c>
      <c r="D307" s="55" t="s">
        <v>1366</v>
      </c>
      <c r="E307" s="58" t="s">
        <v>125</v>
      </c>
      <c r="F307" s="55" t="s">
        <v>1367</v>
      </c>
      <c r="G307" s="56" t="s">
        <v>1368</v>
      </c>
      <c r="H307" s="57" t="s">
        <v>1171</v>
      </c>
    </row>
    <row r="308" spans="2:8" ht="111" customHeight="1" thickBot="1" x14ac:dyDescent="0.4">
      <c r="B308" s="46"/>
      <c r="C308" s="54" t="s">
        <v>1932</v>
      </c>
      <c r="D308" s="55" t="s">
        <v>1933</v>
      </c>
      <c r="E308" s="58" t="s">
        <v>125</v>
      </c>
      <c r="F308" s="55" t="s">
        <v>1371</v>
      </c>
      <c r="G308" s="56" t="s">
        <v>1372</v>
      </c>
      <c r="H308" s="57" t="s">
        <v>1171</v>
      </c>
    </row>
    <row r="309" spans="2:8" ht="79.5" customHeight="1" thickBot="1" x14ac:dyDescent="0.4">
      <c r="B309" s="46"/>
      <c r="C309" s="54" t="s">
        <v>1934</v>
      </c>
      <c r="D309" s="55" t="s">
        <v>1935</v>
      </c>
      <c r="E309" s="58" t="s">
        <v>125</v>
      </c>
      <c r="F309" s="55" t="s">
        <v>1375</v>
      </c>
      <c r="G309" s="56" t="s">
        <v>1376</v>
      </c>
      <c r="H309" s="57" t="s">
        <v>1171</v>
      </c>
    </row>
    <row r="310" spans="2:8" ht="158.25" customHeight="1" thickBot="1" x14ac:dyDescent="0.4">
      <c r="B310" s="46"/>
      <c r="C310" s="54" t="s">
        <v>1936</v>
      </c>
      <c r="D310" s="55" t="s">
        <v>1937</v>
      </c>
      <c r="E310" s="58" t="s">
        <v>125</v>
      </c>
      <c r="F310" s="55" t="s">
        <v>1379</v>
      </c>
      <c r="G310" s="56" t="s">
        <v>1380</v>
      </c>
      <c r="H310" s="57" t="s">
        <v>1171</v>
      </c>
    </row>
    <row r="311" spans="2:8" ht="79.5" customHeight="1" thickBot="1" x14ac:dyDescent="0.4">
      <c r="B311" s="46"/>
      <c r="C311" s="54" t="s">
        <v>1938</v>
      </c>
      <c r="D311" s="55" t="s">
        <v>1939</v>
      </c>
      <c r="E311" s="58" t="s">
        <v>125</v>
      </c>
      <c r="F311" s="55" t="s">
        <v>1383</v>
      </c>
      <c r="G311" s="56" t="s">
        <v>1384</v>
      </c>
      <c r="H311" s="57" t="s">
        <v>1171</v>
      </c>
    </row>
    <row r="312" spans="2:8" ht="63.75" customHeight="1" thickBot="1" x14ac:dyDescent="0.4">
      <c r="B312" s="46"/>
      <c r="C312" s="54" t="s">
        <v>1940</v>
      </c>
      <c r="D312" s="55" t="s">
        <v>1386</v>
      </c>
      <c r="E312" s="58" t="s">
        <v>125</v>
      </c>
      <c r="F312" s="55" t="s">
        <v>1387</v>
      </c>
      <c r="G312" s="56" t="s">
        <v>1388</v>
      </c>
      <c r="H312" s="57" t="s">
        <v>1171</v>
      </c>
    </row>
    <row r="313" spans="2:8" ht="126.75" customHeight="1" thickBot="1" x14ac:dyDescent="0.4">
      <c r="B313" s="46"/>
      <c r="C313" s="54" t="s">
        <v>1941</v>
      </c>
      <c r="D313" s="55" t="s">
        <v>1942</v>
      </c>
      <c r="E313" s="58" t="s">
        <v>125</v>
      </c>
      <c r="F313" s="55" t="s">
        <v>1391</v>
      </c>
      <c r="G313" s="56" t="s">
        <v>1392</v>
      </c>
      <c r="H313" s="57" t="s">
        <v>1171</v>
      </c>
    </row>
    <row r="314" spans="2:8" ht="174" customHeight="1" thickBot="1" x14ac:dyDescent="0.4">
      <c r="B314" s="46"/>
      <c r="C314" s="54" t="s">
        <v>1943</v>
      </c>
      <c r="D314" s="55" t="s">
        <v>1394</v>
      </c>
      <c r="E314" s="58" t="s">
        <v>125</v>
      </c>
      <c r="F314" s="55" t="s">
        <v>1395</v>
      </c>
      <c r="G314" s="56" t="s">
        <v>1396</v>
      </c>
      <c r="H314" s="57" t="s">
        <v>1171</v>
      </c>
    </row>
    <row r="315" spans="2:8" ht="95.25" customHeight="1" thickBot="1" x14ac:dyDescent="0.4">
      <c r="B315" s="46"/>
      <c r="C315" s="54" t="s">
        <v>1944</v>
      </c>
      <c r="D315" s="55" t="s">
        <v>1843</v>
      </c>
      <c r="E315" s="58" t="s">
        <v>125</v>
      </c>
      <c r="F315" s="55" t="s">
        <v>1399</v>
      </c>
      <c r="G315" s="56" t="s">
        <v>1400</v>
      </c>
      <c r="H315" s="57" t="s">
        <v>1171</v>
      </c>
    </row>
    <row r="316" spans="2:8" ht="63.75" customHeight="1" thickBot="1" x14ac:dyDescent="0.4">
      <c r="B316" s="46"/>
      <c r="C316" s="54" t="s">
        <v>1945</v>
      </c>
      <c r="D316" s="55" t="s">
        <v>1946</v>
      </c>
      <c r="E316" s="58" t="s">
        <v>125</v>
      </c>
      <c r="F316" s="55" t="s">
        <v>1403</v>
      </c>
      <c r="G316" s="56" t="s">
        <v>1404</v>
      </c>
      <c r="H316" s="57" t="s">
        <v>1171</v>
      </c>
    </row>
    <row r="317" spans="2:8" ht="95.25" customHeight="1" thickBot="1" x14ac:dyDescent="0.4">
      <c r="B317" s="46"/>
      <c r="C317" s="54" t="s">
        <v>1947</v>
      </c>
      <c r="D317" s="55" t="s">
        <v>1426</v>
      </c>
      <c r="E317" s="58" t="s">
        <v>125</v>
      </c>
      <c r="F317" s="55" t="s">
        <v>1427</v>
      </c>
      <c r="G317" s="56" t="s">
        <v>1428</v>
      </c>
      <c r="H317" s="57" t="s">
        <v>1171</v>
      </c>
    </row>
    <row r="318" spans="2:8" ht="79.5" customHeight="1" thickBot="1" x14ac:dyDescent="0.4">
      <c r="B318" s="46"/>
      <c r="C318" s="54" t="s">
        <v>1948</v>
      </c>
      <c r="D318" s="55" t="s">
        <v>1430</v>
      </c>
      <c r="E318" s="58" t="s">
        <v>125</v>
      </c>
      <c r="F318" s="55" t="s">
        <v>1431</v>
      </c>
      <c r="G318" s="56" t="s">
        <v>1432</v>
      </c>
      <c r="H318" s="57" t="s">
        <v>1171</v>
      </c>
    </row>
    <row r="319" spans="2:8" ht="63.75" customHeight="1" thickBot="1" x14ac:dyDescent="0.4">
      <c r="B319" s="46"/>
      <c r="C319" s="54" t="s">
        <v>1949</v>
      </c>
      <c r="D319" s="55" t="s">
        <v>1731</v>
      </c>
      <c r="E319" s="58" t="s">
        <v>125</v>
      </c>
      <c r="F319" s="55" t="s">
        <v>1435</v>
      </c>
      <c r="G319" s="56" t="s">
        <v>1436</v>
      </c>
      <c r="H319" s="57" t="s">
        <v>1171</v>
      </c>
    </row>
    <row r="320" spans="2:8" ht="111" customHeight="1" thickBot="1" x14ac:dyDescent="0.4">
      <c r="B320" s="46"/>
      <c r="C320" s="54" t="s">
        <v>1950</v>
      </c>
      <c r="D320" s="55" t="s">
        <v>1438</v>
      </c>
      <c r="E320" s="58" t="s">
        <v>125</v>
      </c>
      <c r="F320" s="55" t="s">
        <v>1439</v>
      </c>
      <c r="G320" s="56" t="s">
        <v>1440</v>
      </c>
      <c r="H320" s="57" t="s">
        <v>1171</v>
      </c>
    </row>
    <row r="321" spans="2:8" ht="79.5" customHeight="1" thickBot="1" x14ac:dyDescent="0.4">
      <c r="B321" s="46"/>
      <c r="C321" s="54" t="s">
        <v>1951</v>
      </c>
      <c r="D321" s="55" t="s">
        <v>1442</v>
      </c>
      <c r="E321" s="58" t="s">
        <v>125</v>
      </c>
      <c r="F321" s="55" t="s">
        <v>1443</v>
      </c>
      <c r="G321" s="56" t="s">
        <v>1444</v>
      </c>
      <c r="H321" s="57" t="s">
        <v>1171</v>
      </c>
    </row>
    <row r="322" spans="2:8" ht="79.5" customHeight="1" thickBot="1" x14ac:dyDescent="0.4">
      <c r="B322" s="46"/>
      <c r="C322" s="54" t="s">
        <v>1952</v>
      </c>
      <c r="D322" s="55" t="s">
        <v>1446</v>
      </c>
      <c r="E322" s="58" t="s">
        <v>125</v>
      </c>
      <c r="F322" s="55" t="s">
        <v>1447</v>
      </c>
      <c r="G322" s="56" t="s">
        <v>1448</v>
      </c>
      <c r="H322" s="57" t="s">
        <v>1171</v>
      </c>
    </row>
    <row r="323" spans="2:8" ht="79.5" customHeight="1" thickBot="1" x14ac:dyDescent="0.4">
      <c r="B323" s="46"/>
      <c r="C323" s="54" t="s">
        <v>1953</v>
      </c>
      <c r="D323" s="55" t="s">
        <v>1450</v>
      </c>
      <c r="E323" s="58" t="s">
        <v>125</v>
      </c>
      <c r="F323" s="55" t="s">
        <v>1451</v>
      </c>
      <c r="G323" s="56" t="s">
        <v>1452</v>
      </c>
      <c r="H323" s="57" t="s">
        <v>1171</v>
      </c>
    </row>
    <row r="324" spans="2:8" ht="63.75" customHeight="1" thickBot="1" x14ac:dyDescent="0.4">
      <c r="B324" s="46"/>
      <c r="C324" s="54" t="s">
        <v>1954</v>
      </c>
      <c r="D324" s="55" t="s">
        <v>1454</v>
      </c>
      <c r="E324" s="58" t="s">
        <v>125</v>
      </c>
      <c r="F324" s="55" t="s">
        <v>1455</v>
      </c>
      <c r="G324" s="56" t="s">
        <v>1456</v>
      </c>
      <c r="H324" s="57" t="s">
        <v>1171</v>
      </c>
    </row>
    <row r="325" spans="2:8" ht="79.5" customHeight="1" thickBot="1" x14ac:dyDescent="0.4">
      <c r="B325" s="46"/>
      <c r="C325" s="54" t="s">
        <v>1955</v>
      </c>
      <c r="D325" s="55" t="s">
        <v>1458</v>
      </c>
      <c r="E325" s="58" t="s">
        <v>125</v>
      </c>
      <c r="F325" s="55" t="s">
        <v>1459</v>
      </c>
      <c r="G325" s="56" t="s">
        <v>1460</v>
      </c>
      <c r="H325" s="57" t="s">
        <v>1171</v>
      </c>
    </row>
    <row r="326" spans="2:8" ht="79.5" customHeight="1" thickBot="1" x14ac:dyDescent="0.4">
      <c r="B326" s="46"/>
      <c r="C326" s="54" t="s">
        <v>1956</v>
      </c>
      <c r="D326" s="55" t="s">
        <v>1957</v>
      </c>
      <c r="E326" s="58" t="s">
        <v>125</v>
      </c>
      <c r="F326" s="55" t="s">
        <v>1463</v>
      </c>
      <c r="G326" s="56" t="s">
        <v>1464</v>
      </c>
      <c r="H326" s="57" t="s">
        <v>1171</v>
      </c>
    </row>
    <row r="327" spans="2:8" ht="95.25" customHeight="1" thickBot="1" x14ac:dyDescent="0.4">
      <c r="B327" s="46"/>
      <c r="C327" s="54" t="s">
        <v>1958</v>
      </c>
      <c r="D327" s="55" t="s">
        <v>1466</v>
      </c>
      <c r="E327" s="58" t="s">
        <v>125</v>
      </c>
      <c r="F327" s="55" t="s">
        <v>1467</v>
      </c>
      <c r="G327" s="56" t="s">
        <v>1468</v>
      </c>
      <c r="H327" s="57" t="s">
        <v>1171</v>
      </c>
    </row>
    <row r="328" spans="2:8" ht="63.75" customHeight="1" thickBot="1" x14ac:dyDescent="0.4">
      <c r="B328" s="46"/>
      <c r="C328" s="54" t="s">
        <v>1959</v>
      </c>
      <c r="D328" s="55" t="s">
        <v>1470</v>
      </c>
      <c r="E328" s="58" t="s">
        <v>125</v>
      </c>
      <c r="F328" s="55" t="s">
        <v>1471</v>
      </c>
      <c r="G328" s="56" t="s">
        <v>1472</v>
      </c>
      <c r="H328" s="57" t="s">
        <v>1171</v>
      </c>
    </row>
    <row r="329" spans="2:8" ht="111" customHeight="1" thickBot="1" x14ac:dyDescent="0.4">
      <c r="B329" s="46"/>
      <c r="C329" s="54" t="s">
        <v>1960</v>
      </c>
      <c r="D329" s="55" t="s">
        <v>1474</v>
      </c>
      <c r="E329" s="58" t="s">
        <v>125</v>
      </c>
      <c r="F329" s="55" t="s">
        <v>1475</v>
      </c>
      <c r="G329" s="56" t="s">
        <v>1476</v>
      </c>
      <c r="H329" s="57" t="s">
        <v>1171</v>
      </c>
    </row>
    <row r="330" spans="2:8" ht="142.5" customHeight="1" thickBot="1" x14ac:dyDescent="0.4">
      <c r="B330" s="46"/>
      <c r="C330" s="54" t="s">
        <v>1961</v>
      </c>
      <c r="D330" s="55" t="s">
        <v>1962</v>
      </c>
      <c r="E330" s="58" t="s">
        <v>125</v>
      </c>
      <c r="F330" s="55" t="s">
        <v>1479</v>
      </c>
      <c r="G330" s="56" t="s">
        <v>1480</v>
      </c>
      <c r="H330" s="57" t="s">
        <v>1171</v>
      </c>
    </row>
    <row r="331" spans="2:8" ht="95.25" customHeight="1" thickBot="1" x14ac:dyDescent="0.4">
      <c r="B331" s="46"/>
      <c r="C331" s="49" t="s">
        <v>1963</v>
      </c>
      <c r="D331" s="50" t="s">
        <v>1964</v>
      </c>
      <c r="E331" s="58" t="s">
        <v>125</v>
      </c>
      <c r="F331" s="50" t="s">
        <v>1965</v>
      </c>
      <c r="G331" s="52" t="s">
        <v>1966</v>
      </c>
      <c r="H331" s="57" t="s">
        <v>1171</v>
      </c>
    </row>
    <row r="332" spans="2:8" ht="126.75" customHeight="1" thickBot="1" x14ac:dyDescent="0.4">
      <c r="B332" s="46"/>
      <c r="C332" s="54" t="s">
        <v>1967</v>
      </c>
      <c r="D332" s="55" t="s">
        <v>1968</v>
      </c>
      <c r="E332" s="58" t="s">
        <v>125</v>
      </c>
      <c r="F332" s="55" t="s">
        <v>1186</v>
      </c>
      <c r="G332" s="56" t="s">
        <v>1187</v>
      </c>
      <c r="H332" s="57" t="s">
        <v>1171</v>
      </c>
    </row>
    <row r="333" spans="2:8" ht="111" customHeight="1" thickBot="1" x14ac:dyDescent="0.4">
      <c r="B333" s="46"/>
      <c r="C333" s="54" t="s">
        <v>1969</v>
      </c>
      <c r="D333" s="55" t="s">
        <v>1970</v>
      </c>
      <c r="E333" s="58" t="s">
        <v>125</v>
      </c>
      <c r="F333" s="55" t="s">
        <v>1495</v>
      </c>
      <c r="G333" s="56" t="s">
        <v>1496</v>
      </c>
      <c r="H333" s="57" t="s">
        <v>1171</v>
      </c>
    </row>
    <row r="334" spans="2:8" ht="95.25" customHeight="1" thickBot="1" x14ac:dyDescent="0.4">
      <c r="B334" s="46"/>
      <c r="C334" s="54" t="s">
        <v>1971</v>
      </c>
      <c r="D334" s="55" t="s">
        <v>1498</v>
      </c>
      <c r="E334" s="58" t="s">
        <v>125</v>
      </c>
      <c r="F334" s="55" t="s">
        <v>1194</v>
      </c>
      <c r="G334" s="56" t="s">
        <v>1499</v>
      </c>
      <c r="H334" s="57" t="s">
        <v>1171</v>
      </c>
    </row>
    <row r="335" spans="2:8" ht="205.5" customHeight="1" thickBot="1" x14ac:dyDescent="0.4">
      <c r="B335" s="46"/>
      <c r="C335" s="54" t="s">
        <v>1972</v>
      </c>
      <c r="D335" s="55" t="s">
        <v>1973</v>
      </c>
      <c r="E335" s="58" t="s">
        <v>125</v>
      </c>
      <c r="F335" s="55" t="s">
        <v>1974</v>
      </c>
      <c r="G335" s="56" t="s">
        <v>1765</v>
      </c>
      <c r="H335" s="57" t="s">
        <v>1171</v>
      </c>
    </row>
    <row r="336" spans="2:8" ht="142.5" customHeight="1" thickBot="1" x14ac:dyDescent="0.4">
      <c r="B336" s="46"/>
      <c r="C336" s="54" t="s">
        <v>1975</v>
      </c>
      <c r="D336" s="55" t="s">
        <v>1888</v>
      </c>
      <c r="E336" s="58" t="s">
        <v>125</v>
      </c>
      <c r="F336" s="55" t="s">
        <v>1768</v>
      </c>
      <c r="G336" s="56" t="s">
        <v>1889</v>
      </c>
      <c r="H336" s="57" t="s">
        <v>1171</v>
      </c>
    </row>
    <row r="337" spans="2:8" ht="95.25" customHeight="1" thickBot="1" x14ac:dyDescent="0.4">
      <c r="B337" s="46"/>
      <c r="C337" s="54" t="s">
        <v>1976</v>
      </c>
      <c r="D337" s="55" t="s">
        <v>1977</v>
      </c>
      <c r="E337" s="58" t="s">
        <v>125</v>
      </c>
      <c r="F337" s="55" t="s">
        <v>1772</v>
      </c>
      <c r="G337" s="56" t="s">
        <v>1773</v>
      </c>
      <c r="H337" s="57" t="s">
        <v>1171</v>
      </c>
    </row>
    <row r="338" spans="2:8" ht="126.75" customHeight="1" thickBot="1" x14ac:dyDescent="0.4">
      <c r="B338" s="46"/>
      <c r="C338" s="54" t="s">
        <v>1978</v>
      </c>
      <c r="D338" s="55" t="s">
        <v>1642</v>
      </c>
      <c r="E338" s="58" t="s">
        <v>125</v>
      </c>
      <c r="F338" s="55" t="s">
        <v>1509</v>
      </c>
      <c r="G338" s="56" t="s">
        <v>1211</v>
      </c>
      <c r="H338" s="57" t="s">
        <v>1171</v>
      </c>
    </row>
    <row r="339" spans="2:8" ht="111" customHeight="1" thickBot="1" x14ac:dyDescent="0.4">
      <c r="B339" s="46"/>
      <c r="C339" s="54" t="s">
        <v>1979</v>
      </c>
      <c r="D339" s="55" t="s">
        <v>1213</v>
      </c>
      <c r="E339" s="58" t="s">
        <v>125</v>
      </c>
      <c r="F339" s="55" t="s">
        <v>1214</v>
      </c>
      <c r="G339" s="56" t="s">
        <v>1215</v>
      </c>
      <c r="H339" s="57" t="s">
        <v>1171</v>
      </c>
    </row>
    <row r="340" spans="2:8" ht="111" customHeight="1" thickBot="1" x14ac:dyDescent="0.4">
      <c r="B340" s="46"/>
      <c r="C340" s="54" t="s">
        <v>1980</v>
      </c>
      <c r="D340" s="55" t="s">
        <v>1512</v>
      </c>
      <c r="E340" s="58" t="s">
        <v>125</v>
      </c>
      <c r="F340" s="55" t="s">
        <v>1513</v>
      </c>
      <c r="G340" s="56" t="s">
        <v>1219</v>
      </c>
      <c r="H340" s="57" t="s">
        <v>1171</v>
      </c>
    </row>
    <row r="341" spans="2:8" ht="79.5" customHeight="1" thickBot="1" x14ac:dyDescent="0.4">
      <c r="B341" s="46"/>
      <c r="C341" s="54" t="s">
        <v>1981</v>
      </c>
      <c r="D341" s="55" t="s">
        <v>1221</v>
      </c>
      <c r="E341" s="58" t="s">
        <v>125</v>
      </c>
      <c r="F341" s="55" t="s">
        <v>1222</v>
      </c>
      <c r="G341" s="56" t="s">
        <v>1223</v>
      </c>
      <c r="H341" s="57" t="s">
        <v>1171</v>
      </c>
    </row>
    <row r="342" spans="2:8" ht="126.75" customHeight="1" thickBot="1" x14ac:dyDescent="0.4">
      <c r="B342" s="46"/>
      <c r="C342" s="54" t="s">
        <v>1982</v>
      </c>
      <c r="D342" s="55" t="s">
        <v>1983</v>
      </c>
      <c r="E342" s="58" t="s">
        <v>125</v>
      </c>
      <c r="F342" s="55" t="s">
        <v>1516</v>
      </c>
      <c r="G342" s="56" t="s">
        <v>1227</v>
      </c>
      <c r="H342" s="57" t="s">
        <v>1171</v>
      </c>
    </row>
    <row r="343" spans="2:8" ht="158.25" customHeight="1" thickBot="1" x14ac:dyDescent="0.4">
      <c r="B343" s="46"/>
      <c r="C343" s="54" t="s">
        <v>1984</v>
      </c>
      <c r="D343" s="55" t="s">
        <v>1810</v>
      </c>
      <c r="E343" s="58" t="s">
        <v>125</v>
      </c>
      <c r="F343" s="55" t="s">
        <v>1545</v>
      </c>
      <c r="G343" s="56" t="s">
        <v>1316</v>
      </c>
      <c r="H343" s="57" t="s">
        <v>1171</v>
      </c>
    </row>
    <row r="344" spans="2:8" ht="126.75" customHeight="1" thickBot="1" x14ac:dyDescent="0.4">
      <c r="B344" s="46"/>
      <c r="C344" s="54" t="s">
        <v>1985</v>
      </c>
      <c r="D344" s="55" t="s">
        <v>1986</v>
      </c>
      <c r="E344" s="58" t="s">
        <v>125</v>
      </c>
      <c r="F344" s="55" t="s">
        <v>1319</v>
      </c>
      <c r="G344" s="56" t="s">
        <v>1320</v>
      </c>
      <c r="H344" s="57" t="s">
        <v>1171</v>
      </c>
    </row>
    <row r="345" spans="2:8" ht="95.25" customHeight="1" thickBot="1" x14ac:dyDescent="0.4">
      <c r="B345" s="46"/>
      <c r="C345" s="54" t="s">
        <v>1987</v>
      </c>
      <c r="D345" s="55" t="s">
        <v>1988</v>
      </c>
      <c r="E345" s="58" t="s">
        <v>125</v>
      </c>
      <c r="F345" s="55" t="s">
        <v>1815</v>
      </c>
      <c r="G345" s="56" t="s">
        <v>1324</v>
      </c>
      <c r="H345" s="57" t="s">
        <v>1171</v>
      </c>
    </row>
    <row r="346" spans="2:8" ht="63.75" customHeight="1" thickBot="1" x14ac:dyDescent="0.4">
      <c r="B346" s="46"/>
      <c r="C346" s="54" t="s">
        <v>1989</v>
      </c>
      <c r="D346" s="55" t="s">
        <v>1990</v>
      </c>
      <c r="E346" s="58" t="s">
        <v>125</v>
      </c>
      <c r="F346" s="55" t="s">
        <v>1327</v>
      </c>
      <c r="G346" s="56" t="s">
        <v>1328</v>
      </c>
      <c r="H346" s="57" t="s">
        <v>1171</v>
      </c>
    </row>
    <row r="347" spans="2:8" ht="142.5" customHeight="1" thickBot="1" x14ac:dyDescent="0.4">
      <c r="B347" s="46"/>
      <c r="C347" s="54" t="s">
        <v>1991</v>
      </c>
      <c r="D347" s="55" t="s">
        <v>1992</v>
      </c>
      <c r="E347" s="58" t="s">
        <v>125</v>
      </c>
      <c r="F347" s="55" t="s">
        <v>1331</v>
      </c>
      <c r="G347" s="56" t="s">
        <v>1332</v>
      </c>
      <c r="H347" s="57" t="s">
        <v>1171</v>
      </c>
    </row>
    <row r="348" spans="2:8" ht="111" customHeight="1" thickBot="1" x14ac:dyDescent="0.4">
      <c r="B348" s="46"/>
      <c r="C348" s="54" t="s">
        <v>1993</v>
      </c>
      <c r="D348" s="55" t="s">
        <v>1556</v>
      </c>
      <c r="E348" s="58" t="s">
        <v>125</v>
      </c>
      <c r="F348" s="55" t="s">
        <v>1994</v>
      </c>
      <c r="G348" s="56" t="s">
        <v>1336</v>
      </c>
      <c r="H348" s="57" t="s">
        <v>1171</v>
      </c>
    </row>
    <row r="349" spans="2:8" ht="95.25" customHeight="1" thickBot="1" x14ac:dyDescent="0.4">
      <c r="B349" s="46"/>
      <c r="C349" s="54" t="s">
        <v>1995</v>
      </c>
      <c r="D349" s="55" t="s">
        <v>1338</v>
      </c>
      <c r="E349" s="58" t="s">
        <v>125</v>
      </c>
      <c r="F349" s="55" t="s">
        <v>1339</v>
      </c>
      <c r="G349" s="56" t="s">
        <v>1340</v>
      </c>
      <c r="H349" s="57" t="s">
        <v>1171</v>
      </c>
    </row>
    <row r="350" spans="2:8" ht="126.75" customHeight="1" thickBot="1" x14ac:dyDescent="0.4">
      <c r="B350" s="46"/>
      <c r="C350" s="54" t="s">
        <v>1996</v>
      </c>
      <c r="D350" s="55" t="s">
        <v>1342</v>
      </c>
      <c r="E350" s="58" t="s">
        <v>125</v>
      </c>
      <c r="F350" s="55" t="s">
        <v>1343</v>
      </c>
      <c r="G350" s="56" t="s">
        <v>1344</v>
      </c>
      <c r="H350" s="57" t="s">
        <v>1171</v>
      </c>
    </row>
    <row r="351" spans="2:8" ht="111" customHeight="1" thickBot="1" x14ac:dyDescent="0.4">
      <c r="B351" s="46"/>
      <c r="C351" s="54" t="s">
        <v>1997</v>
      </c>
      <c r="D351" s="55" t="s">
        <v>1998</v>
      </c>
      <c r="E351" s="58" t="s">
        <v>125</v>
      </c>
      <c r="F351" s="55" t="s">
        <v>1347</v>
      </c>
      <c r="G351" s="56" t="s">
        <v>1348</v>
      </c>
      <c r="H351" s="57" t="s">
        <v>1171</v>
      </c>
    </row>
    <row r="352" spans="2:8" ht="126.75" customHeight="1" thickBot="1" x14ac:dyDescent="0.4">
      <c r="B352" s="46"/>
      <c r="C352" s="54" t="s">
        <v>1999</v>
      </c>
      <c r="D352" s="55" t="s">
        <v>1350</v>
      </c>
      <c r="E352" s="58" t="s">
        <v>125</v>
      </c>
      <c r="F352" s="55" t="s">
        <v>1351</v>
      </c>
      <c r="G352" s="56" t="s">
        <v>1352</v>
      </c>
      <c r="H352" s="57" t="s">
        <v>1171</v>
      </c>
    </row>
    <row r="353" spans="2:8" ht="129" customHeight="1" thickBot="1" x14ac:dyDescent="0.4">
      <c r="B353" s="46"/>
      <c r="C353" s="54" t="s">
        <v>2000</v>
      </c>
      <c r="D353" s="55" t="s">
        <v>1354</v>
      </c>
      <c r="E353" s="58" t="s">
        <v>125</v>
      </c>
      <c r="F353" s="55" t="s">
        <v>1355</v>
      </c>
      <c r="G353" s="56" t="s">
        <v>1356</v>
      </c>
      <c r="H353" s="57" t="s">
        <v>1171</v>
      </c>
    </row>
    <row r="354" spans="2:8" ht="111" customHeight="1" thickBot="1" x14ac:dyDescent="0.4">
      <c r="B354" s="46"/>
      <c r="C354" s="54" t="s">
        <v>2001</v>
      </c>
      <c r="D354" s="55" t="s">
        <v>1358</v>
      </c>
      <c r="E354" s="58" t="s">
        <v>125</v>
      </c>
      <c r="F354" s="55" t="s">
        <v>1359</v>
      </c>
      <c r="G354" s="56" t="s">
        <v>1360</v>
      </c>
      <c r="H354" s="57" t="s">
        <v>1171</v>
      </c>
    </row>
    <row r="355" spans="2:8" ht="111" customHeight="1" thickBot="1" x14ac:dyDescent="0.4">
      <c r="B355" s="46"/>
      <c r="C355" s="54" t="s">
        <v>2002</v>
      </c>
      <c r="D355" s="55" t="s">
        <v>1362</v>
      </c>
      <c r="E355" s="58" t="s">
        <v>125</v>
      </c>
      <c r="F355" s="55" t="s">
        <v>1363</v>
      </c>
      <c r="G355" s="56" t="s">
        <v>1364</v>
      </c>
      <c r="H355" s="57" t="s">
        <v>1171</v>
      </c>
    </row>
    <row r="356" spans="2:8" ht="111" customHeight="1" thickBot="1" x14ac:dyDescent="0.4">
      <c r="B356" s="46"/>
      <c r="C356" s="54" t="s">
        <v>2003</v>
      </c>
      <c r="D356" s="55" t="s">
        <v>1366</v>
      </c>
      <c r="E356" s="58" t="s">
        <v>125</v>
      </c>
      <c r="F356" s="55" t="s">
        <v>1367</v>
      </c>
      <c r="G356" s="56" t="s">
        <v>1368</v>
      </c>
      <c r="H356" s="57" t="s">
        <v>1171</v>
      </c>
    </row>
    <row r="357" spans="2:8" ht="95.25" customHeight="1" thickBot="1" x14ac:dyDescent="0.4">
      <c r="B357" s="46"/>
      <c r="C357" s="54" t="s">
        <v>2004</v>
      </c>
      <c r="D357" s="55" t="s">
        <v>2005</v>
      </c>
      <c r="E357" s="58" t="s">
        <v>125</v>
      </c>
      <c r="F357" s="55" t="s">
        <v>1371</v>
      </c>
      <c r="G357" s="56" t="s">
        <v>1372</v>
      </c>
      <c r="H357" s="57" t="s">
        <v>1171</v>
      </c>
    </row>
    <row r="358" spans="2:8" ht="79.5" customHeight="1" thickBot="1" x14ac:dyDescent="0.4">
      <c r="B358" s="46"/>
      <c r="C358" s="54" t="s">
        <v>2006</v>
      </c>
      <c r="D358" s="55" t="s">
        <v>2007</v>
      </c>
      <c r="E358" s="58" t="s">
        <v>125</v>
      </c>
      <c r="F358" s="55" t="s">
        <v>1375</v>
      </c>
      <c r="G358" s="56" t="s">
        <v>1376</v>
      </c>
      <c r="H358" s="57" t="s">
        <v>1171</v>
      </c>
    </row>
    <row r="359" spans="2:8" ht="142.5" customHeight="1" thickBot="1" x14ac:dyDescent="0.4">
      <c r="B359" s="46"/>
      <c r="C359" s="54" t="s">
        <v>2008</v>
      </c>
      <c r="D359" s="55" t="s">
        <v>2009</v>
      </c>
      <c r="E359" s="58" t="s">
        <v>125</v>
      </c>
      <c r="F359" s="55" t="s">
        <v>1379</v>
      </c>
      <c r="G359" s="56" t="s">
        <v>1380</v>
      </c>
      <c r="H359" s="57" t="s">
        <v>1171</v>
      </c>
    </row>
    <row r="360" spans="2:8" ht="79.5" customHeight="1" thickBot="1" x14ac:dyDescent="0.4">
      <c r="B360" s="46"/>
      <c r="C360" s="54" t="s">
        <v>2010</v>
      </c>
      <c r="D360" s="55" t="s">
        <v>2011</v>
      </c>
      <c r="E360" s="58" t="s">
        <v>125</v>
      </c>
      <c r="F360" s="55" t="s">
        <v>1383</v>
      </c>
      <c r="G360" s="56" t="s">
        <v>1384</v>
      </c>
      <c r="H360" s="57" t="s">
        <v>1171</v>
      </c>
    </row>
    <row r="361" spans="2:8" ht="63.75" customHeight="1" thickBot="1" x14ac:dyDescent="0.4">
      <c r="B361" s="46"/>
      <c r="C361" s="54" t="s">
        <v>2012</v>
      </c>
      <c r="D361" s="55" t="s">
        <v>1386</v>
      </c>
      <c r="E361" s="58" t="s">
        <v>125</v>
      </c>
      <c r="F361" s="55" t="s">
        <v>1387</v>
      </c>
      <c r="G361" s="56" t="s">
        <v>1388</v>
      </c>
      <c r="H361" s="57" t="s">
        <v>1171</v>
      </c>
    </row>
    <row r="362" spans="2:8" ht="126.75" customHeight="1" thickBot="1" x14ac:dyDescent="0.4">
      <c r="B362" s="46"/>
      <c r="C362" s="54" t="s">
        <v>2013</v>
      </c>
      <c r="D362" s="55" t="s">
        <v>1718</v>
      </c>
      <c r="E362" s="58" t="s">
        <v>125</v>
      </c>
      <c r="F362" s="55" t="s">
        <v>1391</v>
      </c>
      <c r="G362" s="56" t="s">
        <v>1392</v>
      </c>
      <c r="H362" s="57" t="s">
        <v>1171</v>
      </c>
    </row>
    <row r="363" spans="2:8" ht="174" customHeight="1" thickBot="1" x14ac:dyDescent="0.4">
      <c r="B363" s="46"/>
      <c r="C363" s="54" t="s">
        <v>2014</v>
      </c>
      <c r="D363" s="55" t="s">
        <v>1394</v>
      </c>
      <c r="E363" s="58" t="s">
        <v>125</v>
      </c>
      <c r="F363" s="55" t="s">
        <v>1395</v>
      </c>
      <c r="G363" s="56" t="s">
        <v>1396</v>
      </c>
      <c r="H363" s="57" t="s">
        <v>1171</v>
      </c>
    </row>
    <row r="364" spans="2:8" ht="63.75" customHeight="1" thickBot="1" x14ac:dyDescent="0.4">
      <c r="B364" s="46"/>
      <c r="C364" s="54" t="s">
        <v>2015</v>
      </c>
      <c r="D364" s="55" t="s">
        <v>2016</v>
      </c>
      <c r="E364" s="58" t="s">
        <v>125</v>
      </c>
      <c r="F364" s="55" t="s">
        <v>1403</v>
      </c>
      <c r="G364" s="56" t="s">
        <v>2017</v>
      </c>
      <c r="H364" s="57" t="s">
        <v>1171</v>
      </c>
    </row>
    <row r="365" spans="2:8" ht="95.25" customHeight="1" thickBot="1" x14ac:dyDescent="0.4">
      <c r="B365" s="46"/>
      <c r="C365" s="54" t="s">
        <v>2018</v>
      </c>
      <c r="D365" s="55" t="s">
        <v>1426</v>
      </c>
      <c r="E365" s="58" t="s">
        <v>125</v>
      </c>
      <c r="F365" s="55" t="s">
        <v>1427</v>
      </c>
      <c r="G365" s="56" t="s">
        <v>1428</v>
      </c>
      <c r="H365" s="57" t="s">
        <v>1171</v>
      </c>
    </row>
    <row r="366" spans="2:8" ht="79.5" customHeight="1" thickBot="1" x14ac:dyDescent="0.4">
      <c r="B366" s="46"/>
      <c r="C366" s="54" t="s">
        <v>2019</v>
      </c>
      <c r="D366" s="55" t="s">
        <v>1430</v>
      </c>
      <c r="E366" s="58" t="s">
        <v>125</v>
      </c>
      <c r="F366" s="55" t="s">
        <v>1431</v>
      </c>
      <c r="G366" s="56" t="s">
        <v>1432</v>
      </c>
      <c r="H366" s="57" t="s">
        <v>1171</v>
      </c>
    </row>
    <row r="367" spans="2:8" ht="63.75" customHeight="1" thickBot="1" x14ac:dyDescent="0.4">
      <c r="B367" s="46"/>
      <c r="C367" s="54" t="s">
        <v>2020</v>
      </c>
      <c r="D367" s="55" t="s">
        <v>1731</v>
      </c>
      <c r="E367" s="58" t="s">
        <v>125</v>
      </c>
      <c r="F367" s="55" t="s">
        <v>1435</v>
      </c>
      <c r="G367" s="56" t="s">
        <v>1436</v>
      </c>
      <c r="H367" s="57" t="s">
        <v>1171</v>
      </c>
    </row>
    <row r="368" spans="2:8" ht="111" customHeight="1" thickBot="1" x14ac:dyDescent="0.4">
      <c r="B368" s="46"/>
      <c r="C368" s="54" t="s">
        <v>2021</v>
      </c>
      <c r="D368" s="55" t="s">
        <v>1438</v>
      </c>
      <c r="E368" s="58" t="s">
        <v>125</v>
      </c>
      <c r="F368" s="55" t="s">
        <v>1439</v>
      </c>
      <c r="G368" s="56" t="s">
        <v>1440</v>
      </c>
      <c r="H368" s="57" t="s">
        <v>1171</v>
      </c>
    </row>
    <row r="369" spans="2:8" ht="79.5" customHeight="1" thickBot="1" x14ac:dyDescent="0.4">
      <c r="B369" s="46"/>
      <c r="C369" s="54" t="s">
        <v>2022</v>
      </c>
      <c r="D369" s="55" t="s">
        <v>1442</v>
      </c>
      <c r="E369" s="58" t="s">
        <v>125</v>
      </c>
      <c r="F369" s="55" t="s">
        <v>1443</v>
      </c>
      <c r="G369" s="56" t="s">
        <v>1444</v>
      </c>
      <c r="H369" s="57" t="s">
        <v>1171</v>
      </c>
    </row>
    <row r="370" spans="2:8" ht="79.5" customHeight="1" thickBot="1" x14ac:dyDescent="0.4">
      <c r="B370" s="46"/>
      <c r="C370" s="54" t="s">
        <v>2023</v>
      </c>
      <c r="D370" s="55" t="s">
        <v>1446</v>
      </c>
      <c r="E370" s="58" t="s">
        <v>125</v>
      </c>
      <c r="F370" s="55" t="s">
        <v>1447</v>
      </c>
      <c r="G370" s="56" t="s">
        <v>1448</v>
      </c>
      <c r="H370" s="57" t="s">
        <v>1171</v>
      </c>
    </row>
    <row r="371" spans="2:8" ht="79.5" customHeight="1" thickBot="1" x14ac:dyDescent="0.4">
      <c r="B371" s="46"/>
      <c r="C371" s="54" t="s">
        <v>2024</v>
      </c>
      <c r="D371" s="55" t="s">
        <v>1450</v>
      </c>
      <c r="E371" s="58" t="s">
        <v>125</v>
      </c>
      <c r="F371" s="55" t="s">
        <v>1451</v>
      </c>
      <c r="G371" s="56" t="s">
        <v>1452</v>
      </c>
      <c r="H371" s="57" t="s">
        <v>1171</v>
      </c>
    </row>
    <row r="372" spans="2:8" ht="63.75" customHeight="1" thickBot="1" x14ac:dyDescent="0.4">
      <c r="B372" s="46"/>
      <c r="C372" s="54" t="s">
        <v>2025</v>
      </c>
      <c r="D372" s="55" t="s">
        <v>1454</v>
      </c>
      <c r="E372" s="58" t="s">
        <v>125</v>
      </c>
      <c r="F372" s="55" t="s">
        <v>1455</v>
      </c>
      <c r="G372" s="56" t="s">
        <v>1456</v>
      </c>
      <c r="H372" s="57" t="s">
        <v>1171</v>
      </c>
    </row>
    <row r="373" spans="2:8" ht="79.5" customHeight="1" thickBot="1" x14ac:dyDescent="0.4">
      <c r="B373" s="46"/>
      <c r="C373" s="54" t="s">
        <v>2026</v>
      </c>
      <c r="D373" s="55" t="s">
        <v>1458</v>
      </c>
      <c r="E373" s="58" t="s">
        <v>125</v>
      </c>
      <c r="F373" s="55" t="s">
        <v>1459</v>
      </c>
      <c r="G373" s="56" t="s">
        <v>1460</v>
      </c>
      <c r="H373" s="57" t="s">
        <v>1171</v>
      </c>
    </row>
    <row r="374" spans="2:8" ht="79.5" customHeight="1" thickBot="1" x14ac:dyDescent="0.4">
      <c r="B374" s="46"/>
      <c r="C374" s="54" t="s">
        <v>2027</v>
      </c>
      <c r="D374" s="55" t="s">
        <v>2028</v>
      </c>
      <c r="E374" s="58" t="s">
        <v>125</v>
      </c>
      <c r="F374" s="55" t="s">
        <v>1463</v>
      </c>
      <c r="G374" s="56" t="s">
        <v>1464</v>
      </c>
      <c r="H374" s="57" t="s">
        <v>1171</v>
      </c>
    </row>
    <row r="375" spans="2:8" ht="95.25" customHeight="1" thickBot="1" x14ac:dyDescent="0.4">
      <c r="B375" s="46"/>
      <c r="C375" s="54" t="s">
        <v>2029</v>
      </c>
      <c r="D375" s="55" t="s">
        <v>1466</v>
      </c>
      <c r="E375" s="58" t="s">
        <v>125</v>
      </c>
      <c r="F375" s="55" t="s">
        <v>1467</v>
      </c>
      <c r="G375" s="56" t="s">
        <v>1468</v>
      </c>
      <c r="H375" s="57" t="s">
        <v>1171</v>
      </c>
    </row>
    <row r="376" spans="2:8" ht="63.75" customHeight="1" thickBot="1" x14ac:dyDescent="0.4">
      <c r="B376" s="46"/>
      <c r="C376" s="54" t="s">
        <v>2030</v>
      </c>
      <c r="D376" s="55" t="s">
        <v>1470</v>
      </c>
      <c r="E376" s="58" t="s">
        <v>125</v>
      </c>
      <c r="F376" s="55" t="s">
        <v>1471</v>
      </c>
      <c r="G376" s="56" t="s">
        <v>1472</v>
      </c>
      <c r="H376" s="57" t="s">
        <v>1171</v>
      </c>
    </row>
    <row r="377" spans="2:8" ht="111" customHeight="1" thickBot="1" x14ac:dyDescent="0.4">
      <c r="B377" s="46"/>
      <c r="C377" s="54" t="s">
        <v>2031</v>
      </c>
      <c r="D377" s="55" t="s">
        <v>1474</v>
      </c>
      <c r="E377" s="58" t="s">
        <v>125</v>
      </c>
      <c r="F377" s="55" t="s">
        <v>1475</v>
      </c>
      <c r="G377" s="56" t="s">
        <v>1476</v>
      </c>
      <c r="H377" s="57" t="s">
        <v>1171</v>
      </c>
    </row>
    <row r="378" spans="2:8" ht="142.5" customHeight="1" thickBot="1" x14ac:dyDescent="0.4">
      <c r="B378" s="46"/>
      <c r="C378" s="54" t="s">
        <v>2032</v>
      </c>
      <c r="D378" s="55" t="s">
        <v>2033</v>
      </c>
      <c r="E378" s="58" t="s">
        <v>125</v>
      </c>
      <c r="F378" s="55" t="s">
        <v>1479</v>
      </c>
      <c r="G378" s="56" t="s">
        <v>1480</v>
      </c>
      <c r="H378" s="57" t="s">
        <v>1171</v>
      </c>
    </row>
    <row r="379" spans="2:8" ht="95.25" customHeight="1" thickBot="1" x14ac:dyDescent="0.4">
      <c r="B379" s="46"/>
      <c r="C379" s="49" t="s">
        <v>2034</v>
      </c>
      <c r="D379" s="50" t="s">
        <v>2035</v>
      </c>
      <c r="E379" s="58" t="s">
        <v>125</v>
      </c>
      <c r="F379" s="50" t="s">
        <v>2036</v>
      </c>
      <c r="G379" s="52" t="s">
        <v>2037</v>
      </c>
      <c r="H379" s="57" t="s">
        <v>1171</v>
      </c>
    </row>
    <row r="380" spans="2:8" ht="79.5" customHeight="1" thickBot="1" x14ac:dyDescent="0.4">
      <c r="B380" s="46"/>
      <c r="C380" s="54" t="s">
        <v>2038</v>
      </c>
      <c r="D380" s="55" t="s">
        <v>2039</v>
      </c>
      <c r="E380" s="58" t="s">
        <v>125</v>
      </c>
      <c r="F380" s="55" t="s">
        <v>2040</v>
      </c>
      <c r="G380" s="56" t="s">
        <v>2041</v>
      </c>
      <c r="H380" s="57" t="s">
        <v>1171</v>
      </c>
    </row>
    <row r="381" spans="2:8" ht="126.75" customHeight="1" thickBot="1" x14ac:dyDescent="0.4">
      <c r="B381" s="46"/>
      <c r="C381" s="54" t="s">
        <v>2042</v>
      </c>
      <c r="D381" s="55" t="s">
        <v>2043</v>
      </c>
      <c r="E381" s="58" t="s">
        <v>125</v>
      </c>
      <c r="F381" s="55" t="s">
        <v>2044</v>
      </c>
      <c r="G381" s="56" t="s">
        <v>2045</v>
      </c>
      <c r="H381" s="57" t="s">
        <v>1171</v>
      </c>
    </row>
    <row r="382" spans="2:8" ht="111" customHeight="1" thickBot="1" x14ac:dyDescent="0.4">
      <c r="B382" s="46"/>
      <c r="C382" s="54" t="s">
        <v>2046</v>
      </c>
      <c r="D382" s="55" t="s">
        <v>2047</v>
      </c>
      <c r="E382" s="58" t="s">
        <v>125</v>
      </c>
      <c r="F382" s="55" t="s">
        <v>2048</v>
      </c>
      <c r="G382" s="56" t="s">
        <v>2049</v>
      </c>
      <c r="H382" s="57" t="s">
        <v>1171</v>
      </c>
    </row>
    <row r="383" spans="2:8" ht="95.25" customHeight="1" thickBot="1" x14ac:dyDescent="0.4">
      <c r="B383" s="46"/>
      <c r="C383" s="54" t="s">
        <v>2050</v>
      </c>
      <c r="D383" s="55" t="s">
        <v>1498</v>
      </c>
      <c r="E383" s="58" t="s">
        <v>125</v>
      </c>
      <c r="F383" s="55" t="s">
        <v>2051</v>
      </c>
      <c r="G383" s="56" t="s">
        <v>2052</v>
      </c>
      <c r="H383" s="57" t="s">
        <v>1171</v>
      </c>
    </row>
    <row r="384" spans="2:8" ht="189.75" customHeight="1" thickBot="1" x14ac:dyDescent="0.4">
      <c r="B384" s="46"/>
      <c r="C384" s="54" t="s">
        <v>2053</v>
      </c>
      <c r="D384" s="55" t="s">
        <v>2054</v>
      </c>
      <c r="E384" s="58" t="s">
        <v>125</v>
      </c>
      <c r="F384" s="55" t="s">
        <v>2055</v>
      </c>
      <c r="G384" s="56" t="s">
        <v>2056</v>
      </c>
      <c r="H384" s="57" t="s">
        <v>1171</v>
      </c>
    </row>
    <row r="385" spans="2:8" ht="142.5" customHeight="1" thickBot="1" x14ac:dyDescent="0.4">
      <c r="B385" s="46"/>
      <c r="C385" s="54" t="s">
        <v>2057</v>
      </c>
      <c r="D385" s="55" t="s">
        <v>1888</v>
      </c>
      <c r="E385" s="58" t="s">
        <v>125</v>
      </c>
      <c r="F385" s="55" t="s">
        <v>2058</v>
      </c>
      <c r="G385" s="56" t="s">
        <v>2059</v>
      </c>
      <c r="H385" s="57" t="s">
        <v>1171</v>
      </c>
    </row>
    <row r="386" spans="2:8" ht="95.25" customHeight="1" thickBot="1" x14ac:dyDescent="0.4">
      <c r="B386" s="46"/>
      <c r="C386" s="54" t="s">
        <v>2060</v>
      </c>
      <c r="D386" s="55" t="s">
        <v>1977</v>
      </c>
      <c r="E386" s="58" t="s">
        <v>125</v>
      </c>
      <c r="F386" s="55" t="s">
        <v>2061</v>
      </c>
      <c r="G386" s="56" t="s">
        <v>2062</v>
      </c>
      <c r="H386" s="57" t="s">
        <v>1171</v>
      </c>
    </row>
    <row r="387" spans="2:8" ht="126.75" customHeight="1" thickBot="1" x14ac:dyDescent="0.4">
      <c r="B387" s="46"/>
      <c r="C387" s="54" t="s">
        <v>2063</v>
      </c>
      <c r="D387" s="55" t="s">
        <v>1642</v>
      </c>
      <c r="E387" s="58" t="s">
        <v>125</v>
      </c>
      <c r="F387" s="55" t="s">
        <v>2064</v>
      </c>
      <c r="G387" s="56" t="s">
        <v>2065</v>
      </c>
      <c r="H387" s="57" t="s">
        <v>1171</v>
      </c>
    </row>
    <row r="388" spans="2:8" ht="111" customHeight="1" thickBot="1" x14ac:dyDescent="0.4">
      <c r="B388" s="46"/>
      <c r="C388" s="54" t="s">
        <v>2066</v>
      </c>
      <c r="D388" s="55" t="s">
        <v>1213</v>
      </c>
      <c r="E388" s="58" t="s">
        <v>125</v>
      </c>
      <c r="F388" s="55" t="s">
        <v>2067</v>
      </c>
      <c r="G388" s="56" t="s">
        <v>2068</v>
      </c>
      <c r="H388" s="57" t="s">
        <v>1171</v>
      </c>
    </row>
    <row r="389" spans="2:8" ht="111" customHeight="1" thickBot="1" x14ac:dyDescent="0.4">
      <c r="B389" s="46"/>
      <c r="C389" s="54" t="s">
        <v>2069</v>
      </c>
      <c r="D389" s="55" t="s">
        <v>1512</v>
      </c>
      <c r="E389" s="58" t="s">
        <v>125</v>
      </c>
      <c r="F389" s="55" t="s">
        <v>2070</v>
      </c>
      <c r="G389" s="56" t="s">
        <v>2071</v>
      </c>
      <c r="H389" s="57" t="s">
        <v>1171</v>
      </c>
    </row>
    <row r="390" spans="2:8" ht="79.5" customHeight="1" thickBot="1" x14ac:dyDescent="0.4">
      <c r="B390" s="46"/>
      <c r="C390" s="54" t="s">
        <v>2072</v>
      </c>
      <c r="D390" s="55" t="s">
        <v>1221</v>
      </c>
      <c r="E390" s="58" t="s">
        <v>125</v>
      </c>
      <c r="F390" s="55" t="s">
        <v>2073</v>
      </c>
      <c r="G390" s="56" t="s">
        <v>2074</v>
      </c>
      <c r="H390" s="57" t="s">
        <v>1171</v>
      </c>
    </row>
    <row r="391" spans="2:8" ht="126.75" customHeight="1" thickBot="1" x14ac:dyDescent="0.4">
      <c r="B391" s="46"/>
      <c r="C391" s="54" t="s">
        <v>2075</v>
      </c>
      <c r="D391" s="55" t="s">
        <v>1983</v>
      </c>
      <c r="E391" s="58" t="s">
        <v>125</v>
      </c>
      <c r="F391" s="55" t="s">
        <v>2076</v>
      </c>
      <c r="G391" s="56" t="s">
        <v>2077</v>
      </c>
      <c r="H391" s="57" t="s">
        <v>1171</v>
      </c>
    </row>
    <row r="392" spans="2:8" ht="205.5" customHeight="1" thickBot="1" x14ac:dyDescent="0.4">
      <c r="B392" s="46"/>
      <c r="C392" s="54" t="s">
        <v>2078</v>
      </c>
      <c r="D392" s="55" t="s">
        <v>2079</v>
      </c>
      <c r="E392" s="58" t="s">
        <v>125</v>
      </c>
      <c r="F392" s="55" t="s">
        <v>2080</v>
      </c>
      <c r="G392" s="56" t="s">
        <v>2081</v>
      </c>
      <c r="H392" s="57" t="s">
        <v>1171</v>
      </c>
    </row>
    <row r="393" spans="2:8" ht="142.5" customHeight="1" thickBot="1" x14ac:dyDescent="0.4">
      <c r="B393" s="46"/>
      <c r="C393" s="54" t="s">
        <v>2082</v>
      </c>
      <c r="D393" s="55" t="s">
        <v>2083</v>
      </c>
      <c r="E393" s="58" t="s">
        <v>125</v>
      </c>
      <c r="F393" s="55" t="s">
        <v>2084</v>
      </c>
      <c r="G393" s="56" t="s">
        <v>2085</v>
      </c>
      <c r="H393" s="57" t="s">
        <v>1171</v>
      </c>
    </row>
    <row r="394" spans="2:8" ht="189.75" customHeight="1" thickBot="1" x14ac:dyDescent="0.4">
      <c r="B394" s="46"/>
      <c r="C394" s="54" t="s">
        <v>2086</v>
      </c>
      <c r="D394" s="55" t="s">
        <v>2087</v>
      </c>
      <c r="E394" s="58" t="s">
        <v>125</v>
      </c>
      <c r="F394" s="55" t="s">
        <v>2088</v>
      </c>
      <c r="G394" s="56" t="s">
        <v>2089</v>
      </c>
      <c r="H394" s="57" t="s">
        <v>1171</v>
      </c>
    </row>
    <row r="395" spans="2:8" ht="189.75" customHeight="1" thickBot="1" x14ac:dyDescent="0.4">
      <c r="B395" s="46"/>
      <c r="C395" s="54" t="s">
        <v>2090</v>
      </c>
      <c r="D395" s="55" t="s">
        <v>2091</v>
      </c>
      <c r="E395" s="58" t="s">
        <v>125</v>
      </c>
      <c r="F395" s="55" t="s">
        <v>2092</v>
      </c>
      <c r="G395" s="56" t="s">
        <v>2093</v>
      </c>
      <c r="H395" s="57" t="s">
        <v>1171</v>
      </c>
    </row>
    <row r="396" spans="2:8" ht="158.25" customHeight="1" thickBot="1" x14ac:dyDescent="0.4">
      <c r="B396" s="46"/>
      <c r="C396" s="54" t="s">
        <v>2094</v>
      </c>
      <c r="D396" s="55" t="s">
        <v>2095</v>
      </c>
      <c r="E396" s="58" t="s">
        <v>125</v>
      </c>
      <c r="F396" s="55" t="s">
        <v>2096</v>
      </c>
      <c r="G396" s="56" t="s">
        <v>2097</v>
      </c>
      <c r="H396" s="57" t="s">
        <v>1171</v>
      </c>
    </row>
    <row r="397" spans="2:8" ht="189.75" customHeight="1" thickBot="1" x14ac:dyDescent="0.4">
      <c r="B397" s="46"/>
      <c r="C397" s="54" t="s">
        <v>2098</v>
      </c>
      <c r="D397" s="55" t="s">
        <v>1537</v>
      </c>
      <c r="E397" s="58" t="s">
        <v>125</v>
      </c>
      <c r="F397" s="55" t="s">
        <v>2099</v>
      </c>
      <c r="G397" s="56" t="s">
        <v>2100</v>
      </c>
      <c r="H397" s="57" t="s">
        <v>1171</v>
      </c>
    </row>
    <row r="398" spans="2:8" ht="237" customHeight="1" thickBot="1" x14ac:dyDescent="0.4">
      <c r="B398" s="46"/>
      <c r="C398" s="54" t="s">
        <v>2101</v>
      </c>
      <c r="D398" s="55" t="s">
        <v>2102</v>
      </c>
      <c r="E398" s="58" t="s">
        <v>125</v>
      </c>
      <c r="F398" s="55" t="s">
        <v>2103</v>
      </c>
      <c r="G398" s="56" t="s">
        <v>2104</v>
      </c>
      <c r="H398" s="57" t="s">
        <v>1171</v>
      </c>
    </row>
    <row r="399" spans="2:8" ht="95.25" customHeight="1" thickBot="1" x14ac:dyDescent="0.4">
      <c r="B399" s="46"/>
      <c r="C399" s="54" t="s">
        <v>2105</v>
      </c>
      <c r="D399" s="55" t="s">
        <v>1696</v>
      </c>
      <c r="E399" s="58" t="s">
        <v>125</v>
      </c>
      <c r="F399" s="55" t="s">
        <v>2106</v>
      </c>
      <c r="G399" s="56" t="s">
        <v>2107</v>
      </c>
      <c r="H399" s="57" t="s">
        <v>1171</v>
      </c>
    </row>
    <row r="400" spans="2:8" ht="158.25" customHeight="1" thickBot="1" x14ac:dyDescent="0.4">
      <c r="B400" s="46"/>
      <c r="C400" s="54" t="s">
        <v>2108</v>
      </c>
      <c r="D400" s="55" t="s">
        <v>1810</v>
      </c>
      <c r="E400" s="58" t="s">
        <v>125</v>
      </c>
      <c r="F400" s="55" t="s">
        <v>2109</v>
      </c>
      <c r="G400" s="56" t="s">
        <v>2110</v>
      </c>
      <c r="H400" s="57" t="s">
        <v>1171</v>
      </c>
    </row>
    <row r="401" spans="2:8" ht="143.25" customHeight="1" thickBot="1" x14ac:dyDescent="0.4">
      <c r="B401" s="46"/>
      <c r="C401" s="54" t="s">
        <v>2111</v>
      </c>
      <c r="D401" s="55" t="s">
        <v>2112</v>
      </c>
      <c r="E401" s="58" t="s">
        <v>125</v>
      </c>
      <c r="F401" s="55" t="s">
        <v>2113</v>
      </c>
      <c r="G401" s="56" t="s">
        <v>2114</v>
      </c>
      <c r="H401" s="57" t="s">
        <v>1171</v>
      </c>
    </row>
    <row r="402" spans="2:8" ht="111" customHeight="1" thickBot="1" x14ac:dyDescent="0.4">
      <c r="B402" s="46"/>
      <c r="C402" s="54" t="s">
        <v>2115</v>
      </c>
      <c r="D402" s="55" t="s">
        <v>2116</v>
      </c>
      <c r="E402" s="58" t="s">
        <v>125</v>
      </c>
      <c r="F402" s="55" t="s">
        <v>2117</v>
      </c>
      <c r="G402" s="56" t="s">
        <v>2118</v>
      </c>
      <c r="H402" s="57" t="s">
        <v>1171</v>
      </c>
    </row>
    <row r="403" spans="2:8" ht="63.75" customHeight="1" thickBot="1" x14ac:dyDescent="0.4">
      <c r="B403" s="46"/>
      <c r="C403" s="54" t="s">
        <v>2119</v>
      </c>
      <c r="D403" s="55" t="s">
        <v>2120</v>
      </c>
      <c r="E403" s="58" t="s">
        <v>125</v>
      </c>
      <c r="F403" s="55" t="s">
        <v>2121</v>
      </c>
      <c r="G403" s="56" t="s">
        <v>2122</v>
      </c>
      <c r="H403" s="57" t="s">
        <v>1171</v>
      </c>
    </row>
    <row r="404" spans="2:8" ht="142.5" customHeight="1" thickBot="1" x14ac:dyDescent="0.4">
      <c r="B404" s="46"/>
      <c r="C404" s="54" t="s">
        <v>2123</v>
      </c>
      <c r="D404" s="55" t="s">
        <v>2124</v>
      </c>
      <c r="E404" s="58" t="s">
        <v>125</v>
      </c>
      <c r="F404" s="55" t="s">
        <v>2125</v>
      </c>
      <c r="G404" s="56" t="s">
        <v>2126</v>
      </c>
      <c r="H404" s="57" t="s">
        <v>1171</v>
      </c>
    </row>
    <row r="405" spans="2:8" ht="111" customHeight="1" thickBot="1" x14ac:dyDescent="0.4">
      <c r="B405" s="46"/>
      <c r="C405" s="54" t="s">
        <v>2127</v>
      </c>
      <c r="D405" s="55" t="s">
        <v>1556</v>
      </c>
      <c r="E405" s="58" t="s">
        <v>125</v>
      </c>
      <c r="F405" s="55" t="s">
        <v>2128</v>
      </c>
      <c r="G405" s="56" t="s">
        <v>2129</v>
      </c>
      <c r="H405" s="57" t="s">
        <v>1171</v>
      </c>
    </row>
    <row r="406" spans="2:8" ht="95.25" customHeight="1" thickBot="1" x14ac:dyDescent="0.4">
      <c r="B406" s="46"/>
      <c r="C406" s="54" t="s">
        <v>2130</v>
      </c>
      <c r="D406" s="55" t="s">
        <v>1338</v>
      </c>
      <c r="E406" s="58" t="s">
        <v>125</v>
      </c>
      <c r="F406" s="55" t="s">
        <v>2131</v>
      </c>
      <c r="G406" s="56" t="s">
        <v>2132</v>
      </c>
      <c r="H406" s="57" t="s">
        <v>1171</v>
      </c>
    </row>
    <row r="407" spans="2:8" ht="126.75" customHeight="1" thickBot="1" x14ac:dyDescent="0.4">
      <c r="B407" s="46"/>
      <c r="C407" s="54" t="s">
        <v>2133</v>
      </c>
      <c r="D407" s="55" t="s">
        <v>1342</v>
      </c>
      <c r="E407" s="58" t="s">
        <v>125</v>
      </c>
      <c r="F407" s="55" t="s">
        <v>2134</v>
      </c>
      <c r="G407" s="56" t="s">
        <v>2135</v>
      </c>
      <c r="H407" s="57" t="s">
        <v>1171</v>
      </c>
    </row>
    <row r="408" spans="2:8" ht="111" customHeight="1" thickBot="1" x14ac:dyDescent="0.4">
      <c r="B408" s="46"/>
      <c r="C408" s="54" t="s">
        <v>2136</v>
      </c>
      <c r="D408" s="55" t="s">
        <v>1998</v>
      </c>
      <c r="E408" s="58" t="s">
        <v>125</v>
      </c>
      <c r="F408" s="55" t="s">
        <v>2137</v>
      </c>
      <c r="G408" s="56" t="s">
        <v>2138</v>
      </c>
      <c r="H408" s="57" t="s">
        <v>1171</v>
      </c>
    </row>
    <row r="409" spans="2:8" ht="126.75" customHeight="1" thickBot="1" x14ac:dyDescent="0.4">
      <c r="B409" s="46"/>
      <c r="C409" s="54" t="s">
        <v>2139</v>
      </c>
      <c r="D409" s="55" t="s">
        <v>1350</v>
      </c>
      <c r="E409" s="58" t="s">
        <v>125</v>
      </c>
      <c r="F409" s="55" t="s">
        <v>2140</v>
      </c>
      <c r="G409" s="56" t="s">
        <v>2141</v>
      </c>
      <c r="H409" s="57" t="s">
        <v>1171</v>
      </c>
    </row>
    <row r="410" spans="2:8" ht="126.75" customHeight="1" thickBot="1" x14ac:dyDescent="0.4">
      <c r="B410" s="46"/>
      <c r="C410" s="54" t="s">
        <v>2142</v>
      </c>
      <c r="D410" s="55" t="s">
        <v>1354</v>
      </c>
      <c r="E410" s="58" t="s">
        <v>125</v>
      </c>
      <c r="F410" s="55" t="s">
        <v>2143</v>
      </c>
      <c r="G410" s="56" t="s">
        <v>2144</v>
      </c>
      <c r="H410" s="57" t="s">
        <v>1171</v>
      </c>
    </row>
    <row r="411" spans="2:8" ht="111" customHeight="1" thickBot="1" x14ac:dyDescent="0.4">
      <c r="B411" s="46"/>
      <c r="C411" s="54" t="s">
        <v>2145</v>
      </c>
      <c r="D411" s="55" t="s">
        <v>1358</v>
      </c>
      <c r="E411" s="58" t="s">
        <v>125</v>
      </c>
      <c r="F411" s="55" t="s">
        <v>2146</v>
      </c>
      <c r="G411" s="56" t="s">
        <v>2147</v>
      </c>
      <c r="H411" s="57" t="s">
        <v>1171</v>
      </c>
    </row>
    <row r="412" spans="2:8" ht="111" customHeight="1" thickBot="1" x14ac:dyDescent="0.4">
      <c r="B412" s="46"/>
      <c r="C412" s="54" t="s">
        <v>2148</v>
      </c>
      <c r="D412" s="55" t="s">
        <v>1362</v>
      </c>
      <c r="E412" s="58" t="s">
        <v>125</v>
      </c>
      <c r="F412" s="55" t="s">
        <v>2149</v>
      </c>
      <c r="G412" s="56" t="s">
        <v>2150</v>
      </c>
      <c r="H412" s="57" t="s">
        <v>1171</v>
      </c>
    </row>
    <row r="413" spans="2:8" ht="111" customHeight="1" thickBot="1" x14ac:dyDescent="0.4">
      <c r="B413" s="46"/>
      <c r="C413" s="54" t="s">
        <v>2151</v>
      </c>
      <c r="D413" s="55" t="s">
        <v>1366</v>
      </c>
      <c r="E413" s="58" t="s">
        <v>125</v>
      </c>
      <c r="F413" s="55" t="s">
        <v>2152</v>
      </c>
      <c r="G413" s="56" t="s">
        <v>2153</v>
      </c>
      <c r="H413" s="57" t="s">
        <v>1171</v>
      </c>
    </row>
    <row r="414" spans="2:8" ht="112.5" customHeight="1" thickBot="1" x14ac:dyDescent="0.4">
      <c r="B414" s="46"/>
      <c r="C414" s="54" t="s">
        <v>2154</v>
      </c>
      <c r="D414" s="55" t="s">
        <v>2155</v>
      </c>
      <c r="E414" s="58" t="s">
        <v>125</v>
      </c>
      <c r="F414" s="55" t="s">
        <v>2156</v>
      </c>
      <c r="G414" s="56" t="s">
        <v>2157</v>
      </c>
      <c r="H414" s="57" t="s">
        <v>1171</v>
      </c>
    </row>
    <row r="415" spans="2:8" ht="63.75" customHeight="1" thickBot="1" x14ac:dyDescent="0.4">
      <c r="B415" s="46"/>
      <c r="C415" s="54" t="s">
        <v>2158</v>
      </c>
      <c r="D415" s="55" t="s">
        <v>2159</v>
      </c>
      <c r="E415" s="58" t="s">
        <v>125</v>
      </c>
      <c r="F415" s="55" t="s">
        <v>2160</v>
      </c>
      <c r="G415" s="56" t="s">
        <v>2161</v>
      </c>
      <c r="H415" s="57" t="s">
        <v>1171</v>
      </c>
    </row>
    <row r="416" spans="2:8" ht="142.5" customHeight="1" thickBot="1" x14ac:dyDescent="0.4">
      <c r="B416" s="46"/>
      <c r="C416" s="54" t="s">
        <v>2162</v>
      </c>
      <c r="D416" s="55" t="s">
        <v>2163</v>
      </c>
      <c r="E416" s="58" t="s">
        <v>125</v>
      </c>
      <c r="F416" s="55" t="s">
        <v>2164</v>
      </c>
      <c r="G416" s="56" t="s">
        <v>2165</v>
      </c>
      <c r="H416" s="57" t="s">
        <v>1171</v>
      </c>
    </row>
    <row r="417" spans="2:8" ht="63.75" customHeight="1" thickBot="1" x14ac:dyDescent="0.4">
      <c r="B417" s="46"/>
      <c r="C417" s="54" t="s">
        <v>2166</v>
      </c>
      <c r="D417" s="55" t="s">
        <v>2167</v>
      </c>
      <c r="E417" s="58" t="s">
        <v>125</v>
      </c>
      <c r="F417" s="55" t="s">
        <v>2168</v>
      </c>
      <c r="G417" s="56" t="s">
        <v>2169</v>
      </c>
      <c r="H417" s="57" t="s">
        <v>1171</v>
      </c>
    </row>
    <row r="418" spans="2:8" ht="63.75" customHeight="1" thickBot="1" x14ac:dyDescent="0.4">
      <c r="B418" s="46"/>
      <c r="C418" s="54" t="s">
        <v>2170</v>
      </c>
      <c r="D418" s="55" t="s">
        <v>1386</v>
      </c>
      <c r="E418" s="58" t="s">
        <v>125</v>
      </c>
      <c r="F418" s="55" t="s">
        <v>2171</v>
      </c>
      <c r="G418" s="56" t="s">
        <v>2172</v>
      </c>
      <c r="H418" s="57" t="s">
        <v>1171</v>
      </c>
    </row>
    <row r="419" spans="2:8" ht="126.75" customHeight="1" thickBot="1" x14ac:dyDescent="0.4">
      <c r="B419" s="46"/>
      <c r="C419" s="54" t="s">
        <v>2173</v>
      </c>
      <c r="D419" s="55" t="s">
        <v>1718</v>
      </c>
      <c r="E419" s="58" t="s">
        <v>125</v>
      </c>
      <c r="F419" s="55" t="s">
        <v>2174</v>
      </c>
      <c r="G419" s="56" t="s">
        <v>2175</v>
      </c>
      <c r="H419" s="57" t="s">
        <v>1171</v>
      </c>
    </row>
    <row r="420" spans="2:8" ht="174" customHeight="1" thickBot="1" x14ac:dyDescent="0.4">
      <c r="B420" s="46"/>
      <c r="C420" s="54" t="s">
        <v>2176</v>
      </c>
      <c r="D420" s="55" t="s">
        <v>2177</v>
      </c>
      <c r="E420" s="58" t="s">
        <v>125</v>
      </c>
      <c r="F420" s="55" t="s">
        <v>2178</v>
      </c>
      <c r="G420" s="56" t="s">
        <v>2179</v>
      </c>
      <c r="H420" s="57" t="s">
        <v>1171</v>
      </c>
    </row>
    <row r="421" spans="2:8" ht="95.25" customHeight="1" thickBot="1" x14ac:dyDescent="0.4">
      <c r="B421" s="46"/>
      <c r="C421" s="54" t="s">
        <v>2180</v>
      </c>
      <c r="D421" s="55" t="s">
        <v>2181</v>
      </c>
      <c r="E421" s="58" t="s">
        <v>125</v>
      </c>
      <c r="F421" s="55" t="s">
        <v>2182</v>
      </c>
      <c r="G421" s="56" t="s">
        <v>2183</v>
      </c>
      <c r="H421" s="57" t="s">
        <v>1171</v>
      </c>
    </row>
    <row r="422" spans="2:8" ht="63.75" customHeight="1" thickBot="1" x14ac:dyDescent="0.4">
      <c r="B422" s="46"/>
      <c r="C422" s="54" t="s">
        <v>2184</v>
      </c>
      <c r="D422" s="55" t="s">
        <v>2185</v>
      </c>
      <c r="E422" s="58" t="s">
        <v>125</v>
      </c>
      <c r="F422" s="55" t="s">
        <v>2186</v>
      </c>
      <c r="G422" s="56" t="s">
        <v>2187</v>
      </c>
      <c r="H422" s="57" t="s">
        <v>1171</v>
      </c>
    </row>
    <row r="423" spans="2:8" ht="95.25" customHeight="1" thickBot="1" x14ac:dyDescent="0.4">
      <c r="B423" s="46"/>
      <c r="C423" s="54" t="s">
        <v>2188</v>
      </c>
      <c r="D423" s="55" t="s">
        <v>1426</v>
      </c>
      <c r="E423" s="58" t="s">
        <v>125</v>
      </c>
      <c r="F423" s="55" t="s">
        <v>2189</v>
      </c>
      <c r="G423" s="56" t="s">
        <v>2190</v>
      </c>
      <c r="H423" s="57" t="s">
        <v>1171</v>
      </c>
    </row>
    <row r="424" spans="2:8" ht="79.5" customHeight="1" thickBot="1" x14ac:dyDescent="0.4">
      <c r="B424" s="46"/>
      <c r="C424" s="54" t="s">
        <v>2191</v>
      </c>
      <c r="D424" s="55" t="s">
        <v>1430</v>
      </c>
      <c r="E424" s="58" t="s">
        <v>125</v>
      </c>
      <c r="F424" s="55" t="s">
        <v>2192</v>
      </c>
      <c r="G424" s="56" t="s">
        <v>2193</v>
      </c>
      <c r="H424" s="57" t="s">
        <v>1171</v>
      </c>
    </row>
    <row r="425" spans="2:8" ht="63.75" customHeight="1" thickBot="1" x14ac:dyDescent="0.4">
      <c r="B425" s="46"/>
      <c r="C425" s="54" t="s">
        <v>2194</v>
      </c>
      <c r="D425" s="55" t="s">
        <v>1731</v>
      </c>
      <c r="E425" s="58" t="s">
        <v>125</v>
      </c>
      <c r="F425" s="55" t="s">
        <v>2195</v>
      </c>
      <c r="G425" s="56" t="s">
        <v>2196</v>
      </c>
      <c r="H425" s="57" t="s">
        <v>1171</v>
      </c>
    </row>
    <row r="426" spans="2:8" ht="111" customHeight="1" thickBot="1" x14ac:dyDescent="0.4">
      <c r="B426" s="46"/>
      <c r="C426" s="54" t="s">
        <v>2197</v>
      </c>
      <c r="D426" s="55" t="s">
        <v>1438</v>
      </c>
      <c r="E426" s="58" t="s">
        <v>125</v>
      </c>
      <c r="F426" s="55" t="s">
        <v>2198</v>
      </c>
      <c r="G426" s="56" t="s">
        <v>2199</v>
      </c>
      <c r="H426" s="57" t="s">
        <v>1171</v>
      </c>
    </row>
    <row r="427" spans="2:8" ht="79.5" customHeight="1" thickBot="1" x14ac:dyDescent="0.4">
      <c r="B427" s="46"/>
      <c r="C427" s="54" t="s">
        <v>2200</v>
      </c>
      <c r="D427" s="55" t="s">
        <v>1442</v>
      </c>
      <c r="E427" s="58" t="s">
        <v>125</v>
      </c>
      <c r="F427" s="55" t="s">
        <v>2201</v>
      </c>
      <c r="G427" s="56" t="s">
        <v>2202</v>
      </c>
      <c r="H427" s="57" t="s">
        <v>1171</v>
      </c>
    </row>
    <row r="428" spans="2:8" ht="79.5" customHeight="1" thickBot="1" x14ac:dyDescent="0.4">
      <c r="B428" s="46"/>
      <c r="C428" s="54" t="s">
        <v>2203</v>
      </c>
      <c r="D428" s="55" t="s">
        <v>1446</v>
      </c>
      <c r="E428" s="58" t="s">
        <v>125</v>
      </c>
      <c r="F428" s="55" t="s">
        <v>2204</v>
      </c>
      <c r="G428" s="56" t="s">
        <v>2205</v>
      </c>
      <c r="H428" s="57" t="s">
        <v>1171</v>
      </c>
    </row>
    <row r="429" spans="2:8" ht="63.75" customHeight="1" thickBot="1" x14ac:dyDescent="0.4">
      <c r="B429" s="46"/>
      <c r="C429" s="54" t="s">
        <v>2206</v>
      </c>
      <c r="D429" s="55" t="s">
        <v>1450</v>
      </c>
      <c r="E429" s="58" t="s">
        <v>125</v>
      </c>
      <c r="F429" s="55" t="s">
        <v>2207</v>
      </c>
      <c r="G429" s="56" t="s">
        <v>2208</v>
      </c>
      <c r="H429" s="57" t="s">
        <v>1171</v>
      </c>
    </row>
    <row r="430" spans="2:8" ht="63.75" customHeight="1" thickBot="1" x14ac:dyDescent="0.4">
      <c r="B430" s="46"/>
      <c r="C430" s="54" t="s">
        <v>2209</v>
      </c>
      <c r="D430" s="55" t="s">
        <v>1454</v>
      </c>
      <c r="E430" s="58" t="s">
        <v>125</v>
      </c>
      <c r="F430" s="55" t="s">
        <v>2210</v>
      </c>
      <c r="G430" s="56" t="s">
        <v>2211</v>
      </c>
      <c r="H430" s="57" t="s">
        <v>1171</v>
      </c>
    </row>
    <row r="431" spans="2:8" ht="95.25" customHeight="1" thickBot="1" x14ac:dyDescent="0.4">
      <c r="B431" s="46"/>
      <c r="C431" s="54" t="s">
        <v>2212</v>
      </c>
      <c r="D431" s="55" t="s">
        <v>1458</v>
      </c>
      <c r="E431" s="58" t="s">
        <v>125</v>
      </c>
      <c r="F431" s="55" t="s">
        <v>2213</v>
      </c>
      <c r="G431" s="56" t="s">
        <v>2214</v>
      </c>
      <c r="H431" s="57" t="s">
        <v>1171</v>
      </c>
    </row>
    <row r="432" spans="2:8" ht="79.5" customHeight="1" thickBot="1" x14ac:dyDescent="0.4">
      <c r="B432" s="46"/>
      <c r="C432" s="54" t="s">
        <v>2215</v>
      </c>
      <c r="D432" s="55" t="s">
        <v>2216</v>
      </c>
      <c r="E432" s="58" t="s">
        <v>125</v>
      </c>
      <c r="F432" s="55" t="s">
        <v>2217</v>
      </c>
      <c r="G432" s="56" t="s">
        <v>2218</v>
      </c>
      <c r="H432" s="57" t="s">
        <v>1171</v>
      </c>
    </row>
    <row r="433" spans="2:8" ht="95.25" customHeight="1" thickBot="1" x14ac:dyDescent="0.4">
      <c r="B433" s="46"/>
      <c r="C433" s="54" t="s">
        <v>2219</v>
      </c>
      <c r="D433" s="55" t="s">
        <v>1466</v>
      </c>
      <c r="E433" s="58" t="s">
        <v>125</v>
      </c>
      <c r="F433" s="55" t="s">
        <v>2220</v>
      </c>
      <c r="G433" s="56" t="s">
        <v>2221</v>
      </c>
      <c r="H433" s="57" t="s">
        <v>1171</v>
      </c>
    </row>
    <row r="434" spans="2:8" ht="63.75" customHeight="1" thickBot="1" x14ac:dyDescent="0.4">
      <c r="B434" s="46"/>
      <c r="C434" s="54" t="s">
        <v>2222</v>
      </c>
      <c r="D434" s="55" t="s">
        <v>1470</v>
      </c>
      <c r="E434" s="58" t="s">
        <v>125</v>
      </c>
      <c r="F434" s="55" t="s">
        <v>2223</v>
      </c>
      <c r="G434" s="56" t="s">
        <v>2224</v>
      </c>
      <c r="H434" s="57" t="s">
        <v>1171</v>
      </c>
    </row>
    <row r="435" spans="2:8" ht="111" customHeight="1" thickBot="1" x14ac:dyDescent="0.4">
      <c r="B435" s="46"/>
      <c r="C435" s="54" t="s">
        <v>2225</v>
      </c>
      <c r="D435" s="55" t="s">
        <v>1474</v>
      </c>
      <c r="E435" s="58" t="s">
        <v>125</v>
      </c>
      <c r="F435" s="55" t="s">
        <v>2226</v>
      </c>
      <c r="G435" s="56" t="s">
        <v>2227</v>
      </c>
      <c r="H435" s="57" t="s">
        <v>1171</v>
      </c>
    </row>
    <row r="436" spans="2:8" ht="142.5" customHeight="1" thickBot="1" x14ac:dyDescent="0.4">
      <c r="B436" s="46"/>
      <c r="C436" s="54" t="s">
        <v>2228</v>
      </c>
      <c r="D436" s="55" t="s">
        <v>2229</v>
      </c>
      <c r="E436" s="58" t="s">
        <v>125</v>
      </c>
      <c r="F436" s="55" t="s">
        <v>2230</v>
      </c>
      <c r="G436" s="56" t="s">
        <v>2231</v>
      </c>
      <c r="H436" s="57" t="s">
        <v>1171</v>
      </c>
    </row>
    <row r="437" spans="2:8" x14ac:dyDescent="0.35">
      <c r="B437" s="47"/>
      <c r="C437" s="14"/>
      <c r="D437" s="14"/>
      <c r="E437" s="14"/>
      <c r="F437" s="14"/>
      <c r="G437" s="18"/>
    </row>
    <row r="438" spans="2:8" x14ac:dyDescent="0.35">
      <c r="B438" s="47"/>
      <c r="C438" s="14"/>
      <c r="D438" s="14"/>
      <c r="E438" s="14"/>
      <c r="F438" s="14"/>
      <c r="G438" s="18"/>
    </row>
    <row r="439" spans="2:8" x14ac:dyDescent="0.35">
      <c r="B439" s="47"/>
      <c r="C439" s="14"/>
      <c r="D439" s="14"/>
      <c r="E439" s="14"/>
      <c r="F439" s="14"/>
      <c r="G439" s="18"/>
    </row>
    <row r="440" spans="2:8" x14ac:dyDescent="0.35">
      <c r="B440" s="47"/>
      <c r="C440" s="14"/>
      <c r="D440" s="14"/>
      <c r="E440" s="14"/>
      <c r="F440" s="14"/>
      <c r="G440" s="18"/>
    </row>
    <row r="441" spans="2:8" x14ac:dyDescent="0.35">
      <c r="B441" s="47"/>
      <c r="C441" s="14"/>
      <c r="D441" s="14"/>
      <c r="E441" s="14"/>
      <c r="F441" s="14"/>
      <c r="G441" s="18"/>
    </row>
    <row r="442" spans="2:8" x14ac:dyDescent="0.35">
      <c r="B442" s="47"/>
      <c r="C442" s="14"/>
      <c r="D442" s="14"/>
      <c r="E442" s="14"/>
      <c r="F442" s="14"/>
      <c r="G442" s="18"/>
    </row>
    <row r="443" spans="2:8" x14ac:dyDescent="0.35">
      <c r="B443" s="47"/>
      <c r="C443" s="14"/>
      <c r="D443" s="14"/>
      <c r="E443" s="14"/>
      <c r="F443" s="14"/>
      <c r="G443" s="18"/>
    </row>
    <row r="444" spans="2:8" x14ac:dyDescent="0.35">
      <c r="B444" s="47"/>
      <c r="C444" s="14"/>
      <c r="D444" s="14"/>
      <c r="E444" s="14"/>
      <c r="F444" s="14"/>
      <c r="G444" s="18"/>
    </row>
    <row r="445" spans="2:8" x14ac:dyDescent="0.35">
      <c r="B445" s="47"/>
      <c r="C445" s="14"/>
      <c r="D445" s="14"/>
      <c r="E445" s="14"/>
      <c r="F445" s="14"/>
      <c r="G445" s="18"/>
    </row>
    <row r="446" spans="2:8" x14ac:dyDescent="0.35">
      <c r="B446" s="47"/>
      <c r="C446" s="14"/>
      <c r="D446" s="14"/>
      <c r="E446" s="14"/>
      <c r="F446" s="14"/>
      <c r="G446" s="18"/>
    </row>
    <row r="447" spans="2:8" x14ac:dyDescent="0.35">
      <c r="B447" s="47"/>
      <c r="C447" s="14"/>
      <c r="D447" s="14"/>
      <c r="E447" s="14"/>
      <c r="F447" s="14"/>
      <c r="G447" s="18"/>
    </row>
    <row r="448" spans="2:8" x14ac:dyDescent="0.35">
      <c r="B448" s="47"/>
      <c r="C448" s="14"/>
      <c r="D448" s="14"/>
      <c r="E448" s="14"/>
      <c r="F448" s="14"/>
      <c r="G448" s="18"/>
    </row>
    <row r="449" spans="2:7" x14ac:dyDescent="0.35">
      <c r="B449" s="47"/>
      <c r="C449" s="14"/>
      <c r="D449" s="14"/>
      <c r="E449" s="14"/>
      <c r="F449" s="14"/>
      <c r="G449" s="18"/>
    </row>
    <row r="450" spans="2:7" x14ac:dyDescent="0.35">
      <c r="B450" s="47"/>
      <c r="C450" s="14"/>
      <c r="D450" s="14"/>
      <c r="E450" s="14"/>
      <c r="F450" s="14"/>
      <c r="G450" s="18"/>
    </row>
    <row r="451" spans="2:7" x14ac:dyDescent="0.35">
      <c r="B451" s="47"/>
      <c r="C451" s="14"/>
      <c r="D451" s="14"/>
      <c r="E451" s="14"/>
      <c r="F451" s="14"/>
      <c r="G451" s="18"/>
    </row>
    <row r="452" spans="2:7" x14ac:dyDescent="0.35">
      <c r="B452" s="47"/>
      <c r="C452" s="14"/>
      <c r="D452" s="14"/>
      <c r="E452" s="14"/>
      <c r="F452" s="14"/>
      <c r="G452" s="18"/>
    </row>
    <row r="453" spans="2:7" x14ac:dyDescent="0.35">
      <c r="B453" s="47"/>
      <c r="C453" s="14"/>
      <c r="D453" s="14"/>
      <c r="E453" s="14"/>
      <c r="F453" s="14"/>
      <c r="G453" s="18"/>
    </row>
    <row r="454" spans="2:7" x14ac:dyDescent="0.35">
      <c r="B454" s="47"/>
      <c r="C454" s="14"/>
      <c r="D454" s="14"/>
      <c r="E454" s="14"/>
      <c r="F454" s="14"/>
      <c r="G454" s="18"/>
    </row>
    <row r="455" spans="2:7" x14ac:dyDescent="0.35">
      <c r="B455" s="47"/>
      <c r="C455" s="14"/>
      <c r="D455" s="14"/>
      <c r="E455" s="14"/>
      <c r="F455" s="14"/>
      <c r="G455" s="18"/>
    </row>
    <row r="456" spans="2:7" x14ac:dyDescent="0.35">
      <c r="B456" s="47"/>
      <c r="C456" s="14"/>
      <c r="D456" s="14"/>
      <c r="E456" s="14"/>
      <c r="F456" s="14"/>
      <c r="G456" s="18"/>
    </row>
    <row r="457" spans="2:7" x14ac:dyDescent="0.35">
      <c r="B457" s="47"/>
      <c r="C457" s="14"/>
      <c r="D457" s="14"/>
      <c r="E457" s="14"/>
      <c r="F457" s="14"/>
      <c r="G457" s="18"/>
    </row>
    <row r="458" spans="2:7" x14ac:dyDescent="0.35">
      <c r="B458" s="47"/>
      <c r="C458" s="14"/>
      <c r="D458" s="14"/>
      <c r="E458" s="14"/>
      <c r="F458" s="14"/>
      <c r="G458" s="18"/>
    </row>
    <row r="459" spans="2:7" x14ac:dyDescent="0.35">
      <c r="B459" s="47"/>
      <c r="C459" s="14"/>
      <c r="D459" s="14"/>
      <c r="E459" s="14"/>
      <c r="F459" s="14"/>
      <c r="G459" s="18"/>
    </row>
    <row r="460" spans="2:7" x14ac:dyDescent="0.35">
      <c r="B460" s="47"/>
      <c r="C460" s="14"/>
      <c r="D460" s="14"/>
      <c r="E460" s="14"/>
      <c r="F460" s="14"/>
      <c r="G460" s="18"/>
    </row>
    <row r="461" spans="2:7" x14ac:dyDescent="0.35">
      <c r="B461" s="47"/>
      <c r="C461" s="14"/>
      <c r="D461" s="14"/>
      <c r="E461" s="14"/>
      <c r="F461" s="14"/>
      <c r="G461" s="18"/>
    </row>
    <row r="462" spans="2:7" x14ac:dyDescent="0.35">
      <c r="B462" s="47"/>
      <c r="C462" s="14"/>
      <c r="D462" s="14"/>
      <c r="E462" s="14"/>
      <c r="F462" s="14"/>
      <c r="G462" s="18"/>
    </row>
    <row r="463" spans="2:7" x14ac:dyDescent="0.35">
      <c r="B463" s="47"/>
      <c r="C463" s="14"/>
      <c r="D463" s="14"/>
      <c r="E463" s="14"/>
      <c r="F463" s="14"/>
      <c r="G463" s="18"/>
    </row>
    <row r="464" spans="2:7" x14ac:dyDescent="0.35">
      <c r="B464" s="47"/>
      <c r="C464" s="14"/>
      <c r="D464" s="14"/>
      <c r="E464" s="14"/>
      <c r="F464" s="14"/>
      <c r="G464" s="18"/>
    </row>
    <row r="465" spans="2:7" x14ac:dyDescent="0.35">
      <c r="B465" s="47"/>
      <c r="C465" s="14"/>
      <c r="D465" s="14"/>
      <c r="E465" s="14"/>
      <c r="F465" s="14"/>
      <c r="G465" s="18"/>
    </row>
    <row r="466" spans="2:7" x14ac:dyDescent="0.35">
      <c r="B466" s="47"/>
      <c r="C466" s="14"/>
      <c r="D466" s="14"/>
      <c r="E466" s="14"/>
      <c r="F466" s="14"/>
      <c r="G466" s="18"/>
    </row>
    <row r="467" spans="2:7" x14ac:dyDescent="0.35">
      <c r="B467" s="47"/>
      <c r="C467" s="14"/>
      <c r="D467" s="14"/>
      <c r="E467" s="14"/>
      <c r="F467" s="14"/>
      <c r="G467" s="18"/>
    </row>
    <row r="468" spans="2:7" x14ac:dyDescent="0.35">
      <c r="B468" s="47"/>
      <c r="C468" s="14"/>
      <c r="D468" s="14"/>
      <c r="E468" s="14"/>
      <c r="F468" s="14"/>
      <c r="G468" s="18"/>
    </row>
    <row r="469" spans="2:7" x14ac:dyDescent="0.35">
      <c r="B469" s="47"/>
      <c r="C469" s="14"/>
      <c r="D469" s="14"/>
      <c r="E469" s="14"/>
      <c r="F469" s="14"/>
      <c r="G469" s="18"/>
    </row>
    <row r="470" spans="2:7" x14ac:dyDescent="0.35">
      <c r="B470" s="47"/>
      <c r="C470" s="14"/>
      <c r="D470" s="14"/>
      <c r="E470" s="14"/>
      <c r="F470" s="14"/>
      <c r="G470" s="18"/>
    </row>
    <row r="471" spans="2:7" x14ac:dyDescent="0.35">
      <c r="B471" s="47"/>
      <c r="C471" s="14"/>
      <c r="D471" s="14"/>
      <c r="E471" s="14"/>
      <c r="F471" s="14"/>
      <c r="G471" s="18"/>
    </row>
    <row r="472" spans="2:7" x14ac:dyDescent="0.35">
      <c r="B472" s="47"/>
      <c r="C472" s="14"/>
      <c r="D472" s="14"/>
      <c r="E472" s="14"/>
      <c r="F472" s="14"/>
      <c r="G472" s="18"/>
    </row>
    <row r="473" spans="2:7" x14ac:dyDescent="0.35">
      <c r="B473" s="47"/>
      <c r="C473" s="14"/>
      <c r="D473" s="14"/>
      <c r="E473" s="14"/>
      <c r="F473" s="14"/>
      <c r="G473" s="18"/>
    </row>
    <row r="474" spans="2:7" x14ac:dyDescent="0.35">
      <c r="B474" s="47"/>
      <c r="C474" s="14"/>
      <c r="D474" s="14"/>
      <c r="E474" s="14"/>
      <c r="F474" s="14"/>
      <c r="G474" s="18"/>
    </row>
    <row r="475" spans="2:7" x14ac:dyDescent="0.35">
      <c r="B475" s="47"/>
      <c r="C475" s="14"/>
      <c r="D475" s="14"/>
      <c r="E475" s="14"/>
      <c r="F475" s="14"/>
      <c r="G475" s="18"/>
    </row>
    <row r="476" spans="2:7" x14ac:dyDescent="0.35">
      <c r="B476" s="47"/>
      <c r="C476" s="14"/>
      <c r="D476" s="14"/>
      <c r="E476" s="14"/>
      <c r="F476" s="14"/>
      <c r="G476" s="18"/>
    </row>
    <row r="477" spans="2:7" x14ac:dyDescent="0.35">
      <c r="B477" s="47"/>
      <c r="C477" s="14"/>
      <c r="D477" s="14"/>
      <c r="E477" s="14"/>
      <c r="F477" s="14"/>
      <c r="G477" s="18"/>
    </row>
    <row r="478" spans="2:7" x14ac:dyDescent="0.35">
      <c r="B478" s="47"/>
      <c r="C478" s="14"/>
      <c r="D478" s="14"/>
      <c r="E478" s="14"/>
      <c r="F478" s="14"/>
      <c r="G478" s="18"/>
    </row>
    <row r="479" spans="2:7" x14ac:dyDescent="0.35">
      <c r="B479" s="47"/>
      <c r="C479" s="14"/>
      <c r="D479" s="14"/>
      <c r="E479" s="14"/>
      <c r="F479" s="14"/>
      <c r="G479" s="18"/>
    </row>
    <row r="480" spans="2:7" x14ac:dyDescent="0.35">
      <c r="B480" s="47"/>
      <c r="C480" s="14"/>
      <c r="D480" s="14"/>
      <c r="E480" s="14"/>
      <c r="F480" s="14"/>
      <c r="G480" s="18"/>
    </row>
    <row r="481" spans="2:7" x14ac:dyDescent="0.35">
      <c r="B481" s="47"/>
      <c r="C481" s="14"/>
      <c r="D481" s="14"/>
      <c r="E481" s="14"/>
      <c r="F481" s="14"/>
      <c r="G481" s="18"/>
    </row>
    <row r="482" spans="2:7" x14ac:dyDescent="0.35">
      <c r="B482" s="47"/>
      <c r="C482" s="14"/>
      <c r="D482" s="14"/>
      <c r="E482" s="14"/>
      <c r="F482" s="14"/>
      <c r="G482" s="18"/>
    </row>
    <row r="483" spans="2:7" x14ac:dyDescent="0.35">
      <c r="B483" s="47"/>
      <c r="C483" s="14"/>
      <c r="D483" s="14"/>
      <c r="E483" s="14"/>
      <c r="F483" s="14"/>
      <c r="G483" s="18"/>
    </row>
    <row r="484" spans="2:7" x14ac:dyDescent="0.35">
      <c r="B484" s="47"/>
      <c r="C484" s="14"/>
      <c r="D484" s="14"/>
      <c r="E484" s="14"/>
      <c r="F484" s="14"/>
      <c r="G484" s="18"/>
    </row>
    <row r="485" spans="2:7" x14ac:dyDescent="0.35">
      <c r="B485" s="47"/>
      <c r="C485" s="14"/>
      <c r="D485" s="14"/>
      <c r="E485" s="14"/>
      <c r="F485" s="14"/>
      <c r="G485" s="18"/>
    </row>
    <row r="486" spans="2:7" x14ac:dyDescent="0.35">
      <c r="B486" s="47"/>
      <c r="C486" s="14"/>
      <c r="D486" s="14"/>
      <c r="E486" s="14"/>
      <c r="F486" s="14"/>
      <c r="G486" s="18"/>
    </row>
    <row r="487" spans="2:7" x14ac:dyDescent="0.35">
      <c r="B487" s="47"/>
      <c r="C487" s="14"/>
      <c r="D487" s="14"/>
      <c r="E487" s="14"/>
      <c r="F487" s="14"/>
      <c r="G487" s="18"/>
    </row>
    <row r="488" spans="2:7" x14ac:dyDescent="0.35">
      <c r="B488" s="47"/>
      <c r="C488" s="14"/>
      <c r="D488" s="14"/>
      <c r="E488" s="14"/>
      <c r="F488" s="14"/>
      <c r="G488" s="18"/>
    </row>
    <row r="489" spans="2:7" x14ac:dyDescent="0.35">
      <c r="B489" s="47"/>
      <c r="C489" s="14"/>
      <c r="D489" s="14"/>
      <c r="E489" s="14"/>
      <c r="F489" s="14"/>
      <c r="G489" s="18"/>
    </row>
    <row r="490" spans="2:7" x14ac:dyDescent="0.35">
      <c r="B490" s="47"/>
      <c r="C490" s="14"/>
      <c r="D490" s="14"/>
      <c r="E490" s="14"/>
      <c r="F490" s="14"/>
      <c r="G490" s="18"/>
    </row>
    <row r="491" spans="2:7" x14ac:dyDescent="0.35">
      <c r="B491" s="47"/>
      <c r="C491" s="14"/>
      <c r="D491" s="14"/>
      <c r="E491" s="14"/>
      <c r="F491" s="14"/>
      <c r="G491" s="18"/>
    </row>
    <row r="492" spans="2:7" x14ac:dyDescent="0.35">
      <c r="B492" s="47"/>
      <c r="C492" s="14"/>
      <c r="D492" s="14"/>
      <c r="E492" s="14"/>
      <c r="F492" s="14"/>
      <c r="G492" s="18"/>
    </row>
    <row r="493" spans="2:7" x14ac:dyDescent="0.35">
      <c r="B493" s="47"/>
      <c r="C493" s="14"/>
      <c r="D493" s="14"/>
      <c r="E493" s="14"/>
      <c r="F493" s="14"/>
      <c r="G493" s="18"/>
    </row>
    <row r="494" spans="2:7" x14ac:dyDescent="0.35">
      <c r="B494" s="47"/>
      <c r="C494" s="14"/>
      <c r="D494" s="14"/>
      <c r="E494" s="14"/>
      <c r="F494" s="14"/>
      <c r="G494" s="18"/>
    </row>
    <row r="495" spans="2:7" x14ac:dyDescent="0.35">
      <c r="B495" s="47"/>
      <c r="C495" s="14"/>
      <c r="D495" s="14"/>
      <c r="E495" s="14"/>
      <c r="F495" s="14"/>
      <c r="G495" s="18"/>
    </row>
    <row r="496" spans="2:7" x14ac:dyDescent="0.35">
      <c r="B496" s="47"/>
      <c r="C496" s="14"/>
      <c r="D496" s="14"/>
      <c r="E496" s="14"/>
      <c r="F496" s="14"/>
      <c r="G496" s="18"/>
    </row>
    <row r="497" spans="2:7" x14ac:dyDescent="0.35">
      <c r="B497" s="47"/>
      <c r="C497" s="14"/>
      <c r="D497" s="14"/>
      <c r="E497" s="14"/>
      <c r="F497" s="14"/>
      <c r="G497" s="18"/>
    </row>
    <row r="498" spans="2:7" x14ac:dyDescent="0.35">
      <c r="B498" s="47"/>
      <c r="C498" s="14"/>
      <c r="D498" s="14"/>
      <c r="E498" s="14"/>
      <c r="F498" s="14"/>
      <c r="G498" s="18"/>
    </row>
    <row r="499" spans="2:7" x14ac:dyDescent="0.35">
      <c r="B499" s="47"/>
      <c r="C499" s="14"/>
      <c r="D499" s="14"/>
      <c r="E499" s="14"/>
      <c r="F499" s="14"/>
      <c r="G499" s="18"/>
    </row>
    <row r="500" spans="2:7" x14ac:dyDescent="0.35">
      <c r="B500" s="47"/>
      <c r="C500" s="14"/>
      <c r="D500" s="14"/>
      <c r="E500" s="14"/>
      <c r="F500" s="14"/>
      <c r="G500" s="18"/>
    </row>
    <row r="501" spans="2:7" x14ac:dyDescent="0.35">
      <c r="B501" s="47"/>
      <c r="C501" s="14"/>
      <c r="D501" s="14"/>
      <c r="E501" s="14"/>
      <c r="F501" s="14"/>
      <c r="G501" s="18"/>
    </row>
    <row r="502" spans="2:7" x14ac:dyDescent="0.35">
      <c r="B502" s="47"/>
      <c r="C502" s="14"/>
      <c r="D502" s="14"/>
      <c r="E502" s="14"/>
      <c r="F502" s="14"/>
      <c r="G502" s="18"/>
    </row>
    <row r="503" spans="2:7" x14ac:dyDescent="0.35">
      <c r="B503" s="47"/>
      <c r="C503" s="14"/>
      <c r="D503" s="14"/>
      <c r="E503" s="14"/>
      <c r="F503" s="14"/>
      <c r="G503" s="18"/>
    </row>
    <row r="504" spans="2:7" x14ac:dyDescent="0.35">
      <c r="B504" s="47"/>
      <c r="C504" s="14"/>
      <c r="D504" s="14"/>
      <c r="E504" s="14"/>
      <c r="F504" s="14"/>
      <c r="G504" s="18"/>
    </row>
    <row r="505" spans="2:7" x14ac:dyDescent="0.35">
      <c r="B505" s="47"/>
      <c r="C505" s="14"/>
      <c r="D505" s="14"/>
      <c r="E505" s="14"/>
      <c r="F505" s="14"/>
      <c r="G505" s="18"/>
    </row>
    <row r="506" spans="2:7" x14ac:dyDescent="0.35">
      <c r="B506" s="47"/>
      <c r="C506" s="14"/>
      <c r="D506" s="14"/>
      <c r="E506" s="14"/>
      <c r="F506" s="14"/>
      <c r="G506" s="18"/>
    </row>
    <row r="507" spans="2:7" x14ac:dyDescent="0.35">
      <c r="B507" s="47"/>
      <c r="C507" s="14"/>
      <c r="D507" s="14"/>
      <c r="E507" s="14"/>
      <c r="F507" s="14"/>
      <c r="G507" s="18"/>
    </row>
    <row r="508" spans="2:7" x14ac:dyDescent="0.35">
      <c r="B508" s="47"/>
      <c r="C508" s="14"/>
      <c r="D508" s="14"/>
      <c r="E508" s="14"/>
      <c r="F508" s="14"/>
      <c r="G508" s="18"/>
    </row>
    <row r="509" spans="2:7" x14ac:dyDescent="0.35">
      <c r="B509" s="47"/>
      <c r="C509" s="14"/>
      <c r="D509" s="14"/>
      <c r="E509" s="14"/>
      <c r="F509" s="14"/>
      <c r="G509" s="18"/>
    </row>
    <row r="510" spans="2:7" x14ac:dyDescent="0.35">
      <c r="B510" s="47"/>
      <c r="C510" s="14"/>
      <c r="D510" s="14"/>
      <c r="E510" s="14"/>
      <c r="F510" s="14"/>
      <c r="G510" s="18"/>
    </row>
    <row r="511" spans="2:7" x14ac:dyDescent="0.35">
      <c r="B511" s="47"/>
      <c r="C511" s="14"/>
      <c r="D511" s="14"/>
      <c r="E511" s="14"/>
      <c r="F511" s="14"/>
      <c r="G511" s="18"/>
    </row>
    <row r="512" spans="2:7" x14ac:dyDescent="0.35">
      <c r="B512" s="47"/>
      <c r="C512" s="14"/>
      <c r="D512" s="14"/>
      <c r="E512" s="14"/>
      <c r="F512" s="14"/>
      <c r="G512" s="18"/>
    </row>
    <row r="513" spans="2:7" x14ac:dyDescent="0.35">
      <c r="B513" s="47"/>
      <c r="C513" s="14"/>
      <c r="D513" s="14"/>
      <c r="E513" s="14"/>
      <c r="F513" s="14"/>
      <c r="G513" s="18"/>
    </row>
    <row r="514" spans="2:7" x14ac:dyDescent="0.35">
      <c r="B514" s="47"/>
      <c r="C514" s="14"/>
      <c r="D514" s="14"/>
      <c r="E514" s="14"/>
      <c r="F514" s="14"/>
      <c r="G514" s="18"/>
    </row>
    <row r="515" spans="2:7" x14ac:dyDescent="0.35">
      <c r="B515" s="47"/>
      <c r="C515" s="14"/>
      <c r="D515" s="14"/>
      <c r="E515" s="14"/>
      <c r="F515" s="14"/>
      <c r="G515" s="18"/>
    </row>
    <row r="516" spans="2:7" x14ac:dyDescent="0.35">
      <c r="B516" s="47"/>
      <c r="C516" s="14"/>
      <c r="D516" s="14"/>
      <c r="E516" s="14"/>
      <c r="F516" s="14"/>
      <c r="G516" s="18"/>
    </row>
    <row r="517" spans="2:7" x14ac:dyDescent="0.35">
      <c r="B517" s="47"/>
      <c r="C517" s="14"/>
      <c r="D517" s="14"/>
      <c r="E517" s="14"/>
      <c r="F517" s="14"/>
      <c r="G517" s="18"/>
    </row>
    <row r="518" spans="2:7" x14ac:dyDescent="0.35">
      <c r="B518" s="47"/>
      <c r="C518" s="14"/>
      <c r="D518" s="14"/>
      <c r="E518" s="14"/>
      <c r="F518" s="14"/>
      <c r="G518" s="18"/>
    </row>
    <row r="519" spans="2:7" x14ac:dyDescent="0.35">
      <c r="B519" s="47"/>
      <c r="C519" s="14"/>
      <c r="D519" s="14"/>
      <c r="E519" s="14"/>
      <c r="F519" s="14"/>
      <c r="G519" s="18"/>
    </row>
    <row r="520" spans="2:7" x14ac:dyDescent="0.35">
      <c r="B520" s="47"/>
      <c r="C520" s="14"/>
      <c r="D520" s="14"/>
      <c r="E520" s="14"/>
      <c r="F520" s="14"/>
      <c r="G520" s="18"/>
    </row>
    <row r="521" spans="2:7" x14ac:dyDescent="0.35">
      <c r="B521" s="47"/>
      <c r="C521" s="14"/>
      <c r="D521" s="14"/>
      <c r="E521" s="14"/>
      <c r="F521" s="14"/>
      <c r="G521" s="18"/>
    </row>
    <row r="522" spans="2:7" x14ac:dyDescent="0.35">
      <c r="B522" s="47"/>
      <c r="C522" s="14"/>
      <c r="D522" s="14"/>
      <c r="E522" s="14"/>
      <c r="F522" s="14"/>
      <c r="G522" s="18"/>
    </row>
    <row r="523" spans="2:7" x14ac:dyDescent="0.35">
      <c r="B523" s="47"/>
      <c r="C523" s="14"/>
      <c r="D523" s="14"/>
      <c r="E523" s="14"/>
      <c r="F523" s="14"/>
      <c r="G523" s="18"/>
    </row>
    <row r="524" spans="2:7" x14ac:dyDescent="0.35">
      <c r="B524" s="47"/>
      <c r="C524" s="14"/>
      <c r="D524" s="14"/>
      <c r="E524" s="14"/>
      <c r="F524" s="14"/>
      <c r="G524" s="18"/>
    </row>
    <row r="525" spans="2:7" x14ac:dyDescent="0.35">
      <c r="B525" s="47"/>
      <c r="C525" s="14"/>
      <c r="D525" s="14"/>
      <c r="E525" s="14"/>
      <c r="F525" s="14"/>
      <c r="G525" s="18"/>
    </row>
    <row r="526" spans="2:7" x14ac:dyDescent="0.35">
      <c r="B526" s="47"/>
      <c r="C526" s="14"/>
      <c r="D526" s="14"/>
      <c r="E526" s="14"/>
      <c r="F526" s="14"/>
      <c r="G526" s="18"/>
    </row>
    <row r="527" spans="2:7" x14ac:dyDescent="0.35">
      <c r="B527" s="47"/>
      <c r="C527" s="14"/>
      <c r="D527" s="14"/>
      <c r="E527" s="14"/>
      <c r="F527" s="14"/>
      <c r="G527" s="18"/>
    </row>
    <row r="528" spans="2:7" x14ac:dyDescent="0.35">
      <c r="B528" s="47"/>
      <c r="C528" s="14"/>
      <c r="D528" s="14"/>
      <c r="E528" s="14"/>
      <c r="F528" s="14"/>
      <c r="G528" s="18"/>
    </row>
    <row r="529" spans="2:7" x14ac:dyDescent="0.35">
      <c r="B529" s="47"/>
      <c r="C529" s="14"/>
      <c r="D529" s="14"/>
      <c r="E529" s="14"/>
      <c r="F529" s="14"/>
      <c r="G529" s="18"/>
    </row>
    <row r="530" spans="2:7" x14ac:dyDescent="0.35">
      <c r="B530" s="47"/>
      <c r="C530" s="14"/>
      <c r="D530" s="14"/>
      <c r="E530" s="14"/>
      <c r="F530" s="14"/>
      <c r="G530" s="18"/>
    </row>
    <row r="531" spans="2:7" x14ac:dyDescent="0.35">
      <c r="B531" s="47"/>
      <c r="C531" s="14"/>
      <c r="D531" s="14"/>
      <c r="E531" s="14"/>
      <c r="F531" s="14"/>
      <c r="G531" s="18"/>
    </row>
    <row r="532" spans="2:7" x14ac:dyDescent="0.35">
      <c r="B532" s="47"/>
      <c r="C532" s="14"/>
      <c r="D532" s="14"/>
      <c r="E532" s="14"/>
      <c r="F532" s="14"/>
      <c r="G532" s="18"/>
    </row>
    <row r="533" spans="2:7" x14ac:dyDescent="0.35">
      <c r="B533" s="47"/>
      <c r="C533" s="14"/>
      <c r="D533" s="14"/>
      <c r="E533" s="14"/>
      <c r="F533" s="14"/>
      <c r="G533" s="18"/>
    </row>
    <row r="534" spans="2:7" x14ac:dyDescent="0.35">
      <c r="B534" s="47"/>
      <c r="C534" s="14"/>
      <c r="D534" s="14"/>
      <c r="E534" s="14"/>
      <c r="F534" s="14"/>
      <c r="G534" s="18"/>
    </row>
    <row r="535" spans="2:7" x14ac:dyDescent="0.35">
      <c r="B535" s="47"/>
      <c r="C535" s="14"/>
      <c r="D535" s="14"/>
      <c r="E535" s="14"/>
      <c r="F535" s="14"/>
      <c r="G535" s="18"/>
    </row>
    <row r="536" spans="2:7" x14ac:dyDescent="0.35">
      <c r="B536" s="47"/>
      <c r="C536" s="14"/>
      <c r="D536" s="14"/>
      <c r="E536" s="14"/>
      <c r="F536" s="14"/>
      <c r="G536" s="18"/>
    </row>
    <row r="537" spans="2:7" x14ac:dyDescent="0.35">
      <c r="B537" s="47"/>
      <c r="C537" s="14"/>
      <c r="D537" s="14"/>
      <c r="E537" s="14"/>
      <c r="F537" s="14"/>
      <c r="G537" s="18"/>
    </row>
    <row r="538" spans="2:7" x14ac:dyDescent="0.35">
      <c r="B538" s="47"/>
      <c r="C538" s="14"/>
      <c r="D538" s="14"/>
      <c r="E538" s="14"/>
      <c r="F538" s="14"/>
      <c r="G538" s="18"/>
    </row>
    <row r="539" spans="2:7" x14ac:dyDescent="0.35">
      <c r="B539" s="47"/>
      <c r="C539" s="14"/>
      <c r="D539" s="14"/>
      <c r="E539" s="14"/>
      <c r="F539" s="14"/>
      <c r="G539" s="18"/>
    </row>
    <row r="540" spans="2:7" x14ac:dyDescent="0.35">
      <c r="B540" s="47"/>
      <c r="C540" s="14"/>
      <c r="D540" s="14"/>
      <c r="E540" s="14"/>
      <c r="F540" s="14"/>
      <c r="G540" s="18"/>
    </row>
    <row r="541" spans="2:7" x14ac:dyDescent="0.35">
      <c r="B541" s="47"/>
      <c r="C541" s="14"/>
      <c r="D541" s="14"/>
      <c r="E541" s="14"/>
      <c r="F541" s="14"/>
      <c r="G541" s="18"/>
    </row>
    <row r="542" spans="2:7" x14ac:dyDescent="0.35">
      <c r="B542" s="47"/>
      <c r="C542" s="14"/>
      <c r="D542" s="14"/>
      <c r="E542" s="14"/>
      <c r="F542" s="14"/>
      <c r="G542" s="18"/>
    </row>
    <row r="543" spans="2:7" x14ac:dyDescent="0.35">
      <c r="B543" s="47"/>
      <c r="C543" s="14"/>
      <c r="D543" s="14"/>
      <c r="E543" s="14"/>
      <c r="F543" s="14"/>
      <c r="G543" s="18"/>
    </row>
    <row r="544" spans="2:7" x14ac:dyDescent="0.35">
      <c r="B544" s="47"/>
      <c r="C544" s="14"/>
      <c r="D544" s="14"/>
      <c r="E544" s="14"/>
      <c r="F544" s="14"/>
      <c r="G544" s="18"/>
    </row>
    <row r="545" spans="2:7" x14ac:dyDescent="0.35">
      <c r="B545" s="47"/>
      <c r="C545" s="14"/>
      <c r="D545" s="14"/>
      <c r="E545" s="14"/>
      <c r="F545" s="14"/>
      <c r="G545" s="18"/>
    </row>
    <row r="546" spans="2:7" x14ac:dyDescent="0.35">
      <c r="B546" s="47"/>
      <c r="C546" s="14"/>
      <c r="D546" s="14"/>
      <c r="E546" s="14"/>
      <c r="F546" s="14"/>
      <c r="G546" s="18"/>
    </row>
    <row r="547" spans="2:7" x14ac:dyDescent="0.35">
      <c r="B547" s="47"/>
      <c r="C547" s="14"/>
      <c r="D547" s="14"/>
      <c r="E547" s="14"/>
      <c r="F547" s="14"/>
      <c r="G547" s="18"/>
    </row>
    <row r="548" spans="2:7" x14ac:dyDescent="0.35">
      <c r="B548" s="47"/>
      <c r="C548" s="14"/>
      <c r="D548" s="14"/>
      <c r="E548" s="14"/>
      <c r="F548" s="14"/>
      <c r="G548" s="18"/>
    </row>
    <row r="549" spans="2:7" x14ac:dyDescent="0.35">
      <c r="B549" s="47"/>
      <c r="C549" s="14"/>
      <c r="D549" s="14"/>
      <c r="E549" s="14"/>
      <c r="F549" s="14"/>
      <c r="G549" s="18"/>
    </row>
    <row r="550" spans="2:7" x14ac:dyDescent="0.35">
      <c r="B550" s="47"/>
      <c r="C550" s="14"/>
      <c r="D550" s="14"/>
      <c r="E550" s="14"/>
      <c r="F550" s="14"/>
      <c r="G550" s="18"/>
    </row>
    <row r="551" spans="2:7" x14ac:dyDescent="0.35">
      <c r="B551" s="47"/>
      <c r="C551" s="14"/>
      <c r="D551" s="14"/>
      <c r="E551" s="14"/>
      <c r="F551" s="14"/>
      <c r="G551" s="18"/>
    </row>
    <row r="552" spans="2:7" x14ac:dyDescent="0.35">
      <c r="B552" s="47"/>
      <c r="C552" s="14"/>
      <c r="D552" s="14"/>
      <c r="E552" s="14"/>
      <c r="F552" s="14"/>
      <c r="G552" s="18"/>
    </row>
    <row r="553" spans="2:7" x14ac:dyDescent="0.35">
      <c r="B553" s="47"/>
      <c r="C553" s="14"/>
      <c r="D553" s="14"/>
      <c r="E553" s="14"/>
      <c r="F553" s="14"/>
      <c r="G553" s="18"/>
    </row>
    <row r="554" spans="2:7" x14ac:dyDescent="0.35">
      <c r="B554" s="47"/>
      <c r="C554" s="14"/>
      <c r="D554" s="14"/>
      <c r="E554" s="14"/>
      <c r="F554" s="14"/>
      <c r="G554" s="18"/>
    </row>
    <row r="555" spans="2:7" x14ac:dyDescent="0.35">
      <c r="B555" s="47"/>
      <c r="C555" s="14"/>
      <c r="D555" s="14"/>
      <c r="E555" s="14"/>
      <c r="F555" s="14"/>
      <c r="G555" s="18"/>
    </row>
    <row r="556" spans="2:7" x14ac:dyDescent="0.35">
      <c r="B556" s="47"/>
      <c r="C556" s="14"/>
      <c r="D556" s="14"/>
      <c r="E556" s="14"/>
      <c r="F556" s="14"/>
      <c r="G556" s="18"/>
    </row>
    <row r="557" spans="2:7" x14ac:dyDescent="0.35">
      <c r="B557" s="47"/>
      <c r="C557" s="14"/>
      <c r="D557" s="14"/>
      <c r="E557" s="14"/>
      <c r="F557" s="14"/>
      <c r="G557" s="18"/>
    </row>
    <row r="558" spans="2:7" x14ac:dyDescent="0.35">
      <c r="B558" s="47"/>
      <c r="C558" s="14"/>
      <c r="D558" s="14"/>
      <c r="E558" s="14"/>
      <c r="F558" s="14"/>
      <c r="G558" s="18"/>
    </row>
    <row r="559" spans="2:7" x14ac:dyDescent="0.35">
      <c r="B559" s="47"/>
      <c r="C559" s="14"/>
      <c r="D559" s="14"/>
      <c r="E559" s="14"/>
      <c r="F559" s="14"/>
      <c r="G559" s="18"/>
    </row>
    <row r="560" spans="2:7" x14ac:dyDescent="0.35">
      <c r="B560" s="47"/>
      <c r="C560" s="14"/>
      <c r="D560" s="14"/>
      <c r="E560" s="14"/>
      <c r="F560" s="14"/>
      <c r="G560" s="18"/>
    </row>
    <row r="561" spans="2:7" x14ac:dyDescent="0.35">
      <c r="B561" s="47"/>
      <c r="C561" s="14"/>
      <c r="D561" s="14"/>
      <c r="E561" s="14"/>
      <c r="F561" s="14"/>
      <c r="G561" s="18"/>
    </row>
    <row r="562" spans="2:7" x14ac:dyDescent="0.35">
      <c r="B562" s="47"/>
      <c r="C562" s="14"/>
      <c r="D562" s="14"/>
      <c r="E562" s="14"/>
      <c r="F562" s="14"/>
      <c r="G562" s="18"/>
    </row>
    <row r="563" spans="2:7" x14ac:dyDescent="0.35">
      <c r="B563" s="47"/>
      <c r="C563" s="14"/>
      <c r="D563" s="14"/>
      <c r="E563" s="14"/>
      <c r="F563" s="14"/>
      <c r="G563" s="18"/>
    </row>
    <row r="564" spans="2:7" x14ac:dyDescent="0.35">
      <c r="B564" s="47"/>
      <c r="C564" s="14"/>
      <c r="D564" s="14"/>
      <c r="E564" s="14"/>
      <c r="F564" s="14"/>
      <c r="G564" s="18"/>
    </row>
    <row r="565" spans="2:7" x14ac:dyDescent="0.35">
      <c r="B565" s="47"/>
      <c r="C565" s="14"/>
      <c r="D565" s="14"/>
      <c r="E565" s="14"/>
      <c r="F565" s="14"/>
      <c r="G565" s="18"/>
    </row>
    <row r="566" spans="2:7" x14ac:dyDescent="0.35">
      <c r="B566" s="47"/>
      <c r="C566" s="14"/>
      <c r="D566" s="14"/>
      <c r="E566" s="14"/>
      <c r="F566" s="14"/>
      <c r="G566" s="18"/>
    </row>
    <row r="567" spans="2:7" x14ac:dyDescent="0.35">
      <c r="B567" s="47"/>
      <c r="C567" s="14"/>
      <c r="D567" s="14"/>
      <c r="E567" s="14"/>
      <c r="F567" s="14"/>
      <c r="G567" s="18"/>
    </row>
    <row r="568" spans="2:7" x14ac:dyDescent="0.35">
      <c r="B568" s="47"/>
      <c r="C568" s="14"/>
      <c r="D568" s="14"/>
      <c r="E568" s="14"/>
      <c r="F568" s="14"/>
      <c r="G568" s="18"/>
    </row>
    <row r="569" spans="2:7" x14ac:dyDescent="0.35">
      <c r="B569" s="47"/>
      <c r="C569" s="14"/>
      <c r="D569" s="14"/>
      <c r="E569" s="14"/>
      <c r="F569" s="14"/>
      <c r="G569" s="18"/>
    </row>
    <row r="570" spans="2:7" x14ac:dyDescent="0.35">
      <c r="B570" s="47"/>
      <c r="C570" s="14"/>
      <c r="D570" s="14"/>
      <c r="E570" s="14"/>
      <c r="F570" s="14"/>
      <c r="G570" s="18"/>
    </row>
    <row r="571" spans="2:7" x14ac:dyDescent="0.35">
      <c r="B571" s="47"/>
      <c r="C571" s="14"/>
      <c r="D571" s="14"/>
      <c r="E571" s="14"/>
      <c r="F571" s="14"/>
      <c r="G571" s="18"/>
    </row>
    <row r="572" spans="2:7" x14ac:dyDescent="0.35">
      <c r="B572" s="47"/>
      <c r="C572" s="14"/>
      <c r="D572" s="14"/>
      <c r="E572" s="14"/>
      <c r="F572" s="14"/>
      <c r="G572" s="18"/>
    </row>
    <row r="573" spans="2:7" x14ac:dyDescent="0.35">
      <c r="B573" s="47"/>
      <c r="C573" s="14"/>
      <c r="D573" s="14"/>
      <c r="E573" s="14"/>
      <c r="F573" s="14"/>
      <c r="G573" s="18"/>
    </row>
    <row r="574" spans="2:7" x14ac:dyDescent="0.35">
      <c r="B574" s="47"/>
      <c r="C574" s="14"/>
      <c r="D574" s="14"/>
      <c r="E574" s="14"/>
      <c r="F574" s="14"/>
      <c r="G574" s="18"/>
    </row>
    <row r="575" spans="2:7" x14ac:dyDescent="0.35">
      <c r="B575" s="47"/>
      <c r="C575" s="14"/>
      <c r="D575" s="14"/>
      <c r="E575" s="14"/>
      <c r="F575" s="14"/>
      <c r="G575" s="18"/>
    </row>
    <row r="576" spans="2:7" x14ac:dyDescent="0.35">
      <c r="B576" s="47"/>
      <c r="C576" s="14"/>
      <c r="D576" s="14"/>
      <c r="E576" s="14"/>
      <c r="F576" s="14"/>
      <c r="G576" s="18"/>
    </row>
    <row r="577" spans="2:7" x14ac:dyDescent="0.35">
      <c r="B577" s="47"/>
      <c r="C577" s="14"/>
      <c r="D577" s="14"/>
      <c r="E577" s="14"/>
      <c r="F577" s="14"/>
      <c r="G577" s="18"/>
    </row>
    <row r="578" spans="2:7" x14ac:dyDescent="0.35">
      <c r="B578" s="47"/>
      <c r="C578" s="14"/>
      <c r="D578" s="14"/>
      <c r="E578" s="14"/>
      <c r="F578" s="14"/>
      <c r="G578" s="18"/>
    </row>
    <row r="579" spans="2:7" x14ac:dyDescent="0.35">
      <c r="B579" s="47"/>
      <c r="C579" s="14"/>
      <c r="D579" s="14"/>
      <c r="E579" s="14"/>
      <c r="F579" s="14"/>
      <c r="G579" s="18"/>
    </row>
    <row r="580" spans="2:7" x14ac:dyDescent="0.35">
      <c r="B580" s="47"/>
      <c r="C580" s="14"/>
      <c r="D580" s="14"/>
      <c r="E580" s="14"/>
      <c r="F580" s="14"/>
      <c r="G580" s="18"/>
    </row>
    <row r="581" spans="2:7" x14ac:dyDescent="0.35">
      <c r="B581" s="47"/>
      <c r="C581" s="14"/>
      <c r="D581" s="14"/>
      <c r="E581" s="14"/>
      <c r="F581" s="14"/>
      <c r="G581" s="18"/>
    </row>
    <row r="582" spans="2:7" x14ac:dyDescent="0.35">
      <c r="B582" s="47"/>
      <c r="C582" s="14"/>
      <c r="D582" s="14"/>
      <c r="E582" s="14"/>
      <c r="F582" s="14"/>
      <c r="G582" s="18"/>
    </row>
    <row r="583" spans="2:7" x14ac:dyDescent="0.35">
      <c r="B583" s="47"/>
      <c r="C583" s="14"/>
      <c r="D583" s="14"/>
      <c r="E583" s="14"/>
      <c r="F583" s="14"/>
      <c r="G583" s="18"/>
    </row>
    <row r="584" spans="2:7" x14ac:dyDescent="0.35">
      <c r="B584" s="47"/>
      <c r="C584" s="14"/>
      <c r="D584" s="14"/>
      <c r="E584" s="14"/>
      <c r="F584" s="14"/>
      <c r="G584" s="18"/>
    </row>
    <row r="585" spans="2:7" x14ac:dyDescent="0.35">
      <c r="B585" s="47"/>
      <c r="C585" s="14"/>
      <c r="D585" s="14"/>
      <c r="E585" s="14"/>
      <c r="F585" s="14"/>
      <c r="G585" s="18"/>
    </row>
    <row r="586" spans="2:7" x14ac:dyDescent="0.35">
      <c r="B586" s="47"/>
      <c r="C586" s="14"/>
      <c r="D586" s="14"/>
      <c r="E586" s="14"/>
      <c r="F586" s="14"/>
      <c r="G586" s="18"/>
    </row>
    <row r="587" spans="2:7" x14ac:dyDescent="0.35">
      <c r="B587" s="47"/>
      <c r="C587" s="14"/>
      <c r="D587" s="14"/>
      <c r="E587" s="14"/>
      <c r="F587" s="14"/>
      <c r="G587" s="18"/>
    </row>
    <row r="588" spans="2:7" x14ac:dyDescent="0.35">
      <c r="B588" s="47"/>
      <c r="C588" s="14"/>
      <c r="D588" s="14"/>
      <c r="E588" s="14"/>
      <c r="F588" s="14"/>
      <c r="G588" s="18"/>
    </row>
    <row r="589" spans="2:7" x14ac:dyDescent="0.35">
      <c r="B589" s="47"/>
      <c r="C589" s="14"/>
      <c r="D589" s="14"/>
      <c r="E589" s="14"/>
      <c r="F589" s="14"/>
      <c r="G589" s="18"/>
    </row>
    <row r="590" spans="2:7" x14ac:dyDescent="0.35">
      <c r="B590" s="47"/>
      <c r="C590" s="14"/>
      <c r="D590" s="14"/>
      <c r="E590" s="14"/>
      <c r="F590" s="14"/>
      <c r="G590" s="18"/>
    </row>
    <row r="591" spans="2:7" x14ac:dyDescent="0.35">
      <c r="B591" s="47"/>
      <c r="C591" s="14"/>
      <c r="D591" s="14"/>
      <c r="E591" s="14"/>
      <c r="F591" s="14"/>
      <c r="G591" s="18"/>
    </row>
    <row r="592" spans="2:7" x14ac:dyDescent="0.35">
      <c r="B592" s="47"/>
      <c r="C592" s="14"/>
      <c r="D592" s="14"/>
      <c r="E592" s="14"/>
      <c r="F592" s="14"/>
      <c r="G592" s="18"/>
    </row>
    <row r="593" spans="2:7" x14ac:dyDescent="0.35">
      <c r="B593" s="47"/>
      <c r="C593" s="14"/>
      <c r="D593" s="14"/>
      <c r="E593" s="14"/>
      <c r="F593" s="14"/>
      <c r="G593" s="18"/>
    </row>
    <row r="594" spans="2:7" x14ac:dyDescent="0.35">
      <c r="B594" s="47"/>
      <c r="C594" s="14"/>
      <c r="D594" s="14"/>
      <c r="E594" s="14"/>
      <c r="F594" s="14"/>
      <c r="G594" s="18"/>
    </row>
    <row r="595" spans="2:7" x14ac:dyDescent="0.35">
      <c r="B595" s="47"/>
      <c r="C595" s="14"/>
      <c r="D595" s="14"/>
      <c r="E595" s="14"/>
      <c r="F595" s="14"/>
      <c r="G595" s="18"/>
    </row>
    <row r="596" spans="2:7" x14ac:dyDescent="0.35">
      <c r="B596" s="47"/>
      <c r="C596" s="14"/>
      <c r="D596" s="14"/>
      <c r="E596" s="14"/>
      <c r="F596" s="14"/>
      <c r="G596" s="18"/>
    </row>
    <row r="597" spans="2:7" x14ac:dyDescent="0.35">
      <c r="B597" s="47"/>
      <c r="C597" s="14"/>
      <c r="D597" s="14"/>
      <c r="E597" s="14"/>
      <c r="F597" s="14"/>
      <c r="G597" s="18"/>
    </row>
    <row r="598" spans="2:7" x14ac:dyDescent="0.35">
      <c r="B598" s="47"/>
      <c r="C598" s="14"/>
      <c r="D598" s="14"/>
      <c r="E598" s="14"/>
      <c r="F598" s="14"/>
      <c r="G598" s="18"/>
    </row>
    <row r="599" spans="2:7" x14ac:dyDescent="0.35">
      <c r="B599" s="47"/>
      <c r="C599" s="14"/>
      <c r="D599" s="14"/>
      <c r="E599" s="14"/>
      <c r="F599" s="14"/>
      <c r="G599" s="18"/>
    </row>
    <row r="600" spans="2:7" x14ac:dyDescent="0.35">
      <c r="B600" s="47"/>
      <c r="C600" s="14"/>
      <c r="D600" s="14"/>
      <c r="E600" s="14"/>
      <c r="F600" s="14"/>
      <c r="G600" s="18"/>
    </row>
    <row r="601" spans="2:7" x14ac:dyDescent="0.35">
      <c r="B601" s="47"/>
      <c r="C601" s="14"/>
      <c r="D601" s="14"/>
      <c r="E601" s="14"/>
      <c r="F601" s="14"/>
      <c r="G601" s="18"/>
    </row>
    <row r="602" spans="2:7" x14ac:dyDescent="0.35">
      <c r="B602" s="47"/>
      <c r="C602" s="14"/>
      <c r="D602" s="14"/>
      <c r="E602" s="14"/>
      <c r="F602" s="14"/>
      <c r="G602" s="18"/>
    </row>
    <row r="603" spans="2:7" x14ac:dyDescent="0.35">
      <c r="B603" s="47"/>
      <c r="C603" s="14"/>
      <c r="D603" s="14"/>
      <c r="E603" s="14"/>
      <c r="F603" s="14"/>
      <c r="G603" s="18"/>
    </row>
    <row r="604" spans="2:7" x14ac:dyDescent="0.35">
      <c r="B604" s="47"/>
      <c r="C604" s="14"/>
      <c r="D604" s="14"/>
      <c r="E604" s="14"/>
      <c r="F604" s="14"/>
      <c r="G604" s="18"/>
    </row>
    <row r="605" spans="2:7" x14ac:dyDescent="0.35">
      <c r="B605" s="47"/>
      <c r="C605" s="14"/>
      <c r="D605" s="14"/>
      <c r="E605" s="14"/>
      <c r="F605" s="14"/>
      <c r="G605" s="18"/>
    </row>
    <row r="606" spans="2:7" x14ac:dyDescent="0.35">
      <c r="B606" s="47"/>
      <c r="C606" s="14"/>
      <c r="D606" s="14"/>
      <c r="E606" s="14"/>
      <c r="F606" s="14"/>
      <c r="G606" s="18"/>
    </row>
    <row r="607" spans="2:7" x14ac:dyDescent="0.35">
      <c r="B607" s="47"/>
      <c r="C607" s="14"/>
      <c r="D607" s="14"/>
      <c r="E607" s="14"/>
      <c r="F607" s="14"/>
      <c r="G607" s="18"/>
    </row>
    <row r="608" spans="2:7" x14ac:dyDescent="0.35">
      <c r="B608" s="47"/>
      <c r="C608" s="14"/>
      <c r="D608" s="14"/>
      <c r="E608" s="14"/>
      <c r="F608" s="14"/>
      <c r="G608" s="18"/>
    </row>
    <row r="609" spans="2:7" x14ac:dyDescent="0.35">
      <c r="B609" s="47"/>
      <c r="C609" s="14"/>
      <c r="D609" s="14"/>
      <c r="E609" s="14"/>
      <c r="F609" s="14"/>
      <c r="G609" s="18"/>
    </row>
    <row r="610" spans="2:7" x14ac:dyDescent="0.35">
      <c r="B610" s="47"/>
      <c r="C610" s="14"/>
      <c r="D610" s="14"/>
      <c r="E610" s="14"/>
      <c r="F610" s="14"/>
      <c r="G610" s="18"/>
    </row>
    <row r="611" spans="2:7" x14ac:dyDescent="0.35">
      <c r="B611" s="47"/>
      <c r="C611" s="14"/>
      <c r="D611" s="14"/>
      <c r="E611" s="14"/>
      <c r="F611" s="14"/>
      <c r="G611" s="18"/>
    </row>
    <row r="612" spans="2:7" x14ac:dyDescent="0.35">
      <c r="B612" s="47"/>
      <c r="C612" s="14"/>
      <c r="D612" s="14"/>
      <c r="E612" s="14"/>
      <c r="F612" s="14"/>
      <c r="G612" s="18"/>
    </row>
    <row r="613" spans="2:7" x14ac:dyDescent="0.35">
      <c r="B613" s="47"/>
      <c r="C613" s="14"/>
      <c r="D613" s="14"/>
      <c r="E613" s="14"/>
      <c r="F613" s="14"/>
      <c r="G613" s="18"/>
    </row>
    <row r="614" spans="2:7" x14ac:dyDescent="0.35">
      <c r="B614" s="47"/>
      <c r="C614" s="14"/>
      <c r="D614" s="14"/>
      <c r="E614" s="14"/>
      <c r="F614" s="14"/>
      <c r="G614" s="18"/>
    </row>
    <row r="615" spans="2:7" x14ac:dyDescent="0.35">
      <c r="B615" s="47"/>
      <c r="C615" s="14"/>
      <c r="D615" s="14"/>
      <c r="E615" s="14"/>
      <c r="F615" s="14"/>
      <c r="G615" s="18"/>
    </row>
    <row r="616" spans="2:7" x14ac:dyDescent="0.35">
      <c r="B616" s="47"/>
      <c r="C616" s="14"/>
      <c r="D616" s="14"/>
      <c r="E616" s="14"/>
      <c r="F616" s="14"/>
      <c r="G616" s="18"/>
    </row>
    <row r="617" spans="2:7" x14ac:dyDescent="0.35">
      <c r="B617" s="47"/>
      <c r="C617" s="14"/>
      <c r="D617" s="14"/>
      <c r="E617" s="14"/>
      <c r="F617" s="14"/>
      <c r="G617" s="18"/>
    </row>
    <row r="618" spans="2:7" x14ac:dyDescent="0.35">
      <c r="B618" s="47"/>
      <c r="C618" s="14"/>
      <c r="D618" s="14"/>
      <c r="E618" s="14"/>
      <c r="F618" s="14"/>
      <c r="G618" s="18"/>
    </row>
    <row r="619" spans="2:7" x14ac:dyDescent="0.35">
      <c r="B619" s="47"/>
      <c r="C619" s="14"/>
      <c r="D619" s="14"/>
      <c r="E619" s="14"/>
      <c r="F619" s="14"/>
      <c r="G619" s="18"/>
    </row>
    <row r="620" spans="2:7" x14ac:dyDescent="0.35">
      <c r="B620" s="47"/>
      <c r="C620" s="14"/>
      <c r="D620" s="14"/>
      <c r="E620" s="14"/>
      <c r="F620" s="14"/>
      <c r="G620" s="18"/>
    </row>
    <row r="621" spans="2:7" x14ac:dyDescent="0.35">
      <c r="B621" s="47"/>
      <c r="C621" s="14"/>
      <c r="D621" s="14"/>
      <c r="E621" s="14"/>
      <c r="F621" s="14"/>
      <c r="G621" s="18"/>
    </row>
    <row r="622" spans="2:7" x14ac:dyDescent="0.35">
      <c r="B622" s="47"/>
      <c r="C622" s="14"/>
      <c r="D622" s="14"/>
      <c r="E622" s="14"/>
      <c r="F622" s="14"/>
      <c r="G622" s="18"/>
    </row>
    <row r="623" spans="2:7" x14ac:dyDescent="0.35">
      <c r="B623" s="47"/>
      <c r="C623" s="14"/>
      <c r="D623" s="14"/>
      <c r="E623" s="14"/>
      <c r="F623" s="14"/>
      <c r="G623" s="18"/>
    </row>
    <row r="624" spans="2:7" x14ac:dyDescent="0.35">
      <c r="B624" s="47"/>
      <c r="C624" s="14"/>
      <c r="D624" s="14"/>
      <c r="E624" s="14"/>
      <c r="F624" s="14"/>
      <c r="G624" s="18"/>
    </row>
    <row r="625" spans="2:7" x14ac:dyDescent="0.35">
      <c r="B625" s="47"/>
      <c r="C625" s="14"/>
      <c r="D625" s="14"/>
      <c r="E625" s="14"/>
      <c r="F625" s="14"/>
      <c r="G625" s="18"/>
    </row>
    <row r="626" spans="2:7" x14ac:dyDescent="0.35">
      <c r="B626" s="47"/>
      <c r="C626" s="14"/>
      <c r="D626" s="14"/>
      <c r="E626" s="14"/>
      <c r="F626" s="14"/>
      <c r="G626" s="18"/>
    </row>
    <row r="627" spans="2:7" x14ac:dyDescent="0.35">
      <c r="B627" s="47"/>
      <c r="C627" s="14"/>
      <c r="D627" s="14"/>
      <c r="E627" s="14"/>
      <c r="F627" s="14"/>
      <c r="G627" s="18"/>
    </row>
    <row r="628" spans="2:7" x14ac:dyDescent="0.35">
      <c r="B628" s="47"/>
      <c r="C628" s="14"/>
      <c r="D628" s="14"/>
      <c r="E628" s="14"/>
      <c r="F628" s="14"/>
      <c r="G628" s="18"/>
    </row>
    <row r="629" spans="2:7" x14ac:dyDescent="0.35">
      <c r="B629" s="47"/>
      <c r="C629" s="14"/>
      <c r="D629" s="14"/>
      <c r="E629" s="14"/>
      <c r="F629" s="14"/>
      <c r="G629" s="18"/>
    </row>
    <row r="630" spans="2:7" x14ac:dyDescent="0.35">
      <c r="B630" s="47"/>
      <c r="C630" s="14"/>
      <c r="D630" s="14"/>
      <c r="E630" s="14"/>
      <c r="F630" s="14"/>
      <c r="G630" s="18"/>
    </row>
    <row r="631" spans="2:7" x14ac:dyDescent="0.35">
      <c r="B631" s="47"/>
      <c r="C631" s="14"/>
      <c r="D631" s="14"/>
      <c r="E631" s="14"/>
      <c r="F631" s="14"/>
      <c r="G631" s="18"/>
    </row>
    <row r="632" spans="2:7" x14ac:dyDescent="0.35">
      <c r="B632" s="47"/>
      <c r="C632" s="14"/>
      <c r="D632" s="14"/>
      <c r="E632" s="14"/>
      <c r="F632" s="14"/>
      <c r="G632" s="18"/>
    </row>
    <row r="633" spans="2:7" x14ac:dyDescent="0.35">
      <c r="B633" s="47"/>
      <c r="C633" s="14"/>
      <c r="D633" s="14"/>
      <c r="E633" s="14"/>
      <c r="F633" s="14"/>
      <c r="G633" s="18"/>
    </row>
    <row r="634" spans="2:7" x14ac:dyDescent="0.35">
      <c r="B634" s="47"/>
      <c r="C634" s="14"/>
      <c r="D634" s="14"/>
      <c r="E634" s="14"/>
      <c r="F634" s="14"/>
      <c r="G634" s="18"/>
    </row>
    <row r="635" spans="2:7" x14ac:dyDescent="0.35">
      <c r="B635" s="47"/>
      <c r="C635" s="14"/>
      <c r="D635" s="14"/>
      <c r="E635" s="14"/>
      <c r="F635" s="14"/>
      <c r="G635" s="18"/>
    </row>
    <row r="636" spans="2:7" x14ac:dyDescent="0.35">
      <c r="B636" s="47"/>
      <c r="C636" s="14"/>
      <c r="D636" s="14"/>
      <c r="E636" s="14"/>
      <c r="F636" s="14"/>
      <c r="G636" s="18"/>
    </row>
    <row r="637" spans="2:7" x14ac:dyDescent="0.35">
      <c r="B637" s="47"/>
      <c r="C637" s="14"/>
      <c r="D637" s="14"/>
      <c r="E637" s="14"/>
      <c r="F637" s="14"/>
      <c r="G637" s="18"/>
    </row>
    <row r="638" spans="2:7" x14ac:dyDescent="0.35">
      <c r="B638" s="47"/>
      <c r="C638" s="14"/>
      <c r="D638" s="14"/>
      <c r="E638" s="14"/>
      <c r="F638" s="14"/>
      <c r="G638" s="18"/>
    </row>
    <row r="639" spans="2:7" x14ac:dyDescent="0.35">
      <c r="B639" s="47"/>
      <c r="C639" s="14"/>
      <c r="D639" s="14"/>
      <c r="E639" s="14"/>
      <c r="F639" s="14"/>
      <c r="G639" s="18"/>
    </row>
    <row r="640" spans="2:7" x14ac:dyDescent="0.35">
      <c r="B640" s="47"/>
      <c r="C640" s="14"/>
      <c r="D640" s="14"/>
      <c r="E640" s="14"/>
      <c r="F640" s="14"/>
      <c r="G640" s="18"/>
    </row>
    <row r="641" spans="2:7" x14ac:dyDescent="0.35">
      <c r="B641" s="47"/>
      <c r="C641" s="14"/>
      <c r="D641" s="14"/>
      <c r="E641" s="14"/>
      <c r="F641" s="14"/>
      <c r="G641" s="18"/>
    </row>
    <row r="642" spans="2:7" x14ac:dyDescent="0.35">
      <c r="B642" s="47"/>
      <c r="C642" s="14"/>
      <c r="D642" s="14"/>
      <c r="E642" s="14"/>
      <c r="F642" s="14"/>
      <c r="G642" s="18"/>
    </row>
    <row r="643" spans="2:7" x14ac:dyDescent="0.35">
      <c r="B643" s="47"/>
      <c r="C643" s="14"/>
      <c r="D643" s="14"/>
      <c r="E643" s="14"/>
      <c r="F643" s="14"/>
      <c r="G643" s="18"/>
    </row>
    <row r="644" spans="2:7" x14ac:dyDescent="0.35">
      <c r="B644" s="47"/>
      <c r="C644" s="14"/>
      <c r="D644" s="14"/>
      <c r="E644" s="14"/>
      <c r="F644" s="14"/>
      <c r="G644" s="18"/>
    </row>
    <row r="645" spans="2:7" x14ac:dyDescent="0.35">
      <c r="B645" s="47"/>
      <c r="C645" s="14"/>
      <c r="D645" s="14"/>
      <c r="E645" s="14"/>
      <c r="F645" s="14"/>
      <c r="G645" s="18"/>
    </row>
    <row r="646" spans="2:7" x14ac:dyDescent="0.35">
      <c r="B646" s="47"/>
      <c r="C646" s="14"/>
      <c r="D646" s="14"/>
      <c r="E646" s="14"/>
      <c r="F646" s="14"/>
      <c r="G646" s="18"/>
    </row>
    <row r="647" spans="2:7" x14ac:dyDescent="0.35">
      <c r="B647" s="47"/>
      <c r="C647" s="14"/>
      <c r="D647" s="14"/>
      <c r="E647" s="14"/>
      <c r="F647" s="14"/>
      <c r="G647" s="18"/>
    </row>
    <row r="648" spans="2:7" x14ac:dyDescent="0.35">
      <c r="B648" s="47"/>
      <c r="C648" s="14"/>
      <c r="D648" s="14"/>
      <c r="E648" s="14"/>
      <c r="F648" s="14"/>
      <c r="G648" s="18"/>
    </row>
    <row r="649" spans="2:7" x14ac:dyDescent="0.35">
      <c r="B649" s="47"/>
      <c r="C649" s="14"/>
      <c r="D649" s="14"/>
      <c r="E649" s="14"/>
      <c r="F649" s="14"/>
      <c r="G649" s="18"/>
    </row>
    <row r="650" spans="2:7" x14ac:dyDescent="0.35">
      <c r="B650" s="47"/>
      <c r="C650" s="14"/>
      <c r="D650" s="14"/>
      <c r="E650" s="14"/>
      <c r="F650" s="14"/>
      <c r="G650" s="18"/>
    </row>
    <row r="651" spans="2:7" x14ac:dyDescent="0.35">
      <c r="B651" s="47"/>
      <c r="C651" s="14"/>
      <c r="D651" s="14"/>
      <c r="E651" s="14"/>
      <c r="F651" s="14"/>
      <c r="G651" s="18"/>
    </row>
    <row r="652" spans="2:7" x14ac:dyDescent="0.35">
      <c r="B652" s="47"/>
      <c r="C652" s="14"/>
      <c r="D652" s="14"/>
      <c r="E652" s="14"/>
      <c r="F652" s="14"/>
      <c r="G652" s="18"/>
    </row>
    <row r="653" spans="2:7" x14ac:dyDescent="0.35">
      <c r="B653" s="47"/>
      <c r="C653" s="14"/>
      <c r="D653" s="14"/>
      <c r="E653" s="14"/>
      <c r="F653" s="14"/>
      <c r="G653" s="18"/>
    </row>
    <row r="654" spans="2:7" x14ac:dyDescent="0.35">
      <c r="B654" s="47"/>
      <c r="C654" s="14"/>
      <c r="D654" s="14"/>
      <c r="E654" s="14"/>
      <c r="F654" s="14"/>
      <c r="G654" s="18"/>
    </row>
    <row r="655" spans="2:7" x14ac:dyDescent="0.35">
      <c r="B655" s="47"/>
      <c r="C655" s="14"/>
      <c r="D655" s="14"/>
      <c r="E655" s="14"/>
      <c r="F655" s="14"/>
      <c r="G655" s="18"/>
    </row>
    <row r="656" spans="2:7" x14ac:dyDescent="0.35">
      <c r="B656" s="47"/>
      <c r="C656" s="14"/>
      <c r="D656" s="14"/>
      <c r="E656" s="14"/>
      <c r="F656" s="14"/>
      <c r="G656" s="18"/>
    </row>
    <row r="657" spans="2:7" x14ac:dyDescent="0.35">
      <c r="B657" s="47"/>
      <c r="C657" s="14"/>
      <c r="D657" s="14"/>
      <c r="E657" s="14"/>
      <c r="F657" s="14"/>
      <c r="G657" s="18"/>
    </row>
    <row r="658" spans="2:7" x14ac:dyDescent="0.35">
      <c r="B658" s="47"/>
      <c r="C658" s="14"/>
      <c r="D658" s="14"/>
      <c r="E658" s="14"/>
      <c r="F658" s="14"/>
      <c r="G658" s="18"/>
    </row>
    <row r="659" spans="2:7" x14ac:dyDescent="0.35">
      <c r="B659" s="47"/>
      <c r="C659" s="14"/>
      <c r="D659" s="14"/>
      <c r="E659" s="14"/>
      <c r="F659" s="14"/>
      <c r="G659" s="18"/>
    </row>
    <row r="660" spans="2:7" x14ac:dyDescent="0.35">
      <c r="B660" s="47"/>
      <c r="C660" s="14"/>
      <c r="D660" s="14"/>
      <c r="E660" s="14"/>
      <c r="F660" s="14"/>
      <c r="G660" s="18"/>
    </row>
    <row r="661" spans="2:7" x14ac:dyDescent="0.35">
      <c r="B661" s="47"/>
      <c r="C661" s="14"/>
      <c r="D661" s="14"/>
      <c r="E661" s="14"/>
      <c r="F661" s="14"/>
      <c r="G661" s="18"/>
    </row>
    <row r="662" spans="2:7" x14ac:dyDescent="0.35">
      <c r="B662" s="47"/>
      <c r="C662" s="14"/>
      <c r="D662" s="14"/>
      <c r="E662" s="14"/>
      <c r="F662" s="14"/>
      <c r="G662" s="18"/>
    </row>
    <row r="663" spans="2:7" x14ac:dyDescent="0.35">
      <c r="B663" s="47"/>
      <c r="C663" s="14"/>
      <c r="D663" s="14"/>
      <c r="E663" s="14"/>
      <c r="F663" s="14"/>
      <c r="G663" s="18"/>
    </row>
    <row r="664" spans="2:7" x14ac:dyDescent="0.35">
      <c r="B664" s="47"/>
      <c r="C664" s="14"/>
      <c r="D664" s="14"/>
      <c r="E664" s="14"/>
      <c r="F664" s="14"/>
      <c r="G664" s="18"/>
    </row>
    <row r="665" spans="2:7" x14ac:dyDescent="0.35">
      <c r="B665" s="47"/>
      <c r="C665" s="14"/>
      <c r="D665" s="14"/>
      <c r="E665" s="14"/>
      <c r="F665" s="14"/>
      <c r="G665" s="18"/>
    </row>
    <row r="666" spans="2:7" x14ac:dyDescent="0.35">
      <c r="B666" s="47"/>
      <c r="C666" s="14"/>
      <c r="D666" s="14"/>
      <c r="E666" s="14"/>
      <c r="F666" s="14"/>
      <c r="G666" s="18"/>
    </row>
    <row r="667" spans="2:7" x14ac:dyDescent="0.35">
      <c r="B667" s="47"/>
      <c r="C667" s="14"/>
      <c r="D667" s="14"/>
      <c r="E667" s="14"/>
      <c r="F667" s="14"/>
      <c r="G667" s="18"/>
    </row>
    <row r="668" spans="2:7" x14ac:dyDescent="0.35">
      <c r="B668" s="47"/>
      <c r="C668" s="14"/>
      <c r="D668" s="14"/>
      <c r="E668" s="14"/>
      <c r="F668" s="14"/>
      <c r="G668" s="18"/>
    </row>
    <row r="669" spans="2:7" x14ac:dyDescent="0.35">
      <c r="B669" s="47"/>
      <c r="C669" s="14"/>
      <c r="D669" s="14"/>
      <c r="E669" s="14"/>
      <c r="F669" s="14"/>
      <c r="G669" s="18"/>
    </row>
    <row r="670" spans="2:7" x14ac:dyDescent="0.35">
      <c r="B670" s="47"/>
      <c r="C670" s="14"/>
      <c r="D670" s="14"/>
      <c r="E670" s="14"/>
      <c r="F670" s="14"/>
      <c r="G670" s="18"/>
    </row>
    <row r="671" spans="2:7" x14ac:dyDescent="0.35">
      <c r="B671" s="47"/>
      <c r="C671" s="14"/>
      <c r="D671" s="14"/>
      <c r="E671" s="14"/>
      <c r="F671" s="14"/>
      <c r="G671" s="18"/>
    </row>
    <row r="672" spans="2:7" x14ac:dyDescent="0.35">
      <c r="B672" s="47"/>
      <c r="C672" s="14"/>
      <c r="D672" s="14"/>
      <c r="E672" s="14"/>
      <c r="F672" s="14"/>
      <c r="G672" s="18"/>
    </row>
    <row r="673" spans="2:7" x14ac:dyDescent="0.35">
      <c r="B673" s="47"/>
      <c r="C673" s="14"/>
      <c r="D673" s="14"/>
      <c r="E673" s="14"/>
      <c r="F673" s="14"/>
      <c r="G673" s="18"/>
    </row>
    <row r="674" spans="2:7" x14ac:dyDescent="0.35">
      <c r="B674" s="47"/>
      <c r="C674" s="14"/>
      <c r="D674" s="14"/>
      <c r="E674" s="14"/>
      <c r="F674" s="14"/>
      <c r="G674" s="18"/>
    </row>
    <row r="675" spans="2:7" x14ac:dyDescent="0.35">
      <c r="B675" s="47"/>
      <c r="C675" s="14"/>
      <c r="D675" s="14"/>
      <c r="E675" s="14"/>
      <c r="F675" s="14"/>
      <c r="G675" s="18"/>
    </row>
    <row r="676" spans="2:7" x14ac:dyDescent="0.35">
      <c r="B676" s="47"/>
      <c r="C676" s="14"/>
      <c r="D676" s="14"/>
      <c r="E676" s="14"/>
      <c r="F676" s="14"/>
      <c r="G676" s="18"/>
    </row>
    <row r="677" spans="2:7" x14ac:dyDescent="0.35">
      <c r="B677" s="47"/>
      <c r="C677" s="14"/>
      <c r="D677" s="14"/>
      <c r="E677" s="14"/>
      <c r="F677" s="14"/>
      <c r="G677" s="18"/>
    </row>
    <row r="678" spans="2:7" x14ac:dyDescent="0.35">
      <c r="B678" s="47"/>
      <c r="C678" s="14"/>
      <c r="D678" s="14"/>
      <c r="E678" s="14"/>
      <c r="F678" s="14"/>
      <c r="G678" s="18"/>
    </row>
    <row r="679" spans="2:7" x14ac:dyDescent="0.35">
      <c r="B679" s="47"/>
      <c r="C679" s="14"/>
      <c r="D679" s="14"/>
      <c r="E679" s="14"/>
      <c r="F679" s="14"/>
      <c r="G679" s="18"/>
    </row>
    <row r="680" spans="2:7" x14ac:dyDescent="0.35">
      <c r="B680" s="47"/>
      <c r="C680" s="14"/>
      <c r="D680" s="14"/>
      <c r="E680" s="14"/>
      <c r="F680" s="14"/>
      <c r="G680" s="18"/>
    </row>
    <row r="681" spans="2:7" x14ac:dyDescent="0.35">
      <c r="B681" s="47"/>
      <c r="C681" s="14"/>
      <c r="D681" s="14"/>
      <c r="E681" s="14"/>
      <c r="F681" s="14"/>
      <c r="G681" s="18"/>
    </row>
    <row r="682" spans="2:7" x14ac:dyDescent="0.35">
      <c r="B682" s="47"/>
      <c r="C682" s="14"/>
      <c r="D682" s="14"/>
      <c r="E682" s="14"/>
      <c r="F682" s="14"/>
      <c r="G682" s="18"/>
    </row>
    <row r="683" spans="2:7" x14ac:dyDescent="0.35">
      <c r="B683" s="47"/>
      <c r="C683" s="14"/>
      <c r="D683" s="14"/>
      <c r="E683" s="14"/>
      <c r="F683" s="14"/>
      <c r="G683" s="18"/>
    </row>
    <row r="684" spans="2:7" x14ac:dyDescent="0.35">
      <c r="B684" s="47"/>
      <c r="C684" s="14"/>
      <c r="D684" s="14"/>
      <c r="E684" s="14"/>
      <c r="F684" s="14"/>
      <c r="G684" s="18"/>
    </row>
    <row r="685" spans="2:7" x14ac:dyDescent="0.35">
      <c r="B685" s="47"/>
      <c r="C685" s="14"/>
      <c r="D685" s="14"/>
      <c r="E685" s="14"/>
      <c r="F685" s="14"/>
      <c r="G685" s="18"/>
    </row>
    <row r="686" spans="2:7" x14ac:dyDescent="0.35">
      <c r="B686" s="47"/>
      <c r="C686" s="14"/>
      <c r="D686" s="14"/>
      <c r="E686" s="14"/>
      <c r="F686" s="14"/>
      <c r="G686" s="18"/>
    </row>
    <row r="687" spans="2:7" x14ac:dyDescent="0.35">
      <c r="B687" s="47"/>
      <c r="C687" s="14"/>
      <c r="D687" s="14"/>
      <c r="E687" s="14"/>
      <c r="F687" s="14"/>
      <c r="G687" s="18"/>
    </row>
    <row r="688" spans="2:7" x14ac:dyDescent="0.35">
      <c r="B688" s="47"/>
      <c r="C688" s="14"/>
      <c r="D688" s="14"/>
      <c r="E688" s="14"/>
      <c r="F688" s="14"/>
      <c r="G688" s="18"/>
    </row>
    <row r="689" spans="2:7" x14ac:dyDescent="0.35">
      <c r="B689" s="47"/>
      <c r="C689" s="14"/>
      <c r="D689" s="14"/>
      <c r="E689" s="14"/>
      <c r="F689" s="14"/>
      <c r="G689" s="18"/>
    </row>
    <row r="690" spans="2:7" x14ac:dyDescent="0.35">
      <c r="B690" s="47"/>
      <c r="C690" s="14"/>
      <c r="D690" s="14"/>
      <c r="E690" s="14"/>
      <c r="F690" s="14"/>
      <c r="G690" s="18"/>
    </row>
    <row r="691" spans="2:7" x14ac:dyDescent="0.35">
      <c r="B691" s="47"/>
      <c r="C691" s="14"/>
      <c r="D691" s="14"/>
      <c r="E691" s="14"/>
      <c r="F691" s="14"/>
      <c r="G691" s="18"/>
    </row>
    <row r="692" spans="2:7" x14ac:dyDescent="0.35">
      <c r="B692" s="47"/>
      <c r="C692" s="14"/>
      <c r="D692" s="14"/>
      <c r="E692" s="14"/>
      <c r="F692" s="14"/>
      <c r="G692" s="18"/>
    </row>
    <row r="693" spans="2:7" x14ac:dyDescent="0.35">
      <c r="B693" s="47"/>
      <c r="C693" s="14"/>
      <c r="D693" s="14"/>
      <c r="E693" s="14"/>
      <c r="F693" s="14"/>
      <c r="G693" s="18"/>
    </row>
    <row r="694" spans="2:7" x14ac:dyDescent="0.35">
      <c r="B694" s="47"/>
      <c r="C694" s="14"/>
      <c r="D694" s="14"/>
      <c r="E694" s="14"/>
      <c r="F694" s="14"/>
      <c r="G694" s="18"/>
    </row>
    <row r="695" spans="2:7" x14ac:dyDescent="0.35">
      <c r="B695" s="47"/>
      <c r="C695" s="14"/>
      <c r="D695" s="14"/>
      <c r="E695" s="14"/>
      <c r="F695" s="14"/>
      <c r="G695" s="18"/>
    </row>
    <row r="696" spans="2:7" x14ac:dyDescent="0.35">
      <c r="B696" s="47"/>
      <c r="C696" s="14"/>
      <c r="D696" s="14"/>
      <c r="E696" s="14"/>
      <c r="F696" s="14"/>
      <c r="G696" s="18"/>
    </row>
    <row r="697" spans="2:7" x14ac:dyDescent="0.35">
      <c r="B697" s="47"/>
      <c r="C697" s="14"/>
      <c r="D697" s="14"/>
      <c r="E697" s="14"/>
      <c r="F697" s="14"/>
      <c r="G697" s="18"/>
    </row>
    <row r="698" spans="2:7" x14ac:dyDescent="0.35">
      <c r="B698" s="47"/>
      <c r="C698" s="14"/>
      <c r="D698" s="14"/>
      <c r="E698" s="14"/>
      <c r="F698" s="14"/>
      <c r="G698" s="18"/>
    </row>
    <row r="699" spans="2:7" x14ac:dyDescent="0.35">
      <c r="B699" s="47"/>
      <c r="C699" s="14"/>
      <c r="D699" s="14"/>
      <c r="E699" s="14"/>
      <c r="F699" s="14"/>
      <c r="G699" s="18"/>
    </row>
    <row r="700" spans="2:7" x14ac:dyDescent="0.35">
      <c r="B700" s="47"/>
      <c r="C700" s="14"/>
      <c r="D700" s="14"/>
      <c r="E700" s="14"/>
      <c r="F700" s="14"/>
      <c r="G700" s="18"/>
    </row>
    <row r="701" spans="2:7" x14ac:dyDescent="0.35">
      <c r="B701" s="47"/>
      <c r="C701" s="14"/>
      <c r="D701" s="14"/>
      <c r="E701" s="14"/>
      <c r="F701" s="14"/>
      <c r="G701" s="18"/>
    </row>
    <row r="702" spans="2:7" x14ac:dyDescent="0.35">
      <c r="B702" s="47"/>
      <c r="C702" s="14"/>
      <c r="D702" s="14"/>
      <c r="E702" s="14"/>
      <c r="F702" s="14"/>
      <c r="G702" s="18"/>
    </row>
    <row r="703" spans="2:7" x14ac:dyDescent="0.35">
      <c r="B703" s="47"/>
      <c r="C703" s="14"/>
      <c r="D703" s="14"/>
      <c r="E703" s="14"/>
      <c r="F703" s="14"/>
      <c r="G703" s="18"/>
    </row>
    <row r="704" spans="2:7" x14ac:dyDescent="0.35">
      <c r="B704" s="47"/>
      <c r="C704" s="14"/>
      <c r="D704" s="14"/>
      <c r="E704" s="14"/>
      <c r="F704" s="14"/>
      <c r="G704" s="18"/>
    </row>
    <row r="705" spans="2:7" x14ac:dyDescent="0.35">
      <c r="B705" s="47"/>
      <c r="C705" s="14"/>
      <c r="D705" s="14"/>
      <c r="E705" s="14"/>
      <c r="F705" s="14"/>
      <c r="G705" s="18"/>
    </row>
    <row r="706" spans="2:7" x14ac:dyDescent="0.35">
      <c r="B706" s="47"/>
      <c r="C706" s="14"/>
      <c r="D706" s="14"/>
      <c r="E706" s="14"/>
      <c r="F706" s="14"/>
      <c r="G706" s="18"/>
    </row>
    <row r="707" spans="2:7" x14ac:dyDescent="0.35">
      <c r="B707" s="47"/>
      <c r="C707" s="14"/>
      <c r="D707" s="14"/>
      <c r="E707" s="14"/>
      <c r="F707" s="14"/>
      <c r="G707" s="18"/>
    </row>
    <row r="708" spans="2:7" x14ac:dyDescent="0.35">
      <c r="B708" s="47"/>
      <c r="C708" s="14"/>
      <c r="D708" s="14"/>
      <c r="E708" s="14"/>
      <c r="F708" s="14"/>
      <c r="G708" s="18"/>
    </row>
    <row r="709" spans="2:7" x14ac:dyDescent="0.35">
      <c r="B709" s="47"/>
      <c r="C709" s="14"/>
      <c r="D709" s="14"/>
      <c r="E709" s="14"/>
      <c r="F709" s="14"/>
      <c r="G709" s="18"/>
    </row>
    <row r="710" spans="2:7" x14ac:dyDescent="0.35">
      <c r="B710" s="47"/>
      <c r="C710" s="14"/>
      <c r="D710" s="14"/>
      <c r="E710" s="14"/>
      <c r="F710" s="14"/>
      <c r="G710" s="18"/>
    </row>
    <row r="711" spans="2:7" x14ac:dyDescent="0.35">
      <c r="B711" s="47"/>
      <c r="C711" s="14"/>
      <c r="D711" s="14"/>
      <c r="E711" s="14"/>
      <c r="F711" s="14"/>
      <c r="G711" s="18"/>
    </row>
    <row r="712" spans="2:7" x14ac:dyDescent="0.35">
      <c r="B712" s="47"/>
      <c r="C712" s="14"/>
      <c r="D712" s="14"/>
      <c r="E712" s="14"/>
      <c r="F712" s="14"/>
      <c r="G712" s="18"/>
    </row>
    <row r="713" spans="2:7" x14ac:dyDescent="0.35">
      <c r="B713" s="47"/>
      <c r="C713" s="14"/>
      <c r="D713" s="14"/>
      <c r="E713" s="14"/>
      <c r="F713" s="14"/>
      <c r="G713" s="18"/>
    </row>
    <row r="714" spans="2:7" x14ac:dyDescent="0.35">
      <c r="B714" s="47"/>
      <c r="C714" s="14"/>
      <c r="D714" s="14"/>
      <c r="E714" s="14"/>
      <c r="F714" s="14"/>
      <c r="G714" s="18"/>
    </row>
    <row r="715" spans="2:7" x14ac:dyDescent="0.35">
      <c r="B715" s="47"/>
      <c r="C715" s="14"/>
      <c r="D715" s="14"/>
      <c r="E715" s="14"/>
      <c r="F715" s="14"/>
      <c r="G715" s="18"/>
    </row>
    <row r="716" spans="2:7" x14ac:dyDescent="0.35">
      <c r="B716" s="47"/>
      <c r="C716" s="14"/>
      <c r="D716" s="14"/>
      <c r="E716" s="14"/>
      <c r="F716" s="14"/>
      <c r="G716" s="18"/>
    </row>
    <row r="717" spans="2:7" x14ac:dyDescent="0.35">
      <c r="B717" s="47"/>
      <c r="C717" s="14"/>
      <c r="D717" s="14"/>
      <c r="E717" s="14"/>
      <c r="F717" s="14"/>
      <c r="G717" s="18"/>
    </row>
    <row r="718" spans="2:7" x14ac:dyDescent="0.35">
      <c r="B718" s="47"/>
      <c r="C718" s="14"/>
      <c r="D718" s="14"/>
      <c r="E718" s="14"/>
      <c r="F718" s="14"/>
      <c r="G718" s="18"/>
    </row>
    <row r="719" spans="2:7" x14ac:dyDescent="0.35">
      <c r="B719" s="47"/>
      <c r="C719" s="14"/>
      <c r="D719" s="14"/>
      <c r="E719" s="14"/>
      <c r="F719" s="14"/>
      <c r="G719" s="18"/>
    </row>
    <row r="720" spans="2:7" x14ac:dyDescent="0.35">
      <c r="B720" s="47"/>
      <c r="C720" s="14"/>
      <c r="D720" s="14"/>
      <c r="E720" s="14"/>
      <c r="F720" s="14"/>
      <c r="G720" s="18"/>
    </row>
    <row r="721" spans="2:7" x14ac:dyDescent="0.35">
      <c r="B721" s="47"/>
      <c r="C721" s="14"/>
      <c r="D721" s="14"/>
      <c r="E721" s="14"/>
      <c r="F721" s="14"/>
      <c r="G721" s="18"/>
    </row>
    <row r="722" spans="2:7" x14ac:dyDescent="0.35">
      <c r="B722" s="47"/>
      <c r="C722" s="14"/>
      <c r="D722" s="14"/>
      <c r="E722" s="14"/>
      <c r="F722" s="14"/>
      <c r="G722" s="18"/>
    </row>
    <row r="723" spans="2:7" x14ac:dyDescent="0.35">
      <c r="B723" s="47"/>
      <c r="C723" s="14"/>
      <c r="D723" s="14"/>
      <c r="E723" s="14"/>
      <c r="F723" s="14"/>
      <c r="G723" s="18"/>
    </row>
    <row r="724" spans="2:7" x14ac:dyDescent="0.35">
      <c r="B724" s="47"/>
      <c r="C724" s="14"/>
      <c r="D724" s="14"/>
      <c r="E724" s="14"/>
      <c r="F724" s="14"/>
      <c r="G724" s="18"/>
    </row>
    <row r="725" spans="2:7" x14ac:dyDescent="0.35">
      <c r="B725" s="47"/>
      <c r="C725" s="14"/>
      <c r="D725" s="14"/>
      <c r="E725" s="14"/>
      <c r="F725" s="14"/>
      <c r="G725" s="18"/>
    </row>
    <row r="726" spans="2:7" x14ac:dyDescent="0.35">
      <c r="B726" s="47"/>
      <c r="C726" s="14"/>
      <c r="D726" s="14"/>
      <c r="E726" s="14"/>
      <c r="F726" s="14"/>
      <c r="G726" s="18"/>
    </row>
    <row r="727" spans="2:7" x14ac:dyDescent="0.35">
      <c r="B727" s="47"/>
      <c r="C727" s="14"/>
      <c r="D727" s="14"/>
      <c r="E727" s="14"/>
      <c r="F727" s="14"/>
      <c r="G727" s="18"/>
    </row>
    <row r="728" spans="2:7" x14ac:dyDescent="0.35">
      <c r="B728" s="47"/>
      <c r="C728" s="14"/>
      <c r="D728" s="14"/>
      <c r="E728" s="14"/>
      <c r="F728" s="14"/>
      <c r="G728" s="18"/>
    </row>
    <row r="729" spans="2:7" x14ac:dyDescent="0.35">
      <c r="B729" s="47"/>
      <c r="C729" s="14"/>
      <c r="D729" s="14"/>
      <c r="E729" s="14"/>
      <c r="F729" s="14"/>
      <c r="G729" s="18"/>
    </row>
    <row r="730" spans="2:7" x14ac:dyDescent="0.35">
      <c r="B730" s="47"/>
      <c r="C730" s="14"/>
      <c r="D730" s="14"/>
      <c r="E730" s="14"/>
      <c r="F730" s="14"/>
      <c r="G730" s="18"/>
    </row>
    <row r="731" spans="2:7" x14ac:dyDescent="0.35">
      <c r="B731" s="47"/>
      <c r="C731" s="14"/>
      <c r="D731" s="14"/>
      <c r="E731" s="14"/>
      <c r="F731" s="14"/>
      <c r="G731" s="18"/>
    </row>
    <row r="732" spans="2:7" x14ac:dyDescent="0.35">
      <c r="B732" s="47"/>
      <c r="C732" s="14"/>
      <c r="D732" s="14"/>
      <c r="E732" s="14"/>
      <c r="F732" s="14"/>
      <c r="G732" s="18"/>
    </row>
    <row r="733" spans="2:7" x14ac:dyDescent="0.35">
      <c r="B733" s="47"/>
      <c r="C733" s="14"/>
      <c r="D733" s="14"/>
      <c r="E733" s="14"/>
      <c r="F733" s="14"/>
      <c r="G733" s="18"/>
    </row>
    <row r="734" spans="2:7" x14ac:dyDescent="0.35">
      <c r="B734" s="47"/>
      <c r="C734" s="14"/>
      <c r="D734" s="14"/>
      <c r="E734" s="14"/>
      <c r="F734" s="14"/>
      <c r="G734" s="18"/>
    </row>
    <row r="735" spans="2:7" x14ac:dyDescent="0.35">
      <c r="B735" s="47"/>
      <c r="C735" s="14"/>
      <c r="D735" s="14"/>
      <c r="E735" s="14"/>
      <c r="F735" s="14"/>
      <c r="G735" s="18"/>
    </row>
    <row r="736" spans="2:7" x14ac:dyDescent="0.35">
      <c r="B736" s="47"/>
      <c r="C736" s="14"/>
      <c r="D736" s="14"/>
      <c r="E736" s="14"/>
      <c r="F736" s="14"/>
      <c r="G736" s="18"/>
    </row>
    <row r="737" spans="2:7" x14ac:dyDescent="0.35">
      <c r="B737" s="47"/>
      <c r="C737" s="14"/>
      <c r="D737" s="14"/>
      <c r="E737" s="14"/>
      <c r="F737" s="14"/>
      <c r="G737" s="18"/>
    </row>
    <row r="738" spans="2:7" x14ac:dyDescent="0.35">
      <c r="B738" s="47"/>
      <c r="C738" s="14"/>
      <c r="D738" s="14"/>
      <c r="E738" s="14"/>
      <c r="F738" s="14"/>
      <c r="G738" s="18"/>
    </row>
    <row r="739" spans="2:7" x14ac:dyDescent="0.35">
      <c r="B739" s="47"/>
      <c r="C739" s="14"/>
      <c r="D739" s="14"/>
      <c r="E739" s="14"/>
      <c r="F739" s="14"/>
      <c r="G739" s="18"/>
    </row>
    <row r="740" spans="2:7" x14ac:dyDescent="0.35">
      <c r="B740" s="47"/>
      <c r="C740" s="14"/>
      <c r="D740" s="14"/>
      <c r="E740" s="14"/>
      <c r="F740" s="14"/>
      <c r="G740" s="18"/>
    </row>
    <row r="741" spans="2:7" x14ac:dyDescent="0.35">
      <c r="B741" s="47"/>
      <c r="C741" s="14"/>
      <c r="D741" s="14"/>
      <c r="E741" s="14"/>
      <c r="F741" s="14"/>
      <c r="G741" s="18"/>
    </row>
    <row r="742" spans="2:7" x14ac:dyDescent="0.35">
      <c r="B742" s="47"/>
      <c r="C742" s="14"/>
      <c r="D742" s="14"/>
      <c r="E742" s="14"/>
      <c r="F742" s="14"/>
      <c r="G742" s="18"/>
    </row>
    <row r="743" spans="2:7" x14ac:dyDescent="0.35">
      <c r="B743" s="47"/>
      <c r="C743" s="14"/>
      <c r="D743" s="14"/>
      <c r="E743" s="14"/>
      <c r="F743" s="14"/>
      <c r="G743" s="18"/>
    </row>
    <row r="744" spans="2:7" x14ac:dyDescent="0.35">
      <c r="B744" s="47"/>
      <c r="C744" s="14"/>
      <c r="D744" s="14"/>
      <c r="E744" s="14"/>
      <c r="F744" s="14"/>
      <c r="G744" s="18"/>
    </row>
    <row r="745" spans="2:7" x14ac:dyDescent="0.35">
      <c r="B745" s="47"/>
      <c r="C745" s="14"/>
      <c r="D745" s="14"/>
      <c r="E745" s="14"/>
      <c r="F745" s="14"/>
      <c r="G745" s="18"/>
    </row>
    <row r="746" spans="2:7" x14ac:dyDescent="0.35">
      <c r="B746" s="47"/>
      <c r="C746" s="14"/>
      <c r="D746" s="14"/>
      <c r="E746" s="14"/>
      <c r="F746" s="14"/>
      <c r="G746" s="18"/>
    </row>
    <row r="747" spans="2:7" x14ac:dyDescent="0.35">
      <c r="B747" s="47"/>
      <c r="C747" s="14"/>
      <c r="D747" s="14"/>
      <c r="E747" s="14"/>
      <c r="F747" s="14"/>
      <c r="G747" s="18"/>
    </row>
    <row r="748" spans="2:7" x14ac:dyDescent="0.35">
      <c r="B748" s="47"/>
      <c r="C748" s="14"/>
      <c r="D748" s="14"/>
      <c r="E748" s="14"/>
      <c r="F748" s="14"/>
      <c r="G748" s="18"/>
    </row>
    <row r="749" spans="2:7" x14ac:dyDescent="0.35">
      <c r="B749" s="47"/>
      <c r="C749" s="14"/>
      <c r="D749" s="14"/>
      <c r="E749" s="14"/>
      <c r="F749" s="14"/>
      <c r="G749" s="18"/>
    </row>
    <row r="750" spans="2:7" x14ac:dyDescent="0.35">
      <c r="B750" s="47"/>
      <c r="C750" s="14"/>
      <c r="D750" s="14"/>
      <c r="E750" s="14"/>
      <c r="F750" s="14"/>
      <c r="G750" s="18"/>
    </row>
    <row r="751" spans="2:7" x14ac:dyDescent="0.35">
      <c r="B751" s="47"/>
      <c r="C751" s="14"/>
      <c r="D751" s="14"/>
      <c r="E751" s="14"/>
      <c r="F751" s="14"/>
      <c r="G751" s="18"/>
    </row>
    <row r="752" spans="2:7" x14ac:dyDescent="0.35">
      <c r="B752" s="47"/>
      <c r="C752" s="14"/>
      <c r="D752" s="14"/>
      <c r="E752" s="14"/>
      <c r="F752" s="14"/>
      <c r="G752" s="18"/>
    </row>
    <row r="753" spans="2:7" x14ac:dyDescent="0.35">
      <c r="B753" s="47"/>
      <c r="C753" s="14"/>
      <c r="D753" s="14"/>
      <c r="E753" s="14"/>
      <c r="F753" s="14"/>
      <c r="G753" s="18"/>
    </row>
    <row r="754" spans="2:7" x14ac:dyDescent="0.35">
      <c r="B754" s="47"/>
      <c r="C754" s="14"/>
      <c r="D754" s="14"/>
      <c r="E754" s="14"/>
      <c r="F754" s="14"/>
      <c r="G754" s="18"/>
    </row>
    <row r="755" spans="2:7" x14ac:dyDescent="0.35">
      <c r="B755" s="47"/>
      <c r="C755" s="14"/>
      <c r="D755" s="14"/>
      <c r="E755" s="14"/>
      <c r="F755" s="14"/>
      <c r="G755" s="18"/>
    </row>
    <row r="756" spans="2:7" x14ac:dyDescent="0.35">
      <c r="B756" s="47"/>
      <c r="C756" s="14"/>
      <c r="D756" s="14"/>
      <c r="E756" s="14"/>
      <c r="F756" s="14"/>
      <c r="G756" s="18"/>
    </row>
    <row r="757" spans="2:7" x14ac:dyDescent="0.35">
      <c r="B757" s="47"/>
      <c r="C757" s="14"/>
      <c r="D757" s="14"/>
      <c r="E757" s="14"/>
      <c r="F757" s="14"/>
      <c r="G757" s="18"/>
    </row>
    <row r="758" spans="2:7" x14ac:dyDescent="0.35">
      <c r="B758" s="47"/>
      <c r="C758" s="14"/>
      <c r="D758" s="14"/>
      <c r="E758" s="14"/>
      <c r="F758" s="14"/>
      <c r="G758" s="18"/>
    </row>
    <row r="759" spans="2:7" x14ac:dyDescent="0.35">
      <c r="B759" s="47"/>
      <c r="C759" s="14"/>
      <c r="D759" s="14"/>
      <c r="E759" s="14"/>
      <c r="F759" s="14"/>
      <c r="G759" s="18"/>
    </row>
    <row r="760" spans="2:7" x14ac:dyDescent="0.35">
      <c r="B760" s="47"/>
      <c r="C760" s="14"/>
      <c r="D760" s="14"/>
      <c r="E760" s="14"/>
      <c r="F760" s="14"/>
      <c r="G760" s="18"/>
    </row>
    <row r="761" spans="2:7" x14ac:dyDescent="0.35">
      <c r="B761" s="47"/>
      <c r="C761" s="14"/>
      <c r="D761" s="14"/>
      <c r="E761" s="14"/>
      <c r="F761" s="14"/>
      <c r="G761" s="18"/>
    </row>
    <row r="762" spans="2:7" x14ac:dyDescent="0.35">
      <c r="B762" s="47"/>
      <c r="C762" s="14"/>
      <c r="D762" s="14"/>
      <c r="E762" s="14"/>
      <c r="F762" s="14"/>
      <c r="G762" s="18"/>
    </row>
    <row r="763" spans="2:7" x14ac:dyDescent="0.35">
      <c r="B763" s="47"/>
      <c r="C763" s="14"/>
      <c r="D763" s="14"/>
      <c r="E763" s="14"/>
      <c r="F763" s="14"/>
      <c r="G763" s="18"/>
    </row>
    <row r="764" spans="2:7" x14ac:dyDescent="0.35">
      <c r="B764" s="47"/>
      <c r="C764" s="14"/>
      <c r="D764" s="14"/>
      <c r="E764" s="14"/>
      <c r="F764" s="14"/>
      <c r="G764" s="18"/>
    </row>
    <row r="765" spans="2:7" x14ac:dyDescent="0.35">
      <c r="B765" s="47"/>
      <c r="C765" s="14"/>
      <c r="D765" s="14"/>
      <c r="E765" s="14"/>
      <c r="F765" s="14"/>
      <c r="G765" s="18"/>
    </row>
    <row r="766" spans="2:7" x14ac:dyDescent="0.35">
      <c r="B766" s="47"/>
      <c r="C766" s="14"/>
      <c r="D766" s="14"/>
      <c r="E766" s="14"/>
      <c r="F766" s="14"/>
      <c r="G766" s="18"/>
    </row>
    <row r="767" spans="2:7" x14ac:dyDescent="0.35">
      <c r="B767" s="47"/>
      <c r="C767" s="14"/>
      <c r="D767" s="14"/>
      <c r="E767" s="14"/>
      <c r="F767" s="14"/>
      <c r="G767" s="18"/>
    </row>
    <row r="768" spans="2:7" x14ac:dyDescent="0.35">
      <c r="B768" s="47"/>
      <c r="C768" s="14"/>
      <c r="D768" s="14"/>
      <c r="E768" s="14"/>
      <c r="F768" s="14"/>
      <c r="G768" s="18"/>
    </row>
    <row r="769" spans="2:7" x14ac:dyDescent="0.35">
      <c r="B769" s="47"/>
      <c r="C769" s="14"/>
      <c r="D769" s="14"/>
      <c r="E769" s="14"/>
      <c r="F769" s="14"/>
      <c r="G769" s="18"/>
    </row>
    <row r="770" spans="2:7" x14ac:dyDescent="0.35">
      <c r="B770" s="47"/>
      <c r="C770" s="14"/>
      <c r="D770" s="14"/>
      <c r="E770" s="14"/>
      <c r="F770" s="14"/>
      <c r="G770" s="18"/>
    </row>
    <row r="771" spans="2:7" x14ac:dyDescent="0.35">
      <c r="B771" s="47"/>
      <c r="C771" s="14"/>
      <c r="D771" s="14"/>
      <c r="E771" s="14"/>
      <c r="F771" s="14"/>
      <c r="G771" s="18"/>
    </row>
    <row r="772" spans="2:7" x14ac:dyDescent="0.35">
      <c r="B772" s="47"/>
      <c r="C772" s="14"/>
      <c r="D772" s="14"/>
      <c r="E772" s="14"/>
      <c r="F772" s="14"/>
      <c r="G772" s="18"/>
    </row>
    <row r="773" spans="2:7" x14ac:dyDescent="0.35">
      <c r="B773" s="47"/>
      <c r="C773" s="14"/>
      <c r="D773" s="14"/>
      <c r="E773" s="14"/>
      <c r="F773" s="14"/>
      <c r="G773" s="18"/>
    </row>
    <row r="774" spans="2:7" x14ac:dyDescent="0.35">
      <c r="B774" s="47"/>
      <c r="C774" s="14"/>
      <c r="D774" s="14"/>
      <c r="E774" s="14"/>
      <c r="F774" s="14"/>
      <c r="G774" s="18"/>
    </row>
    <row r="775" spans="2:7" x14ac:dyDescent="0.35">
      <c r="B775" s="47"/>
      <c r="C775" s="14"/>
      <c r="D775" s="14"/>
      <c r="E775" s="14"/>
      <c r="F775" s="14"/>
      <c r="G775" s="18"/>
    </row>
    <row r="776" spans="2:7" x14ac:dyDescent="0.35">
      <c r="B776" s="47"/>
      <c r="C776" s="14"/>
      <c r="D776" s="14"/>
      <c r="E776" s="14"/>
      <c r="F776" s="14"/>
      <c r="G776" s="18"/>
    </row>
    <row r="777" spans="2:7" x14ac:dyDescent="0.35">
      <c r="B777" s="47"/>
      <c r="C777" s="14"/>
      <c r="D777" s="14"/>
      <c r="E777" s="14"/>
      <c r="F777" s="14"/>
      <c r="G777" s="18"/>
    </row>
    <row r="778" spans="2:7" x14ac:dyDescent="0.35">
      <c r="B778" s="47"/>
      <c r="C778" s="14"/>
      <c r="D778" s="14"/>
      <c r="E778" s="14"/>
      <c r="F778" s="14"/>
      <c r="G778" s="18"/>
    </row>
    <row r="779" spans="2:7" x14ac:dyDescent="0.35">
      <c r="B779" s="47"/>
      <c r="C779" s="14"/>
      <c r="D779" s="14"/>
      <c r="E779" s="14"/>
      <c r="F779" s="14"/>
      <c r="G779" s="18"/>
    </row>
    <row r="780" spans="2:7" x14ac:dyDescent="0.35">
      <c r="B780" s="47"/>
      <c r="C780" s="14"/>
      <c r="D780" s="14"/>
      <c r="E780" s="14"/>
      <c r="F780" s="14"/>
      <c r="G780" s="18"/>
    </row>
    <row r="781" spans="2:7" x14ac:dyDescent="0.35">
      <c r="B781" s="47"/>
      <c r="C781" s="14"/>
      <c r="D781" s="14"/>
      <c r="E781" s="14"/>
      <c r="F781" s="14"/>
      <c r="G781" s="18"/>
    </row>
    <row r="782" spans="2:7" x14ac:dyDescent="0.35">
      <c r="B782" s="47"/>
      <c r="C782" s="14"/>
      <c r="D782" s="14"/>
      <c r="E782" s="14"/>
      <c r="F782" s="14"/>
      <c r="G782" s="18"/>
    </row>
    <row r="783" spans="2:7" x14ac:dyDescent="0.35">
      <c r="B783" s="47"/>
      <c r="C783" s="14"/>
      <c r="D783" s="14"/>
      <c r="E783" s="14"/>
      <c r="F783" s="14"/>
      <c r="G783" s="18"/>
    </row>
    <row r="784" spans="2:7" x14ac:dyDescent="0.35">
      <c r="B784" s="47"/>
      <c r="C784" s="14"/>
      <c r="D784" s="14"/>
      <c r="E784" s="14"/>
      <c r="F784" s="14"/>
      <c r="G784" s="18"/>
    </row>
    <row r="785" spans="2:7" x14ac:dyDescent="0.35">
      <c r="B785" s="47"/>
      <c r="C785" s="14"/>
      <c r="D785" s="14"/>
      <c r="E785" s="14"/>
      <c r="F785" s="14"/>
      <c r="G785" s="18"/>
    </row>
    <row r="786" spans="2:7" x14ac:dyDescent="0.35">
      <c r="B786" s="47"/>
      <c r="C786" s="14"/>
      <c r="D786" s="14"/>
      <c r="E786" s="14"/>
      <c r="F786" s="14"/>
      <c r="G786" s="18"/>
    </row>
    <row r="787" spans="2:7" x14ac:dyDescent="0.35">
      <c r="B787" s="47"/>
      <c r="C787" s="14"/>
      <c r="D787" s="14"/>
      <c r="E787" s="14"/>
      <c r="F787" s="14"/>
      <c r="G787" s="18"/>
    </row>
    <row r="788" spans="2:7" x14ac:dyDescent="0.35">
      <c r="B788" s="47"/>
      <c r="C788" s="14"/>
      <c r="D788" s="14"/>
      <c r="E788" s="14"/>
      <c r="F788" s="14"/>
      <c r="G788" s="18"/>
    </row>
    <row r="789" spans="2:7" x14ac:dyDescent="0.35">
      <c r="B789" s="47"/>
      <c r="C789" s="14"/>
      <c r="D789" s="14"/>
      <c r="E789" s="14"/>
      <c r="F789" s="14"/>
      <c r="G789" s="18"/>
    </row>
    <row r="790" spans="2:7" x14ac:dyDescent="0.35">
      <c r="B790" s="47"/>
      <c r="C790" s="14"/>
      <c r="D790" s="14"/>
      <c r="E790" s="14"/>
      <c r="F790" s="14"/>
      <c r="G790" s="18"/>
    </row>
    <row r="791" spans="2:7" x14ac:dyDescent="0.35">
      <c r="B791" s="47"/>
      <c r="C791" s="14"/>
      <c r="D791" s="14"/>
      <c r="E791" s="14"/>
      <c r="F791" s="14"/>
      <c r="G791" s="18"/>
    </row>
    <row r="792" spans="2:7" x14ac:dyDescent="0.35">
      <c r="B792" s="47"/>
      <c r="C792" s="14"/>
      <c r="D792" s="14"/>
      <c r="E792" s="14"/>
      <c r="F792" s="14"/>
      <c r="G792" s="18"/>
    </row>
    <row r="793" spans="2:7" x14ac:dyDescent="0.35">
      <c r="B793" s="47"/>
      <c r="C793" s="14"/>
      <c r="D793" s="14"/>
      <c r="E793" s="14"/>
      <c r="F793" s="14"/>
      <c r="G793" s="18"/>
    </row>
    <row r="794" spans="2:7" x14ac:dyDescent="0.35">
      <c r="B794" s="47"/>
      <c r="C794" s="14"/>
      <c r="D794" s="14"/>
      <c r="E794" s="14"/>
      <c r="F794" s="14"/>
      <c r="G794" s="18"/>
    </row>
    <row r="795" spans="2:7" x14ac:dyDescent="0.35">
      <c r="B795" s="47"/>
      <c r="C795" s="14"/>
      <c r="D795" s="14"/>
      <c r="E795" s="14"/>
      <c r="F795" s="14"/>
      <c r="G795" s="18"/>
    </row>
    <row r="796" spans="2:7" x14ac:dyDescent="0.35">
      <c r="B796" s="47"/>
      <c r="C796" s="14"/>
      <c r="D796" s="14"/>
      <c r="E796" s="14"/>
      <c r="F796" s="14"/>
      <c r="G796" s="18"/>
    </row>
    <row r="797" spans="2:7" x14ac:dyDescent="0.35">
      <c r="B797" s="47"/>
      <c r="C797" s="14"/>
      <c r="D797" s="14"/>
      <c r="E797" s="14"/>
      <c r="F797" s="14"/>
      <c r="G797" s="18"/>
    </row>
    <row r="798" spans="2:7" x14ac:dyDescent="0.35">
      <c r="B798" s="47"/>
      <c r="C798" s="14"/>
      <c r="D798" s="14"/>
      <c r="E798" s="14"/>
      <c r="F798" s="14"/>
      <c r="G798" s="18"/>
    </row>
    <row r="799" spans="2:7" x14ac:dyDescent="0.35">
      <c r="B799" s="47"/>
      <c r="C799" s="14"/>
      <c r="D799" s="14"/>
      <c r="E799" s="14"/>
      <c r="F799" s="14"/>
      <c r="G799" s="18"/>
    </row>
    <row r="800" spans="2:7" x14ac:dyDescent="0.35">
      <c r="B800" s="47"/>
      <c r="C800" s="14"/>
      <c r="D800" s="14"/>
      <c r="E800" s="14"/>
      <c r="F800" s="14"/>
      <c r="G800" s="18"/>
    </row>
    <row r="801" spans="2:7" x14ac:dyDescent="0.35">
      <c r="B801" s="47"/>
      <c r="C801" s="14"/>
      <c r="D801" s="14"/>
      <c r="E801" s="14"/>
      <c r="F801" s="14"/>
      <c r="G801" s="18"/>
    </row>
    <row r="802" spans="2:7" x14ac:dyDescent="0.35">
      <c r="B802" s="47"/>
      <c r="C802" s="14"/>
      <c r="D802" s="14"/>
      <c r="E802" s="14"/>
      <c r="F802" s="14"/>
      <c r="G802" s="18"/>
    </row>
    <row r="803" spans="2:7" x14ac:dyDescent="0.35">
      <c r="B803" s="47"/>
      <c r="C803" s="14"/>
      <c r="D803" s="14"/>
      <c r="E803" s="14"/>
      <c r="F803" s="14"/>
      <c r="G803" s="18"/>
    </row>
    <row r="804" spans="2:7" x14ac:dyDescent="0.35">
      <c r="B804" s="47"/>
      <c r="C804" s="14"/>
      <c r="D804" s="14"/>
      <c r="E804" s="14"/>
      <c r="F804" s="14"/>
      <c r="G804" s="18"/>
    </row>
    <row r="805" spans="2:7" x14ac:dyDescent="0.35">
      <c r="B805" s="47"/>
      <c r="C805" s="14"/>
      <c r="D805" s="14"/>
      <c r="E805" s="14"/>
      <c r="F805" s="14"/>
      <c r="G805" s="18"/>
    </row>
    <row r="806" spans="2:7" x14ac:dyDescent="0.35">
      <c r="B806" s="47"/>
      <c r="C806" s="14"/>
      <c r="D806" s="14"/>
      <c r="E806" s="14"/>
      <c r="F806" s="14"/>
      <c r="G806" s="18"/>
    </row>
    <row r="807" spans="2:7" x14ac:dyDescent="0.35">
      <c r="B807" s="47"/>
      <c r="C807" s="14"/>
      <c r="D807" s="14"/>
      <c r="E807" s="14"/>
      <c r="F807" s="14"/>
      <c r="G807" s="18"/>
    </row>
    <row r="808" spans="2:7" x14ac:dyDescent="0.35">
      <c r="B808" s="47"/>
      <c r="C808" s="14"/>
      <c r="D808" s="14"/>
      <c r="E808" s="14"/>
      <c r="F808" s="14"/>
      <c r="G808" s="18"/>
    </row>
    <row r="809" spans="2:7" x14ac:dyDescent="0.35">
      <c r="B809" s="47"/>
      <c r="C809" s="14"/>
      <c r="D809" s="14"/>
      <c r="E809" s="14"/>
      <c r="F809" s="14"/>
      <c r="G809" s="18"/>
    </row>
    <row r="810" spans="2:7" x14ac:dyDescent="0.35">
      <c r="B810" s="47"/>
      <c r="C810" s="14"/>
      <c r="D810" s="14"/>
      <c r="E810" s="14"/>
      <c r="F810" s="14"/>
      <c r="G810" s="18"/>
    </row>
    <row r="811" spans="2:7" x14ac:dyDescent="0.35">
      <c r="B811" s="47"/>
      <c r="C811" s="14"/>
      <c r="D811" s="14"/>
      <c r="E811" s="14"/>
      <c r="F811" s="14"/>
      <c r="G811" s="18"/>
    </row>
    <row r="812" spans="2:7" x14ac:dyDescent="0.35">
      <c r="B812" s="47"/>
      <c r="C812" s="14"/>
      <c r="D812" s="14"/>
      <c r="E812" s="14"/>
      <c r="F812" s="14"/>
      <c r="G812" s="18"/>
    </row>
    <row r="813" spans="2:7" x14ac:dyDescent="0.35">
      <c r="B813" s="47"/>
      <c r="C813" s="14"/>
      <c r="D813" s="14"/>
      <c r="E813" s="14"/>
      <c r="F813" s="14"/>
      <c r="G813" s="18"/>
    </row>
    <row r="814" spans="2:7" x14ac:dyDescent="0.35">
      <c r="B814" s="47"/>
      <c r="C814" s="14"/>
      <c r="D814" s="14"/>
      <c r="E814" s="14"/>
      <c r="F814" s="14"/>
      <c r="G814" s="18"/>
    </row>
    <row r="815" spans="2:7" x14ac:dyDescent="0.35">
      <c r="B815" s="47"/>
      <c r="C815" s="14"/>
      <c r="D815" s="14"/>
      <c r="E815" s="14"/>
      <c r="F815" s="14"/>
      <c r="G815" s="18"/>
    </row>
    <row r="816" spans="2:7" x14ac:dyDescent="0.35">
      <c r="B816" s="47"/>
      <c r="C816" s="14"/>
      <c r="D816" s="14"/>
      <c r="E816" s="14"/>
      <c r="F816" s="14"/>
      <c r="G816" s="18"/>
    </row>
    <row r="817" spans="2:7" x14ac:dyDescent="0.35">
      <c r="B817" s="47"/>
      <c r="C817" s="14"/>
      <c r="D817" s="14"/>
      <c r="E817" s="14"/>
      <c r="F817" s="14"/>
      <c r="G817" s="18"/>
    </row>
    <row r="818" spans="2:7" x14ac:dyDescent="0.35">
      <c r="B818" s="47"/>
      <c r="C818" s="14"/>
      <c r="D818" s="14"/>
      <c r="E818" s="14"/>
      <c r="F818" s="14"/>
      <c r="G818" s="18"/>
    </row>
    <row r="819" spans="2:7" x14ac:dyDescent="0.35">
      <c r="B819" s="47"/>
      <c r="C819" s="14"/>
      <c r="D819" s="14"/>
      <c r="E819" s="14"/>
      <c r="F819" s="14"/>
      <c r="G819" s="18"/>
    </row>
    <row r="820" spans="2:7" x14ac:dyDescent="0.35">
      <c r="B820" s="47"/>
      <c r="C820" s="14"/>
      <c r="D820" s="14"/>
      <c r="E820" s="14"/>
      <c r="F820" s="14"/>
      <c r="G820" s="18"/>
    </row>
    <row r="821" spans="2:7" x14ac:dyDescent="0.35">
      <c r="B821" s="47"/>
      <c r="C821" s="14"/>
      <c r="D821" s="14"/>
      <c r="E821" s="14"/>
      <c r="F821" s="14"/>
      <c r="G821" s="18"/>
    </row>
    <row r="822" spans="2:7" x14ac:dyDescent="0.35">
      <c r="B822" s="47"/>
      <c r="C822" s="14"/>
      <c r="D822" s="14"/>
      <c r="E822" s="14"/>
      <c r="F822" s="14"/>
      <c r="G822" s="18"/>
    </row>
    <row r="823" spans="2:7" x14ac:dyDescent="0.35">
      <c r="B823" s="47"/>
      <c r="C823" s="14"/>
      <c r="D823" s="14"/>
      <c r="E823" s="14"/>
      <c r="F823" s="14"/>
      <c r="G823" s="18"/>
    </row>
    <row r="824" spans="2:7" x14ac:dyDescent="0.35">
      <c r="B824" s="47"/>
      <c r="C824" s="14"/>
      <c r="D824" s="14"/>
      <c r="E824" s="14"/>
      <c r="F824" s="14"/>
      <c r="G824" s="18"/>
    </row>
    <row r="825" spans="2:7" x14ac:dyDescent="0.35">
      <c r="B825" s="47"/>
      <c r="C825" s="14"/>
      <c r="D825" s="14"/>
      <c r="E825" s="14"/>
      <c r="F825" s="14"/>
      <c r="G825" s="18"/>
    </row>
    <row r="826" spans="2:7" x14ac:dyDescent="0.35">
      <c r="B826" s="47"/>
      <c r="C826" s="14"/>
      <c r="D826" s="14"/>
      <c r="E826" s="14"/>
      <c r="F826" s="14"/>
      <c r="G826" s="18"/>
    </row>
    <row r="827" spans="2:7" x14ac:dyDescent="0.35">
      <c r="B827" s="47"/>
      <c r="C827" s="14"/>
      <c r="D827" s="14"/>
      <c r="E827" s="14"/>
      <c r="F827" s="14"/>
      <c r="G827" s="18"/>
    </row>
    <row r="828" spans="2:7" x14ac:dyDescent="0.35">
      <c r="B828" s="47"/>
      <c r="C828" s="14"/>
      <c r="D828" s="14"/>
      <c r="E828" s="14"/>
      <c r="F828" s="14"/>
      <c r="G828" s="18"/>
    </row>
    <row r="829" spans="2:7" x14ac:dyDescent="0.35">
      <c r="B829" s="47"/>
      <c r="C829" s="14"/>
      <c r="D829" s="14"/>
      <c r="E829" s="14"/>
      <c r="F829" s="14"/>
      <c r="G829" s="18"/>
    </row>
    <row r="830" spans="2:7" x14ac:dyDescent="0.35">
      <c r="B830" s="47"/>
      <c r="C830" s="14"/>
      <c r="D830" s="14"/>
      <c r="E830" s="14"/>
      <c r="F830" s="14"/>
      <c r="G830" s="18"/>
    </row>
    <row r="831" spans="2:7" x14ac:dyDescent="0.35">
      <c r="B831" s="47"/>
      <c r="C831" s="14"/>
      <c r="D831" s="14"/>
      <c r="E831" s="14"/>
      <c r="F831" s="14"/>
      <c r="G831" s="18"/>
    </row>
    <row r="832" spans="2:7" x14ac:dyDescent="0.35">
      <c r="B832" s="47"/>
      <c r="C832" s="14"/>
      <c r="D832" s="14"/>
      <c r="E832" s="14"/>
      <c r="F832" s="14"/>
      <c r="G832" s="18"/>
    </row>
    <row r="833" spans="2:7" x14ac:dyDescent="0.35">
      <c r="B833" s="47"/>
      <c r="C833" s="14"/>
      <c r="D833" s="14"/>
      <c r="E833" s="14"/>
      <c r="F833" s="14"/>
      <c r="G833" s="18"/>
    </row>
    <row r="834" spans="2:7" x14ac:dyDescent="0.35">
      <c r="B834" s="47"/>
      <c r="C834" s="14"/>
      <c r="D834" s="14"/>
      <c r="E834" s="14"/>
      <c r="F834" s="14"/>
      <c r="G834" s="18"/>
    </row>
    <row r="835" spans="2:7" x14ac:dyDescent="0.35">
      <c r="B835" s="47"/>
      <c r="C835" s="14"/>
      <c r="D835" s="14"/>
      <c r="E835" s="14"/>
      <c r="F835" s="14"/>
      <c r="G835" s="18"/>
    </row>
    <row r="836" spans="2:7" x14ac:dyDescent="0.35">
      <c r="B836" s="47"/>
      <c r="C836" s="14"/>
      <c r="D836" s="14"/>
      <c r="E836" s="14"/>
      <c r="F836" s="14"/>
      <c r="G836" s="18"/>
    </row>
    <row r="837" spans="2:7" x14ac:dyDescent="0.35">
      <c r="B837" s="47"/>
      <c r="C837" s="14"/>
      <c r="D837" s="14"/>
      <c r="E837" s="14"/>
      <c r="F837" s="14"/>
      <c r="G837" s="18"/>
    </row>
    <row r="838" spans="2:7" x14ac:dyDescent="0.35">
      <c r="B838" s="47"/>
      <c r="C838" s="14"/>
      <c r="D838" s="14"/>
      <c r="E838" s="14"/>
      <c r="F838" s="14"/>
      <c r="G838" s="18"/>
    </row>
    <row r="839" spans="2:7" x14ac:dyDescent="0.35">
      <c r="B839" s="47"/>
      <c r="C839" s="14"/>
      <c r="D839" s="14"/>
      <c r="E839" s="14"/>
      <c r="F839" s="14"/>
      <c r="G839" s="18"/>
    </row>
    <row r="840" spans="2:7" x14ac:dyDescent="0.35">
      <c r="B840" s="47"/>
      <c r="C840" s="14"/>
      <c r="D840" s="14"/>
      <c r="E840" s="14"/>
      <c r="F840" s="14"/>
      <c r="G840" s="18"/>
    </row>
    <row r="841" spans="2:7" x14ac:dyDescent="0.35">
      <c r="B841" s="47"/>
      <c r="C841" s="14"/>
      <c r="D841" s="14"/>
      <c r="E841" s="14"/>
      <c r="F841" s="14"/>
      <c r="G841" s="18"/>
    </row>
    <row r="842" spans="2:7" x14ac:dyDescent="0.35">
      <c r="B842" s="47"/>
      <c r="C842" s="14"/>
      <c r="D842" s="14"/>
      <c r="E842" s="14"/>
      <c r="F842" s="14"/>
      <c r="G842" s="18"/>
    </row>
    <row r="843" spans="2:7" x14ac:dyDescent="0.35">
      <c r="B843" s="47"/>
      <c r="C843" s="14"/>
      <c r="D843" s="14"/>
      <c r="E843" s="14"/>
      <c r="F843" s="14"/>
      <c r="G843" s="18"/>
    </row>
    <row r="844" spans="2:7" x14ac:dyDescent="0.35">
      <c r="B844" s="47"/>
      <c r="C844" s="14"/>
      <c r="D844" s="14"/>
      <c r="E844" s="14"/>
      <c r="F844" s="14"/>
      <c r="G844" s="18"/>
    </row>
    <row r="845" spans="2:7" x14ac:dyDescent="0.35">
      <c r="B845" s="47"/>
      <c r="C845" s="14"/>
      <c r="D845" s="14"/>
      <c r="E845" s="14"/>
      <c r="F845" s="14"/>
      <c r="G845" s="18"/>
    </row>
    <row r="846" spans="2:7" x14ac:dyDescent="0.35">
      <c r="B846" s="47"/>
      <c r="C846" s="14"/>
      <c r="D846" s="14"/>
      <c r="E846" s="14"/>
      <c r="F846" s="14"/>
      <c r="G846" s="18"/>
    </row>
    <row r="847" spans="2:7" x14ac:dyDescent="0.35">
      <c r="B847" s="47"/>
      <c r="C847" s="14"/>
      <c r="D847" s="14"/>
      <c r="E847" s="14"/>
      <c r="F847" s="14"/>
      <c r="G847" s="18"/>
    </row>
    <row r="848" spans="2:7" x14ac:dyDescent="0.35">
      <c r="B848" s="47"/>
      <c r="C848" s="14"/>
      <c r="D848" s="14"/>
      <c r="E848" s="14"/>
      <c r="F848" s="14"/>
      <c r="G848" s="18"/>
    </row>
    <row r="849" spans="2:7" x14ac:dyDescent="0.35">
      <c r="B849" s="47"/>
      <c r="C849" s="14"/>
      <c r="D849" s="14"/>
      <c r="E849" s="14"/>
      <c r="F849" s="14"/>
      <c r="G849" s="18"/>
    </row>
    <row r="850" spans="2:7" x14ac:dyDescent="0.35">
      <c r="B850" s="47"/>
      <c r="C850" s="14"/>
      <c r="D850" s="14"/>
      <c r="E850" s="14"/>
      <c r="F850" s="14"/>
      <c r="G850" s="18"/>
    </row>
    <row r="851" spans="2:7" x14ac:dyDescent="0.35">
      <c r="B851" s="47"/>
      <c r="C851" s="14"/>
      <c r="D851" s="14"/>
      <c r="E851" s="14"/>
      <c r="F851" s="14"/>
      <c r="G851" s="18"/>
    </row>
    <row r="852" spans="2:7" x14ac:dyDescent="0.35">
      <c r="B852" s="47"/>
      <c r="C852" s="14"/>
      <c r="D852" s="14"/>
      <c r="E852" s="14"/>
      <c r="F852" s="14"/>
      <c r="G852" s="18"/>
    </row>
    <row r="853" spans="2:7" x14ac:dyDescent="0.35">
      <c r="B853" s="47"/>
      <c r="C853" s="14"/>
      <c r="D853" s="14"/>
      <c r="E853" s="14"/>
      <c r="F853" s="14"/>
      <c r="G853" s="18"/>
    </row>
    <row r="854" spans="2:7" x14ac:dyDescent="0.35">
      <c r="B854" s="47"/>
      <c r="C854" s="14"/>
      <c r="D854" s="14"/>
      <c r="E854" s="14"/>
      <c r="F854" s="14"/>
      <c r="G854" s="18"/>
    </row>
    <row r="855" spans="2:7" x14ac:dyDescent="0.35">
      <c r="B855" s="47"/>
      <c r="C855" s="14"/>
      <c r="D855" s="14"/>
      <c r="E855" s="14"/>
      <c r="F855" s="14"/>
      <c r="G855" s="18"/>
    </row>
    <row r="856" spans="2:7" x14ac:dyDescent="0.35">
      <c r="B856" s="47"/>
      <c r="C856" s="14"/>
      <c r="D856" s="14"/>
      <c r="E856" s="14"/>
      <c r="F856" s="14"/>
      <c r="G856" s="18"/>
    </row>
    <row r="857" spans="2:7" x14ac:dyDescent="0.35">
      <c r="B857" s="47"/>
      <c r="C857" s="14"/>
      <c r="D857" s="14"/>
      <c r="E857" s="14"/>
      <c r="F857" s="14"/>
      <c r="G857" s="18"/>
    </row>
    <row r="858" spans="2:7" x14ac:dyDescent="0.35">
      <c r="B858" s="47"/>
      <c r="C858" s="14"/>
      <c r="D858" s="14"/>
      <c r="E858" s="14"/>
      <c r="F858" s="14"/>
      <c r="G858" s="18"/>
    </row>
    <row r="859" spans="2:7" x14ac:dyDescent="0.35">
      <c r="B859" s="47"/>
      <c r="C859" s="14"/>
      <c r="D859" s="14"/>
      <c r="E859" s="14"/>
      <c r="F859" s="14"/>
      <c r="G859" s="18"/>
    </row>
    <row r="860" spans="2:7" x14ac:dyDescent="0.35">
      <c r="B860" s="47"/>
      <c r="C860" s="14"/>
      <c r="D860" s="14"/>
      <c r="E860" s="14"/>
      <c r="F860" s="14"/>
      <c r="G860" s="18"/>
    </row>
    <row r="861" spans="2:7" x14ac:dyDescent="0.35">
      <c r="B861" s="47"/>
      <c r="C861" s="14"/>
      <c r="D861" s="14"/>
      <c r="E861" s="14"/>
      <c r="F861" s="14"/>
      <c r="G861" s="18"/>
    </row>
    <row r="862" spans="2:7" x14ac:dyDescent="0.35">
      <c r="B862" s="47"/>
      <c r="C862" s="14"/>
      <c r="D862" s="14"/>
      <c r="E862" s="14"/>
      <c r="F862" s="14"/>
      <c r="G862" s="18"/>
    </row>
    <row r="863" spans="2:7" x14ac:dyDescent="0.35">
      <c r="B863" s="47"/>
      <c r="C863" s="14"/>
      <c r="D863" s="14"/>
      <c r="E863" s="14"/>
      <c r="F863" s="14"/>
      <c r="G863" s="18"/>
    </row>
    <row r="864" spans="2:7" x14ac:dyDescent="0.35">
      <c r="B864" s="47"/>
      <c r="C864" s="14"/>
      <c r="D864" s="14"/>
      <c r="E864" s="14"/>
      <c r="F864" s="14"/>
      <c r="G864" s="18"/>
    </row>
    <row r="865" spans="2:7" x14ac:dyDescent="0.35">
      <c r="B865" s="47"/>
      <c r="C865" s="14"/>
      <c r="D865" s="14"/>
      <c r="E865" s="14"/>
      <c r="F865" s="14"/>
      <c r="G865" s="18"/>
    </row>
    <row r="866" spans="2:7" x14ac:dyDescent="0.35">
      <c r="B866" s="47"/>
      <c r="C866" s="14"/>
      <c r="D866" s="14"/>
      <c r="E866" s="14"/>
      <c r="F866" s="14"/>
      <c r="G866" s="18"/>
    </row>
    <row r="867" spans="2:7" x14ac:dyDescent="0.35">
      <c r="B867" s="47"/>
      <c r="C867" s="14"/>
      <c r="D867" s="14"/>
      <c r="E867" s="14"/>
      <c r="F867" s="14"/>
      <c r="G867" s="18"/>
    </row>
    <row r="868" spans="2:7" x14ac:dyDescent="0.35">
      <c r="B868" s="47"/>
      <c r="C868" s="14"/>
      <c r="D868" s="14"/>
      <c r="E868" s="14"/>
      <c r="F868" s="14"/>
      <c r="G868" s="18"/>
    </row>
    <row r="869" spans="2:7" x14ac:dyDescent="0.35">
      <c r="B869" s="47"/>
      <c r="C869" s="14"/>
      <c r="D869" s="14"/>
      <c r="E869" s="14"/>
      <c r="F869" s="14"/>
      <c r="G869" s="18"/>
    </row>
    <row r="870" spans="2:7" x14ac:dyDescent="0.35">
      <c r="B870" s="47"/>
      <c r="C870" s="14"/>
      <c r="D870" s="14"/>
      <c r="E870" s="14"/>
      <c r="F870" s="14"/>
      <c r="G870" s="18"/>
    </row>
    <row r="871" spans="2:7" x14ac:dyDescent="0.35">
      <c r="B871" s="47"/>
      <c r="C871" s="14"/>
      <c r="D871" s="14"/>
      <c r="E871" s="14"/>
      <c r="F871" s="14"/>
      <c r="G871" s="18"/>
    </row>
    <row r="872" spans="2:7" x14ac:dyDescent="0.35">
      <c r="B872" s="47"/>
      <c r="C872" s="14"/>
      <c r="D872" s="14"/>
      <c r="E872" s="14"/>
      <c r="F872" s="14"/>
      <c r="G872" s="18"/>
    </row>
    <row r="873" spans="2:7" x14ac:dyDescent="0.35">
      <c r="B873" s="47"/>
      <c r="C873" s="14"/>
      <c r="D873" s="14"/>
      <c r="E873" s="14"/>
      <c r="F873" s="14"/>
      <c r="G873" s="18"/>
    </row>
    <row r="874" spans="2:7" x14ac:dyDescent="0.35">
      <c r="B874" s="47"/>
      <c r="C874" s="14"/>
      <c r="D874" s="14"/>
      <c r="E874" s="14"/>
      <c r="F874" s="14"/>
      <c r="G874" s="18"/>
    </row>
    <row r="875" spans="2:7" x14ac:dyDescent="0.35">
      <c r="B875" s="47"/>
      <c r="C875" s="14"/>
      <c r="D875" s="14"/>
      <c r="E875" s="14"/>
      <c r="F875" s="14"/>
      <c r="G875" s="18"/>
    </row>
    <row r="876" spans="2:7" x14ac:dyDescent="0.35">
      <c r="B876" s="47"/>
      <c r="C876" s="14"/>
      <c r="D876" s="14"/>
      <c r="E876" s="14"/>
      <c r="F876" s="14"/>
      <c r="G876" s="18"/>
    </row>
    <row r="877" spans="2:7" x14ac:dyDescent="0.35">
      <c r="B877" s="47"/>
      <c r="C877" s="14"/>
      <c r="D877" s="14"/>
      <c r="E877" s="14"/>
      <c r="F877" s="14"/>
      <c r="G877" s="18"/>
    </row>
    <row r="878" spans="2:7" x14ac:dyDescent="0.35">
      <c r="B878" s="47"/>
      <c r="C878" s="14"/>
      <c r="D878" s="14"/>
      <c r="E878" s="14"/>
      <c r="F878" s="14"/>
      <c r="G878" s="18"/>
    </row>
    <row r="879" spans="2:7" x14ac:dyDescent="0.35">
      <c r="B879" s="47"/>
      <c r="C879" s="14"/>
      <c r="D879" s="14"/>
      <c r="E879" s="14"/>
      <c r="F879" s="14"/>
      <c r="G879" s="18"/>
    </row>
    <row r="880" spans="2:7" x14ac:dyDescent="0.35">
      <c r="B880" s="47"/>
      <c r="C880" s="14"/>
      <c r="D880" s="14"/>
      <c r="E880" s="14"/>
      <c r="F880" s="14"/>
      <c r="G880" s="18"/>
    </row>
    <row r="881" spans="2:7" x14ac:dyDescent="0.35">
      <c r="B881" s="47"/>
      <c r="C881" s="14"/>
      <c r="D881" s="14"/>
      <c r="E881" s="14"/>
      <c r="F881" s="14"/>
      <c r="G881" s="18"/>
    </row>
    <row r="882" spans="2:7" x14ac:dyDescent="0.35">
      <c r="B882" s="47"/>
      <c r="C882" s="14"/>
      <c r="D882" s="14"/>
      <c r="E882" s="14"/>
      <c r="F882" s="14"/>
      <c r="G882" s="18"/>
    </row>
    <row r="883" spans="2:7" x14ac:dyDescent="0.35">
      <c r="B883" s="47"/>
      <c r="C883" s="14"/>
      <c r="D883" s="14"/>
      <c r="E883" s="14"/>
      <c r="F883" s="14"/>
      <c r="G883" s="18"/>
    </row>
    <row r="884" spans="2:7" x14ac:dyDescent="0.35">
      <c r="B884" s="47"/>
      <c r="C884" s="14"/>
      <c r="D884" s="14"/>
      <c r="E884" s="14"/>
      <c r="F884" s="14"/>
      <c r="G884" s="18"/>
    </row>
    <row r="885" spans="2:7" x14ac:dyDescent="0.35">
      <c r="B885" s="47"/>
      <c r="C885" s="14"/>
      <c r="D885" s="14"/>
      <c r="E885" s="14"/>
      <c r="F885" s="14"/>
      <c r="G885" s="18"/>
    </row>
    <row r="886" spans="2:7" x14ac:dyDescent="0.35">
      <c r="B886" s="47"/>
      <c r="C886" s="14"/>
      <c r="D886" s="14"/>
      <c r="E886" s="14"/>
      <c r="F886" s="14"/>
      <c r="G886" s="18"/>
    </row>
    <row r="887" spans="2:7" x14ac:dyDescent="0.35">
      <c r="B887" s="47"/>
      <c r="C887" s="14"/>
      <c r="D887" s="14"/>
      <c r="E887" s="14"/>
      <c r="F887" s="14"/>
      <c r="G887" s="18"/>
    </row>
    <row r="888" spans="2:7" x14ac:dyDescent="0.35">
      <c r="B888" s="47"/>
      <c r="C888" s="14"/>
      <c r="D888" s="14"/>
      <c r="E888" s="14"/>
      <c r="F888" s="14"/>
      <c r="G888" s="18"/>
    </row>
    <row r="889" spans="2:7" x14ac:dyDescent="0.35">
      <c r="B889" s="47"/>
      <c r="C889" s="14"/>
      <c r="D889" s="14"/>
      <c r="E889" s="14"/>
      <c r="F889" s="14"/>
      <c r="G889" s="18"/>
    </row>
    <row r="890" spans="2:7" x14ac:dyDescent="0.35">
      <c r="B890" s="47"/>
      <c r="C890" s="14"/>
      <c r="D890" s="14"/>
      <c r="E890" s="14"/>
      <c r="F890" s="14"/>
      <c r="G890" s="18"/>
    </row>
    <row r="891" spans="2:7" x14ac:dyDescent="0.35">
      <c r="B891" s="47"/>
      <c r="C891" s="14"/>
      <c r="D891" s="14"/>
      <c r="E891" s="14"/>
      <c r="F891" s="14"/>
      <c r="G891" s="18"/>
    </row>
    <row r="892" spans="2:7" x14ac:dyDescent="0.35">
      <c r="B892" s="47"/>
      <c r="C892" s="14"/>
      <c r="D892" s="14"/>
      <c r="E892" s="14"/>
      <c r="F892" s="14"/>
      <c r="G892" s="18"/>
    </row>
    <row r="893" spans="2:7" x14ac:dyDescent="0.35">
      <c r="B893" s="47"/>
      <c r="C893" s="14"/>
      <c r="D893" s="14"/>
      <c r="E893" s="14"/>
      <c r="F893" s="14"/>
      <c r="G893" s="18"/>
    </row>
    <row r="894" spans="2:7" x14ac:dyDescent="0.35">
      <c r="B894" s="47"/>
      <c r="C894" s="14"/>
      <c r="D894" s="14"/>
      <c r="E894" s="14"/>
      <c r="F894" s="14"/>
      <c r="G894" s="18"/>
    </row>
    <row r="895" spans="2:7" x14ac:dyDescent="0.35">
      <c r="B895" s="47"/>
      <c r="C895" s="14"/>
      <c r="D895" s="14"/>
      <c r="E895" s="14"/>
      <c r="F895" s="14"/>
      <c r="G895" s="18"/>
    </row>
    <row r="896" spans="2:7" x14ac:dyDescent="0.35">
      <c r="B896" s="47"/>
      <c r="C896" s="14"/>
      <c r="D896" s="14"/>
      <c r="E896" s="14"/>
      <c r="F896" s="14"/>
      <c r="G896" s="18"/>
    </row>
    <row r="897" spans="2:7" x14ac:dyDescent="0.35">
      <c r="B897" s="47"/>
      <c r="C897" s="14"/>
      <c r="D897" s="14"/>
      <c r="E897" s="14"/>
      <c r="F897" s="14"/>
      <c r="G897" s="18"/>
    </row>
    <row r="898" spans="2:7" x14ac:dyDescent="0.35">
      <c r="B898" s="47"/>
      <c r="C898" s="14"/>
      <c r="D898" s="14"/>
      <c r="E898" s="14"/>
      <c r="F898" s="14"/>
      <c r="G898" s="18"/>
    </row>
    <row r="899" spans="2:7" x14ac:dyDescent="0.35">
      <c r="B899" s="47"/>
      <c r="C899" s="14"/>
      <c r="D899" s="14"/>
      <c r="E899" s="14"/>
      <c r="F899" s="14"/>
      <c r="G899" s="18"/>
    </row>
    <row r="900" spans="2:7" x14ac:dyDescent="0.35">
      <c r="B900" s="47"/>
      <c r="C900" s="14"/>
      <c r="D900" s="14"/>
      <c r="E900" s="14"/>
      <c r="F900" s="14"/>
      <c r="G900" s="18"/>
    </row>
    <row r="901" spans="2:7" x14ac:dyDescent="0.35">
      <c r="B901" s="47"/>
      <c r="C901" s="14"/>
      <c r="D901" s="14"/>
      <c r="E901" s="14"/>
      <c r="F901" s="14"/>
      <c r="G901" s="18"/>
    </row>
    <row r="902" spans="2:7" x14ac:dyDescent="0.35">
      <c r="B902" s="47"/>
      <c r="C902" s="14"/>
      <c r="D902" s="14"/>
      <c r="E902" s="14"/>
      <c r="F902" s="14"/>
      <c r="G902" s="18"/>
    </row>
    <row r="903" spans="2:7" x14ac:dyDescent="0.35">
      <c r="B903" s="47"/>
      <c r="C903" s="14"/>
      <c r="D903" s="14"/>
      <c r="E903" s="14"/>
      <c r="F903" s="14"/>
      <c r="G903" s="18"/>
    </row>
    <row r="904" spans="2:7" x14ac:dyDescent="0.35">
      <c r="B904" s="47"/>
      <c r="C904" s="14"/>
      <c r="D904" s="14"/>
      <c r="E904" s="14"/>
      <c r="F904" s="14"/>
      <c r="G904" s="18"/>
    </row>
    <row r="905" spans="2:7" x14ac:dyDescent="0.35">
      <c r="B905" s="47"/>
      <c r="C905" s="14"/>
      <c r="D905" s="14"/>
      <c r="E905" s="14"/>
      <c r="F905" s="14"/>
      <c r="G905" s="18"/>
    </row>
    <row r="906" spans="2:7" x14ac:dyDescent="0.35">
      <c r="B906" s="47"/>
      <c r="C906" s="14"/>
      <c r="D906" s="14"/>
      <c r="E906" s="14"/>
      <c r="F906" s="14"/>
      <c r="G906" s="18"/>
    </row>
    <row r="907" spans="2:7" x14ac:dyDescent="0.35">
      <c r="B907" s="47"/>
      <c r="C907" s="14"/>
      <c r="D907" s="14"/>
      <c r="E907" s="14"/>
      <c r="F907" s="14"/>
      <c r="G907" s="18"/>
    </row>
    <row r="908" spans="2:7" x14ac:dyDescent="0.35">
      <c r="B908" s="47"/>
      <c r="C908" s="14"/>
      <c r="D908" s="14"/>
      <c r="E908" s="14"/>
      <c r="F908" s="14"/>
      <c r="G908" s="18"/>
    </row>
    <row r="909" spans="2:7" x14ac:dyDescent="0.35">
      <c r="B909" s="47"/>
      <c r="C909" s="14"/>
      <c r="D909" s="14"/>
      <c r="E909" s="14"/>
      <c r="F909" s="14"/>
      <c r="G909" s="18"/>
    </row>
    <row r="910" spans="2:7" x14ac:dyDescent="0.35">
      <c r="B910" s="47"/>
      <c r="C910" s="14"/>
      <c r="D910" s="14"/>
      <c r="E910" s="14"/>
      <c r="F910" s="14"/>
      <c r="G910" s="18"/>
    </row>
    <row r="911" spans="2:7" x14ac:dyDescent="0.35">
      <c r="B911" s="47"/>
      <c r="C911" s="14"/>
      <c r="D911" s="14"/>
      <c r="E911" s="14"/>
      <c r="F911" s="14"/>
      <c r="G911" s="18"/>
    </row>
    <row r="912" spans="2:7" x14ac:dyDescent="0.35">
      <c r="B912" s="47"/>
      <c r="C912" s="14"/>
      <c r="D912" s="14"/>
      <c r="E912" s="14"/>
      <c r="F912" s="14"/>
      <c r="G912" s="18"/>
    </row>
    <row r="913" spans="2:7" x14ac:dyDescent="0.35">
      <c r="B913" s="47"/>
      <c r="C913" s="14"/>
      <c r="D913" s="14"/>
      <c r="E913" s="14"/>
      <c r="F913" s="14"/>
      <c r="G913" s="18"/>
    </row>
    <row r="914" spans="2:7" x14ac:dyDescent="0.35">
      <c r="B914" s="47"/>
      <c r="C914" s="14"/>
      <c r="D914" s="14"/>
      <c r="E914" s="14"/>
      <c r="F914" s="14"/>
      <c r="G914" s="18"/>
    </row>
    <row r="915" spans="2:7" x14ac:dyDescent="0.35">
      <c r="B915" s="47"/>
      <c r="C915" s="14"/>
      <c r="D915" s="14"/>
      <c r="E915" s="14"/>
      <c r="F915" s="14"/>
      <c r="G915" s="18"/>
    </row>
    <row r="916" spans="2:7" x14ac:dyDescent="0.35">
      <c r="B916" s="47"/>
      <c r="C916" s="14"/>
      <c r="D916" s="14"/>
      <c r="E916" s="14"/>
      <c r="F916" s="14"/>
      <c r="G916" s="18"/>
    </row>
    <row r="917" spans="2:7" x14ac:dyDescent="0.35">
      <c r="B917" s="47"/>
      <c r="C917" s="14"/>
      <c r="D917" s="14"/>
      <c r="E917" s="14"/>
      <c r="F917" s="14"/>
      <c r="G917" s="18"/>
    </row>
    <row r="918" spans="2:7" x14ac:dyDescent="0.35">
      <c r="B918" s="47"/>
      <c r="C918" s="14"/>
      <c r="D918" s="14"/>
      <c r="E918" s="14"/>
      <c r="F918" s="14"/>
      <c r="G918" s="18"/>
    </row>
    <row r="919" spans="2:7" x14ac:dyDescent="0.35">
      <c r="B919" s="47"/>
      <c r="C919" s="14"/>
      <c r="D919" s="14"/>
      <c r="E919" s="14"/>
      <c r="F919" s="14"/>
      <c r="G919" s="18"/>
    </row>
    <row r="920" spans="2:7" x14ac:dyDescent="0.35">
      <c r="B920" s="47"/>
      <c r="C920" s="14"/>
      <c r="D920" s="14"/>
      <c r="E920" s="14"/>
      <c r="F920" s="14"/>
      <c r="G920" s="18"/>
    </row>
    <row r="921" spans="2:7" x14ac:dyDescent="0.35">
      <c r="B921" s="47"/>
      <c r="C921" s="14"/>
      <c r="D921" s="14"/>
      <c r="E921" s="14"/>
      <c r="F921" s="14"/>
      <c r="G921" s="18"/>
    </row>
    <row r="922" spans="2:7" x14ac:dyDescent="0.35">
      <c r="B922" s="47"/>
      <c r="C922" s="14"/>
      <c r="D922" s="14"/>
      <c r="E922" s="14"/>
      <c r="F922" s="14"/>
      <c r="G922" s="18"/>
    </row>
    <row r="923" spans="2:7" x14ac:dyDescent="0.35">
      <c r="B923" s="47"/>
      <c r="C923" s="14"/>
      <c r="D923" s="14"/>
      <c r="E923" s="14"/>
      <c r="F923" s="14"/>
      <c r="G923" s="18"/>
    </row>
    <row r="924" spans="2:7" x14ac:dyDescent="0.35">
      <c r="B924" s="47"/>
      <c r="C924" s="14"/>
      <c r="D924" s="14"/>
      <c r="E924" s="14"/>
      <c r="F924" s="14"/>
      <c r="G924" s="18"/>
    </row>
    <row r="925" spans="2:7" x14ac:dyDescent="0.35">
      <c r="B925" s="47"/>
      <c r="C925" s="14"/>
      <c r="D925" s="14"/>
      <c r="E925" s="14"/>
      <c r="F925" s="14"/>
      <c r="G925" s="18"/>
    </row>
    <row r="926" spans="2:7" x14ac:dyDescent="0.35">
      <c r="B926" s="47"/>
      <c r="C926" s="14"/>
      <c r="D926" s="14"/>
      <c r="E926" s="14"/>
      <c r="F926" s="14"/>
      <c r="G926" s="18"/>
    </row>
    <row r="927" spans="2:7" x14ac:dyDescent="0.35">
      <c r="B927" s="47"/>
      <c r="C927" s="14"/>
      <c r="D927" s="14"/>
      <c r="E927" s="14"/>
      <c r="F927" s="14"/>
      <c r="G927" s="18"/>
    </row>
    <row r="928" spans="2:7" x14ac:dyDescent="0.35">
      <c r="B928" s="47"/>
      <c r="C928" s="14"/>
      <c r="D928" s="14"/>
      <c r="E928" s="14"/>
      <c r="F928" s="14"/>
      <c r="G928" s="18"/>
    </row>
    <row r="929" spans="2:7" x14ac:dyDescent="0.35">
      <c r="B929" s="47"/>
      <c r="C929" s="14"/>
      <c r="D929" s="14"/>
      <c r="E929" s="14"/>
      <c r="F929" s="14"/>
      <c r="G929" s="18"/>
    </row>
    <row r="930" spans="2:7" x14ac:dyDescent="0.35">
      <c r="B930" s="47"/>
      <c r="C930" s="14"/>
      <c r="D930" s="14"/>
      <c r="E930" s="14"/>
      <c r="F930" s="14"/>
      <c r="G930" s="18"/>
    </row>
    <row r="931" spans="2:7" x14ac:dyDescent="0.35">
      <c r="B931" s="47"/>
      <c r="C931" s="14"/>
      <c r="D931" s="14"/>
      <c r="E931" s="14"/>
      <c r="F931" s="14"/>
      <c r="G931" s="18"/>
    </row>
    <row r="932" spans="2:7" x14ac:dyDescent="0.35">
      <c r="B932" s="47"/>
      <c r="C932" s="14"/>
      <c r="D932" s="14"/>
      <c r="E932" s="14"/>
      <c r="F932" s="14"/>
      <c r="G932" s="18"/>
    </row>
    <row r="933" spans="2:7" x14ac:dyDescent="0.35">
      <c r="B933" s="47"/>
      <c r="C933" s="14"/>
      <c r="D933" s="14"/>
      <c r="E933" s="14"/>
      <c r="F933" s="14"/>
      <c r="G933" s="18"/>
    </row>
    <row r="934" spans="2:7" x14ac:dyDescent="0.35">
      <c r="B934" s="47"/>
      <c r="C934" s="14"/>
      <c r="D934" s="14"/>
      <c r="E934" s="14"/>
      <c r="F934" s="14"/>
      <c r="G934" s="18"/>
    </row>
    <row r="935" spans="2:7" x14ac:dyDescent="0.35">
      <c r="B935" s="47"/>
      <c r="C935" s="14"/>
      <c r="D935" s="14"/>
      <c r="E935" s="14"/>
      <c r="F935" s="14"/>
      <c r="G935" s="18"/>
    </row>
    <row r="936" spans="2:7" x14ac:dyDescent="0.35">
      <c r="B936" s="47"/>
      <c r="C936" s="14"/>
      <c r="D936" s="14"/>
      <c r="E936" s="14"/>
      <c r="F936" s="14"/>
      <c r="G936" s="18"/>
    </row>
    <row r="937" spans="2:7" x14ac:dyDescent="0.35">
      <c r="B937" s="47"/>
      <c r="C937" s="14"/>
      <c r="D937" s="14"/>
      <c r="E937" s="14"/>
      <c r="F937" s="14"/>
      <c r="G937" s="18"/>
    </row>
    <row r="938" spans="2:7" x14ac:dyDescent="0.35">
      <c r="B938" s="47"/>
      <c r="C938" s="14"/>
      <c r="D938" s="14"/>
      <c r="E938" s="14"/>
      <c r="F938" s="14"/>
      <c r="G938" s="18"/>
    </row>
    <row r="939" spans="2:7" x14ac:dyDescent="0.35">
      <c r="B939" s="47"/>
      <c r="C939" s="14"/>
      <c r="D939" s="14"/>
      <c r="E939" s="14"/>
      <c r="F939" s="14"/>
      <c r="G939" s="18"/>
    </row>
    <row r="940" spans="2:7" x14ac:dyDescent="0.35">
      <c r="B940" s="47"/>
      <c r="C940" s="14"/>
      <c r="D940" s="14"/>
      <c r="E940" s="14"/>
      <c r="F940" s="14"/>
      <c r="G940" s="18"/>
    </row>
    <row r="941" spans="2:7" x14ac:dyDescent="0.35">
      <c r="B941" s="47"/>
      <c r="C941" s="14"/>
      <c r="D941" s="14"/>
      <c r="E941" s="14"/>
      <c r="F941" s="14"/>
      <c r="G941" s="18"/>
    </row>
    <row r="942" spans="2:7" x14ac:dyDescent="0.35">
      <c r="B942" s="47"/>
      <c r="C942" s="14"/>
      <c r="D942" s="14"/>
      <c r="E942" s="14"/>
      <c r="F942" s="14"/>
      <c r="G942" s="18"/>
    </row>
    <row r="943" spans="2:7" x14ac:dyDescent="0.35">
      <c r="B943" s="47"/>
      <c r="C943" s="14"/>
      <c r="D943" s="14"/>
      <c r="E943" s="14"/>
      <c r="F943" s="14"/>
      <c r="G943" s="18"/>
    </row>
    <row r="944" spans="2:7" x14ac:dyDescent="0.35">
      <c r="B944" s="47"/>
      <c r="C944" s="14"/>
      <c r="D944" s="14"/>
      <c r="E944" s="14"/>
      <c r="F944" s="14"/>
      <c r="G944" s="18"/>
    </row>
    <row r="945" spans="2:7" x14ac:dyDescent="0.35">
      <c r="B945" s="47"/>
      <c r="C945" s="14"/>
      <c r="D945" s="14"/>
      <c r="E945" s="14"/>
      <c r="F945" s="14"/>
      <c r="G945" s="18"/>
    </row>
    <row r="946" spans="2:7" x14ac:dyDescent="0.35">
      <c r="B946" s="47"/>
      <c r="C946" s="14"/>
      <c r="D946" s="14"/>
      <c r="E946" s="14"/>
      <c r="F946" s="14"/>
      <c r="G946" s="18"/>
    </row>
    <row r="947" spans="2:7" x14ac:dyDescent="0.35">
      <c r="B947" s="47"/>
      <c r="C947" s="14"/>
      <c r="D947" s="14"/>
      <c r="E947" s="14"/>
      <c r="F947" s="14"/>
      <c r="G947" s="18"/>
    </row>
    <row r="948" spans="2:7" x14ac:dyDescent="0.35">
      <c r="B948" s="47"/>
      <c r="C948" s="14"/>
      <c r="D948" s="14"/>
      <c r="E948" s="14"/>
      <c r="F948" s="14"/>
      <c r="G948" s="18"/>
    </row>
    <row r="949" spans="2:7" x14ac:dyDescent="0.35">
      <c r="B949" s="47"/>
      <c r="C949" s="14"/>
      <c r="D949" s="14"/>
      <c r="E949" s="14"/>
      <c r="F949" s="14"/>
      <c r="G949" s="18"/>
    </row>
    <row r="950" spans="2:7" x14ac:dyDescent="0.35">
      <c r="B950" s="47"/>
      <c r="C950" s="14"/>
      <c r="D950" s="14"/>
      <c r="E950" s="14"/>
      <c r="F950" s="14"/>
      <c r="G950" s="18"/>
    </row>
    <row r="951" spans="2:7" x14ac:dyDescent="0.35">
      <c r="B951" s="47"/>
      <c r="C951" s="14"/>
      <c r="D951" s="14"/>
      <c r="E951" s="14"/>
      <c r="F951" s="14"/>
      <c r="G951" s="18"/>
    </row>
    <row r="952" spans="2:7" x14ac:dyDescent="0.35">
      <c r="B952" s="47"/>
      <c r="C952" s="14"/>
      <c r="D952" s="14"/>
      <c r="E952" s="14"/>
      <c r="F952" s="14"/>
      <c r="G952" s="18"/>
    </row>
    <row r="953" spans="2:7" x14ac:dyDescent="0.35">
      <c r="B953" s="47"/>
      <c r="C953" s="14"/>
      <c r="D953" s="14"/>
      <c r="E953" s="14"/>
      <c r="F953" s="14"/>
      <c r="G953" s="18"/>
    </row>
    <row r="954" spans="2:7" x14ac:dyDescent="0.35">
      <c r="B954" s="47"/>
      <c r="C954" s="14"/>
      <c r="D954" s="14"/>
      <c r="E954" s="14"/>
      <c r="F954" s="14"/>
      <c r="G954" s="18"/>
    </row>
    <row r="955" spans="2:7" x14ac:dyDescent="0.35">
      <c r="B955" s="47"/>
      <c r="C955" s="14"/>
      <c r="D955" s="14"/>
      <c r="E955" s="14"/>
      <c r="F955" s="14"/>
      <c r="G955" s="18"/>
    </row>
    <row r="956" spans="2:7" x14ac:dyDescent="0.35">
      <c r="B956" s="47"/>
      <c r="C956" s="14"/>
      <c r="D956" s="14"/>
      <c r="E956" s="14"/>
      <c r="F956" s="14"/>
      <c r="G956" s="18"/>
    </row>
    <row r="957" spans="2:7" x14ac:dyDescent="0.35">
      <c r="B957" s="47"/>
      <c r="C957" s="14"/>
      <c r="D957" s="14"/>
      <c r="E957" s="14"/>
      <c r="F957" s="14"/>
      <c r="G957" s="18"/>
    </row>
    <row r="958" spans="2:7" x14ac:dyDescent="0.35">
      <c r="B958" s="47"/>
      <c r="C958" s="14"/>
      <c r="D958" s="14"/>
      <c r="E958" s="14"/>
      <c r="F958" s="14"/>
      <c r="G958" s="18"/>
    </row>
    <row r="959" spans="2:7" x14ac:dyDescent="0.35">
      <c r="B959" s="47"/>
      <c r="C959" s="14"/>
      <c r="D959" s="14"/>
      <c r="E959" s="14"/>
      <c r="F959" s="14"/>
      <c r="G959" s="18"/>
    </row>
    <row r="960" spans="2:7" x14ac:dyDescent="0.35">
      <c r="B960" s="47"/>
      <c r="C960" s="14"/>
      <c r="D960" s="14"/>
      <c r="E960" s="14"/>
      <c r="F960" s="14"/>
      <c r="G960" s="18"/>
    </row>
    <row r="961" spans="2:7" x14ac:dyDescent="0.35">
      <c r="B961" s="47"/>
      <c r="C961" s="14"/>
      <c r="D961" s="14"/>
      <c r="E961" s="14"/>
      <c r="F961" s="14"/>
      <c r="G961" s="18"/>
    </row>
    <row r="962" spans="2:7" x14ac:dyDescent="0.35">
      <c r="B962" s="47"/>
      <c r="C962" s="14"/>
      <c r="D962" s="14"/>
      <c r="E962" s="14"/>
      <c r="F962" s="14"/>
      <c r="G962" s="18"/>
    </row>
    <row r="963" spans="2:7" x14ac:dyDescent="0.35">
      <c r="B963" s="47"/>
      <c r="C963" s="14"/>
      <c r="D963" s="14"/>
      <c r="E963" s="14"/>
      <c r="F963" s="14"/>
      <c r="G963" s="18"/>
    </row>
    <row r="964" spans="2:7" x14ac:dyDescent="0.35">
      <c r="B964" s="47"/>
      <c r="C964" s="14"/>
      <c r="D964" s="14"/>
      <c r="E964" s="14"/>
      <c r="F964" s="14"/>
      <c r="G964" s="18"/>
    </row>
    <row r="965" spans="2:7" x14ac:dyDescent="0.35">
      <c r="B965" s="47"/>
      <c r="C965" s="14"/>
      <c r="D965" s="14"/>
      <c r="E965" s="14"/>
      <c r="F965" s="14"/>
      <c r="G965" s="18"/>
    </row>
    <row r="966" spans="2:7" x14ac:dyDescent="0.35">
      <c r="B966" s="47"/>
      <c r="C966" s="14"/>
      <c r="D966" s="14"/>
      <c r="E966" s="14"/>
      <c r="F966" s="14"/>
      <c r="G966" s="18"/>
    </row>
    <row r="967" spans="2:7" x14ac:dyDescent="0.35">
      <c r="B967" s="47"/>
      <c r="C967" s="14"/>
      <c r="D967" s="14"/>
      <c r="E967" s="14"/>
      <c r="F967" s="14"/>
      <c r="G967" s="18"/>
    </row>
    <row r="968" spans="2:7" x14ac:dyDescent="0.35">
      <c r="B968" s="47"/>
      <c r="C968" s="14"/>
      <c r="D968" s="14"/>
      <c r="E968" s="14"/>
      <c r="F968" s="14"/>
      <c r="G968" s="18"/>
    </row>
    <row r="969" spans="2:7" x14ac:dyDescent="0.35">
      <c r="B969" s="47"/>
      <c r="C969" s="14"/>
      <c r="D969" s="14"/>
      <c r="E969" s="14"/>
      <c r="F969" s="14"/>
      <c r="G969" s="18"/>
    </row>
    <row r="970" spans="2:7" x14ac:dyDescent="0.35">
      <c r="B970" s="47"/>
      <c r="C970" s="14"/>
      <c r="D970" s="14"/>
      <c r="E970" s="14"/>
      <c r="F970" s="14"/>
      <c r="G970" s="18"/>
    </row>
    <row r="971" spans="2:7" x14ac:dyDescent="0.35">
      <c r="B971" s="47"/>
      <c r="C971" s="14"/>
      <c r="D971" s="14"/>
      <c r="E971" s="14"/>
      <c r="F971" s="14"/>
      <c r="G971" s="18"/>
    </row>
    <row r="972" spans="2:7" x14ac:dyDescent="0.35">
      <c r="B972" s="47"/>
      <c r="C972" s="14"/>
      <c r="D972" s="14"/>
      <c r="E972" s="14"/>
      <c r="F972" s="14"/>
      <c r="G972" s="18"/>
    </row>
    <row r="973" spans="2:7" x14ac:dyDescent="0.35">
      <c r="B973" s="47"/>
      <c r="C973" s="14"/>
      <c r="D973" s="14"/>
      <c r="E973" s="14"/>
      <c r="F973" s="14"/>
      <c r="G973" s="18"/>
    </row>
    <row r="974" spans="2:7" x14ac:dyDescent="0.35">
      <c r="B974" s="47"/>
      <c r="C974" s="14"/>
      <c r="D974" s="14"/>
      <c r="E974" s="14"/>
      <c r="F974" s="14"/>
      <c r="G974" s="18"/>
    </row>
    <row r="975" spans="2:7" x14ac:dyDescent="0.35">
      <c r="B975" s="47"/>
      <c r="C975" s="14"/>
      <c r="D975" s="14"/>
      <c r="E975" s="14"/>
      <c r="F975" s="14"/>
      <c r="G975" s="18"/>
    </row>
    <row r="976" spans="2:7" x14ac:dyDescent="0.35">
      <c r="B976" s="47"/>
      <c r="C976" s="14"/>
      <c r="D976" s="14"/>
      <c r="E976" s="14"/>
      <c r="F976" s="14"/>
      <c r="G976" s="18"/>
    </row>
    <row r="977" spans="2:7" x14ac:dyDescent="0.35">
      <c r="B977" s="47"/>
      <c r="C977" s="14"/>
      <c r="D977" s="14"/>
      <c r="E977" s="14"/>
      <c r="F977" s="14"/>
      <c r="G977" s="18"/>
    </row>
    <row r="978" spans="2:7" x14ac:dyDescent="0.35">
      <c r="B978" s="47"/>
      <c r="C978" s="14"/>
      <c r="D978" s="14"/>
      <c r="E978" s="14"/>
      <c r="F978" s="14"/>
      <c r="G978" s="18"/>
    </row>
    <row r="979" spans="2:7" x14ac:dyDescent="0.35">
      <c r="B979" s="47"/>
      <c r="C979" s="14"/>
      <c r="D979" s="14"/>
      <c r="E979" s="14"/>
      <c r="F979" s="14"/>
      <c r="G979" s="18"/>
    </row>
    <row r="980" spans="2:7" x14ac:dyDescent="0.35">
      <c r="B980" s="47"/>
      <c r="C980" s="14"/>
      <c r="D980" s="14"/>
      <c r="E980" s="14"/>
      <c r="F980" s="14"/>
      <c r="G980" s="18"/>
    </row>
    <row r="981" spans="2:7" x14ac:dyDescent="0.35">
      <c r="B981" s="47"/>
      <c r="C981" s="14"/>
      <c r="D981" s="14"/>
      <c r="E981" s="14"/>
      <c r="F981" s="14"/>
      <c r="G981" s="18"/>
    </row>
    <row r="982" spans="2:7" x14ac:dyDescent="0.35">
      <c r="B982" s="47"/>
      <c r="C982" s="14"/>
      <c r="D982" s="14"/>
      <c r="E982" s="14"/>
      <c r="F982" s="14"/>
      <c r="G982" s="18"/>
    </row>
    <row r="983" spans="2:7" x14ac:dyDescent="0.35">
      <c r="B983" s="47"/>
      <c r="C983" s="14"/>
      <c r="D983" s="14"/>
      <c r="E983" s="14"/>
      <c r="F983" s="14"/>
      <c r="G983" s="18"/>
    </row>
    <row r="984" spans="2:7" x14ac:dyDescent="0.35">
      <c r="B984" s="47"/>
      <c r="C984" s="14"/>
      <c r="D984" s="14"/>
      <c r="E984" s="14"/>
      <c r="F984" s="14"/>
      <c r="G984" s="18"/>
    </row>
    <row r="985" spans="2:7" x14ac:dyDescent="0.35">
      <c r="B985" s="47"/>
      <c r="C985" s="14"/>
      <c r="D985" s="14"/>
      <c r="E985" s="14"/>
      <c r="F985" s="14"/>
      <c r="G985" s="18"/>
    </row>
    <row r="986" spans="2:7" x14ac:dyDescent="0.35">
      <c r="B986" s="47"/>
      <c r="C986" s="14"/>
      <c r="D986" s="14"/>
      <c r="E986" s="14"/>
      <c r="F986" s="14"/>
      <c r="G986" s="18"/>
    </row>
    <row r="987" spans="2:7" x14ac:dyDescent="0.35">
      <c r="B987" s="47"/>
      <c r="C987" s="14"/>
      <c r="D987" s="14"/>
      <c r="E987" s="14"/>
      <c r="F987" s="14"/>
      <c r="G987" s="18"/>
    </row>
    <row r="988" spans="2:7" x14ac:dyDescent="0.35">
      <c r="B988" s="47"/>
      <c r="C988" s="14"/>
      <c r="D988" s="14"/>
      <c r="E988" s="14"/>
      <c r="F988" s="14"/>
      <c r="G988" s="18"/>
    </row>
    <row r="989" spans="2:7" x14ac:dyDescent="0.35">
      <c r="B989" s="47"/>
      <c r="C989" s="14"/>
      <c r="D989" s="14"/>
      <c r="E989" s="14"/>
      <c r="F989" s="14"/>
      <c r="G989" s="18"/>
    </row>
    <row r="990" spans="2:7" x14ac:dyDescent="0.35">
      <c r="B990" s="47"/>
      <c r="C990" s="14"/>
      <c r="D990" s="14"/>
      <c r="E990" s="14"/>
      <c r="F990" s="14"/>
      <c r="G990" s="18"/>
    </row>
    <row r="991" spans="2:7" x14ac:dyDescent="0.35">
      <c r="B991" s="47"/>
      <c r="C991" s="14"/>
      <c r="D991" s="14"/>
      <c r="E991" s="14"/>
      <c r="F991" s="14"/>
      <c r="G991" s="18"/>
    </row>
    <row r="992" spans="2:7" x14ac:dyDescent="0.35">
      <c r="B992" s="47"/>
      <c r="C992" s="14"/>
      <c r="D992" s="14"/>
      <c r="E992" s="14"/>
      <c r="F992" s="14"/>
      <c r="G992" s="18"/>
    </row>
    <row r="993" spans="2:7" x14ac:dyDescent="0.35">
      <c r="B993" s="47"/>
      <c r="C993" s="14"/>
      <c r="D993" s="14"/>
      <c r="E993" s="14"/>
      <c r="F993" s="14"/>
      <c r="G993" s="18"/>
    </row>
    <row r="994" spans="2:7" x14ac:dyDescent="0.35">
      <c r="B994" s="47"/>
      <c r="C994" s="14"/>
      <c r="D994" s="14"/>
      <c r="E994" s="14"/>
      <c r="F994" s="14"/>
      <c r="G994" s="18"/>
    </row>
    <row r="995" spans="2:7" x14ac:dyDescent="0.35">
      <c r="B995" s="47"/>
      <c r="C995" s="14"/>
      <c r="D995" s="14"/>
      <c r="E995" s="14"/>
      <c r="F995" s="14"/>
      <c r="G995" s="18"/>
    </row>
    <row r="996" spans="2:7" x14ac:dyDescent="0.35">
      <c r="B996" s="47"/>
      <c r="C996" s="14"/>
      <c r="D996" s="14"/>
      <c r="E996" s="14"/>
      <c r="F996" s="14"/>
      <c r="G996" s="18"/>
    </row>
    <row r="997" spans="2:7" x14ac:dyDescent="0.35">
      <c r="B997" s="47"/>
      <c r="C997" s="14"/>
      <c r="D997" s="14"/>
      <c r="E997" s="14"/>
      <c r="F997" s="14"/>
      <c r="G997" s="18"/>
    </row>
    <row r="998" spans="2:7" x14ac:dyDescent="0.35">
      <c r="B998" s="47"/>
      <c r="C998" s="14"/>
      <c r="D998" s="14"/>
      <c r="E998" s="14"/>
      <c r="F998" s="14"/>
      <c r="G998" s="18"/>
    </row>
    <row r="999" spans="2:7" x14ac:dyDescent="0.35">
      <c r="B999" s="47"/>
      <c r="C999" s="14"/>
      <c r="D999" s="14"/>
      <c r="E999" s="14"/>
      <c r="F999" s="14"/>
      <c r="G999" s="18"/>
    </row>
    <row r="1000" spans="2:7" x14ac:dyDescent="0.35">
      <c r="B1000" s="47"/>
      <c r="C1000" s="14"/>
      <c r="D1000" s="14"/>
      <c r="E1000" s="14"/>
      <c r="F1000" s="14"/>
      <c r="G1000" s="18"/>
    </row>
    <row r="1001" spans="2:7" x14ac:dyDescent="0.35">
      <c r="B1001" s="47"/>
      <c r="C1001" s="14"/>
      <c r="D1001" s="14"/>
      <c r="E1001" s="14"/>
      <c r="F1001" s="14"/>
      <c r="G1001" s="18"/>
    </row>
    <row r="1002" spans="2:7" x14ac:dyDescent="0.35">
      <c r="B1002" s="47"/>
      <c r="C1002" s="14"/>
      <c r="D1002" s="14"/>
      <c r="E1002" s="14"/>
      <c r="F1002" s="14"/>
      <c r="G1002" s="18"/>
    </row>
    <row r="1003" spans="2:7" x14ac:dyDescent="0.35">
      <c r="B1003" s="47"/>
      <c r="C1003" s="14"/>
      <c r="D1003" s="14"/>
      <c r="E1003" s="14"/>
      <c r="F1003" s="14"/>
      <c r="G1003" s="18"/>
    </row>
    <row r="1004" spans="2:7" x14ac:dyDescent="0.35">
      <c r="B1004" s="47"/>
      <c r="C1004" s="14"/>
      <c r="D1004" s="14"/>
      <c r="E1004" s="14"/>
      <c r="F1004" s="14"/>
      <c r="G1004" s="18"/>
    </row>
    <row r="1005" spans="2:7" x14ac:dyDescent="0.35">
      <c r="B1005" s="47"/>
      <c r="C1005" s="14"/>
      <c r="D1005" s="14"/>
      <c r="E1005" s="14"/>
      <c r="F1005" s="14"/>
      <c r="G1005" s="18"/>
    </row>
    <row r="1006" spans="2:7" x14ac:dyDescent="0.35">
      <c r="B1006" s="47"/>
      <c r="C1006" s="14"/>
      <c r="D1006" s="14"/>
      <c r="E1006" s="14"/>
      <c r="F1006" s="14"/>
      <c r="G1006" s="18"/>
    </row>
    <row r="1007" spans="2:7" x14ac:dyDescent="0.35">
      <c r="B1007" s="47"/>
      <c r="C1007" s="14"/>
      <c r="D1007" s="14"/>
      <c r="E1007" s="14"/>
      <c r="F1007" s="14"/>
      <c r="G1007" s="18"/>
    </row>
    <row r="1008" spans="2:7" x14ac:dyDescent="0.35">
      <c r="B1008" s="47"/>
      <c r="C1008" s="14"/>
      <c r="D1008" s="14"/>
      <c r="E1008" s="14"/>
      <c r="F1008" s="14"/>
      <c r="G1008" s="18"/>
    </row>
    <row r="1009" spans="2:7" x14ac:dyDescent="0.35">
      <c r="B1009" s="47"/>
      <c r="C1009" s="14"/>
      <c r="D1009" s="14"/>
      <c r="E1009" s="14"/>
      <c r="F1009" s="14"/>
      <c r="G1009" s="18"/>
    </row>
    <row r="1010" spans="2:7" x14ac:dyDescent="0.35">
      <c r="B1010" s="47"/>
      <c r="C1010" s="14"/>
      <c r="D1010" s="14"/>
      <c r="E1010" s="14"/>
      <c r="F1010" s="14"/>
      <c r="G1010" s="18"/>
    </row>
    <row r="1011" spans="2:7" x14ac:dyDescent="0.35">
      <c r="B1011" s="47"/>
      <c r="C1011" s="14"/>
      <c r="D1011" s="14"/>
      <c r="E1011" s="14"/>
      <c r="F1011" s="14"/>
      <c r="G1011" s="18"/>
    </row>
    <row r="1012" spans="2:7" x14ac:dyDescent="0.35">
      <c r="B1012" s="47"/>
      <c r="C1012" s="14"/>
      <c r="D1012" s="14"/>
      <c r="E1012" s="14"/>
      <c r="F1012" s="14"/>
      <c r="G1012" s="18"/>
    </row>
    <row r="1013" spans="2:7" x14ac:dyDescent="0.35">
      <c r="B1013" s="47"/>
      <c r="C1013" s="14"/>
      <c r="D1013" s="14"/>
      <c r="E1013" s="14"/>
      <c r="F1013" s="14"/>
      <c r="G1013" s="18"/>
    </row>
    <row r="1014" spans="2:7" x14ac:dyDescent="0.35">
      <c r="B1014" s="47"/>
      <c r="C1014" s="14"/>
      <c r="D1014" s="14"/>
      <c r="E1014" s="14"/>
      <c r="F1014" s="14"/>
      <c r="G1014" s="18"/>
    </row>
    <row r="1015" spans="2:7" x14ac:dyDescent="0.35">
      <c r="B1015" s="47"/>
      <c r="C1015" s="14"/>
      <c r="D1015" s="14"/>
      <c r="E1015" s="14"/>
      <c r="F1015" s="14"/>
      <c r="G1015" s="18"/>
    </row>
    <row r="1016" spans="2:7" x14ac:dyDescent="0.35">
      <c r="B1016" s="47"/>
      <c r="C1016" s="14"/>
      <c r="D1016" s="14"/>
      <c r="E1016" s="14"/>
      <c r="F1016" s="14"/>
      <c r="G1016" s="18"/>
    </row>
    <row r="1017" spans="2:7" x14ac:dyDescent="0.35">
      <c r="B1017" s="47"/>
      <c r="C1017" s="14"/>
      <c r="D1017" s="14"/>
      <c r="E1017" s="14"/>
      <c r="F1017" s="14"/>
      <c r="G1017" s="18"/>
    </row>
    <row r="1018" spans="2:7" x14ac:dyDescent="0.35">
      <c r="B1018" s="47"/>
      <c r="C1018" s="14"/>
      <c r="D1018" s="14"/>
      <c r="E1018" s="14"/>
      <c r="F1018" s="14"/>
      <c r="G1018" s="18"/>
    </row>
    <row r="1019" spans="2:7" x14ac:dyDescent="0.35">
      <c r="B1019" s="47"/>
      <c r="C1019" s="14"/>
      <c r="D1019" s="14"/>
      <c r="E1019" s="14"/>
      <c r="F1019" s="14"/>
      <c r="G1019" s="18"/>
    </row>
    <row r="1020" spans="2:7" x14ac:dyDescent="0.35">
      <c r="B1020" s="47"/>
      <c r="C1020" s="14"/>
      <c r="D1020" s="14"/>
      <c r="E1020" s="14"/>
      <c r="F1020" s="14"/>
      <c r="G1020" s="18"/>
    </row>
    <row r="1021" spans="2:7" x14ac:dyDescent="0.35">
      <c r="B1021" s="47"/>
      <c r="C1021" s="14"/>
      <c r="D1021" s="14"/>
      <c r="E1021" s="14"/>
      <c r="F1021" s="14"/>
      <c r="G1021" s="18"/>
    </row>
    <row r="1022" spans="2:7" x14ac:dyDescent="0.35">
      <c r="B1022" s="47"/>
      <c r="C1022" s="14"/>
      <c r="D1022" s="14"/>
      <c r="E1022" s="14"/>
      <c r="F1022" s="14"/>
      <c r="G1022" s="18"/>
    </row>
    <row r="1023" spans="2:7" x14ac:dyDescent="0.35">
      <c r="B1023" s="47"/>
      <c r="C1023" s="14"/>
      <c r="D1023" s="14"/>
      <c r="E1023" s="14"/>
      <c r="F1023" s="14"/>
      <c r="G1023" s="18"/>
    </row>
    <row r="1024" spans="2:7" x14ac:dyDescent="0.35">
      <c r="B1024" s="47"/>
      <c r="C1024" s="14"/>
      <c r="D1024" s="14"/>
      <c r="E1024" s="14"/>
      <c r="F1024" s="14"/>
      <c r="G1024" s="18"/>
    </row>
    <row r="1025" spans="2:7" x14ac:dyDescent="0.35">
      <c r="B1025" s="47"/>
      <c r="C1025" s="14"/>
      <c r="D1025" s="14"/>
      <c r="E1025" s="14"/>
      <c r="F1025" s="14"/>
      <c r="G1025" s="18"/>
    </row>
    <row r="1026" spans="2:7" x14ac:dyDescent="0.35">
      <c r="B1026" s="47"/>
      <c r="C1026" s="14"/>
      <c r="D1026" s="14"/>
      <c r="E1026" s="14"/>
      <c r="F1026" s="14"/>
      <c r="G1026" s="18"/>
    </row>
    <row r="1027" spans="2:7" x14ac:dyDescent="0.35">
      <c r="B1027" s="47"/>
      <c r="C1027" s="14"/>
      <c r="D1027" s="14"/>
      <c r="E1027" s="14"/>
      <c r="F1027" s="14"/>
      <c r="G1027" s="18"/>
    </row>
    <row r="1028" spans="2:7" x14ac:dyDescent="0.35">
      <c r="B1028" s="47"/>
      <c r="C1028" s="14"/>
      <c r="D1028" s="14"/>
      <c r="E1028" s="14"/>
      <c r="F1028" s="14"/>
      <c r="G1028" s="18"/>
    </row>
    <row r="1029" spans="2:7" x14ac:dyDescent="0.35">
      <c r="B1029" s="47"/>
      <c r="C1029" s="14"/>
      <c r="D1029" s="14"/>
      <c r="E1029" s="14"/>
      <c r="F1029" s="14"/>
      <c r="G1029" s="18"/>
    </row>
    <row r="1030" spans="2:7" x14ac:dyDescent="0.35">
      <c r="B1030" s="47"/>
      <c r="C1030" s="14"/>
      <c r="D1030" s="14"/>
      <c r="E1030" s="14"/>
      <c r="F1030" s="14"/>
      <c r="G1030" s="18"/>
    </row>
    <row r="1031" spans="2:7" x14ac:dyDescent="0.35">
      <c r="B1031" s="47"/>
      <c r="C1031" s="14"/>
      <c r="D1031" s="14"/>
      <c r="E1031" s="14"/>
      <c r="F1031" s="14"/>
      <c r="G1031" s="18"/>
    </row>
    <row r="1032" spans="2:7" x14ac:dyDescent="0.35">
      <c r="B1032" s="47"/>
      <c r="C1032" s="14"/>
      <c r="D1032" s="14"/>
      <c r="E1032" s="14"/>
      <c r="F1032" s="14"/>
      <c r="G1032" s="18"/>
    </row>
    <row r="1033" spans="2:7" x14ac:dyDescent="0.35">
      <c r="B1033" s="47"/>
      <c r="C1033" s="14"/>
      <c r="D1033" s="14"/>
      <c r="E1033" s="14"/>
      <c r="F1033" s="14"/>
      <c r="G1033" s="18"/>
    </row>
    <row r="1034" spans="2:7" x14ac:dyDescent="0.35">
      <c r="B1034" s="47"/>
      <c r="C1034" s="14"/>
      <c r="D1034" s="14"/>
      <c r="E1034" s="14"/>
      <c r="F1034" s="14"/>
      <c r="G1034" s="18"/>
    </row>
    <row r="1035" spans="2:7" x14ac:dyDescent="0.35">
      <c r="B1035" s="47"/>
      <c r="C1035" s="14"/>
      <c r="D1035" s="14"/>
      <c r="E1035" s="14"/>
      <c r="F1035" s="14"/>
      <c r="G1035" s="18"/>
    </row>
    <row r="1036" spans="2:7" x14ac:dyDescent="0.35">
      <c r="B1036" s="47"/>
      <c r="C1036" s="14"/>
      <c r="D1036" s="14"/>
      <c r="E1036" s="14"/>
      <c r="F1036" s="14"/>
      <c r="G1036" s="18"/>
    </row>
    <row r="1037" spans="2:7" x14ac:dyDescent="0.35">
      <c r="B1037" s="47"/>
      <c r="C1037" s="14"/>
      <c r="D1037" s="14"/>
      <c r="E1037" s="14"/>
      <c r="F1037" s="14"/>
      <c r="G1037" s="18"/>
    </row>
    <row r="1038" spans="2:7" x14ac:dyDescent="0.35">
      <c r="B1038" s="47"/>
      <c r="C1038" s="14"/>
      <c r="D1038" s="14"/>
      <c r="E1038" s="14"/>
      <c r="F1038" s="14"/>
      <c r="G1038" s="18"/>
    </row>
    <row r="1039" spans="2:7" x14ac:dyDescent="0.35">
      <c r="B1039" s="47"/>
      <c r="C1039" s="14"/>
      <c r="D1039" s="14"/>
      <c r="E1039" s="14"/>
      <c r="F1039" s="14"/>
      <c r="G1039" s="18"/>
    </row>
    <row r="1040" spans="2:7" x14ac:dyDescent="0.35">
      <c r="B1040" s="47"/>
      <c r="C1040" s="14"/>
      <c r="D1040" s="14"/>
      <c r="E1040" s="14"/>
      <c r="F1040" s="14"/>
      <c r="G1040" s="18"/>
    </row>
    <row r="1041" spans="2:7" x14ac:dyDescent="0.35">
      <c r="B1041" s="47"/>
      <c r="C1041" s="14"/>
      <c r="D1041" s="14"/>
      <c r="E1041" s="14"/>
      <c r="F1041" s="14"/>
      <c r="G1041" s="18"/>
    </row>
    <row r="1042" spans="2:7" x14ac:dyDescent="0.35">
      <c r="B1042" s="47"/>
      <c r="C1042" s="14"/>
      <c r="D1042" s="14"/>
      <c r="E1042" s="14"/>
      <c r="F1042" s="14"/>
      <c r="G1042" s="18"/>
    </row>
    <row r="1043" spans="2:7" x14ac:dyDescent="0.35">
      <c r="B1043" s="47"/>
      <c r="C1043" s="14"/>
      <c r="D1043" s="14"/>
      <c r="E1043" s="14"/>
      <c r="F1043" s="14"/>
      <c r="G1043" s="18"/>
    </row>
    <row r="1044" spans="2:7" x14ac:dyDescent="0.35">
      <c r="B1044" s="47"/>
      <c r="C1044" s="14"/>
      <c r="D1044" s="14"/>
      <c r="E1044" s="14"/>
      <c r="F1044" s="14"/>
      <c r="G1044" s="18"/>
    </row>
    <row r="1045" spans="2:7" x14ac:dyDescent="0.35">
      <c r="B1045" s="47"/>
      <c r="C1045" s="14"/>
      <c r="D1045" s="14"/>
      <c r="E1045" s="14"/>
      <c r="F1045" s="14"/>
      <c r="G1045" s="18"/>
    </row>
    <row r="1046" spans="2:7" x14ac:dyDescent="0.35">
      <c r="B1046" s="47"/>
      <c r="C1046" s="14"/>
      <c r="D1046" s="14"/>
      <c r="E1046" s="14"/>
      <c r="F1046" s="14"/>
      <c r="G1046" s="18"/>
    </row>
    <row r="1047" spans="2:7" x14ac:dyDescent="0.35">
      <c r="B1047" s="47"/>
      <c r="C1047" s="14"/>
      <c r="D1047" s="14"/>
      <c r="E1047" s="14"/>
      <c r="F1047" s="14"/>
      <c r="G1047" s="18"/>
    </row>
    <row r="1048" spans="2:7" x14ac:dyDescent="0.35">
      <c r="B1048" s="47"/>
      <c r="C1048" s="14"/>
      <c r="D1048" s="14"/>
      <c r="E1048" s="14"/>
      <c r="F1048" s="14"/>
      <c r="G1048" s="18"/>
    </row>
    <row r="1049" spans="2:7" x14ac:dyDescent="0.35">
      <c r="B1049" s="47"/>
      <c r="C1049" s="14"/>
      <c r="D1049" s="14"/>
      <c r="E1049" s="14"/>
      <c r="F1049" s="14"/>
      <c r="G1049" s="18"/>
    </row>
    <row r="1050" spans="2:7" x14ac:dyDescent="0.35">
      <c r="B1050" s="47"/>
      <c r="C1050" s="14"/>
      <c r="D1050" s="14"/>
      <c r="E1050" s="14"/>
      <c r="F1050" s="14"/>
      <c r="G1050" s="18"/>
    </row>
    <row r="1051" spans="2:7" x14ac:dyDescent="0.35">
      <c r="B1051" s="47"/>
      <c r="C1051" s="14"/>
      <c r="D1051" s="14"/>
      <c r="E1051" s="14"/>
      <c r="F1051" s="14"/>
      <c r="G1051" s="18"/>
    </row>
    <row r="1052" spans="2:7" x14ac:dyDescent="0.35">
      <c r="B1052" s="47"/>
      <c r="C1052" s="14"/>
      <c r="D1052" s="14"/>
      <c r="E1052" s="14"/>
      <c r="F1052" s="14"/>
      <c r="G1052" s="18"/>
    </row>
    <row r="1053" spans="2:7" x14ac:dyDescent="0.35">
      <c r="B1053" s="47"/>
      <c r="C1053" s="14"/>
      <c r="D1053" s="14"/>
      <c r="E1053" s="14"/>
      <c r="F1053" s="14"/>
      <c r="G1053" s="18"/>
    </row>
    <row r="1054" spans="2:7" x14ac:dyDescent="0.35">
      <c r="B1054" s="47"/>
      <c r="C1054" s="14"/>
      <c r="D1054" s="14"/>
      <c r="E1054" s="14"/>
      <c r="F1054" s="14"/>
      <c r="G1054" s="18"/>
    </row>
    <row r="1055" spans="2:7" x14ac:dyDescent="0.35">
      <c r="B1055" s="47"/>
      <c r="C1055" s="14"/>
      <c r="D1055" s="14"/>
      <c r="E1055" s="14"/>
      <c r="F1055" s="14"/>
      <c r="G1055" s="18"/>
    </row>
    <row r="1056" spans="2:7" x14ac:dyDescent="0.35">
      <c r="B1056" s="47"/>
      <c r="C1056" s="14"/>
      <c r="D1056" s="14"/>
      <c r="E1056" s="14"/>
      <c r="F1056" s="14"/>
      <c r="G1056" s="18"/>
    </row>
    <row r="1057" spans="2:7" x14ac:dyDescent="0.35">
      <c r="B1057" s="47"/>
      <c r="C1057" s="14"/>
      <c r="D1057" s="14"/>
      <c r="E1057" s="14"/>
      <c r="F1057" s="14"/>
      <c r="G1057" s="18"/>
    </row>
    <row r="1058" spans="2:7" x14ac:dyDescent="0.35">
      <c r="B1058" s="47"/>
      <c r="C1058" s="14"/>
      <c r="D1058" s="14"/>
      <c r="E1058" s="14"/>
      <c r="F1058" s="14"/>
      <c r="G1058" s="18"/>
    </row>
    <row r="1059" spans="2:7" x14ac:dyDescent="0.35">
      <c r="B1059" s="47"/>
      <c r="C1059" s="14"/>
      <c r="D1059" s="14"/>
      <c r="E1059" s="14"/>
      <c r="F1059" s="14"/>
      <c r="G1059" s="18"/>
    </row>
    <row r="1060" spans="2:7" x14ac:dyDescent="0.35">
      <c r="B1060" s="47"/>
      <c r="C1060" s="14"/>
      <c r="D1060" s="14"/>
      <c r="E1060" s="14"/>
      <c r="F1060" s="14"/>
      <c r="G1060" s="18"/>
    </row>
    <row r="1061" spans="2:7" x14ac:dyDescent="0.35">
      <c r="B1061" s="47"/>
      <c r="C1061" s="14"/>
      <c r="D1061" s="14"/>
      <c r="E1061" s="14"/>
      <c r="F1061" s="14"/>
      <c r="G1061" s="18"/>
    </row>
    <row r="1062" spans="2:7" x14ac:dyDescent="0.35">
      <c r="B1062" s="47"/>
      <c r="C1062" s="14"/>
      <c r="D1062" s="14"/>
      <c r="E1062" s="14"/>
      <c r="F1062" s="14"/>
      <c r="G1062" s="18"/>
    </row>
    <row r="1063" spans="2:7" x14ac:dyDescent="0.35">
      <c r="B1063" s="47"/>
      <c r="C1063" s="14"/>
      <c r="D1063" s="14"/>
      <c r="E1063" s="14"/>
      <c r="F1063" s="14"/>
      <c r="G1063" s="18"/>
    </row>
    <row r="1064" spans="2:7" x14ac:dyDescent="0.35">
      <c r="B1064" s="47"/>
      <c r="C1064" s="14"/>
      <c r="D1064" s="14"/>
      <c r="E1064" s="14"/>
      <c r="F1064" s="14"/>
      <c r="G1064" s="18"/>
    </row>
    <row r="1065" spans="2:7" x14ac:dyDescent="0.35">
      <c r="B1065" s="47"/>
      <c r="C1065" s="14"/>
      <c r="D1065" s="14"/>
      <c r="E1065" s="14"/>
      <c r="F1065" s="14"/>
      <c r="G1065" s="18"/>
    </row>
    <row r="1066" spans="2:7" x14ac:dyDescent="0.35">
      <c r="B1066" s="47"/>
      <c r="C1066" s="14"/>
      <c r="D1066" s="14"/>
      <c r="E1066" s="14"/>
      <c r="F1066" s="14"/>
      <c r="G1066" s="18"/>
    </row>
    <row r="1067" spans="2:7" x14ac:dyDescent="0.35">
      <c r="B1067" s="47"/>
      <c r="C1067" s="14"/>
      <c r="D1067" s="14"/>
      <c r="E1067" s="14"/>
      <c r="F1067" s="14"/>
      <c r="G1067" s="18"/>
    </row>
    <row r="1068" spans="2:7" x14ac:dyDescent="0.35">
      <c r="B1068" s="47"/>
      <c r="C1068" s="14"/>
      <c r="D1068" s="14"/>
      <c r="E1068" s="14"/>
      <c r="F1068" s="14"/>
      <c r="G1068" s="18"/>
    </row>
    <row r="1069" spans="2:7" x14ac:dyDescent="0.35">
      <c r="B1069" s="47"/>
      <c r="C1069" s="14"/>
      <c r="D1069" s="14"/>
      <c r="E1069" s="14"/>
      <c r="F1069" s="14"/>
      <c r="G1069" s="18"/>
    </row>
    <row r="1070" spans="2:7" x14ac:dyDescent="0.35">
      <c r="B1070" s="47"/>
      <c r="C1070" s="14"/>
      <c r="D1070" s="14"/>
      <c r="E1070" s="14"/>
      <c r="F1070" s="14"/>
      <c r="G1070" s="18"/>
    </row>
    <row r="1071" spans="2:7" x14ac:dyDescent="0.35">
      <c r="B1071" s="47"/>
      <c r="C1071" s="14"/>
      <c r="D1071" s="14"/>
      <c r="E1071" s="14"/>
      <c r="F1071" s="14"/>
      <c r="G1071" s="18"/>
    </row>
    <row r="1072" spans="2:7" x14ac:dyDescent="0.35">
      <c r="B1072" s="47"/>
      <c r="C1072" s="14"/>
      <c r="D1072" s="14"/>
      <c r="E1072" s="14"/>
      <c r="F1072" s="14"/>
      <c r="G1072" s="18"/>
    </row>
    <row r="1073" spans="2:7" x14ac:dyDescent="0.35">
      <c r="B1073" s="47"/>
      <c r="C1073" s="14"/>
      <c r="D1073" s="14"/>
      <c r="E1073" s="14"/>
      <c r="F1073" s="14"/>
      <c r="G1073" s="18"/>
    </row>
    <row r="1074" spans="2:7" x14ac:dyDescent="0.35">
      <c r="B1074" s="47"/>
      <c r="C1074" s="14"/>
      <c r="D1074" s="14"/>
      <c r="E1074" s="14"/>
      <c r="F1074" s="14"/>
      <c r="G1074" s="18"/>
    </row>
    <row r="1075" spans="2:7" x14ac:dyDescent="0.35">
      <c r="B1075" s="47"/>
      <c r="C1075" s="14"/>
      <c r="D1075" s="14"/>
      <c r="E1075" s="14"/>
      <c r="F1075" s="14"/>
      <c r="G1075" s="18"/>
    </row>
    <row r="1076" spans="2:7" x14ac:dyDescent="0.35">
      <c r="B1076" s="47"/>
      <c r="C1076" s="14"/>
      <c r="D1076" s="14"/>
      <c r="E1076" s="14"/>
      <c r="F1076" s="14"/>
      <c r="G1076" s="18"/>
    </row>
    <row r="1077" spans="2:7" x14ac:dyDescent="0.35">
      <c r="B1077" s="47"/>
      <c r="C1077" s="14"/>
      <c r="D1077" s="14"/>
      <c r="E1077" s="14"/>
      <c r="F1077" s="14"/>
      <c r="G1077" s="18"/>
    </row>
    <row r="1078" spans="2:7" x14ac:dyDescent="0.35">
      <c r="B1078" s="47"/>
      <c r="C1078" s="14"/>
      <c r="D1078" s="14"/>
      <c r="E1078" s="14"/>
      <c r="F1078" s="14"/>
      <c r="G1078" s="18"/>
    </row>
    <row r="1079" spans="2:7" x14ac:dyDescent="0.35">
      <c r="B1079" s="47"/>
      <c r="C1079" s="14"/>
      <c r="D1079" s="14"/>
      <c r="E1079" s="14"/>
      <c r="F1079" s="14"/>
      <c r="G1079" s="18"/>
    </row>
    <row r="1080" spans="2:7" x14ac:dyDescent="0.35">
      <c r="B1080" s="47"/>
      <c r="C1080" s="14"/>
      <c r="D1080" s="14"/>
      <c r="E1080" s="14"/>
      <c r="F1080" s="14"/>
      <c r="G1080" s="18"/>
    </row>
    <row r="1081" spans="2:7" x14ac:dyDescent="0.35">
      <c r="B1081" s="47"/>
      <c r="C1081" s="14"/>
      <c r="D1081" s="14"/>
      <c r="E1081" s="14"/>
      <c r="F1081" s="14"/>
      <c r="G1081" s="18"/>
    </row>
    <row r="1082" spans="2:7" x14ac:dyDescent="0.35">
      <c r="B1082" s="47"/>
      <c r="C1082" s="14"/>
      <c r="D1082" s="14"/>
      <c r="E1082" s="14"/>
      <c r="F1082" s="14"/>
      <c r="G1082" s="18"/>
    </row>
    <row r="1083" spans="2:7" x14ac:dyDescent="0.35">
      <c r="B1083" s="47"/>
      <c r="C1083" s="14"/>
      <c r="D1083" s="14"/>
      <c r="E1083" s="14"/>
      <c r="F1083" s="14"/>
      <c r="G1083" s="18"/>
    </row>
    <row r="1084" spans="2:7" x14ac:dyDescent="0.35">
      <c r="B1084" s="47"/>
      <c r="C1084" s="14"/>
      <c r="D1084" s="14"/>
      <c r="E1084" s="14"/>
      <c r="F1084" s="14"/>
      <c r="G1084" s="18"/>
    </row>
    <row r="1085" spans="2:7" x14ac:dyDescent="0.35">
      <c r="B1085" s="47"/>
      <c r="C1085" s="14"/>
      <c r="D1085" s="14"/>
      <c r="E1085" s="14"/>
      <c r="F1085" s="14"/>
      <c r="G1085" s="18"/>
    </row>
    <row r="1086" spans="2:7" x14ac:dyDescent="0.35">
      <c r="B1086" s="47"/>
      <c r="C1086" s="14"/>
      <c r="D1086" s="14"/>
      <c r="E1086" s="14"/>
      <c r="F1086" s="14"/>
      <c r="G1086" s="18"/>
    </row>
    <row r="1087" spans="2:7" x14ac:dyDescent="0.35">
      <c r="B1087" s="47"/>
      <c r="C1087" s="14"/>
      <c r="D1087" s="14"/>
      <c r="E1087" s="14"/>
      <c r="F1087" s="14"/>
      <c r="G1087" s="18"/>
    </row>
    <row r="1088" spans="2:7" x14ac:dyDescent="0.35">
      <c r="B1088" s="47"/>
      <c r="C1088" s="14"/>
      <c r="D1088" s="14"/>
      <c r="E1088" s="14"/>
      <c r="F1088" s="14"/>
      <c r="G1088" s="18"/>
    </row>
    <row r="1089" spans="2:7" x14ac:dyDescent="0.35">
      <c r="B1089" s="47"/>
      <c r="C1089" s="14"/>
      <c r="D1089" s="14"/>
      <c r="E1089" s="14"/>
      <c r="F1089" s="14"/>
      <c r="G1089" s="18"/>
    </row>
    <row r="1090" spans="2:7" x14ac:dyDescent="0.35">
      <c r="B1090" s="47"/>
      <c r="C1090" s="14"/>
      <c r="D1090" s="14"/>
      <c r="E1090" s="14"/>
      <c r="F1090" s="14"/>
      <c r="G1090" s="18"/>
    </row>
    <row r="1091" spans="2:7" x14ac:dyDescent="0.35">
      <c r="B1091" s="47"/>
      <c r="C1091" s="14"/>
      <c r="D1091" s="14"/>
      <c r="E1091" s="14"/>
      <c r="F1091" s="14"/>
      <c r="G1091" s="18"/>
    </row>
    <row r="1092" spans="2:7" x14ac:dyDescent="0.35">
      <c r="B1092" s="47"/>
      <c r="C1092" s="14"/>
      <c r="D1092" s="14"/>
      <c r="E1092" s="14"/>
      <c r="F1092" s="14"/>
      <c r="G1092" s="18"/>
    </row>
    <row r="1093" spans="2:7" x14ac:dyDescent="0.35">
      <c r="B1093" s="47"/>
      <c r="C1093" s="14"/>
      <c r="D1093" s="14"/>
      <c r="E1093" s="14"/>
      <c r="F1093" s="14"/>
      <c r="G1093" s="18"/>
    </row>
    <row r="1094" spans="2:7" x14ac:dyDescent="0.35">
      <c r="B1094" s="47"/>
      <c r="C1094" s="14"/>
      <c r="D1094" s="14"/>
      <c r="E1094" s="14"/>
      <c r="F1094" s="14"/>
      <c r="G1094" s="18"/>
    </row>
    <row r="1095" spans="2:7" x14ac:dyDescent="0.35">
      <c r="B1095" s="47"/>
      <c r="C1095" s="14"/>
      <c r="D1095" s="14"/>
      <c r="E1095" s="14"/>
      <c r="F1095" s="14"/>
      <c r="G1095" s="18"/>
    </row>
    <row r="1096" spans="2:7" x14ac:dyDescent="0.35">
      <c r="B1096" s="47"/>
      <c r="C1096" s="14"/>
      <c r="D1096" s="14"/>
      <c r="E1096" s="14"/>
      <c r="F1096" s="14"/>
      <c r="G1096" s="18"/>
    </row>
    <row r="1097" spans="2:7" x14ac:dyDescent="0.35">
      <c r="B1097" s="47"/>
      <c r="C1097" s="14"/>
      <c r="D1097" s="14"/>
      <c r="E1097" s="14"/>
      <c r="F1097" s="14"/>
      <c r="G1097" s="18"/>
    </row>
    <row r="1098" spans="2:7" x14ac:dyDescent="0.35">
      <c r="B1098" s="47"/>
      <c r="C1098" s="14"/>
      <c r="D1098" s="14"/>
      <c r="E1098" s="14"/>
      <c r="F1098" s="14"/>
      <c r="G1098" s="18"/>
    </row>
    <row r="1099" spans="2:7" x14ac:dyDescent="0.35">
      <c r="B1099" s="47"/>
      <c r="C1099" s="14"/>
      <c r="D1099" s="14"/>
      <c r="E1099" s="14"/>
      <c r="F1099" s="14"/>
      <c r="G1099" s="18"/>
    </row>
    <row r="1100" spans="2:7" x14ac:dyDescent="0.35">
      <c r="B1100" s="47"/>
      <c r="C1100" s="14"/>
      <c r="D1100" s="14"/>
      <c r="E1100" s="14"/>
      <c r="F1100" s="14"/>
      <c r="G1100" s="18"/>
    </row>
    <row r="1101" spans="2:7" x14ac:dyDescent="0.35">
      <c r="B1101" s="47"/>
      <c r="C1101" s="14"/>
      <c r="D1101" s="14"/>
      <c r="E1101" s="14"/>
      <c r="F1101" s="14"/>
      <c r="G1101" s="18"/>
    </row>
    <row r="1102" spans="2:7" x14ac:dyDescent="0.35">
      <c r="B1102" s="47"/>
      <c r="C1102" s="14"/>
      <c r="D1102" s="14"/>
      <c r="E1102" s="14"/>
      <c r="F1102" s="14"/>
      <c r="G1102" s="18"/>
    </row>
    <row r="1103" spans="2:7" x14ac:dyDescent="0.35">
      <c r="B1103" s="47"/>
      <c r="C1103" s="14"/>
      <c r="D1103" s="14"/>
      <c r="E1103" s="14"/>
      <c r="F1103" s="14"/>
      <c r="G1103" s="18"/>
    </row>
    <row r="1104" spans="2:7" x14ac:dyDescent="0.35">
      <c r="B1104" s="47"/>
      <c r="C1104" s="14"/>
      <c r="D1104" s="14"/>
      <c r="E1104" s="14"/>
      <c r="F1104" s="14"/>
      <c r="G1104" s="18"/>
    </row>
    <row r="1105" spans="2:7" x14ac:dyDescent="0.35">
      <c r="B1105" s="47"/>
      <c r="C1105" s="14"/>
      <c r="D1105" s="14"/>
      <c r="E1105" s="14"/>
      <c r="F1105" s="14"/>
      <c r="G1105" s="18"/>
    </row>
    <row r="1106" spans="2:7" x14ac:dyDescent="0.35">
      <c r="B1106" s="47"/>
      <c r="C1106" s="14"/>
      <c r="D1106" s="14"/>
      <c r="E1106" s="14"/>
      <c r="F1106" s="14"/>
      <c r="G1106" s="18"/>
    </row>
    <row r="1107" spans="2:7" x14ac:dyDescent="0.35">
      <c r="B1107" s="47"/>
      <c r="C1107" s="14"/>
      <c r="D1107" s="14"/>
      <c r="E1107" s="14"/>
      <c r="F1107" s="14"/>
      <c r="G1107" s="18"/>
    </row>
    <row r="1108" spans="2:7" x14ac:dyDescent="0.35">
      <c r="B1108" s="47"/>
      <c r="C1108" s="14"/>
      <c r="D1108" s="14"/>
      <c r="E1108" s="14"/>
      <c r="F1108" s="14"/>
      <c r="G1108" s="18"/>
    </row>
    <row r="1109" spans="2:7" x14ac:dyDescent="0.35">
      <c r="B1109" s="47"/>
      <c r="C1109" s="14"/>
      <c r="D1109" s="14"/>
      <c r="E1109" s="14"/>
      <c r="F1109" s="14"/>
      <c r="G1109" s="18"/>
    </row>
    <row r="1110" spans="2:7" x14ac:dyDescent="0.35">
      <c r="B1110" s="47"/>
      <c r="C1110" s="14"/>
      <c r="D1110" s="14"/>
      <c r="E1110" s="14"/>
      <c r="F1110" s="14"/>
      <c r="G1110" s="18"/>
    </row>
    <row r="1111" spans="2:7" x14ac:dyDescent="0.35">
      <c r="B1111" s="47"/>
      <c r="C1111" s="14"/>
      <c r="D1111" s="14"/>
      <c r="E1111" s="14"/>
      <c r="F1111" s="14"/>
      <c r="G1111" s="18"/>
    </row>
    <row r="1112" spans="2:7" x14ac:dyDescent="0.35">
      <c r="B1112" s="47"/>
      <c r="C1112" s="14"/>
      <c r="D1112" s="14"/>
      <c r="E1112" s="14"/>
      <c r="F1112" s="14"/>
      <c r="G1112" s="18"/>
    </row>
    <row r="1113" spans="2:7" x14ac:dyDescent="0.35">
      <c r="B1113" s="47"/>
      <c r="C1113" s="14"/>
      <c r="D1113" s="14"/>
      <c r="E1113" s="14"/>
      <c r="F1113" s="14"/>
      <c r="G1113" s="18"/>
    </row>
    <row r="1114" spans="2:7" x14ac:dyDescent="0.35">
      <c r="B1114" s="47"/>
      <c r="C1114" s="14"/>
      <c r="D1114" s="14"/>
      <c r="E1114" s="14"/>
      <c r="F1114" s="14"/>
      <c r="G1114" s="18"/>
    </row>
    <row r="1115" spans="2:7" x14ac:dyDescent="0.35">
      <c r="B1115" s="47"/>
      <c r="C1115" s="14"/>
      <c r="D1115" s="14"/>
      <c r="E1115" s="14"/>
      <c r="F1115" s="14"/>
      <c r="G1115" s="18"/>
    </row>
    <row r="1116" spans="2:7" x14ac:dyDescent="0.35">
      <c r="B1116" s="47"/>
      <c r="C1116" s="14"/>
      <c r="D1116" s="14"/>
      <c r="E1116" s="14"/>
      <c r="F1116" s="14"/>
      <c r="G1116" s="18"/>
    </row>
    <row r="1117" spans="2:7" x14ac:dyDescent="0.35">
      <c r="B1117" s="47"/>
      <c r="C1117" s="14"/>
      <c r="D1117" s="14"/>
      <c r="E1117" s="14"/>
      <c r="F1117" s="14"/>
      <c r="G1117" s="18"/>
    </row>
    <row r="1118" spans="2:7" x14ac:dyDescent="0.35">
      <c r="B1118" s="47"/>
      <c r="C1118" s="14"/>
      <c r="D1118" s="14"/>
      <c r="E1118" s="14"/>
      <c r="F1118" s="14"/>
      <c r="G1118" s="18"/>
    </row>
    <row r="1119" spans="2:7" x14ac:dyDescent="0.35">
      <c r="B1119" s="47"/>
      <c r="C1119" s="14"/>
      <c r="D1119" s="14"/>
      <c r="E1119" s="14"/>
      <c r="F1119" s="14"/>
      <c r="G1119" s="18"/>
    </row>
    <row r="1120" spans="2:7" x14ac:dyDescent="0.35">
      <c r="B1120" s="47"/>
      <c r="C1120" s="14"/>
      <c r="D1120" s="14"/>
      <c r="E1120" s="14"/>
      <c r="F1120" s="14"/>
      <c r="G1120" s="18"/>
    </row>
    <row r="1121" spans="2:7" x14ac:dyDescent="0.35">
      <c r="B1121" s="47"/>
      <c r="C1121" s="14"/>
      <c r="D1121" s="14"/>
      <c r="E1121" s="14"/>
      <c r="F1121" s="14"/>
      <c r="G1121" s="18"/>
    </row>
    <row r="1122" spans="2:7" x14ac:dyDescent="0.35">
      <c r="B1122" s="47"/>
      <c r="C1122" s="14"/>
      <c r="D1122" s="14"/>
      <c r="E1122" s="14"/>
      <c r="F1122" s="14"/>
      <c r="G1122" s="18"/>
    </row>
    <row r="1123" spans="2:7" x14ac:dyDescent="0.35">
      <c r="B1123" s="47"/>
      <c r="C1123" s="14"/>
      <c r="D1123" s="14"/>
      <c r="E1123" s="14"/>
      <c r="F1123" s="14"/>
      <c r="G1123" s="18"/>
    </row>
    <row r="1124" spans="2:7" x14ac:dyDescent="0.35">
      <c r="B1124" s="47"/>
      <c r="C1124" s="14"/>
      <c r="D1124" s="14"/>
      <c r="E1124" s="14"/>
      <c r="F1124" s="14"/>
      <c r="G1124" s="18"/>
    </row>
    <row r="1125" spans="2:7" x14ac:dyDescent="0.35">
      <c r="B1125" s="47"/>
      <c r="C1125" s="14"/>
      <c r="D1125" s="14"/>
      <c r="E1125" s="14"/>
      <c r="F1125" s="14"/>
      <c r="G1125" s="18"/>
    </row>
    <row r="1126" spans="2:7" x14ac:dyDescent="0.35">
      <c r="B1126" s="47"/>
      <c r="C1126" s="14"/>
      <c r="D1126" s="14"/>
      <c r="E1126" s="14"/>
      <c r="F1126" s="14"/>
      <c r="G1126" s="18"/>
    </row>
    <row r="1127" spans="2:7" x14ac:dyDescent="0.35">
      <c r="B1127" s="47"/>
      <c r="C1127" s="14"/>
      <c r="D1127" s="14"/>
      <c r="E1127" s="14"/>
      <c r="F1127" s="14"/>
      <c r="G1127" s="18"/>
    </row>
    <row r="1128" spans="2:7" x14ac:dyDescent="0.35">
      <c r="B1128" s="47"/>
      <c r="C1128" s="14"/>
      <c r="D1128" s="14"/>
      <c r="E1128" s="14"/>
      <c r="F1128" s="14"/>
      <c r="G1128" s="18"/>
    </row>
    <row r="1129" spans="2:7" x14ac:dyDescent="0.35">
      <c r="B1129" s="47"/>
      <c r="C1129" s="14"/>
      <c r="D1129" s="14"/>
      <c r="E1129" s="14"/>
      <c r="F1129" s="14"/>
      <c r="G1129" s="18"/>
    </row>
    <row r="1130" spans="2:7" x14ac:dyDescent="0.35">
      <c r="B1130" s="47"/>
      <c r="C1130" s="14"/>
      <c r="D1130" s="14"/>
      <c r="E1130" s="14"/>
      <c r="F1130" s="14"/>
      <c r="G1130" s="18"/>
    </row>
    <row r="1131" spans="2:7" x14ac:dyDescent="0.35">
      <c r="B1131" s="47"/>
      <c r="C1131" s="14"/>
      <c r="D1131" s="14"/>
      <c r="E1131" s="14"/>
      <c r="F1131" s="14"/>
      <c r="G1131" s="18"/>
    </row>
    <row r="1132" spans="2:7" x14ac:dyDescent="0.35">
      <c r="B1132" s="47"/>
      <c r="C1132" s="14"/>
      <c r="D1132" s="14"/>
      <c r="E1132" s="14"/>
      <c r="F1132" s="14"/>
      <c r="G1132" s="18"/>
    </row>
    <row r="1133" spans="2:7" x14ac:dyDescent="0.35">
      <c r="B1133" s="47"/>
      <c r="C1133" s="14"/>
      <c r="D1133" s="14"/>
      <c r="E1133" s="14"/>
      <c r="F1133" s="14"/>
      <c r="G1133" s="18"/>
    </row>
    <row r="1134" spans="2:7" x14ac:dyDescent="0.35">
      <c r="B1134" s="47"/>
      <c r="C1134" s="14"/>
      <c r="D1134" s="14"/>
      <c r="E1134" s="14"/>
      <c r="F1134" s="14"/>
      <c r="G1134" s="18"/>
    </row>
    <row r="1135" spans="2:7" x14ac:dyDescent="0.35">
      <c r="B1135" s="47"/>
      <c r="C1135" s="14"/>
      <c r="D1135" s="14"/>
      <c r="E1135" s="14"/>
      <c r="F1135" s="14"/>
      <c r="G1135" s="18"/>
    </row>
    <row r="1136" spans="2:7" x14ac:dyDescent="0.35">
      <c r="B1136" s="47"/>
      <c r="C1136" s="14"/>
      <c r="D1136" s="14"/>
      <c r="E1136" s="14"/>
      <c r="F1136" s="14"/>
      <c r="G1136" s="18"/>
    </row>
    <row r="1137" spans="2:7" x14ac:dyDescent="0.35">
      <c r="B1137" s="47"/>
      <c r="C1137" s="14"/>
      <c r="D1137" s="14"/>
      <c r="E1137" s="14"/>
      <c r="F1137" s="14"/>
      <c r="G1137" s="18"/>
    </row>
    <row r="1138" spans="2:7" x14ac:dyDescent="0.35">
      <c r="B1138" s="47"/>
      <c r="C1138" s="14"/>
      <c r="D1138" s="14"/>
      <c r="E1138" s="14"/>
      <c r="F1138" s="14"/>
      <c r="G1138" s="18"/>
    </row>
    <row r="1139" spans="2:7" x14ac:dyDescent="0.35">
      <c r="B1139" s="47"/>
      <c r="C1139" s="14"/>
      <c r="D1139" s="14"/>
      <c r="E1139" s="14"/>
      <c r="F1139" s="14"/>
      <c r="G1139" s="18"/>
    </row>
    <row r="1140" spans="2:7" x14ac:dyDescent="0.35">
      <c r="B1140" s="47"/>
      <c r="C1140" s="14"/>
      <c r="D1140" s="14"/>
      <c r="E1140" s="14"/>
      <c r="F1140" s="14"/>
      <c r="G1140" s="18"/>
    </row>
    <row r="1141" spans="2:7" x14ac:dyDescent="0.35">
      <c r="B1141" s="47"/>
      <c r="C1141" s="14"/>
      <c r="D1141" s="14"/>
      <c r="E1141" s="14"/>
      <c r="F1141" s="14"/>
      <c r="G1141" s="18"/>
    </row>
    <row r="1142" spans="2:7" x14ac:dyDescent="0.35">
      <c r="B1142" s="47"/>
      <c r="C1142" s="14"/>
      <c r="D1142" s="14"/>
      <c r="E1142" s="14"/>
      <c r="F1142" s="14"/>
      <c r="G1142" s="18"/>
    </row>
    <row r="1143" spans="2:7" x14ac:dyDescent="0.35">
      <c r="B1143" s="47"/>
      <c r="C1143" s="14"/>
      <c r="D1143" s="14"/>
      <c r="E1143" s="14"/>
      <c r="F1143" s="14"/>
      <c r="G1143" s="18"/>
    </row>
    <row r="1144" spans="2:7" x14ac:dyDescent="0.35">
      <c r="B1144" s="47"/>
      <c r="C1144" s="14"/>
      <c r="D1144" s="14"/>
      <c r="E1144" s="14"/>
      <c r="F1144" s="14"/>
      <c r="G1144" s="18"/>
    </row>
    <row r="1145" spans="2:7" x14ac:dyDescent="0.35">
      <c r="B1145" s="47"/>
      <c r="C1145" s="14"/>
      <c r="D1145" s="14"/>
      <c r="E1145" s="14"/>
      <c r="F1145" s="14"/>
      <c r="G1145" s="18"/>
    </row>
    <row r="1146" spans="2:7" x14ac:dyDescent="0.35">
      <c r="B1146" s="47"/>
      <c r="C1146" s="14"/>
      <c r="D1146" s="14"/>
      <c r="E1146" s="14"/>
      <c r="F1146" s="14"/>
      <c r="G1146" s="18"/>
    </row>
    <row r="1147" spans="2:7" x14ac:dyDescent="0.35">
      <c r="B1147" s="47"/>
      <c r="C1147" s="14"/>
      <c r="D1147" s="14"/>
      <c r="E1147" s="14"/>
      <c r="F1147" s="14"/>
      <c r="G1147" s="18"/>
    </row>
    <row r="1148" spans="2:7" x14ac:dyDescent="0.35">
      <c r="B1148" s="47"/>
      <c r="C1148" s="14"/>
      <c r="D1148" s="14"/>
      <c r="E1148" s="14"/>
      <c r="F1148" s="14"/>
      <c r="G1148" s="18"/>
    </row>
    <row r="1149" spans="2:7" x14ac:dyDescent="0.35">
      <c r="B1149" s="47"/>
      <c r="C1149" s="14"/>
      <c r="D1149" s="14"/>
      <c r="E1149" s="14"/>
      <c r="F1149" s="14"/>
      <c r="G1149" s="18"/>
    </row>
    <row r="1150" spans="2:7" x14ac:dyDescent="0.35">
      <c r="B1150" s="47"/>
      <c r="C1150" s="14"/>
      <c r="D1150" s="14"/>
      <c r="E1150" s="14"/>
      <c r="F1150" s="14"/>
      <c r="G1150" s="18"/>
    </row>
    <row r="1151" spans="2:7" x14ac:dyDescent="0.35">
      <c r="B1151" s="47"/>
      <c r="C1151" s="14"/>
      <c r="D1151" s="14"/>
      <c r="E1151" s="14"/>
      <c r="F1151" s="14"/>
      <c r="G1151" s="18"/>
    </row>
    <row r="1152" spans="2:7" x14ac:dyDescent="0.35">
      <c r="B1152" s="47"/>
      <c r="C1152" s="14"/>
      <c r="D1152" s="14"/>
      <c r="E1152" s="14"/>
      <c r="F1152" s="14"/>
      <c r="G1152" s="18"/>
    </row>
    <row r="1153" spans="2:7" x14ac:dyDescent="0.35">
      <c r="B1153" s="47"/>
      <c r="C1153" s="14"/>
      <c r="D1153" s="14"/>
      <c r="E1153" s="14"/>
      <c r="F1153" s="14"/>
      <c r="G1153" s="18"/>
    </row>
    <row r="1154" spans="2:7" x14ac:dyDescent="0.35">
      <c r="B1154" s="47"/>
      <c r="C1154" s="14"/>
      <c r="D1154" s="14"/>
      <c r="E1154" s="14"/>
      <c r="F1154" s="14"/>
      <c r="G1154" s="18"/>
    </row>
    <row r="1155" spans="2:7" x14ac:dyDescent="0.35">
      <c r="B1155" s="47"/>
      <c r="C1155" s="14"/>
      <c r="D1155" s="14"/>
      <c r="E1155" s="14"/>
      <c r="F1155" s="14"/>
      <c r="G1155" s="18"/>
    </row>
    <row r="1156" spans="2:7" x14ac:dyDescent="0.35">
      <c r="B1156" s="47"/>
      <c r="C1156" s="14"/>
      <c r="D1156" s="14"/>
      <c r="E1156" s="14"/>
      <c r="F1156" s="14"/>
      <c r="G1156" s="18"/>
    </row>
    <row r="1157" spans="2:7" x14ac:dyDescent="0.35">
      <c r="B1157" s="47"/>
      <c r="C1157" s="14"/>
      <c r="D1157" s="14"/>
      <c r="E1157" s="14"/>
      <c r="F1157" s="14"/>
      <c r="G1157" s="18"/>
    </row>
    <row r="1158" spans="2:7" x14ac:dyDescent="0.35">
      <c r="B1158" s="47"/>
      <c r="C1158" s="14"/>
      <c r="D1158" s="14"/>
      <c r="E1158" s="14"/>
      <c r="F1158" s="14"/>
      <c r="G1158" s="18"/>
    </row>
    <row r="1159" spans="2:7" x14ac:dyDescent="0.35">
      <c r="B1159" s="47"/>
      <c r="C1159" s="14"/>
      <c r="D1159" s="14"/>
      <c r="E1159" s="14"/>
      <c r="F1159" s="14"/>
      <c r="G1159" s="18"/>
    </row>
    <row r="1160" spans="2:7" x14ac:dyDescent="0.35">
      <c r="B1160" s="47"/>
      <c r="C1160" s="14"/>
      <c r="D1160" s="14"/>
      <c r="E1160" s="14"/>
      <c r="F1160" s="14"/>
      <c r="G1160" s="18"/>
    </row>
    <row r="1161" spans="2:7" x14ac:dyDescent="0.35">
      <c r="B1161" s="47"/>
      <c r="C1161" s="14"/>
      <c r="D1161" s="14"/>
      <c r="E1161" s="14"/>
      <c r="F1161" s="14"/>
      <c r="G1161" s="18"/>
    </row>
    <row r="1162" spans="2:7" x14ac:dyDescent="0.35">
      <c r="B1162" s="47"/>
      <c r="C1162" s="14"/>
      <c r="D1162" s="14"/>
      <c r="E1162" s="14"/>
      <c r="F1162" s="14"/>
      <c r="G1162" s="18"/>
    </row>
    <row r="1163" spans="2:7" x14ac:dyDescent="0.35">
      <c r="B1163" s="47"/>
      <c r="C1163" s="14"/>
      <c r="D1163" s="14"/>
      <c r="E1163" s="14"/>
      <c r="F1163" s="14"/>
      <c r="G1163" s="18"/>
    </row>
    <row r="1164" spans="2:7" x14ac:dyDescent="0.35">
      <c r="B1164" s="47"/>
      <c r="C1164" s="14"/>
      <c r="D1164" s="14"/>
      <c r="E1164" s="14"/>
      <c r="F1164" s="14"/>
      <c r="G1164" s="18"/>
    </row>
    <row r="1165" spans="2:7" x14ac:dyDescent="0.35">
      <c r="B1165" s="47"/>
      <c r="C1165" s="14"/>
      <c r="D1165" s="14"/>
      <c r="E1165" s="14"/>
      <c r="F1165" s="14"/>
      <c r="G1165" s="18"/>
    </row>
    <row r="1166" spans="2:7" x14ac:dyDescent="0.35">
      <c r="B1166" s="47"/>
      <c r="C1166" s="14"/>
      <c r="D1166" s="14"/>
      <c r="E1166" s="14"/>
      <c r="F1166" s="14"/>
      <c r="G1166" s="18"/>
    </row>
    <row r="1167" spans="2:7" x14ac:dyDescent="0.35">
      <c r="B1167" s="47"/>
      <c r="C1167" s="14"/>
      <c r="D1167" s="14"/>
      <c r="E1167" s="14"/>
      <c r="F1167" s="14"/>
      <c r="G1167" s="18"/>
    </row>
    <row r="1168" spans="2:7" x14ac:dyDescent="0.35">
      <c r="B1168" s="47"/>
      <c r="C1168" s="14"/>
      <c r="D1168" s="14"/>
      <c r="E1168" s="14"/>
      <c r="F1168" s="14"/>
      <c r="G1168" s="18"/>
    </row>
    <row r="1169" spans="2:7" x14ac:dyDescent="0.35">
      <c r="B1169" s="47"/>
      <c r="C1169" s="14"/>
      <c r="D1169" s="14"/>
      <c r="E1169" s="14"/>
      <c r="F1169" s="14"/>
      <c r="G1169" s="18"/>
    </row>
    <row r="1170" spans="2:7" x14ac:dyDescent="0.35">
      <c r="B1170" s="47"/>
      <c r="C1170" s="14"/>
      <c r="D1170" s="14"/>
      <c r="E1170" s="14"/>
      <c r="F1170" s="14"/>
      <c r="G1170" s="18"/>
    </row>
    <row r="1171" spans="2:7" x14ac:dyDescent="0.35">
      <c r="B1171" s="47"/>
      <c r="C1171" s="14"/>
      <c r="D1171" s="14"/>
      <c r="E1171" s="14"/>
      <c r="F1171" s="14"/>
      <c r="G1171" s="18"/>
    </row>
    <row r="1172" spans="2:7" x14ac:dyDescent="0.35">
      <c r="B1172" s="47"/>
      <c r="C1172" s="14"/>
      <c r="D1172" s="14"/>
      <c r="E1172" s="14"/>
      <c r="F1172" s="14"/>
      <c r="G1172" s="18"/>
    </row>
    <row r="1173" spans="2:7" x14ac:dyDescent="0.35">
      <c r="B1173" s="47"/>
      <c r="C1173" s="14"/>
      <c r="D1173" s="14"/>
      <c r="E1173" s="14"/>
      <c r="F1173" s="14"/>
      <c r="G1173" s="18"/>
    </row>
    <row r="1174" spans="2:7" x14ac:dyDescent="0.35">
      <c r="B1174" s="47"/>
      <c r="C1174" s="14"/>
      <c r="D1174" s="14"/>
      <c r="E1174" s="14"/>
      <c r="F1174" s="14"/>
      <c r="G1174" s="18"/>
    </row>
    <row r="1175" spans="2:7" x14ac:dyDescent="0.35">
      <c r="B1175" s="47"/>
      <c r="C1175" s="14"/>
      <c r="D1175" s="14"/>
      <c r="E1175" s="14"/>
      <c r="F1175" s="14"/>
      <c r="G1175" s="18"/>
    </row>
    <row r="1176" spans="2:7" x14ac:dyDescent="0.35">
      <c r="B1176" s="47"/>
      <c r="C1176" s="14"/>
      <c r="D1176" s="14"/>
      <c r="E1176" s="14"/>
      <c r="F1176" s="14"/>
      <c r="G1176" s="18"/>
    </row>
    <row r="1177" spans="2:7" x14ac:dyDescent="0.35">
      <c r="B1177" s="47"/>
      <c r="C1177" s="14"/>
      <c r="D1177" s="14"/>
      <c r="E1177" s="14"/>
      <c r="F1177" s="14"/>
      <c r="G1177" s="18"/>
    </row>
    <row r="1178" spans="2:7" x14ac:dyDescent="0.35">
      <c r="B1178" s="47"/>
      <c r="C1178" s="14"/>
      <c r="D1178" s="14"/>
      <c r="E1178" s="14"/>
      <c r="F1178" s="14"/>
      <c r="G1178" s="18"/>
    </row>
    <row r="1179" spans="2:7" x14ac:dyDescent="0.35">
      <c r="B1179" s="47"/>
      <c r="C1179" s="14"/>
      <c r="D1179" s="14"/>
      <c r="E1179" s="14"/>
      <c r="F1179" s="14"/>
      <c r="G1179" s="18"/>
    </row>
    <row r="1180" spans="2:7" x14ac:dyDescent="0.35">
      <c r="B1180" s="47"/>
      <c r="C1180" s="14"/>
      <c r="D1180" s="14"/>
      <c r="E1180" s="14"/>
      <c r="F1180" s="14"/>
      <c r="G1180" s="18"/>
    </row>
    <row r="1181" spans="2:7" x14ac:dyDescent="0.35">
      <c r="B1181" s="47"/>
      <c r="C1181" s="14"/>
      <c r="D1181" s="14"/>
      <c r="E1181" s="14"/>
      <c r="F1181" s="14"/>
      <c r="G1181" s="18"/>
    </row>
    <row r="1182" spans="2:7" x14ac:dyDescent="0.35">
      <c r="B1182" s="47"/>
      <c r="C1182" s="14"/>
      <c r="D1182" s="14"/>
      <c r="E1182" s="14"/>
      <c r="F1182" s="14"/>
      <c r="G1182" s="18"/>
    </row>
    <row r="1183" spans="2:7" x14ac:dyDescent="0.35">
      <c r="B1183" s="47"/>
      <c r="C1183" s="14"/>
      <c r="D1183" s="14"/>
      <c r="E1183" s="14"/>
      <c r="F1183" s="14"/>
      <c r="G1183" s="18"/>
    </row>
    <row r="1184" spans="2:7" x14ac:dyDescent="0.35">
      <c r="B1184" s="47"/>
      <c r="C1184" s="14"/>
      <c r="D1184" s="14"/>
      <c r="E1184" s="14"/>
      <c r="F1184" s="14"/>
      <c r="G1184" s="18"/>
    </row>
    <row r="1185" spans="2:7" x14ac:dyDescent="0.35">
      <c r="B1185" s="47"/>
      <c r="C1185" s="14"/>
      <c r="D1185" s="14"/>
      <c r="E1185" s="14"/>
      <c r="F1185" s="14"/>
      <c r="G1185" s="18"/>
    </row>
    <row r="1186" spans="2:7" x14ac:dyDescent="0.35">
      <c r="B1186" s="47"/>
      <c r="C1186" s="14"/>
      <c r="D1186" s="14"/>
      <c r="E1186" s="14"/>
      <c r="F1186" s="14"/>
      <c r="G1186" s="18"/>
    </row>
    <row r="1187" spans="2:7" x14ac:dyDescent="0.35">
      <c r="B1187" s="47"/>
      <c r="C1187" s="14"/>
      <c r="D1187" s="14"/>
      <c r="E1187" s="14"/>
      <c r="F1187" s="14"/>
      <c r="G1187" s="18"/>
    </row>
    <row r="1188" spans="2:7" x14ac:dyDescent="0.35">
      <c r="B1188" s="47"/>
      <c r="C1188" s="14"/>
      <c r="D1188" s="14"/>
      <c r="E1188" s="14"/>
      <c r="F1188" s="14"/>
      <c r="G1188" s="18"/>
    </row>
    <row r="1189" spans="2:7" x14ac:dyDescent="0.35">
      <c r="B1189" s="47"/>
      <c r="C1189" s="14"/>
      <c r="D1189" s="14"/>
      <c r="E1189" s="14"/>
      <c r="F1189" s="14"/>
      <c r="G1189" s="18"/>
    </row>
    <row r="1190" spans="2:7" x14ac:dyDescent="0.35">
      <c r="B1190" s="47"/>
      <c r="C1190" s="14"/>
      <c r="D1190" s="14"/>
      <c r="E1190" s="14"/>
      <c r="F1190" s="14"/>
      <c r="G1190" s="18"/>
    </row>
    <row r="1191" spans="2:7" x14ac:dyDescent="0.35">
      <c r="B1191" s="47"/>
      <c r="C1191" s="14"/>
      <c r="D1191" s="14"/>
      <c r="E1191" s="14"/>
      <c r="F1191" s="14"/>
      <c r="G1191" s="18"/>
    </row>
    <row r="1192" spans="2:7" x14ac:dyDescent="0.35">
      <c r="B1192" s="47"/>
      <c r="C1192" s="14"/>
      <c r="D1192" s="14"/>
      <c r="E1192" s="14"/>
      <c r="F1192" s="14"/>
      <c r="G1192" s="18"/>
    </row>
    <row r="1193" spans="2:7" x14ac:dyDescent="0.35">
      <c r="B1193" s="47"/>
      <c r="C1193" s="14"/>
      <c r="D1193" s="14"/>
      <c r="E1193" s="14"/>
      <c r="F1193" s="14"/>
      <c r="G1193" s="18"/>
    </row>
    <row r="1194" spans="2:7" x14ac:dyDescent="0.35">
      <c r="B1194" s="47"/>
      <c r="C1194" s="14"/>
      <c r="D1194" s="14"/>
      <c r="E1194" s="14"/>
      <c r="F1194" s="14"/>
      <c r="G1194" s="18"/>
    </row>
    <row r="1195" spans="2:7" x14ac:dyDescent="0.35">
      <c r="B1195" s="47"/>
      <c r="C1195" s="14"/>
      <c r="D1195" s="14"/>
      <c r="E1195" s="14"/>
      <c r="F1195" s="14"/>
      <c r="G1195" s="18"/>
    </row>
    <row r="1196" spans="2:7" x14ac:dyDescent="0.35">
      <c r="B1196" s="47"/>
      <c r="C1196" s="14"/>
      <c r="D1196" s="14"/>
      <c r="E1196" s="14"/>
      <c r="F1196" s="14"/>
      <c r="G1196" s="18"/>
    </row>
    <row r="1197" spans="2:7" x14ac:dyDescent="0.35">
      <c r="B1197" s="47"/>
      <c r="C1197" s="14"/>
      <c r="D1197" s="14"/>
      <c r="E1197" s="14"/>
      <c r="F1197" s="14"/>
      <c r="G1197" s="18"/>
    </row>
    <row r="1198" spans="2:7" x14ac:dyDescent="0.35">
      <c r="B1198" s="47"/>
      <c r="C1198" s="14"/>
      <c r="D1198" s="14"/>
      <c r="E1198" s="14"/>
      <c r="F1198" s="14"/>
      <c r="G1198" s="18"/>
    </row>
    <row r="1199" spans="2:7" x14ac:dyDescent="0.35">
      <c r="B1199" s="47"/>
      <c r="C1199" s="14"/>
      <c r="D1199" s="14"/>
      <c r="E1199" s="14"/>
      <c r="F1199" s="14"/>
      <c r="G1199" s="18"/>
    </row>
    <row r="1200" spans="2:7" x14ac:dyDescent="0.35">
      <c r="B1200" s="47"/>
      <c r="C1200" s="14"/>
      <c r="D1200" s="14"/>
      <c r="E1200" s="14"/>
      <c r="F1200" s="14"/>
      <c r="G1200" s="18"/>
    </row>
    <row r="1201" spans="2:7" x14ac:dyDescent="0.35">
      <c r="B1201" s="47"/>
      <c r="C1201" s="14"/>
      <c r="D1201" s="14"/>
      <c r="E1201" s="14"/>
      <c r="F1201" s="14"/>
      <c r="G1201" s="18"/>
    </row>
    <row r="1202" spans="2:7" x14ac:dyDescent="0.35">
      <c r="B1202" s="47"/>
      <c r="C1202" s="14"/>
      <c r="D1202" s="14"/>
      <c r="E1202" s="14"/>
      <c r="F1202" s="14"/>
      <c r="G1202" s="18"/>
    </row>
    <row r="1203" spans="2:7" x14ac:dyDescent="0.35">
      <c r="B1203" s="47"/>
      <c r="C1203" s="14"/>
      <c r="D1203" s="14"/>
      <c r="E1203" s="14"/>
      <c r="F1203" s="14"/>
      <c r="G1203" s="18"/>
    </row>
    <row r="1204" spans="2:7" x14ac:dyDescent="0.35">
      <c r="B1204" s="47"/>
      <c r="C1204" s="14"/>
      <c r="D1204" s="14"/>
      <c r="E1204" s="14"/>
      <c r="F1204" s="14"/>
      <c r="G1204" s="18"/>
    </row>
    <row r="1205" spans="2:7" x14ac:dyDescent="0.35">
      <c r="B1205" s="47"/>
      <c r="C1205" s="14"/>
      <c r="D1205" s="14"/>
      <c r="E1205" s="14"/>
      <c r="F1205" s="14"/>
      <c r="G1205" s="18"/>
    </row>
    <row r="1206" spans="2:7" x14ac:dyDescent="0.35">
      <c r="B1206" s="47"/>
      <c r="C1206" s="14"/>
      <c r="D1206" s="14"/>
      <c r="E1206" s="14"/>
      <c r="F1206" s="14"/>
      <c r="G1206" s="18"/>
    </row>
    <row r="1207" spans="2:7" x14ac:dyDescent="0.35">
      <c r="B1207" s="47"/>
      <c r="C1207" s="14"/>
      <c r="D1207" s="14"/>
      <c r="E1207" s="14"/>
      <c r="F1207" s="14"/>
      <c r="G1207" s="18"/>
    </row>
    <row r="1208" spans="2:7" x14ac:dyDescent="0.35">
      <c r="B1208" s="47"/>
      <c r="C1208" s="14"/>
      <c r="D1208" s="14"/>
      <c r="E1208" s="14"/>
      <c r="F1208" s="14"/>
      <c r="G1208" s="18"/>
    </row>
    <row r="1209" spans="2:7" x14ac:dyDescent="0.35">
      <c r="B1209" s="47"/>
      <c r="C1209" s="14"/>
      <c r="D1209" s="14"/>
      <c r="E1209" s="14"/>
      <c r="F1209" s="14"/>
      <c r="G1209" s="18"/>
    </row>
    <row r="1210" spans="2:7" x14ac:dyDescent="0.35">
      <c r="B1210" s="47"/>
      <c r="C1210" s="14"/>
      <c r="D1210" s="14"/>
      <c r="E1210" s="14"/>
      <c r="F1210" s="14"/>
      <c r="G1210" s="18"/>
    </row>
    <row r="1211" spans="2:7" x14ac:dyDescent="0.35">
      <c r="B1211" s="47"/>
      <c r="C1211" s="14"/>
      <c r="D1211" s="14"/>
      <c r="E1211" s="14"/>
      <c r="F1211" s="14"/>
      <c r="G1211" s="18"/>
    </row>
    <row r="1212" spans="2:7" x14ac:dyDescent="0.35">
      <c r="B1212" s="47"/>
      <c r="C1212" s="14"/>
      <c r="D1212" s="14"/>
      <c r="E1212" s="14"/>
      <c r="F1212" s="14"/>
      <c r="G1212" s="18"/>
    </row>
    <row r="1213" spans="2:7" x14ac:dyDescent="0.35">
      <c r="B1213" s="47"/>
      <c r="C1213" s="14"/>
      <c r="D1213" s="14"/>
      <c r="E1213" s="14"/>
      <c r="F1213" s="14"/>
      <c r="G1213" s="18"/>
    </row>
    <row r="1214" spans="2:7" x14ac:dyDescent="0.35">
      <c r="B1214" s="47"/>
      <c r="C1214" s="14"/>
      <c r="D1214" s="14"/>
      <c r="E1214" s="14"/>
      <c r="F1214" s="14"/>
      <c r="G1214" s="18"/>
    </row>
    <row r="1215" spans="2:7" x14ac:dyDescent="0.35">
      <c r="B1215" s="47"/>
      <c r="C1215" s="14"/>
      <c r="D1215" s="14"/>
      <c r="E1215" s="14"/>
      <c r="F1215" s="14"/>
      <c r="G1215" s="18"/>
    </row>
    <row r="1216" spans="2:7" x14ac:dyDescent="0.35">
      <c r="B1216" s="47"/>
      <c r="C1216" s="14"/>
      <c r="D1216" s="14"/>
      <c r="E1216" s="14"/>
      <c r="F1216" s="14"/>
      <c r="G1216" s="18"/>
    </row>
    <row r="1217" spans="2:7" x14ac:dyDescent="0.35">
      <c r="B1217" s="47"/>
      <c r="C1217" s="14"/>
      <c r="D1217" s="14"/>
      <c r="E1217" s="14"/>
      <c r="F1217" s="14"/>
      <c r="G1217" s="18"/>
    </row>
    <row r="1218" spans="2:7" x14ac:dyDescent="0.35">
      <c r="B1218" s="47"/>
      <c r="C1218" s="14"/>
      <c r="D1218" s="14"/>
      <c r="E1218" s="14"/>
      <c r="F1218" s="14"/>
      <c r="G1218" s="18"/>
    </row>
    <row r="1219" spans="2:7" x14ac:dyDescent="0.35">
      <c r="B1219" s="47"/>
      <c r="C1219" s="14"/>
      <c r="D1219" s="14"/>
      <c r="E1219" s="14"/>
      <c r="F1219" s="14"/>
      <c r="G1219" s="18"/>
    </row>
    <row r="1220" spans="2:7" x14ac:dyDescent="0.35">
      <c r="B1220" s="47"/>
      <c r="C1220" s="14"/>
      <c r="D1220" s="14"/>
      <c r="E1220" s="14"/>
      <c r="F1220" s="14"/>
      <c r="G1220" s="18"/>
    </row>
    <row r="1221" spans="2:7" x14ac:dyDescent="0.35">
      <c r="B1221" s="47"/>
      <c r="C1221" s="14"/>
      <c r="D1221" s="14"/>
      <c r="E1221" s="14"/>
      <c r="F1221" s="14"/>
      <c r="G1221" s="18"/>
    </row>
    <row r="1222" spans="2:7" x14ac:dyDescent="0.35">
      <c r="B1222" s="47"/>
      <c r="C1222" s="14"/>
      <c r="D1222" s="14"/>
      <c r="E1222" s="14"/>
      <c r="F1222" s="14"/>
      <c r="G1222" s="18"/>
    </row>
    <row r="1223" spans="2:7" x14ac:dyDescent="0.35">
      <c r="B1223" s="47"/>
      <c r="C1223" s="14"/>
      <c r="D1223" s="14"/>
      <c r="E1223" s="14"/>
      <c r="F1223" s="14"/>
      <c r="G1223" s="18"/>
    </row>
    <row r="1224" spans="2:7" x14ac:dyDescent="0.35">
      <c r="B1224" s="47"/>
      <c r="C1224" s="14"/>
      <c r="D1224" s="14"/>
      <c r="E1224" s="14"/>
      <c r="F1224" s="14"/>
      <c r="G1224" s="18"/>
    </row>
    <row r="1225" spans="2:7" x14ac:dyDescent="0.35">
      <c r="B1225" s="47"/>
      <c r="C1225" s="14"/>
      <c r="D1225" s="14"/>
      <c r="E1225" s="14"/>
      <c r="F1225" s="14"/>
      <c r="G1225" s="18"/>
    </row>
    <row r="1226" spans="2:7" x14ac:dyDescent="0.35">
      <c r="B1226" s="47"/>
      <c r="C1226" s="14"/>
      <c r="D1226" s="14"/>
      <c r="E1226" s="14"/>
      <c r="F1226" s="14"/>
      <c r="G1226" s="18"/>
    </row>
    <row r="1227" spans="2:7" x14ac:dyDescent="0.35">
      <c r="B1227" s="47"/>
      <c r="C1227" s="14"/>
      <c r="D1227" s="14"/>
      <c r="E1227" s="14"/>
      <c r="F1227" s="14"/>
      <c r="G1227" s="18"/>
    </row>
    <row r="1228" spans="2:7" x14ac:dyDescent="0.35">
      <c r="B1228" s="47"/>
      <c r="C1228" s="14"/>
      <c r="D1228" s="14"/>
      <c r="E1228" s="14"/>
      <c r="F1228" s="14"/>
      <c r="G1228" s="18"/>
    </row>
    <row r="1229" spans="2:7" x14ac:dyDescent="0.35">
      <c r="B1229" s="47"/>
      <c r="C1229" s="14"/>
      <c r="D1229" s="14"/>
      <c r="E1229" s="14"/>
      <c r="F1229" s="14"/>
      <c r="G1229" s="18"/>
    </row>
    <row r="1230" spans="2:7" x14ac:dyDescent="0.35">
      <c r="B1230" s="47"/>
      <c r="C1230" s="14"/>
      <c r="D1230" s="14"/>
      <c r="E1230" s="14"/>
      <c r="F1230" s="14"/>
      <c r="G1230" s="18"/>
    </row>
    <row r="1231" spans="2:7" x14ac:dyDescent="0.35">
      <c r="B1231" s="47"/>
      <c r="C1231" s="14"/>
      <c r="D1231" s="14"/>
      <c r="E1231" s="14"/>
      <c r="F1231" s="14"/>
      <c r="G1231" s="18"/>
    </row>
    <row r="1232" spans="2:7" x14ac:dyDescent="0.35">
      <c r="B1232" s="47"/>
      <c r="C1232" s="14"/>
      <c r="D1232" s="14"/>
      <c r="E1232" s="14"/>
      <c r="F1232" s="14"/>
      <c r="G1232" s="18"/>
    </row>
    <row r="1233" spans="2:7" x14ac:dyDescent="0.35">
      <c r="B1233" s="47"/>
      <c r="C1233" s="14"/>
      <c r="D1233" s="14"/>
      <c r="E1233" s="14"/>
      <c r="F1233" s="14"/>
      <c r="G1233" s="18"/>
    </row>
    <row r="1234" spans="2:7" x14ac:dyDescent="0.35">
      <c r="B1234" s="47"/>
      <c r="C1234" s="14"/>
      <c r="D1234" s="14"/>
      <c r="E1234" s="14"/>
      <c r="F1234" s="14"/>
      <c r="G1234" s="18"/>
    </row>
    <row r="1235" spans="2:7" x14ac:dyDescent="0.35">
      <c r="B1235" s="47"/>
      <c r="C1235" s="14"/>
      <c r="D1235" s="14"/>
      <c r="E1235" s="14"/>
      <c r="F1235" s="14"/>
      <c r="G1235" s="18"/>
    </row>
    <row r="1236" spans="2:7" x14ac:dyDescent="0.35">
      <c r="B1236" s="47"/>
      <c r="C1236" s="14"/>
      <c r="D1236" s="14"/>
      <c r="E1236" s="14"/>
      <c r="F1236" s="14"/>
      <c r="G1236" s="18"/>
    </row>
    <row r="1237" spans="2:7" x14ac:dyDescent="0.35">
      <c r="B1237" s="47"/>
      <c r="C1237" s="14"/>
      <c r="D1237" s="14"/>
      <c r="E1237" s="14"/>
      <c r="F1237" s="14"/>
      <c r="G1237" s="18"/>
    </row>
    <row r="1238" spans="2:7" x14ac:dyDescent="0.35">
      <c r="B1238" s="47"/>
      <c r="C1238" s="14"/>
      <c r="D1238" s="14"/>
      <c r="E1238" s="14"/>
      <c r="F1238" s="14"/>
      <c r="G1238" s="18"/>
    </row>
    <row r="1239" spans="2:7" x14ac:dyDescent="0.35">
      <c r="B1239" s="47"/>
      <c r="C1239" s="14"/>
      <c r="D1239" s="14"/>
      <c r="E1239" s="14"/>
      <c r="F1239" s="14"/>
      <c r="G1239" s="18"/>
    </row>
    <row r="1240" spans="2:7" x14ac:dyDescent="0.35">
      <c r="B1240" s="47"/>
      <c r="C1240" s="14"/>
      <c r="D1240" s="14"/>
      <c r="E1240" s="14"/>
      <c r="F1240" s="14"/>
      <c r="G1240" s="18"/>
    </row>
    <row r="1241" spans="2:7" x14ac:dyDescent="0.35">
      <c r="B1241" s="47"/>
      <c r="C1241" s="14"/>
      <c r="D1241" s="14"/>
      <c r="E1241" s="14"/>
      <c r="F1241" s="14"/>
      <c r="G1241" s="18"/>
    </row>
    <row r="1242" spans="2:7" x14ac:dyDescent="0.35">
      <c r="B1242" s="47"/>
      <c r="C1242" s="14"/>
      <c r="D1242" s="14"/>
      <c r="E1242" s="14"/>
      <c r="F1242" s="14"/>
      <c r="G1242" s="18"/>
    </row>
    <row r="1243" spans="2:7" x14ac:dyDescent="0.35">
      <c r="B1243" s="47"/>
      <c r="C1243" s="14"/>
      <c r="D1243" s="14"/>
      <c r="E1243" s="14"/>
      <c r="F1243" s="14"/>
      <c r="G1243" s="18"/>
    </row>
    <row r="1244" spans="2:7" x14ac:dyDescent="0.35">
      <c r="B1244" s="47"/>
      <c r="C1244" s="14"/>
      <c r="D1244" s="14"/>
      <c r="E1244" s="14"/>
      <c r="F1244" s="14"/>
      <c r="G1244" s="18"/>
    </row>
    <row r="1245" spans="2:7" x14ac:dyDescent="0.35">
      <c r="B1245" s="47"/>
      <c r="C1245" s="14"/>
      <c r="D1245" s="14"/>
      <c r="E1245" s="14"/>
      <c r="F1245" s="14"/>
      <c r="G1245" s="18"/>
    </row>
    <row r="1246" spans="2:7" x14ac:dyDescent="0.35">
      <c r="B1246" s="47"/>
      <c r="C1246" s="14"/>
      <c r="D1246" s="14"/>
      <c r="E1246" s="14"/>
      <c r="F1246" s="14"/>
      <c r="G1246" s="18"/>
    </row>
    <row r="1247" spans="2:7" x14ac:dyDescent="0.35">
      <c r="B1247" s="47"/>
      <c r="C1247" s="14"/>
      <c r="D1247" s="14"/>
      <c r="E1247" s="14"/>
      <c r="F1247" s="14"/>
      <c r="G1247" s="18"/>
    </row>
    <row r="1248" spans="2:7" x14ac:dyDescent="0.35">
      <c r="B1248" s="47"/>
      <c r="C1248" s="14"/>
      <c r="D1248" s="14"/>
      <c r="E1248" s="14"/>
      <c r="F1248" s="14"/>
      <c r="G1248" s="18"/>
    </row>
    <row r="1249" spans="2:7" x14ac:dyDescent="0.35">
      <c r="B1249" s="47"/>
      <c r="C1249" s="14"/>
      <c r="D1249" s="14"/>
      <c r="E1249" s="14"/>
      <c r="F1249" s="14"/>
      <c r="G1249" s="18"/>
    </row>
    <row r="1250" spans="2:7" x14ac:dyDescent="0.35">
      <c r="B1250" s="47"/>
      <c r="C1250" s="14"/>
      <c r="D1250" s="14"/>
      <c r="E1250" s="14"/>
      <c r="F1250" s="14"/>
      <c r="G1250" s="18"/>
    </row>
    <row r="1251" spans="2:7" x14ac:dyDescent="0.35">
      <c r="B1251" s="47"/>
      <c r="C1251" s="14"/>
      <c r="D1251" s="14"/>
      <c r="E1251" s="14"/>
      <c r="F1251" s="14"/>
      <c r="G1251" s="18"/>
    </row>
    <row r="1252" spans="2:7" x14ac:dyDescent="0.35">
      <c r="B1252" s="47"/>
      <c r="C1252" s="14"/>
      <c r="D1252" s="14"/>
      <c r="E1252" s="14"/>
      <c r="F1252" s="14"/>
      <c r="G1252" s="18"/>
    </row>
    <row r="1253" spans="2:7" x14ac:dyDescent="0.35">
      <c r="B1253" s="47"/>
      <c r="C1253" s="14"/>
      <c r="D1253" s="14"/>
      <c r="E1253" s="14"/>
      <c r="F1253" s="14"/>
      <c r="G1253" s="18"/>
    </row>
    <row r="1254" spans="2:7" x14ac:dyDescent="0.35">
      <c r="B1254" s="47"/>
      <c r="C1254" s="14"/>
      <c r="D1254" s="14"/>
      <c r="E1254" s="14"/>
      <c r="F1254" s="14"/>
      <c r="G1254" s="18"/>
    </row>
    <row r="1255" spans="2:7" x14ac:dyDescent="0.35">
      <c r="B1255" s="47"/>
      <c r="C1255" s="14"/>
      <c r="D1255" s="14"/>
      <c r="E1255" s="14"/>
      <c r="F1255" s="14"/>
      <c r="G1255" s="18"/>
    </row>
    <row r="1256" spans="2:7" x14ac:dyDescent="0.35">
      <c r="B1256" s="47"/>
      <c r="C1256" s="14"/>
      <c r="D1256" s="14"/>
      <c r="E1256" s="14"/>
      <c r="F1256" s="14"/>
      <c r="G1256" s="18"/>
    </row>
    <row r="1257" spans="2:7" x14ac:dyDescent="0.35">
      <c r="B1257" s="47"/>
      <c r="C1257" s="14"/>
      <c r="D1257" s="14"/>
      <c r="E1257" s="14"/>
      <c r="F1257" s="14"/>
      <c r="G1257" s="18"/>
    </row>
    <row r="1258" spans="2:7" x14ac:dyDescent="0.35">
      <c r="B1258" s="47"/>
      <c r="C1258" s="14"/>
      <c r="D1258" s="14"/>
      <c r="E1258" s="14"/>
      <c r="F1258" s="14"/>
      <c r="G1258" s="18"/>
    </row>
    <row r="1259" spans="2:7" x14ac:dyDescent="0.35">
      <c r="B1259" s="47"/>
      <c r="C1259" s="14"/>
      <c r="D1259" s="14"/>
      <c r="E1259" s="14"/>
      <c r="F1259" s="14"/>
      <c r="G1259" s="18"/>
    </row>
    <row r="1260" spans="2:7" x14ac:dyDescent="0.35">
      <c r="B1260" s="47"/>
      <c r="C1260" s="14"/>
      <c r="D1260" s="14"/>
      <c r="E1260" s="14"/>
      <c r="F1260" s="14"/>
      <c r="G1260" s="18"/>
    </row>
    <row r="1261" spans="2:7" x14ac:dyDescent="0.35">
      <c r="B1261" s="47"/>
      <c r="C1261" s="14"/>
      <c r="D1261" s="14"/>
      <c r="E1261" s="14"/>
      <c r="F1261" s="14"/>
      <c r="G1261" s="18"/>
    </row>
    <row r="1262" spans="2:7" x14ac:dyDescent="0.35">
      <c r="B1262" s="47"/>
      <c r="C1262" s="14"/>
      <c r="D1262" s="14"/>
      <c r="E1262" s="14"/>
      <c r="F1262" s="14"/>
      <c r="G1262" s="18"/>
    </row>
    <row r="1263" spans="2:7" x14ac:dyDescent="0.35">
      <c r="B1263" s="47"/>
      <c r="C1263" s="14"/>
      <c r="D1263" s="14"/>
      <c r="E1263" s="14"/>
      <c r="F1263" s="14"/>
      <c r="G1263" s="18"/>
    </row>
    <row r="1264" spans="2:7" x14ac:dyDescent="0.35">
      <c r="B1264" s="47"/>
      <c r="C1264" s="14"/>
      <c r="D1264" s="14"/>
      <c r="E1264" s="14"/>
      <c r="F1264" s="14"/>
      <c r="G1264" s="18"/>
    </row>
    <row r="1265" spans="2:7" x14ac:dyDescent="0.35">
      <c r="B1265" s="47"/>
      <c r="C1265" s="14"/>
      <c r="D1265" s="14"/>
      <c r="E1265" s="14"/>
      <c r="F1265" s="14"/>
      <c r="G1265" s="18"/>
    </row>
    <row r="1266" spans="2:7" x14ac:dyDescent="0.35">
      <c r="B1266" s="47"/>
      <c r="C1266" s="14"/>
      <c r="D1266" s="14"/>
      <c r="E1266" s="14"/>
      <c r="F1266" s="14"/>
      <c r="G1266" s="18"/>
    </row>
    <row r="1267" spans="2:7" x14ac:dyDescent="0.35">
      <c r="B1267" s="47"/>
      <c r="C1267" s="14"/>
      <c r="D1267" s="14"/>
      <c r="E1267" s="14"/>
      <c r="F1267" s="14"/>
      <c r="G1267" s="18"/>
    </row>
    <row r="1268" spans="2:7" x14ac:dyDescent="0.35">
      <c r="B1268" s="47"/>
      <c r="C1268" s="14"/>
      <c r="D1268" s="14"/>
      <c r="E1268" s="14"/>
      <c r="F1268" s="14"/>
      <c r="G1268" s="18"/>
    </row>
    <row r="1269" spans="2:7" x14ac:dyDescent="0.35">
      <c r="B1269" s="47"/>
      <c r="C1269" s="14"/>
      <c r="D1269" s="14"/>
      <c r="E1269" s="14"/>
      <c r="F1269" s="14"/>
      <c r="G1269" s="18"/>
    </row>
    <row r="1270" spans="2:7" x14ac:dyDescent="0.35">
      <c r="B1270" s="47"/>
      <c r="C1270" s="14"/>
      <c r="D1270" s="14"/>
      <c r="E1270" s="14"/>
      <c r="F1270" s="14"/>
      <c r="G1270" s="18"/>
    </row>
    <row r="1271" spans="2:7" x14ac:dyDescent="0.35">
      <c r="B1271" s="47"/>
      <c r="C1271" s="14"/>
      <c r="D1271" s="14"/>
      <c r="E1271" s="14"/>
      <c r="F1271" s="14"/>
      <c r="G1271" s="18"/>
    </row>
    <row r="1272" spans="2:7" x14ac:dyDescent="0.35">
      <c r="B1272" s="47"/>
      <c r="C1272" s="14"/>
      <c r="D1272" s="14"/>
      <c r="E1272" s="14"/>
      <c r="F1272" s="14"/>
      <c r="G1272" s="18"/>
    </row>
    <row r="1273" spans="2:7" x14ac:dyDescent="0.35">
      <c r="B1273" s="47"/>
      <c r="C1273" s="14"/>
      <c r="D1273" s="14"/>
      <c r="E1273" s="14"/>
      <c r="F1273" s="14"/>
      <c r="G1273" s="18"/>
    </row>
    <row r="1274" spans="2:7" x14ac:dyDescent="0.35">
      <c r="B1274" s="47"/>
      <c r="C1274" s="14"/>
      <c r="D1274" s="14"/>
      <c r="E1274" s="14"/>
      <c r="F1274" s="14"/>
      <c r="G1274" s="18"/>
    </row>
    <row r="1275" spans="2:7" x14ac:dyDescent="0.35">
      <c r="B1275" s="47"/>
      <c r="C1275" s="14"/>
      <c r="D1275" s="14"/>
      <c r="E1275" s="14"/>
      <c r="F1275" s="14"/>
      <c r="G1275" s="18"/>
    </row>
    <row r="1276" spans="2:7" x14ac:dyDescent="0.35">
      <c r="B1276" s="47"/>
      <c r="C1276" s="14"/>
      <c r="D1276" s="14"/>
      <c r="E1276" s="14"/>
      <c r="F1276" s="14"/>
      <c r="G1276" s="18"/>
    </row>
    <row r="1277" spans="2:7" x14ac:dyDescent="0.35">
      <c r="B1277" s="47"/>
      <c r="C1277" s="14"/>
      <c r="D1277" s="14"/>
      <c r="E1277" s="14"/>
      <c r="F1277" s="14"/>
      <c r="G1277" s="18"/>
    </row>
    <row r="1278" spans="2:7" x14ac:dyDescent="0.35">
      <c r="B1278" s="47"/>
      <c r="C1278" s="14"/>
      <c r="D1278" s="14"/>
      <c r="E1278" s="14"/>
      <c r="F1278" s="14"/>
      <c r="G1278" s="18"/>
    </row>
    <row r="1279" spans="2:7" x14ac:dyDescent="0.35">
      <c r="B1279" s="47"/>
      <c r="C1279" s="14"/>
      <c r="D1279" s="14"/>
      <c r="E1279" s="14"/>
      <c r="F1279" s="14"/>
      <c r="G1279" s="18"/>
    </row>
    <row r="1280" spans="2:7" x14ac:dyDescent="0.35">
      <c r="B1280" s="47"/>
      <c r="C1280" s="14"/>
      <c r="D1280" s="14"/>
      <c r="E1280" s="14"/>
      <c r="F1280" s="14"/>
      <c r="G1280" s="18"/>
    </row>
    <row r="1281" spans="2:7" x14ac:dyDescent="0.35">
      <c r="B1281" s="47"/>
      <c r="C1281" s="14"/>
      <c r="D1281" s="14"/>
      <c r="E1281" s="14"/>
      <c r="F1281" s="14"/>
      <c r="G1281" s="18"/>
    </row>
    <row r="1282" spans="2:7" x14ac:dyDescent="0.35">
      <c r="B1282" s="47"/>
      <c r="C1282" s="14"/>
      <c r="D1282" s="14"/>
      <c r="E1282" s="14"/>
      <c r="F1282" s="14"/>
      <c r="G1282" s="18"/>
    </row>
    <row r="1283" spans="2:7" x14ac:dyDescent="0.35">
      <c r="B1283" s="47"/>
      <c r="C1283" s="14"/>
      <c r="D1283" s="14"/>
      <c r="E1283" s="14"/>
      <c r="F1283" s="14"/>
      <c r="G1283" s="18"/>
    </row>
    <row r="1284" spans="2:7" x14ac:dyDescent="0.35">
      <c r="B1284" s="47"/>
      <c r="C1284" s="14"/>
      <c r="D1284" s="14"/>
      <c r="E1284" s="14"/>
      <c r="F1284" s="14"/>
      <c r="G1284" s="18"/>
    </row>
    <row r="1285" spans="2:7" x14ac:dyDescent="0.35">
      <c r="B1285" s="47"/>
      <c r="C1285" s="14"/>
      <c r="D1285" s="14"/>
      <c r="E1285" s="14"/>
      <c r="F1285" s="14"/>
      <c r="G1285" s="18"/>
    </row>
    <row r="1286" spans="2:7" x14ac:dyDescent="0.35">
      <c r="B1286" s="47"/>
      <c r="C1286" s="14"/>
      <c r="D1286" s="14"/>
      <c r="E1286" s="14"/>
      <c r="F1286" s="14"/>
      <c r="G1286" s="18"/>
    </row>
    <row r="1287" spans="2:7" x14ac:dyDescent="0.35">
      <c r="B1287" s="47"/>
      <c r="C1287" s="14"/>
      <c r="D1287" s="14"/>
      <c r="E1287" s="14"/>
      <c r="F1287" s="14"/>
      <c r="G1287" s="18"/>
    </row>
    <row r="1288" spans="2:7" x14ac:dyDescent="0.35">
      <c r="B1288" s="47"/>
      <c r="C1288" s="14"/>
      <c r="D1288" s="14"/>
      <c r="E1288" s="14"/>
      <c r="F1288" s="14"/>
      <c r="G1288" s="18"/>
    </row>
    <row r="1289" spans="2:7" x14ac:dyDescent="0.35">
      <c r="B1289" s="47"/>
      <c r="C1289" s="14"/>
      <c r="D1289" s="14"/>
      <c r="E1289" s="14"/>
      <c r="F1289" s="14"/>
      <c r="G1289" s="18"/>
    </row>
    <row r="1290" spans="2:7" x14ac:dyDescent="0.35">
      <c r="B1290" s="47"/>
      <c r="C1290" s="14"/>
      <c r="D1290" s="14"/>
      <c r="E1290" s="14"/>
      <c r="F1290" s="14"/>
      <c r="G1290" s="18"/>
    </row>
    <row r="1291" spans="2:7" x14ac:dyDescent="0.35">
      <c r="B1291" s="47"/>
      <c r="C1291" s="14"/>
      <c r="D1291" s="14"/>
      <c r="E1291" s="14"/>
      <c r="F1291" s="14"/>
      <c r="G1291" s="18"/>
    </row>
    <row r="1292" spans="2:7" x14ac:dyDescent="0.35">
      <c r="B1292" s="47"/>
      <c r="C1292" s="14"/>
      <c r="D1292" s="14"/>
      <c r="E1292" s="14"/>
      <c r="F1292" s="14"/>
      <c r="G1292" s="18"/>
    </row>
    <row r="1293" spans="2:7" x14ac:dyDescent="0.35">
      <c r="B1293" s="47"/>
      <c r="C1293" s="14"/>
      <c r="D1293" s="14"/>
      <c r="E1293" s="14"/>
      <c r="F1293" s="14"/>
      <c r="G1293" s="18"/>
    </row>
    <row r="1294" spans="2:7" x14ac:dyDescent="0.35">
      <c r="B1294" s="47"/>
      <c r="C1294" s="14"/>
      <c r="D1294" s="14"/>
      <c r="E1294" s="14"/>
      <c r="F1294" s="14"/>
      <c r="G1294" s="18"/>
    </row>
    <row r="1295" spans="2:7" x14ac:dyDescent="0.35">
      <c r="B1295" s="47"/>
      <c r="C1295" s="14"/>
      <c r="D1295" s="14"/>
      <c r="E1295" s="14"/>
      <c r="F1295" s="14"/>
      <c r="G1295" s="18"/>
    </row>
    <row r="1296" spans="2:7" x14ac:dyDescent="0.35">
      <c r="B1296" s="47"/>
      <c r="C1296" s="14"/>
      <c r="D1296" s="14"/>
      <c r="E1296" s="14"/>
      <c r="F1296" s="14"/>
      <c r="G1296" s="18"/>
    </row>
    <row r="1297" spans="2:7" x14ac:dyDescent="0.35">
      <c r="B1297" s="47"/>
      <c r="C1297" s="14"/>
      <c r="D1297" s="14"/>
      <c r="E1297" s="14"/>
      <c r="F1297" s="14"/>
      <c r="G1297" s="18"/>
    </row>
    <row r="1298" spans="2:7" x14ac:dyDescent="0.35">
      <c r="B1298" s="47"/>
      <c r="C1298" s="14"/>
      <c r="D1298" s="14"/>
      <c r="E1298" s="14"/>
      <c r="F1298" s="14"/>
      <c r="G1298" s="18"/>
    </row>
    <row r="1299" spans="2:7" x14ac:dyDescent="0.35">
      <c r="B1299" s="47"/>
      <c r="C1299" s="14"/>
      <c r="D1299" s="14"/>
      <c r="E1299" s="14"/>
      <c r="F1299" s="14"/>
      <c r="G1299" s="18"/>
    </row>
    <row r="1300" spans="2:7" x14ac:dyDescent="0.35">
      <c r="B1300" s="47"/>
      <c r="C1300" s="14"/>
      <c r="D1300" s="14"/>
      <c r="E1300" s="14"/>
      <c r="F1300" s="14"/>
      <c r="G1300" s="18"/>
    </row>
    <row r="1301" spans="2:7" x14ac:dyDescent="0.35">
      <c r="B1301" s="47"/>
      <c r="C1301" s="14"/>
      <c r="D1301" s="14"/>
      <c r="E1301" s="14"/>
      <c r="F1301" s="14"/>
      <c r="G1301" s="18"/>
    </row>
    <row r="1302" spans="2:7" x14ac:dyDescent="0.35">
      <c r="B1302" s="47"/>
      <c r="C1302" s="14"/>
      <c r="D1302" s="14"/>
      <c r="E1302" s="14"/>
      <c r="F1302" s="14"/>
      <c r="G1302" s="18"/>
    </row>
    <row r="1303" spans="2:7" x14ac:dyDescent="0.35">
      <c r="B1303" s="47"/>
      <c r="C1303" s="14"/>
      <c r="D1303" s="14"/>
      <c r="E1303" s="14"/>
      <c r="F1303" s="14"/>
      <c r="G1303" s="18"/>
    </row>
    <row r="1304" spans="2:7" x14ac:dyDescent="0.35">
      <c r="B1304" s="47"/>
      <c r="C1304" s="14"/>
      <c r="D1304" s="14"/>
      <c r="E1304" s="14"/>
      <c r="F1304" s="14"/>
      <c r="G1304" s="18"/>
    </row>
    <row r="1305" spans="2:7" x14ac:dyDescent="0.35">
      <c r="B1305" s="47"/>
      <c r="C1305" s="14"/>
      <c r="D1305" s="14"/>
      <c r="E1305" s="14"/>
      <c r="F1305" s="14"/>
      <c r="G1305" s="18"/>
    </row>
    <row r="1306" spans="2:7" x14ac:dyDescent="0.35">
      <c r="B1306" s="47"/>
      <c r="C1306" s="14"/>
      <c r="D1306" s="14"/>
      <c r="E1306" s="14"/>
      <c r="F1306" s="14"/>
      <c r="G1306" s="18"/>
    </row>
    <row r="1307" spans="2:7" x14ac:dyDescent="0.35">
      <c r="B1307" s="47"/>
      <c r="C1307" s="14"/>
      <c r="D1307" s="14"/>
      <c r="E1307" s="14"/>
      <c r="F1307" s="14"/>
      <c r="G1307" s="18"/>
    </row>
    <row r="1308" spans="2:7" x14ac:dyDescent="0.35">
      <c r="B1308" s="47"/>
      <c r="C1308" s="14"/>
      <c r="D1308" s="14"/>
      <c r="E1308" s="14"/>
      <c r="F1308" s="14"/>
      <c r="G1308" s="18"/>
    </row>
    <row r="1309" spans="2:7" x14ac:dyDescent="0.35">
      <c r="B1309" s="47"/>
      <c r="C1309" s="14"/>
      <c r="D1309" s="14"/>
      <c r="E1309" s="14"/>
      <c r="F1309" s="14"/>
      <c r="G1309" s="18"/>
    </row>
    <row r="1310" spans="2:7" x14ac:dyDescent="0.35">
      <c r="B1310" s="47"/>
      <c r="C1310" s="14"/>
      <c r="D1310" s="14"/>
      <c r="E1310" s="14"/>
      <c r="F1310" s="14"/>
      <c r="G1310" s="18"/>
    </row>
    <row r="1311" spans="2:7" x14ac:dyDescent="0.35">
      <c r="B1311" s="47"/>
      <c r="C1311" s="14"/>
      <c r="D1311" s="14"/>
      <c r="E1311" s="14"/>
      <c r="F1311" s="14"/>
      <c r="G1311" s="18"/>
    </row>
    <row r="1312" spans="2:7" x14ac:dyDescent="0.35">
      <c r="B1312" s="47"/>
      <c r="C1312" s="14"/>
      <c r="D1312" s="14"/>
      <c r="E1312" s="14"/>
      <c r="F1312" s="14"/>
      <c r="G1312" s="18"/>
    </row>
    <row r="1313" spans="2:7" x14ac:dyDescent="0.35">
      <c r="B1313" s="47"/>
      <c r="C1313" s="14"/>
      <c r="D1313" s="14"/>
      <c r="E1313" s="14"/>
      <c r="F1313" s="14"/>
      <c r="G1313" s="18"/>
    </row>
    <row r="1314" spans="2:7" x14ac:dyDescent="0.35">
      <c r="B1314" s="47"/>
      <c r="C1314" s="14"/>
      <c r="D1314" s="14"/>
      <c r="E1314" s="14"/>
      <c r="F1314" s="14"/>
      <c r="G1314" s="18"/>
    </row>
    <row r="1315" spans="2:7" x14ac:dyDescent="0.35">
      <c r="B1315" s="47"/>
      <c r="C1315" s="14"/>
      <c r="D1315" s="14"/>
      <c r="E1315" s="14"/>
      <c r="F1315" s="14"/>
      <c r="G1315" s="18"/>
    </row>
    <row r="1316" spans="2:7" x14ac:dyDescent="0.35">
      <c r="B1316" s="47"/>
      <c r="C1316" s="14"/>
      <c r="D1316" s="14"/>
      <c r="E1316" s="14"/>
      <c r="F1316" s="14"/>
      <c r="G1316" s="18"/>
    </row>
    <row r="1317" spans="2:7" x14ac:dyDescent="0.35">
      <c r="B1317" s="47"/>
      <c r="C1317" s="14"/>
      <c r="D1317" s="14"/>
      <c r="E1317" s="14"/>
      <c r="F1317" s="14"/>
      <c r="G1317" s="18"/>
    </row>
    <row r="1318" spans="2:7" x14ac:dyDescent="0.35">
      <c r="B1318" s="47"/>
      <c r="C1318" s="14"/>
      <c r="D1318" s="14"/>
      <c r="E1318" s="14"/>
      <c r="F1318" s="14"/>
      <c r="G1318" s="18"/>
    </row>
    <row r="1319" spans="2:7" x14ac:dyDescent="0.35">
      <c r="B1319" s="47"/>
      <c r="C1319" s="14"/>
      <c r="D1319" s="14"/>
      <c r="E1319" s="14"/>
      <c r="F1319" s="14"/>
      <c r="G1319" s="18"/>
    </row>
    <row r="1320" spans="2:7" x14ac:dyDescent="0.35">
      <c r="B1320" s="47"/>
      <c r="C1320" s="14"/>
      <c r="D1320" s="14"/>
      <c r="E1320" s="14"/>
      <c r="F1320" s="14"/>
      <c r="G1320" s="18"/>
    </row>
    <row r="1321" spans="2:7" x14ac:dyDescent="0.35">
      <c r="B1321" s="47"/>
      <c r="C1321" s="14"/>
      <c r="D1321" s="14"/>
      <c r="E1321" s="14"/>
      <c r="F1321" s="14"/>
      <c r="G1321" s="18"/>
    </row>
    <row r="1322" spans="2:7" x14ac:dyDescent="0.35">
      <c r="B1322" s="47"/>
      <c r="C1322" s="14"/>
      <c r="D1322" s="14"/>
      <c r="E1322" s="14"/>
      <c r="F1322" s="14"/>
      <c r="G1322" s="18"/>
    </row>
    <row r="1323" spans="2:7" x14ac:dyDescent="0.35">
      <c r="B1323" s="47"/>
      <c r="C1323" s="14"/>
      <c r="D1323" s="14"/>
      <c r="E1323" s="14"/>
      <c r="F1323" s="14"/>
      <c r="G1323" s="18"/>
    </row>
    <row r="1324" spans="2:7" x14ac:dyDescent="0.35">
      <c r="B1324" s="47"/>
      <c r="C1324" s="14"/>
      <c r="D1324" s="14"/>
      <c r="E1324" s="14"/>
      <c r="F1324" s="14"/>
      <c r="G1324" s="18"/>
    </row>
    <row r="1325" spans="2:7" x14ac:dyDescent="0.35">
      <c r="B1325" s="47"/>
      <c r="C1325" s="14"/>
      <c r="D1325" s="14"/>
      <c r="E1325" s="14"/>
      <c r="F1325" s="14"/>
      <c r="G1325" s="18"/>
    </row>
    <row r="1326" spans="2:7" x14ac:dyDescent="0.35">
      <c r="B1326" s="47"/>
      <c r="C1326" s="14"/>
      <c r="D1326" s="14"/>
      <c r="E1326" s="14"/>
      <c r="F1326" s="14"/>
      <c r="G1326" s="18"/>
    </row>
    <row r="1327" spans="2:7" x14ac:dyDescent="0.35">
      <c r="B1327" s="47"/>
      <c r="C1327" s="14"/>
      <c r="D1327" s="14"/>
      <c r="E1327" s="14"/>
      <c r="F1327" s="14"/>
      <c r="G1327" s="18"/>
    </row>
    <row r="1328" spans="2:7" x14ac:dyDescent="0.35">
      <c r="B1328" s="47"/>
      <c r="C1328" s="14"/>
      <c r="D1328" s="14"/>
      <c r="E1328" s="14"/>
      <c r="F1328" s="14"/>
      <c r="G1328" s="18"/>
    </row>
    <row r="1329" spans="2:7" x14ac:dyDescent="0.35">
      <c r="B1329" s="47"/>
      <c r="C1329" s="14"/>
      <c r="D1329" s="14"/>
      <c r="E1329" s="14"/>
      <c r="F1329" s="14"/>
      <c r="G1329" s="18"/>
    </row>
    <row r="1330" spans="2:7" x14ac:dyDescent="0.35">
      <c r="B1330" s="47"/>
      <c r="C1330" s="14"/>
      <c r="D1330" s="14"/>
      <c r="E1330" s="14"/>
      <c r="F1330" s="14"/>
      <c r="G1330" s="18"/>
    </row>
    <row r="1331" spans="2:7" x14ac:dyDescent="0.35">
      <c r="B1331" s="47"/>
      <c r="C1331" s="14"/>
      <c r="D1331" s="14"/>
      <c r="E1331" s="14"/>
      <c r="F1331" s="14"/>
      <c r="G1331" s="18"/>
    </row>
    <row r="1332" spans="2:7" x14ac:dyDescent="0.35">
      <c r="B1332" s="47"/>
      <c r="C1332" s="14"/>
      <c r="D1332" s="14"/>
      <c r="E1332" s="14"/>
      <c r="F1332" s="14"/>
      <c r="G1332" s="18"/>
    </row>
    <row r="1333" spans="2:7" x14ac:dyDescent="0.35">
      <c r="B1333" s="47"/>
      <c r="C1333" s="14"/>
      <c r="D1333" s="14"/>
      <c r="E1333" s="14"/>
      <c r="F1333" s="14"/>
      <c r="G1333" s="18"/>
    </row>
    <row r="1334" spans="2:7" x14ac:dyDescent="0.35">
      <c r="B1334" s="47"/>
      <c r="C1334" s="14"/>
      <c r="D1334" s="14"/>
      <c r="E1334" s="14"/>
      <c r="F1334" s="14"/>
      <c r="G1334" s="18"/>
    </row>
    <row r="1335" spans="2:7" x14ac:dyDescent="0.35">
      <c r="B1335" s="47"/>
      <c r="C1335" s="14"/>
      <c r="D1335" s="14"/>
      <c r="E1335" s="14"/>
      <c r="F1335" s="14"/>
      <c r="G1335" s="18"/>
    </row>
    <row r="1336" spans="2:7" x14ac:dyDescent="0.35">
      <c r="B1336" s="47"/>
      <c r="C1336" s="14"/>
      <c r="D1336" s="14"/>
      <c r="E1336" s="14"/>
      <c r="F1336" s="14"/>
      <c r="G1336" s="18"/>
    </row>
    <row r="1337" spans="2:7" x14ac:dyDescent="0.35">
      <c r="B1337" s="47"/>
      <c r="C1337" s="14"/>
      <c r="D1337" s="14"/>
      <c r="E1337" s="14"/>
      <c r="F1337" s="14"/>
      <c r="G1337" s="18"/>
    </row>
    <row r="1338" spans="2:7" x14ac:dyDescent="0.35">
      <c r="B1338" s="47"/>
      <c r="C1338" s="14"/>
      <c r="D1338" s="14"/>
      <c r="E1338" s="14"/>
      <c r="F1338" s="14"/>
      <c r="G1338" s="18"/>
    </row>
    <row r="1339" spans="2:7" x14ac:dyDescent="0.35">
      <c r="B1339" s="47"/>
      <c r="C1339" s="14"/>
      <c r="D1339" s="14"/>
      <c r="E1339" s="14"/>
      <c r="F1339" s="14"/>
      <c r="G1339" s="18"/>
    </row>
    <row r="1340" spans="2:7" x14ac:dyDescent="0.35">
      <c r="B1340" s="47"/>
      <c r="C1340" s="14"/>
      <c r="D1340" s="14"/>
      <c r="E1340" s="14"/>
      <c r="F1340" s="14"/>
      <c r="G1340" s="18"/>
    </row>
    <row r="1341" spans="2:7" x14ac:dyDescent="0.35">
      <c r="B1341" s="47"/>
      <c r="C1341" s="14"/>
      <c r="D1341" s="14"/>
      <c r="E1341" s="14"/>
      <c r="F1341" s="14"/>
      <c r="G1341" s="18"/>
    </row>
    <row r="1342" spans="2:7" x14ac:dyDescent="0.35">
      <c r="B1342" s="47"/>
      <c r="C1342" s="14"/>
      <c r="D1342" s="14"/>
      <c r="E1342" s="14"/>
      <c r="F1342" s="14"/>
      <c r="G1342" s="18"/>
    </row>
    <row r="1343" spans="2:7" x14ac:dyDescent="0.35">
      <c r="B1343" s="47"/>
      <c r="C1343" s="14"/>
      <c r="D1343" s="14"/>
      <c r="E1343" s="14"/>
      <c r="F1343" s="14"/>
      <c r="G1343" s="18"/>
    </row>
    <row r="1344" spans="2:7" x14ac:dyDescent="0.35">
      <c r="B1344" s="47"/>
      <c r="C1344" s="14"/>
      <c r="D1344" s="14"/>
      <c r="E1344" s="14"/>
      <c r="F1344" s="14"/>
      <c r="G1344" s="18"/>
    </row>
    <row r="1345" spans="2:7" x14ac:dyDescent="0.35">
      <c r="B1345" s="47"/>
      <c r="C1345" s="14"/>
      <c r="D1345" s="14"/>
      <c r="E1345" s="14"/>
      <c r="F1345" s="14"/>
      <c r="G1345" s="18"/>
    </row>
    <row r="1346" spans="2:7" x14ac:dyDescent="0.35">
      <c r="B1346" s="47"/>
      <c r="C1346" s="14"/>
      <c r="D1346" s="14"/>
      <c r="E1346" s="14"/>
      <c r="F1346" s="14"/>
      <c r="G1346" s="18"/>
    </row>
    <row r="1347" spans="2:7" x14ac:dyDescent="0.35">
      <c r="B1347" s="47"/>
      <c r="C1347" s="14"/>
      <c r="D1347" s="14"/>
      <c r="E1347" s="14"/>
      <c r="F1347" s="14"/>
      <c r="G1347" s="18"/>
    </row>
    <row r="1348" spans="2:7" x14ac:dyDescent="0.35">
      <c r="B1348" s="47"/>
      <c r="C1348" s="14"/>
      <c r="D1348" s="14"/>
      <c r="E1348" s="14"/>
      <c r="F1348" s="14"/>
      <c r="G1348" s="18"/>
    </row>
    <row r="1349" spans="2:7" x14ac:dyDescent="0.35">
      <c r="B1349" s="47"/>
      <c r="C1349" s="14"/>
      <c r="D1349" s="14"/>
      <c r="E1349" s="14"/>
      <c r="F1349" s="14"/>
      <c r="G1349" s="18"/>
    </row>
    <row r="1350" spans="2:7" x14ac:dyDescent="0.35">
      <c r="B1350" s="47"/>
      <c r="C1350" s="14"/>
      <c r="D1350" s="14"/>
      <c r="E1350" s="14"/>
      <c r="F1350" s="14"/>
      <c r="G1350" s="18"/>
    </row>
    <row r="1351" spans="2:7" x14ac:dyDescent="0.35">
      <c r="B1351" s="47"/>
      <c r="C1351" s="14"/>
      <c r="D1351" s="14"/>
      <c r="E1351" s="14"/>
      <c r="F1351" s="14"/>
      <c r="G1351" s="18"/>
    </row>
    <row r="1352" spans="2:7" x14ac:dyDescent="0.35">
      <c r="B1352" s="47"/>
      <c r="C1352" s="14"/>
      <c r="D1352" s="14"/>
      <c r="E1352" s="14"/>
      <c r="F1352" s="14"/>
      <c r="G1352" s="18"/>
    </row>
    <row r="1353" spans="2:7" x14ac:dyDescent="0.35">
      <c r="B1353" s="47"/>
      <c r="C1353" s="14"/>
      <c r="D1353" s="14"/>
      <c r="E1353" s="14"/>
      <c r="F1353" s="14"/>
      <c r="G1353" s="18"/>
    </row>
    <row r="1354" spans="2:7" x14ac:dyDescent="0.35">
      <c r="B1354" s="47"/>
      <c r="C1354" s="14"/>
      <c r="D1354" s="14"/>
      <c r="E1354" s="14"/>
      <c r="F1354" s="14"/>
      <c r="G1354" s="18"/>
    </row>
    <row r="1355" spans="2:7" x14ac:dyDescent="0.35">
      <c r="B1355" s="47"/>
      <c r="C1355" s="14"/>
      <c r="D1355" s="14"/>
      <c r="E1355" s="14"/>
      <c r="F1355" s="14"/>
      <c r="G1355" s="18"/>
    </row>
    <row r="1356" spans="2:7" x14ac:dyDescent="0.35">
      <c r="B1356" s="47"/>
      <c r="C1356" s="14"/>
      <c r="D1356" s="14"/>
      <c r="E1356" s="14"/>
      <c r="F1356" s="14"/>
      <c r="G1356" s="18"/>
    </row>
    <row r="1357" spans="2:7" x14ac:dyDescent="0.35">
      <c r="B1357" s="47"/>
      <c r="C1357" s="14"/>
      <c r="D1357" s="14"/>
      <c r="E1357" s="14"/>
      <c r="F1357" s="14"/>
      <c r="G1357" s="18"/>
    </row>
    <row r="1358" spans="2:7" x14ac:dyDescent="0.35">
      <c r="B1358" s="47"/>
      <c r="C1358" s="14"/>
      <c r="D1358" s="14"/>
      <c r="E1358" s="14"/>
      <c r="F1358" s="14"/>
      <c r="G1358" s="18"/>
    </row>
    <row r="1359" spans="2:7" x14ac:dyDescent="0.35">
      <c r="B1359" s="47"/>
      <c r="C1359" s="14"/>
      <c r="D1359" s="14"/>
      <c r="E1359" s="14"/>
      <c r="F1359" s="14"/>
      <c r="G1359" s="18"/>
    </row>
    <row r="1360" spans="2:7" x14ac:dyDescent="0.35">
      <c r="B1360" s="47"/>
      <c r="C1360" s="14"/>
      <c r="D1360" s="14"/>
      <c r="E1360" s="14"/>
      <c r="F1360" s="14"/>
      <c r="G1360" s="18"/>
    </row>
    <row r="1361" spans="2:7" x14ac:dyDescent="0.35">
      <c r="B1361" s="47"/>
      <c r="C1361" s="14"/>
      <c r="D1361" s="14"/>
      <c r="E1361" s="14"/>
      <c r="F1361" s="14"/>
      <c r="G1361" s="18"/>
    </row>
    <row r="1362" spans="2:7" x14ac:dyDescent="0.35">
      <c r="B1362" s="47"/>
      <c r="C1362" s="14"/>
      <c r="D1362" s="14"/>
      <c r="E1362" s="14"/>
      <c r="F1362" s="14"/>
      <c r="G1362" s="18"/>
    </row>
    <row r="1363" spans="2:7" x14ac:dyDescent="0.35">
      <c r="B1363" s="47"/>
      <c r="C1363" s="14"/>
      <c r="D1363" s="14"/>
      <c r="E1363" s="14"/>
      <c r="F1363" s="14"/>
      <c r="G1363" s="18"/>
    </row>
    <row r="1364" spans="2:7" x14ac:dyDescent="0.35">
      <c r="B1364" s="47"/>
      <c r="C1364" s="14"/>
      <c r="D1364" s="14"/>
      <c r="E1364" s="14"/>
      <c r="F1364" s="14"/>
      <c r="G1364" s="18"/>
    </row>
    <row r="1365" spans="2:7" x14ac:dyDescent="0.35">
      <c r="B1365" s="47"/>
      <c r="C1365" s="14"/>
      <c r="D1365" s="14"/>
      <c r="E1365" s="14"/>
      <c r="F1365" s="14"/>
      <c r="G1365" s="18"/>
    </row>
    <row r="1366" spans="2:7" x14ac:dyDescent="0.35">
      <c r="B1366" s="47"/>
      <c r="C1366" s="14"/>
      <c r="D1366" s="14"/>
      <c r="E1366" s="14"/>
      <c r="F1366" s="14"/>
      <c r="G1366" s="18"/>
    </row>
    <row r="1367" spans="2:7" x14ac:dyDescent="0.35">
      <c r="B1367" s="47"/>
      <c r="C1367" s="14"/>
      <c r="D1367" s="14"/>
      <c r="E1367" s="14"/>
      <c r="F1367" s="14"/>
      <c r="G1367" s="18"/>
    </row>
    <row r="1368" spans="2:7" x14ac:dyDescent="0.35">
      <c r="B1368" s="47"/>
      <c r="C1368" s="14"/>
      <c r="D1368" s="14"/>
      <c r="E1368" s="14"/>
      <c r="F1368" s="14"/>
      <c r="G1368" s="18"/>
    </row>
    <row r="1369" spans="2:7" x14ac:dyDescent="0.35">
      <c r="B1369" s="47"/>
      <c r="C1369" s="14"/>
      <c r="D1369" s="14"/>
      <c r="E1369" s="14"/>
      <c r="F1369" s="14"/>
      <c r="G1369" s="18"/>
    </row>
    <row r="1370" spans="2:7" x14ac:dyDescent="0.35">
      <c r="B1370" s="47"/>
      <c r="C1370" s="14"/>
      <c r="D1370" s="14"/>
      <c r="E1370" s="14"/>
      <c r="F1370" s="14"/>
      <c r="G1370" s="18"/>
    </row>
    <row r="1371" spans="2:7" x14ac:dyDescent="0.35">
      <c r="B1371" s="47"/>
      <c r="C1371" s="14"/>
      <c r="D1371" s="14"/>
      <c r="E1371" s="14"/>
      <c r="F1371" s="14"/>
      <c r="G1371" s="18"/>
    </row>
    <row r="1372" spans="2:7" x14ac:dyDescent="0.35">
      <c r="B1372" s="47"/>
      <c r="C1372" s="14"/>
      <c r="D1372" s="14"/>
      <c r="E1372" s="14"/>
      <c r="F1372" s="14"/>
      <c r="G1372" s="18"/>
    </row>
    <row r="1373" spans="2:7" x14ac:dyDescent="0.35">
      <c r="B1373" s="47"/>
      <c r="C1373" s="14"/>
      <c r="D1373" s="14"/>
      <c r="E1373" s="14"/>
      <c r="F1373" s="14"/>
      <c r="G1373" s="18"/>
    </row>
    <row r="1374" spans="2:7" x14ac:dyDescent="0.35">
      <c r="B1374" s="47"/>
      <c r="C1374" s="14"/>
      <c r="D1374" s="14"/>
      <c r="E1374" s="14"/>
      <c r="F1374" s="14"/>
      <c r="G1374" s="18"/>
    </row>
    <row r="1375" spans="2:7" x14ac:dyDescent="0.35">
      <c r="B1375" s="47"/>
      <c r="C1375" s="14"/>
      <c r="D1375" s="14"/>
      <c r="E1375" s="14"/>
      <c r="F1375" s="14"/>
      <c r="G1375" s="18"/>
    </row>
    <row r="1376" spans="2:7" x14ac:dyDescent="0.35">
      <c r="B1376" s="47"/>
      <c r="C1376" s="14"/>
      <c r="D1376" s="14"/>
      <c r="E1376" s="14"/>
      <c r="F1376" s="14"/>
      <c r="G1376" s="18"/>
    </row>
    <row r="1377" spans="2:7" x14ac:dyDescent="0.35">
      <c r="B1377" s="47"/>
      <c r="C1377" s="14"/>
      <c r="D1377" s="14"/>
      <c r="E1377" s="14"/>
      <c r="F1377" s="14"/>
      <c r="G1377" s="18"/>
    </row>
    <row r="1378" spans="2:7" x14ac:dyDescent="0.35">
      <c r="B1378" s="47"/>
      <c r="C1378" s="14"/>
      <c r="D1378" s="14"/>
      <c r="E1378" s="14"/>
      <c r="F1378" s="14"/>
      <c r="G1378" s="18"/>
    </row>
    <row r="1379" spans="2:7" x14ac:dyDescent="0.35">
      <c r="B1379" s="47"/>
      <c r="C1379" s="14"/>
      <c r="D1379" s="14"/>
      <c r="E1379" s="14"/>
      <c r="F1379" s="14"/>
      <c r="G1379" s="18"/>
    </row>
    <row r="1380" spans="2:7" x14ac:dyDescent="0.35">
      <c r="B1380" s="47"/>
      <c r="C1380" s="14"/>
      <c r="D1380" s="14"/>
      <c r="E1380" s="14"/>
      <c r="F1380" s="14"/>
      <c r="G1380" s="18"/>
    </row>
    <row r="1381" spans="2:7" x14ac:dyDescent="0.35">
      <c r="B1381" s="47"/>
      <c r="C1381" s="14"/>
      <c r="D1381" s="14"/>
      <c r="E1381" s="14"/>
      <c r="F1381" s="14"/>
      <c r="G1381" s="18"/>
    </row>
    <row r="1382" spans="2:7" x14ac:dyDescent="0.35">
      <c r="B1382" s="47"/>
      <c r="C1382" s="14"/>
      <c r="D1382" s="14"/>
      <c r="E1382" s="14"/>
      <c r="F1382" s="14"/>
      <c r="G1382" s="18"/>
    </row>
    <row r="1383" spans="2:7" x14ac:dyDescent="0.35">
      <c r="B1383" s="47"/>
      <c r="C1383" s="14"/>
      <c r="D1383" s="14"/>
      <c r="E1383" s="14"/>
      <c r="F1383" s="14"/>
      <c r="G1383" s="18"/>
    </row>
    <row r="1384" spans="2:7" x14ac:dyDescent="0.35">
      <c r="B1384" s="47"/>
      <c r="C1384" s="14"/>
      <c r="D1384" s="14"/>
      <c r="E1384" s="14"/>
      <c r="F1384" s="14"/>
      <c r="G1384" s="18"/>
    </row>
    <row r="1385" spans="2:7" x14ac:dyDescent="0.35">
      <c r="B1385" s="47"/>
      <c r="C1385" s="14"/>
      <c r="D1385" s="14"/>
      <c r="E1385" s="14"/>
      <c r="F1385" s="14"/>
      <c r="G1385" s="18"/>
    </row>
    <row r="1386" spans="2:7" x14ac:dyDescent="0.35">
      <c r="B1386" s="47"/>
      <c r="C1386" s="14"/>
      <c r="D1386" s="14"/>
      <c r="E1386" s="14"/>
      <c r="F1386" s="14"/>
      <c r="G1386" s="18"/>
    </row>
    <row r="1387" spans="2:7" x14ac:dyDescent="0.35">
      <c r="B1387" s="47"/>
      <c r="C1387" s="14"/>
      <c r="D1387" s="14"/>
      <c r="E1387" s="14"/>
      <c r="F1387" s="14"/>
      <c r="G1387" s="18"/>
    </row>
    <row r="1388" spans="2:7" x14ac:dyDescent="0.35">
      <c r="B1388" s="47"/>
      <c r="C1388" s="14"/>
      <c r="D1388" s="14"/>
      <c r="E1388" s="14"/>
      <c r="F1388" s="14"/>
      <c r="G1388" s="18"/>
    </row>
    <row r="1389" spans="2:7" x14ac:dyDescent="0.35">
      <c r="B1389" s="47"/>
      <c r="C1389" s="14"/>
      <c r="D1389" s="14"/>
      <c r="E1389" s="14"/>
      <c r="F1389" s="14"/>
      <c r="G1389" s="18"/>
    </row>
    <row r="1390" spans="2:7" x14ac:dyDescent="0.35">
      <c r="B1390" s="47"/>
      <c r="C1390" s="14"/>
      <c r="D1390" s="14"/>
      <c r="E1390" s="14"/>
      <c r="F1390" s="14"/>
      <c r="G1390" s="18"/>
    </row>
    <row r="1391" spans="2:7" x14ac:dyDescent="0.35">
      <c r="B1391" s="47"/>
      <c r="C1391" s="14"/>
      <c r="D1391" s="14"/>
      <c r="E1391" s="14"/>
      <c r="F1391" s="14"/>
      <c r="G1391" s="18"/>
    </row>
    <row r="1392" spans="2:7" x14ac:dyDescent="0.35">
      <c r="B1392" s="47"/>
      <c r="C1392" s="14"/>
      <c r="D1392" s="14"/>
      <c r="E1392" s="14"/>
      <c r="F1392" s="14"/>
      <c r="G1392" s="18"/>
    </row>
    <row r="1393" spans="2:7" x14ac:dyDescent="0.35">
      <c r="B1393" s="47"/>
      <c r="C1393" s="14"/>
      <c r="D1393" s="14"/>
      <c r="E1393" s="14"/>
      <c r="F1393" s="14"/>
      <c r="G1393" s="18"/>
    </row>
    <row r="1394" spans="2:7" x14ac:dyDescent="0.35">
      <c r="B1394" s="47"/>
      <c r="C1394" s="14"/>
      <c r="D1394" s="14"/>
      <c r="E1394" s="14"/>
      <c r="F1394" s="14"/>
      <c r="G1394" s="18"/>
    </row>
    <row r="1395" spans="2:7" x14ac:dyDescent="0.35">
      <c r="B1395" s="47"/>
      <c r="C1395" s="14"/>
      <c r="D1395" s="14"/>
      <c r="E1395" s="14"/>
      <c r="F1395" s="14"/>
      <c r="G1395" s="18"/>
    </row>
    <row r="1396" spans="2:7" x14ac:dyDescent="0.35">
      <c r="B1396" s="47"/>
      <c r="C1396" s="14"/>
      <c r="D1396" s="14"/>
      <c r="E1396" s="14"/>
      <c r="F1396" s="14"/>
      <c r="G1396" s="18"/>
    </row>
    <row r="1397" spans="2:7" x14ac:dyDescent="0.35">
      <c r="B1397" s="47"/>
      <c r="C1397" s="14"/>
      <c r="D1397" s="14"/>
      <c r="E1397" s="14"/>
      <c r="F1397" s="14"/>
      <c r="G1397" s="18"/>
    </row>
    <row r="1398" spans="2:7" x14ac:dyDescent="0.35">
      <c r="B1398" s="47"/>
      <c r="C1398" s="14"/>
      <c r="D1398" s="14"/>
      <c r="E1398" s="14"/>
      <c r="F1398" s="14"/>
      <c r="G1398" s="18"/>
    </row>
    <row r="1399" spans="2:7" x14ac:dyDescent="0.35">
      <c r="B1399" s="47"/>
      <c r="C1399" s="14"/>
      <c r="D1399" s="14"/>
      <c r="E1399" s="14"/>
      <c r="F1399" s="14"/>
      <c r="G1399" s="18"/>
    </row>
    <row r="1400" spans="2:7" x14ac:dyDescent="0.35">
      <c r="B1400" s="47"/>
      <c r="C1400" s="14"/>
      <c r="D1400" s="14"/>
      <c r="E1400" s="14"/>
      <c r="F1400" s="14"/>
      <c r="G1400" s="18"/>
    </row>
    <row r="1401" spans="2:7" x14ac:dyDescent="0.35">
      <c r="B1401" s="47"/>
      <c r="C1401" s="14"/>
      <c r="D1401" s="14"/>
      <c r="E1401" s="14"/>
      <c r="F1401" s="14"/>
      <c r="G1401" s="18"/>
    </row>
    <row r="1402" spans="2:7" x14ac:dyDescent="0.35">
      <c r="B1402" s="47"/>
      <c r="C1402" s="14"/>
      <c r="D1402" s="14"/>
      <c r="E1402" s="14"/>
      <c r="F1402" s="14"/>
      <c r="G1402" s="18"/>
    </row>
    <row r="1403" spans="2:7" x14ac:dyDescent="0.35">
      <c r="B1403" s="47"/>
      <c r="C1403" s="14"/>
      <c r="D1403" s="14"/>
      <c r="E1403" s="14"/>
      <c r="F1403" s="14"/>
      <c r="G1403" s="18"/>
    </row>
    <row r="1404" spans="2:7" x14ac:dyDescent="0.35">
      <c r="B1404" s="47"/>
      <c r="C1404" s="14"/>
      <c r="D1404" s="14"/>
      <c r="E1404" s="14"/>
      <c r="F1404" s="14"/>
      <c r="G1404" s="18"/>
    </row>
    <row r="1405" spans="2:7" x14ac:dyDescent="0.35">
      <c r="B1405" s="47"/>
      <c r="C1405" s="14"/>
      <c r="D1405" s="14"/>
      <c r="E1405" s="14"/>
      <c r="F1405" s="14"/>
      <c r="G1405" s="18"/>
    </row>
    <row r="1406" spans="2:7" x14ac:dyDescent="0.35">
      <c r="B1406" s="47"/>
      <c r="C1406" s="14"/>
      <c r="D1406" s="14"/>
      <c r="E1406" s="14"/>
      <c r="F1406" s="14"/>
      <c r="G1406" s="18"/>
    </row>
    <row r="1407" spans="2:7" x14ac:dyDescent="0.35">
      <c r="B1407" s="47"/>
      <c r="C1407" s="14"/>
      <c r="D1407" s="14"/>
      <c r="E1407" s="14"/>
      <c r="F1407" s="14"/>
      <c r="G1407" s="18"/>
    </row>
    <row r="1408" spans="2:7" x14ac:dyDescent="0.35">
      <c r="B1408" s="47"/>
      <c r="C1408" s="14"/>
      <c r="D1408" s="14"/>
      <c r="E1408" s="14"/>
      <c r="F1408" s="14"/>
      <c r="G1408" s="18"/>
    </row>
    <row r="1409" spans="2:7" x14ac:dyDescent="0.35">
      <c r="B1409" s="47"/>
      <c r="C1409" s="14"/>
      <c r="D1409" s="14"/>
      <c r="E1409" s="14"/>
      <c r="F1409" s="14"/>
      <c r="G1409" s="18"/>
    </row>
    <row r="1410" spans="2:7" x14ac:dyDescent="0.35">
      <c r="B1410" s="47"/>
      <c r="C1410" s="14"/>
      <c r="D1410" s="14"/>
      <c r="E1410" s="14"/>
      <c r="F1410" s="14"/>
      <c r="G1410" s="18"/>
    </row>
    <row r="1411" spans="2:7" x14ac:dyDescent="0.35">
      <c r="B1411" s="47"/>
      <c r="C1411" s="14"/>
      <c r="D1411" s="14"/>
      <c r="E1411" s="14"/>
      <c r="F1411" s="14"/>
      <c r="G1411" s="18"/>
    </row>
    <row r="1412" spans="2:7" x14ac:dyDescent="0.35">
      <c r="B1412" s="47"/>
      <c r="C1412" s="14"/>
      <c r="D1412" s="14"/>
      <c r="E1412" s="14"/>
      <c r="F1412" s="14"/>
      <c r="G1412" s="18"/>
    </row>
    <row r="1413" spans="2:7" x14ac:dyDescent="0.35">
      <c r="B1413" s="47"/>
      <c r="C1413" s="14"/>
      <c r="D1413" s="14"/>
      <c r="E1413" s="14"/>
      <c r="F1413" s="14"/>
      <c r="G1413" s="18"/>
    </row>
    <row r="1414" spans="2:7" x14ac:dyDescent="0.35">
      <c r="B1414" s="47"/>
      <c r="C1414" s="14"/>
      <c r="D1414" s="14"/>
      <c r="E1414" s="14"/>
      <c r="F1414" s="14"/>
      <c r="G1414" s="18"/>
    </row>
    <row r="1415" spans="2:7" x14ac:dyDescent="0.35">
      <c r="B1415" s="47"/>
      <c r="C1415" s="14"/>
      <c r="D1415" s="14"/>
      <c r="E1415" s="14"/>
      <c r="F1415" s="14"/>
      <c r="G1415" s="18"/>
    </row>
    <row r="1416" spans="2:7" x14ac:dyDescent="0.35">
      <c r="B1416" s="47"/>
      <c r="C1416" s="14"/>
      <c r="D1416" s="14"/>
      <c r="E1416" s="14"/>
      <c r="F1416" s="14"/>
      <c r="G1416" s="18"/>
    </row>
    <row r="1417" spans="2:7" x14ac:dyDescent="0.35">
      <c r="B1417" s="47"/>
      <c r="C1417" s="14"/>
      <c r="D1417" s="14"/>
      <c r="E1417" s="14"/>
      <c r="F1417" s="14"/>
      <c r="G1417" s="18"/>
    </row>
    <row r="1418" spans="2:7" x14ac:dyDescent="0.35">
      <c r="B1418" s="47"/>
      <c r="C1418" s="14"/>
      <c r="D1418" s="14"/>
      <c r="E1418" s="14"/>
      <c r="F1418" s="14"/>
      <c r="G1418" s="18"/>
    </row>
    <row r="1419" spans="2:7" x14ac:dyDescent="0.35">
      <c r="B1419" s="47"/>
      <c r="C1419" s="14"/>
      <c r="D1419" s="14"/>
      <c r="E1419" s="14"/>
      <c r="F1419" s="14"/>
      <c r="G1419" s="18"/>
    </row>
    <row r="1420" spans="2:7" x14ac:dyDescent="0.35">
      <c r="B1420" s="47"/>
      <c r="C1420" s="14"/>
      <c r="D1420" s="14"/>
      <c r="E1420" s="14"/>
      <c r="F1420" s="14"/>
      <c r="G1420" s="18"/>
    </row>
    <row r="1421" spans="2:7" x14ac:dyDescent="0.35">
      <c r="B1421" s="47"/>
      <c r="C1421" s="14"/>
      <c r="D1421" s="14"/>
      <c r="E1421" s="14"/>
      <c r="F1421" s="14"/>
      <c r="G1421" s="18"/>
    </row>
    <row r="1422" spans="2:7" x14ac:dyDescent="0.35">
      <c r="B1422" s="47"/>
      <c r="C1422" s="14"/>
      <c r="D1422" s="14"/>
      <c r="E1422" s="14"/>
      <c r="F1422" s="14"/>
      <c r="G1422" s="18"/>
    </row>
    <row r="1423" spans="2:7" x14ac:dyDescent="0.35">
      <c r="B1423" s="47"/>
      <c r="C1423" s="14"/>
      <c r="D1423" s="14"/>
      <c r="E1423" s="14"/>
      <c r="F1423" s="14"/>
      <c r="G1423" s="18"/>
    </row>
    <row r="1424" spans="2:7" x14ac:dyDescent="0.35">
      <c r="B1424" s="47"/>
      <c r="C1424" s="14"/>
      <c r="D1424" s="14"/>
      <c r="E1424" s="14"/>
      <c r="F1424" s="14"/>
      <c r="G1424" s="18"/>
    </row>
    <row r="1425" spans="2:7" x14ac:dyDescent="0.35">
      <c r="B1425" s="47"/>
      <c r="C1425" s="14"/>
      <c r="D1425" s="14"/>
      <c r="E1425" s="14"/>
      <c r="F1425" s="14"/>
      <c r="G1425" s="18"/>
    </row>
    <row r="1426" spans="2:7" x14ac:dyDescent="0.35">
      <c r="B1426" s="47"/>
      <c r="C1426" s="14"/>
      <c r="D1426" s="14"/>
      <c r="E1426" s="14"/>
      <c r="F1426" s="14"/>
      <c r="G1426" s="18"/>
    </row>
    <row r="1427" spans="2:7" x14ac:dyDescent="0.35">
      <c r="B1427" s="47"/>
      <c r="C1427" s="14"/>
      <c r="D1427" s="14"/>
      <c r="E1427" s="14"/>
      <c r="F1427" s="14"/>
      <c r="G1427" s="18"/>
    </row>
    <row r="1428" spans="2:7" x14ac:dyDescent="0.35">
      <c r="B1428" s="47"/>
      <c r="C1428" s="14"/>
      <c r="D1428" s="14"/>
      <c r="E1428" s="14"/>
      <c r="F1428" s="14"/>
      <c r="G1428" s="18"/>
    </row>
    <row r="1429" spans="2:7" x14ac:dyDescent="0.35">
      <c r="B1429" s="47"/>
      <c r="C1429" s="14"/>
      <c r="D1429" s="14"/>
      <c r="E1429" s="14"/>
      <c r="F1429" s="14"/>
      <c r="G1429" s="18"/>
    </row>
    <row r="1430" spans="2:7" x14ac:dyDescent="0.35">
      <c r="B1430" s="47"/>
      <c r="C1430" s="14"/>
      <c r="D1430" s="14"/>
      <c r="E1430" s="14"/>
      <c r="F1430" s="14"/>
      <c r="G1430" s="18"/>
    </row>
    <row r="1431" spans="2:7" x14ac:dyDescent="0.35">
      <c r="B1431" s="47"/>
      <c r="C1431" s="14"/>
      <c r="D1431" s="14"/>
      <c r="E1431" s="14"/>
      <c r="F1431" s="14"/>
      <c r="G1431" s="18"/>
    </row>
    <row r="1432" spans="2:7" x14ac:dyDescent="0.35">
      <c r="B1432" s="47"/>
      <c r="C1432" s="14"/>
      <c r="D1432" s="14"/>
      <c r="E1432" s="14"/>
      <c r="F1432" s="14"/>
      <c r="G1432" s="18"/>
    </row>
    <row r="1433" spans="2:7" x14ac:dyDescent="0.35">
      <c r="B1433" s="47"/>
      <c r="C1433" s="14"/>
      <c r="D1433" s="14"/>
      <c r="E1433" s="14"/>
      <c r="F1433" s="14"/>
      <c r="G1433" s="18"/>
    </row>
    <row r="1434" spans="2:7" x14ac:dyDescent="0.35">
      <c r="B1434" s="47"/>
      <c r="C1434" s="14"/>
      <c r="D1434" s="14"/>
      <c r="E1434" s="14"/>
      <c r="F1434" s="14"/>
      <c r="G1434" s="18"/>
    </row>
    <row r="1435" spans="2:7" x14ac:dyDescent="0.35">
      <c r="B1435" s="47"/>
      <c r="C1435" s="14"/>
      <c r="D1435" s="14"/>
      <c r="E1435" s="14"/>
      <c r="F1435" s="14"/>
      <c r="G1435" s="18"/>
    </row>
    <row r="1436" spans="2:7" x14ac:dyDescent="0.35">
      <c r="B1436" s="47"/>
      <c r="C1436" s="14"/>
      <c r="D1436" s="14"/>
      <c r="E1436" s="14"/>
      <c r="F1436" s="14"/>
      <c r="G1436" s="18"/>
    </row>
    <row r="1437" spans="2:7" x14ac:dyDescent="0.35">
      <c r="B1437" s="47"/>
      <c r="C1437" s="14"/>
      <c r="D1437" s="14"/>
      <c r="E1437" s="14"/>
      <c r="F1437" s="14"/>
      <c r="G1437" s="18"/>
    </row>
    <row r="1438" spans="2:7" x14ac:dyDescent="0.35">
      <c r="B1438" s="47"/>
      <c r="C1438" s="14"/>
      <c r="D1438" s="14"/>
      <c r="E1438" s="14"/>
      <c r="F1438" s="14"/>
      <c r="G1438" s="18"/>
    </row>
    <row r="1439" spans="2:7" x14ac:dyDescent="0.35">
      <c r="B1439" s="47"/>
      <c r="C1439" s="14"/>
      <c r="D1439" s="14"/>
      <c r="E1439" s="14"/>
      <c r="F1439" s="14"/>
      <c r="G1439" s="18"/>
    </row>
    <row r="1440" spans="2:7" x14ac:dyDescent="0.35">
      <c r="B1440" s="47"/>
      <c r="C1440" s="14"/>
      <c r="D1440" s="14"/>
      <c r="E1440" s="14"/>
      <c r="F1440" s="14"/>
      <c r="G1440" s="18"/>
    </row>
    <row r="1441" spans="2:7" x14ac:dyDescent="0.35">
      <c r="B1441" s="47"/>
      <c r="C1441" s="14"/>
      <c r="D1441" s="14"/>
      <c r="E1441" s="14"/>
      <c r="F1441" s="14"/>
      <c r="G1441" s="18"/>
    </row>
    <row r="1442" spans="2:7" x14ac:dyDescent="0.35">
      <c r="B1442" s="47"/>
      <c r="C1442" s="14"/>
      <c r="D1442" s="14"/>
      <c r="E1442" s="14"/>
      <c r="F1442" s="14"/>
      <c r="G1442" s="18"/>
    </row>
    <row r="1443" spans="2:7" x14ac:dyDescent="0.35">
      <c r="B1443" s="47"/>
      <c r="C1443" s="14"/>
      <c r="D1443" s="14"/>
      <c r="E1443" s="14"/>
      <c r="F1443" s="14"/>
      <c r="G1443" s="18"/>
    </row>
    <row r="1444" spans="2:7" x14ac:dyDescent="0.35">
      <c r="B1444" s="47"/>
      <c r="C1444" s="14"/>
      <c r="D1444" s="14"/>
      <c r="E1444" s="14"/>
      <c r="F1444" s="14"/>
      <c r="G1444" s="18"/>
    </row>
    <row r="1445" spans="2:7" x14ac:dyDescent="0.35">
      <c r="B1445" s="47"/>
      <c r="C1445" s="14"/>
      <c r="D1445" s="14"/>
      <c r="E1445" s="14"/>
      <c r="F1445" s="14"/>
      <c r="G1445" s="18"/>
    </row>
    <row r="1446" spans="2:7" x14ac:dyDescent="0.35">
      <c r="B1446" s="47"/>
      <c r="C1446" s="14"/>
      <c r="D1446" s="14"/>
      <c r="E1446" s="14"/>
      <c r="F1446" s="14"/>
      <c r="G1446" s="18"/>
    </row>
    <row r="1447" spans="2:7" x14ac:dyDescent="0.35">
      <c r="B1447" s="47"/>
      <c r="C1447" s="14"/>
      <c r="D1447" s="14"/>
      <c r="E1447" s="14"/>
      <c r="F1447" s="14"/>
      <c r="G1447" s="18"/>
    </row>
    <row r="1448" spans="2:7" x14ac:dyDescent="0.35">
      <c r="B1448" s="47"/>
      <c r="C1448" s="14"/>
      <c r="D1448" s="14"/>
      <c r="E1448" s="14"/>
      <c r="F1448" s="14"/>
      <c r="G1448" s="18"/>
    </row>
    <row r="1449" spans="2:7" x14ac:dyDescent="0.35">
      <c r="B1449" s="47"/>
      <c r="C1449" s="14"/>
      <c r="D1449" s="14"/>
      <c r="E1449" s="14"/>
      <c r="F1449" s="14"/>
      <c r="G1449" s="18"/>
    </row>
    <row r="1450" spans="2:7" x14ac:dyDescent="0.35">
      <c r="B1450" s="47"/>
      <c r="C1450" s="14"/>
      <c r="D1450" s="14"/>
      <c r="E1450" s="14"/>
      <c r="F1450" s="14"/>
      <c r="G1450" s="18"/>
    </row>
    <row r="1451" spans="2:7" x14ac:dyDescent="0.35">
      <c r="B1451" s="47"/>
      <c r="C1451" s="14"/>
      <c r="D1451" s="14"/>
      <c r="E1451" s="14"/>
      <c r="F1451" s="14"/>
      <c r="G1451" s="18"/>
    </row>
    <row r="1452" spans="2:7" x14ac:dyDescent="0.35">
      <c r="B1452" s="47"/>
      <c r="C1452" s="14"/>
      <c r="D1452" s="14"/>
      <c r="E1452" s="14"/>
      <c r="F1452" s="14"/>
      <c r="G1452" s="18"/>
    </row>
    <row r="1453" spans="2:7" x14ac:dyDescent="0.35">
      <c r="B1453" s="47"/>
      <c r="C1453" s="14"/>
      <c r="D1453" s="14"/>
      <c r="E1453" s="14"/>
      <c r="F1453" s="14"/>
      <c r="G1453" s="18"/>
    </row>
    <row r="1454" spans="2:7" x14ac:dyDescent="0.35">
      <c r="B1454" s="47"/>
      <c r="C1454" s="14"/>
      <c r="D1454" s="14"/>
      <c r="E1454" s="14"/>
      <c r="F1454" s="14"/>
      <c r="G1454" s="18"/>
    </row>
    <row r="1455" spans="2:7" x14ac:dyDescent="0.35">
      <c r="B1455" s="47"/>
      <c r="C1455" s="14"/>
      <c r="D1455" s="14"/>
      <c r="E1455" s="14"/>
      <c r="F1455" s="14"/>
      <c r="G1455" s="18"/>
    </row>
    <row r="1456" spans="2:7" x14ac:dyDescent="0.35">
      <c r="B1456" s="47"/>
      <c r="C1456" s="14"/>
      <c r="D1456" s="14"/>
      <c r="E1456" s="14"/>
      <c r="F1456" s="14"/>
      <c r="G1456" s="18"/>
    </row>
    <row r="1457" spans="2:7" x14ac:dyDescent="0.35">
      <c r="B1457" s="47"/>
      <c r="C1457" s="14"/>
      <c r="D1457" s="14"/>
      <c r="E1457" s="14"/>
      <c r="F1457" s="14"/>
      <c r="G1457" s="18"/>
    </row>
    <row r="1458" spans="2:7" x14ac:dyDescent="0.35">
      <c r="B1458" s="47"/>
      <c r="C1458" s="14"/>
      <c r="D1458" s="14"/>
      <c r="E1458" s="14"/>
      <c r="F1458" s="14"/>
      <c r="G1458" s="18"/>
    </row>
    <row r="1459" spans="2:7" x14ac:dyDescent="0.35">
      <c r="B1459" s="47"/>
      <c r="C1459" s="14"/>
      <c r="D1459" s="14"/>
      <c r="E1459" s="14"/>
      <c r="F1459" s="14"/>
      <c r="G1459" s="18"/>
    </row>
    <row r="1460" spans="2:7" x14ac:dyDescent="0.35">
      <c r="B1460" s="47"/>
      <c r="C1460" s="14"/>
      <c r="D1460" s="14"/>
      <c r="E1460" s="14"/>
      <c r="F1460" s="14"/>
      <c r="G1460" s="18"/>
    </row>
    <row r="1461" spans="2:7" x14ac:dyDescent="0.35">
      <c r="B1461" s="47"/>
      <c r="C1461" s="14"/>
      <c r="D1461" s="14"/>
      <c r="E1461" s="14"/>
      <c r="F1461" s="14"/>
      <c r="G1461" s="18"/>
    </row>
    <row r="1462" spans="2:7" x14ac:dyDescent="0.35">
      <c r="B1462" s="47"/>
      <c r="C1462" s="14"/>
      <c r="D1462" s="14"/>
      <c r="E1462" s="14"/>
      <c r="F1462" s="14"/>
      <c r="G1462" s="18"/>
    </row>
    <row r="1463" spans="2:7" x14ac:dyDescent="0.35">
      <c r="B1463" s="47"/>
      <c r="C1463" s="14"/>
      <c r="D1463" s="14"/>
      <c r="E1463" s="14"/>
      <c r="F1463" s="14"/>
      <c r="G1463" s="18"/>
    </row>
    <row r="1464" spans="2:7" x14ac:dyDescent="0.35">
      <c r="B1464" s="47"/>
      <c r="C1464" s="14"/>
      <c r="D1464" s="14"/>
      <c r="E1464" s="14"/>
      <c r="F1464" s="14"/>
      <c r="G1464" s="18"/>
    </row>
    <row r="1465" spans="2:7" x14ac:dyDescent="0.35">
      <c r="B1465" s="47"/>
      <c r="C1465" s="14"/>
      <c r="D1465" s="14"/>
      <c r="E1465" s="14"/>
      <c r="F1465" s="14"/>
      <c r="G1465" s="18"/>
    </row>
    <row r="1466" spans="2:7" x14ac:dyDescent="0.35">
      <c r="B1466" s="47"/>
      <c r="C1466" s="14"/>
      <c r="D1466" s="14"/>
      <c r="E1466" s="14"/>
      <c r="F1466" s="14"/>
      <c r="G1466" s="18"/>
    </row>
    <row r="1467" spans="2:7" x14ac:dyDescent="0.35">
      <c r="B1467" s="47"/>
      <c r="C1467" s="14"/>
      <c r="D1467" s="14"/>
      <c r="E1467" s="14"/>
      <c r="F1467" s="14"/>
      <c r="G1467" s="18"/>
    </row>
    <row r="1468" spans="2:7" x14ac:dyDescent="0.35">
      <c r="B1468" s="47"/>
      <c r="C1468" s="14"/>
      <c r="D1468" s="14"/>
      <c r="E1468" s="14"/>
      <c r="F1468" s="14"/>
      <c r="G1468" s="18"/>
    </row>
    <row r="1469" spans="2:7" x14ac:dyDescent="0.35">
      <c r="B1469" s="47"/>
      <c r="C1469" s="14"/>
      <c r="D1469" s="14"/>
      <c r="E1469" s="14"/>
      <c r="F1469" s="14"/>
      <c r="G1469" s="18"/>
    </row>
    <row r="1470" spans="2:7" x14ac:dyDescent="0.35">
      <c r="B1470" s="47"/>
      <c r="C1470" s="14"/>
      <c r="D1470" s="14"/>
      <c r="E1470" s="14"/>
      <c r="F1470" s="14"/>
      <c r="G1470" s="18"/>
    </row>
    <row r="1471" spans="2:7" x14ac:dyDescent="0.35">
      <c r="B1471" s="47"/>
      <c r="C1471" s="14"/>
      <c r="D1471" s="14"/>
      <c r="E1471" s="14"/>
      <c r="F1471" s="14"/>
      <c r="G1471" s="18"/>
    </row>
    <row r="1472" spans="2:7" x14ac:dyDescent="0.35">
      <c r="B1472" s="47"/>
      <c r="C1472" s="14"/>
      <c r="D1472" s="14"/>
      <c r="E1472" s="14"/>
      <c r="F1472" s="14"/>
      <c r="G1472" s="18"/>
    </row>
    <row r="1473" spans="2:7" x14ac:dyDescent="0.35">
      <c r="B1473" s="47"/>
      <c r="C1473" s="14"/>
      <c r="D1473" s="14"/>
      <c r="E1473" s="14"/>
      <c r="F1473" s="14"/>
      <c r="G1473" s="18"/>
    </row>
    <row r="1474" spans="2:7" x14ac:dyDescent="0.35">
      <c r="B1474" s="47"/>
      <c r="C1474" s="14"/>
      <c r="D1474" s="14"/>
      <c r="E1474" s="14"/>
      <c r="F1474" s="14"/>
      <c r="G1474" s="18"/>
    </row>
    <row r="1475" spans="2:7" x14ac:dyDescent="0.35">
      <c r="B1475" s="47"/>
      <c r="C1475" s="14"/>
      <c r="D1475" s="14"/>
      <c r="E1475" s="14"/>
      <c r="F1475" s="14"/>
      <c r="G1475" s="18"/>
    </row>
    <row r="1476" spans="2:7" x14ac:dyDescent="0.35">
      <c r="B1476" s="47"/>
      <c r="C1476" s="14"/>
      <c r="D1476" s="14"/>
      <c r="E1476" s="14"/>
      <c r="F1476" s="14"/>
      <c r="G1476" s="18"/>
    </row>
    <row r="1477" spans="2:7" x14ac:dyDescent="0.35">
      <c r="B1477" s="47"/>
      <c r="C1477" s="14"/>
      <c r="D1477" s="14"/>
      <c r="E1477" s="14"/>
      <c r="F1477" s="14"/>
      <c r="G1477" s="18"/>
    </row>
    <row r="1478" spans="2:7" x14ac:dyDescent="0.35">
      <c r="B1478" s="47"/>
      <c r="C1478" s="14"/>
      <c r="D1478" s="14"/>
      <c r="E1478" s="14"/>
      <c r="F1478" s="14"/>
      <c r="G1478" s="18"/>
    </row>
    <row r="1479" spans="2:7" x14ac:dyDescent="0.35">
      <c r="B1479" s="47"/>
      <c r="C1479" s="14"/>
      <c r="D1479" s="14"/>
      <c r="E1479" s="14"/>
      <c r="F1479" s="14"/>
      <c r="G1479" s="18"/>
    </row>
    <row r="1480" spans="2:7" x14ac:dyDescent="0.35">
      <c r="B1480" s="47"/>
      <c r="C1480" s="14"/>
      <c r="D1480" s="14"/>
      <c r="E1480" s="14"/>
      <c r="F1480" s="14"/>
      <c r="G1480" s="18"/>
    </row>
    <row r="1481" spans="2:7" x14ac:dyDescent="0.35">
      <c r="B1481" s="47"/>
      <c r="C1481" s="14"/>
      <c r="D1481" s="14"/>
      <c r="E1481" s="14"/>
      <c r="F1481" s="14"/>
      <c r="G1481" s="18"/>
    </row>
    <row r="1482" spans="2:7" x14ac:dyDescent="0.35">
      <c r="B1482" s="47"/>
      <c r="C1482" s="14"/>
      <c r="D1482" s="14"/>
      <c r="E1482" s="14"/>
      <c r="F1482" s="14"/>
      <c r="G1482" s="18"/>
    </row>
    <row r="1483" spans="2:7" x14ac:dyDescent="0.35">
      <c r="B1483" s="47"/>
      <c r="C1483" s="14"/>
      <c r="D1483" s="14"/>
      <c r="E1483" s="14"/>
      <c r="F1483" s="14"/>
      <c r="G1483" s="18"/>
    </row>
    <row r="1484" spans="2:7" x14ac:dyDescent="0.35">
      <c r="B1484" s="47"/>
      <c r="C1484" s="14"/>
      <c r="D1484" s="14"/>
      <c r="E1484" s="14"/>
      <c r="F1484" s="14"/>
      <c r="G1484" s="18"/>
    </row>
    <row r="1485" spans="2:7" x14ac:dyDescent="0.35">
      <c r="B1485" s="47"/>
      <c r="C1485" s="14"/>
      <c r="D1485" s="14"/>
      <c r="E1485" s="14"/>
      <c r="F1485" s="14"/>
      <c r="G1485" s="18"/>
    </row>
    <row r="1486" spans="2:7" x14ac:dyDescent="0.35">
      <c r="B1486" s="47"/>
      <c r="C1486" s="14"/>
      <c r="D1486" s="14"/>
      <c r="E1486" s="14"/>
      <c r="F1486" s="14"/>
      <c r="G1486" s="18"/>
    </row>
    <row r="1487" spans="2:7" x14ac:dyDescent="0.35">
      <c r="B1487" s="47"/>
      <c r="C1487" s="14"/>
      <c r="D1487" s="14"/>
      <c r="E1487" s="14"/>
      <c r="F1487" s="14"/>
      <c r="G1487" s="18"/>
    </row>
    <row r="1488" spans="2:7" x14ac:dyDescent="0.35">
      <c r="B1488" s="47"/>
      <c r="C1488" s="14"/>
      <c r="D1488" s="14"/>
      <c r="E1488" s="14"/>
      <c r="F1488" s="14"/>
      <c r="G1488" s="18"/>
    </row>
    <row r="1489" spans="2:7" x14ac:dyDescent="0.35">
      <c r="B1489" s="47"/>
      <c r="C1489" s="14"/>
      <c r="D1489" s="14"/>
      <c r="E1489" s="14"/>
      <c r="F1489" s="14"/>
      <c r="G1489" s="18"/>
    </row>
    <row r="1490" spans="2:7" x14ac:dyDescent="0.35">
      <c r="B1490" s="47"/>
      <c r="C1490" s="14"/>
      <c r="D1490" s="14"/>
      <c r="E1490" s="14"/>
      <c r="F1490" s="14"/>
      <c r="G1490" s="18"/>
    </row>
    <row r="1491" spans="2:7" x14ac:dyDescent="0.35">
      <c r="B1491" s="47"/>
      <c r="C1491" s="14"/>
      <c r="D1491" s="14"/>
      <c r="E1491" s="14"/>
      <c r="F1491" s="14"/>
      <c r="G1491" s="18"/>
    </row>
    <row r="1492" spans="2:7" x14ac:dyDescent="0.35">
      <c r="B1492" s="47"/>
      <c r="C1492" s="14"/>
      <c r="D1492" s="14"/>
      <c r="E1492" s="14"/>
      <c r="F1492" s="14"/>
      <c r="G1492" s="18"/>
    </row>
    <row r="1493" spans="2:7" x14ac:dyDescent="0.35">
      <c r="B1493" s="47"/>
      <c r="C1493" s="14"/>
      <c r="D1493" s="14"/>
      <c r="E1493" s="14"/>
      <c r="F1493" s="14"/>
      <c r="G1493" s="18"/>
    </row>
    <row r="1494" spans="2:7" x14ac:dyDescent="0.35">
      <c r="B1494" s="47"/>
      <c r="C1494" s="14"/>
      <c r="D1494" s="14"/>
      <c r="E1494" s="14"/>
      <c r="F1494" s="14"/>
      <c r="G1494" s="18"/>
    </row>
    <row r="1495" spans="2:7" x14ac:dyDescent="0.35">
      <c r="B1495" s="47"/>
      <c r="C1495" s="14"/>
      <c r="D1495" s="14"/>
      <c r="E1495" s="14"/>
      <c r="F1495" s="14"/>
      <c r="G1495" s="18"/>
    </row>
    <row r="1496" spans="2:7" x14ac:dyDescent="0.35">
      <c r="B1496" s="47"/>
      <c r="C1496" s="14"/>
      <c r="D1496" s="14"/>
      <c r="E1496" s="14"/>
      <c r="F1496" s="14"/>
      <c r="G1496" s="18"/>
    </row>
    <row r="1497" spans="2:7" x14ac:dyDescent="0.35">
      <c r="B1497" s="47"/>
      <c r="C1497" s="14"/>
      <c r="D1497" s="14"/>
      <c r="E1497" s="14"/>
      <c r="F1497" s="14"/>
      <c r="G1497" s="18"/>
    </row>
    <row r="1498" spans="2:7" x14ac:dyDescent="0.35">
      <c r="B1498" s="47"/>
      <c r="C1498" s="14"/>
      <c r="D1498" s="14"/>
      <c r="E1498" s="14"/>
      <c r="F1498" s="14"/>
      <c r="G1498" s="18"/>
    </row>
    <row r="1499" spans="2:7" x14ac:dyDescent="0.35">
      <c r="B1499" s="47"/>
      <c r="C1499" s="14"/>
      <c r="D1499" s="14"/>
      <c r="E1499" s="14"/>
      <c r="F1499" s="14"/>
      <c r="G1499" s="18"/>
    </row>
    <row r="1500" spans="2:7" x14ac:dyDescent="0.35">
      <c r="B1500" s="47"/>
      <c r="C1500" s="14"/>
      <c r="D1500" s="14"/>
      <c r="E1500" s="14"/>
      <c r="F1500" s="14"/>
      <c r="G1500" s="18"/>
    </row>
    <row r="1501" spans="2:7" x14ac:dyDescent="0.35">
      <c r="B1501" s="47"/>
      <c r="C1501" s="14"/>
      <c r="D1501" s="14"/>
      <c r="E1501" s="14"/>
      <c r="F1501" s="14"/>
      <c r="G1501" s="18"/>
    </row>
    <row r="1502" spans="2:7" x14ac:dyDescent="0.35">
      <c r="B1502" s="47"/>
      <c r="C1502" s="14"/>
      <c r="D1502" s="14"/>
      <c r="E1502" s="14"/>
      <c r="F1502" s="14"/>
      <c r="G1502" s="18"/>
    </row>
    <row r="1503" spans="2:7" x14ac:dyDescent="0.35">
      <c r="B1503" s="47"/>
      <c r="C1503" s="14"/>
      <c r="D1503" s="14"/>
      <c r="E1503" s="14"/>
      <c r="F1503" s="14"/>
      <c r="G1503" s="18"/>
    </row>
    <row r="1504" spans="2:7" x14ac:dyDescent="0.35">
      <c r="B1504" s="47"/>
      <c r="C1504" s="14"/>
      <c r="D1504" s="14"/>
      <c r="E1504" s="14"/>
      <c r="F1504" s="14"/>
      <c r="G1504" s="18"/>
    </row>
    <row r="1505" spans="2:7" x14ac:dyDescent="0.35">
      <c r="B1505" s="47"/>
      <c r="C1505" s="14"/>
      <c r="D1505" s="14"/>
      <c r="E1505" s="14"/>
      <c r="F1505" s="14"/>
      <c r="G1505" s="18"/>
    </row>
    <row r="1506" spans="2:7" x14ac:dyDescent="0.35">
      <c r="B1506" s="47"/>
      <c r="C1506" s="14"/>
      <c r="D1506" s="14"/>
      <c r="E1506" s="14"/>
      <c r="F1506" s="14"/>
      <c r="G1506" s="18"/>
    </row>
    <row r="1507" spans="2:7" x14ac:dyDescent="0.35">
      <c r="B1507" s="47"/>
      <c r="C1507" s="14"/>
      <c r="D1507" s="14"/>
      <c r="E1507" s="14"/>
      <c r="F1507" s="14"/>
      <c r="G1507" s="18"/>
    </row>
    <row r="1508" spans="2:7" x14ac:dyDescent="0.35">
      <c r="B1508" s="47"/>
      <c r="C1508" s="14"/>
      <c r="D1508" s="14"/>
      <c r="E1508" s="14"/>
      <c r="F1508" s="14"/>
      <c r="G1508" s="18"/>
    </row>
    <row r="1509" spans="2:7" x14ac:dyDescent="0.35">
      <c r="B1509" s="47"/>
      <c r="C1509" s="14"/>
      <c r="D1509" s="14"/>
      <c r="E1509" s="14"/>
      <c r="F1509" s="14"/>
      <c r="G1509" s="18"/>
    </row>
    <row r="1510" spans="2:7" x14ac:dyDescent="0.35">
      <c r="B1510" s="47"/>
      <c r="C1510" s="14"/>
      <c r="D1510" s="14"/>
      <c r="E1510" s="14"/>
      <c r="F1510" s="14"/>
      <c r="G1510" s="18"/>
    </row>
    <row r="1511" spans="2:7" x14ac:dyDescent="0.35">
      <c r="B1511" s="47"/>
      <c r="C1511" s="14"/>
      <c r="D1511" s="14"/>
      <c r="E1511" s="14"/>
      <c r="F1511" s="14"/>
      <c r="G1511" s="18"/>
    </row>
    <row r="1512" spans="2:7" x14ac:dyDescent="0.35">
      <c r="B1512" s="47"/>
      <c r="C1512" s="14"/>
      <c r="D1512" s="14"/>
      <c r="E1512" s="14"/>
      <c r="F1512" s="14"/>
      <c r="G1512" s="18"/>
    </row>
    <row r="1513" spans="2:7" x14ac:dyDescent="0.35">
      <c r="B1513" s="47"/>
      <c r="C1513" s="14"/>
      <c r="D1513" s="14"/>
      <c r="E1513" s="14"/>
      <c r="F1513" s="14"/>
      <c r="G1513" s="18"/>
    </row>
    <row r="1514" spans="2:7" x14ac:dyDescent="0.35">
      <c r="B1514" s="47"/>
      <c r="C1514" s="14"/>
      <c r="D1514" s="14"/>
      <c r="E1514" s="14"/>
      <c r="F1514" s="14"/>
      <c r="G1514" s="18"/>
    </row>
    <row r="1515" spans="2:7" x14ac:dyDescent="0.35">
      <c r="B1515" s="47"/>
      <c r="C1515" s="14"/>
      <c r="D1515" s="14"/>
      <c r="E1515" s="14"/>
      <c r="F1515" s="14"/>
      <c r="G1515" s="18"/>
    </row>
    <row r="1516" spans="2:7" x14ac:dyDescent="0.35">
      <c r="B1516" s="47"/>
      <c r="C1516" s="14"/>
      <c r="D1516" s="14"/>
      <c r="E1516" s="14"/>
      <c r="F1516" s="14"/>
      <c r="G1516" s="18"/>
    </row>
    <row r="1517" spans="2:7" x14ac:dyDescent="0.35">
      <c r="B1517" s="47"/>
      <c r="C1517" s="14"/>
      <c r="D1517" s="14"/>
      <c r="E1517" s="14"/>
      <c r="F1517" s="14"/>
      <c r="G1517" s="18"/>
    </row>
    <row r="1518" spans="2:7" x14ac:dyDescent="0.35">
      <c r="B1518" s="47"/>
      <c r="C1518" s="14"/>
      <c r="D1518" s="14"/>
      <c r="E1518" s="14"/>
      <c r="F1518" s="14"/>
      <c r="G1518" s="18"/>
    </row>
    <row r="1519" spans="2:7" x14ac:dyDescent="0.35">
      <c r="B1519" s="47"/>
      <c r="C1519" s="14"/>
      <c r="D1519" s="14"/>
      <c r="E1519" s="14"/>
      <c r="F1519" s="14"/>
      <c r="G1519" s="18"/>
    </row>
    <row r="1520" spans="2:7" x14ac:dyDescent="0.35">
      <c r="B1520" s="47"/>
      <c r="C1520" s="14"/>
      <c r="D1520" s="14"/>
      <c r="E1520" s="14"/>
      <c r="F1520" s="14"/>
      <c r="G1520" s="18"/>
    </row>
    <row r="1521" spans="2:7" x14ac:dyDescent="0.35">
      <c r="B1521" s="47"/>
      <c r="C1521" s="14"/>
      <c r="D1521" s="14"/>
      <c r="E1521" s="14"/>
      <c r="F1521" s="14"/>
      <c r="G1521" s="18"/>
    </row>
    <row r="1522" spans="2:7" x14ac:dyDescent="0.35">
      <c r="B1522" s="47"/>
      <c r="C1522" s="14"/>
      <c r="D1522" s="14"/>
      <c r="E1522" s="14"/>
      <c r="F1522" s="14"/>
      <c r="G1522" s="18"/>
    </row>
    <row r="1523" spans="2:7" x14ac:dyDescent="0.35">
      <c r="B1523" s="47"/>
      <c r="C1523" s="14"/>
      <c r="D1523" s="14"/>
      <c r="E1523" s="14"/>
      <c r="F1523" s="14"/>
      <c r="G1523" s="18"/>
    </row>
    <row r="1524" spans="2:7" x14ac:dyDescent="0.35">
      <c r="B1524" s="47"/>
      <c r="C1524" s="14"/>
      <c r="D1524" s="14"/>
      <c r="E1524" s="14"/>
      <c r="F1524" s="14"/>
      <c r="G1524" s="18"/>
    </row>
    <row r="1525" spans="2:7" x14ac:dyDescent="0.35">
      <c r="B1525" s="47"/>
      <c r="C1525" s="14"/>
      <c r="D1525" s="14"/>
      <c r="E1525" s="14"/>
      <c r="F1525" s="14"/>
      <c r="G1525" s="18"/>
    </row>
    <row r="1526" spans="2:7" x14ac:dyDescent="0.35">
      <c r="B1526" s="47"/>
      <c r="C1526" s="14"/>
      <c r="D1526" s="14"/>
      <c r="E1526" s="14"/>
      <c r="F1526" s="14"/>
      <c r="G1526" s="18"/>
    </row>
    <row r="1527" spans="2:7" x14ac:dyDescent="0.35">
      <c r="B1527" s="47"/>
      <c r="C1527" s="14"/>
      <c r="D1527" s="14"/>
      <c r="E1527" s="14"/>
      <c r="F1527" s="14"/>
      <c r="G1527" s="18"/>
    </row>
    <row r="1528" spans="2:7" x14ac:dyDescent="0.35">
      <c r="B1528" s="47"/>
      <c r="C1528" s="14"/>
      <c r="D1528" s="14"/>
      <c r="E1528" s="14"/>
      <c r="F1528" s="14"/>
      <c r="G1528" s="18"/>
    </row>
    <row r="1529" spans="2:7" x14ac:dyDescent="0.35">
      <c r="B1529" s="47"/>
      <c r="C1529" s="14"/>
      <c r="D1529" s="14"/>
      <c r="E1529" s="14"/>
      <c r="F1529" s="14"/>
      <c r="G1529" s="18"/>
    </row>
    <row r="1530" spans="2:7" x14ac:dyDescent="0.35">
      <c r="B1530" s="47"/>
      <c r="C1530" s="14"/>
      <c r="D1530" s="14"/>
      <c r="E1530" s="14"/>
      <c r="F1530" s="14"/>
      <c r="G1530" s="18"/>
    </row>
    <row r="1531" spans="2:7" x14ac:dyDescent="0.35">
      <c r="B1531" s="47"/>
      <c r="C1531" s="14"/>
      <c r="D1531" s="14"/>
      <c r="E1531" s="14"/>
      <c r="F1531" s="14"/>
      <c r="G1531" s="18"/>
    </row>
    <row r="1532" spans="2:7" x14ac:dyDescent="0.35">
      <c r="B1532" s="47"/>
      <c r="C1532" s="14"/>
      <c r="D1532" s="14"/>
      <c r="E1532" s="14"/>
      <c r="F1532" s="14"/>
      <c r="G1532" s="18"/>
    </row>
    <row r="1533" spans="2:7" x14ac:dyDescent="0.35">
      <c r="B1533" s="47"/>
      <c r="C1533" s="14"/>
      <c r="D1533" s="14"/>
      <c r="E1533" s="14"/>
      <c r="F1533" s="14"/>
      <c r="G1533" s="18"/>
    </row>
    <row r="1534" spans="2:7" x14ac:dyDescent="0.35">
      <c r="B1534" s="47"/>
      <c r="C1534" s="14"/>
      <c r="D1534" s="14"/>
      <c r="E1534" s="14"/>
      <c r="F1534" s="14"/>
      <c r="G1534" s="18"/>
    </row>
    <row r="1535" spans="2:7" x14ac:dyDescent="0.35">
      <c r="B1535" s="47"/>
      <c r="C1535" s="14"/>
      <c r="D1535" s="14"/>
      <c r="E1535" s="14"/>
      <c r="F1535" s="14"/>
      <c r="G1535" s="18"/>
    </row>
    <row r="1536" spans="2:7" x14ac:dyDescent="0.35">
      <c r="B1536" s="47"/>
      <c r="C1536" s="14"/>
      <c r="D1536" s="14"/>
      <c r="E1536" s="14"/>
      <c r="F1536" s="14"/>
      <c r="G1536" s="18"/>
    </row>
    <row r="1537" spans="2:7" x14ac:dyDescent="0.35">
      <c r="B1537" s="47"/>
      <c r="C1537" s="14"/>
      <c r="D1537" s="14"/>
      <c r="E1537" s="14"/>
      <c r="F1537" s="14"/>
      <c r="G1537" s="18"/>
    </row>
    <row r="1538" spans="2:7" x14ac:dyDescent="0.35">
      <c r="B1538" s="47"/>
      <c r="C1538" s="14"/>
      <c r="D1538" s="14"/>
      <c r="E1538" s="14"/>
      <c r="F1538" s="14"/>
      <c r="G1538" s="18"/>
    </row>
    <row r="1539" spans="2:7" x14ac:dyDescent="0.35">
      <c r="B1539" s="47"/>
      <c r="C1539" s="14"/>
      <c r="D1539" s="14"/>
      <c r="E1539" s="14"/>
      <c r="F1539" s="14"/>
      <c r="G1539" s="18"/>
    </row>
    <row r="1540" spans="2:7" x14ac:dyDescent="0.35">
      <c r="B1540" s="47"/>
      <c r="C1540" s="14"/>
      <c r="D1540" s="14"/>
      <c r="E1540" s="14"/>
      <c r="F1540" s="14"/>
      <c r="G1540" s="18"/>
    </row>
    <row r="1541" spans="2:7" x14ac:dyDescent="0.35">
      <c r="B1541" s="47"/>
      <c r="C1541" s="14"/>
      <c r="D1541" s="14"/>
      <c r="E1541" s="14"/>
      <c r="F1541" s="14"/>
      <c r="G1541" s="18"/>
    </row>
    <row r="1542" spans="2:7" x14ac:dyDescent="0.35">
      <c r="B1542" s="47"/>
      <c r="C1542" s="14"/>
      <c r="D1542" s="14"/>
      <c r="E1542" s="14"/>
      <c r="F1542" s="14"/>
      <c r="G1542" s="18"/>
    </row>
    <row r="1543" spans="2:7" x14ac:dyDescent="0.35">
      <c r="B1543" s="47"/>
      <c r="C1543" s="14"/>
      <c r="D1543" s="14"/>
      <c r="E1543" s="14"/>
      <c r="F1543" s="14"/>
      <c r="G1543" s="18"/>
    </row>
    <row r="1544" spans="2:7" x14ac:dyDescent="0.35">
      <c r="B1544" s="47"/>
      <c r="C1544" s="14"/>
      <c r="D1544" s="14"/>
      <c r="E1544" s="14"/>
      <c r="F1544" s="14"/>
      <c r="G1544" s="18"/>
    </row>
    <row r="1545" spans="2:7" x14ac:dyDescent="0.35">
      <c r="B1545" s="47"/>
      <c r="C1545" s="14"/>
      <c r="D1545" s="14"/>
      <c r="E1545" s="14"/>
      <c r="F1545" s="14"/>
      <c r="G1545" s="18"/>
    </row>
    <row r="1546" spans="2:7" x14ac:dyDescent="0.35">
      <c r="B1546" s="47"/>
      <c r="C1546" s="14"/>
      <c r="D1546" s="14"/>
      <c r="E1546" s="14"/>
      <c r="F1546" s="14"/>
      <c r="G1546" s="18"/>
    </row>
    <row r="1547" spans="2:7" x14ac:dyDescent="0.35">
      <c r="B1547" s="47"/>
      <c r="C1547" s="14"/>
      <c r="D1547" s="14"/>
      <c r="E1547" s="14"/>
      <c r="F1547" s="14"/>
      <c r="G1547" s="18"/>
    </row>
    <row r="1548" spans="2:7" x14ac:dyDescent="0.35">
      <c r="B1548" s="47"/>
      <c r="C1548" s="14"/>
      <c r="D1548" s="14"/>
      <c r="E1548" s="14"/>
      <c r="F1548" s="14"/>
      <c r="G1548" s="18"/>
    </row>
    <row r="1549" spans="2:7" x14ac:dyDescent="0.35">
      <c r="B1549" s="47"/>
      <c r="C1549" s="14"/>
      <c r="D1549" s="14"/>
      <c r="E1549" s="14"/>
      <c r="F1549" s="14"/>
      <c r="G1549" s="18"/>
    </row>
    <row r="1550" spans="2:7" x14ac:dyDescent="0.35">
      <c r="B1550" s="47"/>
      <c r="C1550" s="14"/>
      <c r="D1550" s="14"/>
      <c r="E1550" s="14"/>
      <c r="F1550" s="14"/>
      <c r="G1550" s="18"/>
    </row>
    <row r="1551" spans="2:7" x14ac:dyDescent="0.35">
      <c r="B1551" s="47"/>
      <c r="C1551" s="14"/>
      <c r="D1551" s="14"/>
      <c r="E1551" s="14"/>
      <c r="F1551" s="14"/>
      <c r="G1551" s="18"/>
    </row>
    <row r="1552" spans="2:7" x14ac:dyDescent="0.35">
      <c r="B1552" s="47"/>
      <c r="C1552" s="14"/>
      <c r="D1552" s="14"/>
      <c r="E1552" s="14"/>
      <c r="F1552" s="14"/>
      <c r="G1552" s="18"/>
    </row>
    <row r="1553" spans="2:7" x14ac:dyDescent="0.35">
      <c r="B1553" s="47"/>
      <c r="C1553" s="14"/>
      <c r="D1553" s="14"/>
      <c r="E1553" s="14"/>
      <c r="F1553" s="14"/>
      <c r="G1553" s="18"/>
    </row>
    <row r="1554" spans="2:7" x14ac:dyDescent="0.35">
      <c r="B1554" s="47"/>
      <c r="C1554" s="14"/>
      <c r="D1554" s="14"/>
      <c r="E1554" s="14"/>
      <c r="F1554" s="14"/>
      <c r="G1554" s="18"/>
    </row>
    <row r="1555" spans="2:7" x14ac:dyDescent="0.35">
      <c r="B1555" s="47"/>
      <c r="C1555" s="14"/>
      <c r="D1555" s="14"/>
      <c r="E1555" s="14"/>
      <c r="F1555" s="14"/>
      <c r="G1555" s="18"/>
    </row>
    <row r="1556" spans="2:7" x14ac:dyDescent="0.35">
      <c r="B1556" s="47"/>
      <c r="C1556" s="14"/>
      <c r="D1556" s="14"/>
      <c r="E1556" s="14"/>
      <c r="F1556" s="14"/>
      <c r="G1556" s="18"/>
    </row>
    <row r="1557" spans="2:7" x14ac:dyDescent="0.35">
      <c r="B1557" s="47"/>
      <c r="C1557" s="14"/>
      <c r="D1557" s="14"/>
      <c r="E1557" s="14"/>
      <c r="F1557" s="14"/>
      <c r="G1557" s="18"/>
    </row>
    <row r="1558" spans="2:7" x14ac:dyDescent="0.35">
      <c r="B1558" s="47"/>
      <c r="C1558" s="14"/>
      <c r="D1558" s="14"/>
      <c r="E1558" s="14"/>
      <c r="F1558" s="14"/>
      <c r="G1558" s="18"/>
    </row>
    <row r="1559" spans="2:7" x14ac:dyDescent="0.35">
      <c r="B1559" s="47"/>
      <c r="C1559" s="14"/>
      <c r="D1559" s="14"/>
      <c r="E1559" s="14"/>
      <c r="F1559" s="14"/>
      <c r="G1559" s="18"/>
    </row>
    <row r="1560" spans="2:7" x14ac:dyDescent="0.35">
      <c r="B1560" s="47"/>
      <c r="C1560" s="14"/>
      <c r="D1560" s="14"/>
      <c r="E1560" s="14"/>
      <c r="F1560" s="14"/>
      <c r="G1560" s="18"/>
    </row>
    <row r="1561" spans="2:7" x14ac:dyDescent="0.35">
      <c r="B1561" s="47"/>
      <c r="C1561" s="14"/>
      <c r="D1561" s="14"/>
      <c r="E1561" s="14"/>
      <c r="F1561" s="14"/>
      <c r="G1561" s="18"/>
    </row>
    <row r="1562" spans="2:7" x14ac:dyDescent="0.35">
      <c r="B1562" s="47"/>
      <c r="C1562" s="14"/>
      <c r="D1562" s="14"/>
      <c r="E1562" s="14"/>
      <c r="F1562" s="14"/>
      <c r="G1562" s="18"/>
    </row>
    <row r="1563" spans="2:7" x14ac:dyDescent="0.35">
      <c r="B1563" s="47"/>
      <c r="C1563" s="14"/>
      <c r="D1563" s="14"/>
      <c r="E1563" s="14"/>
      <c r="F1563" s="14"/>
      <c r="G1563" s="18"/>
    </row>
    <row r="1564" spans="2:7" x14ac:dyDescent="0.35">
      <c r="B1564" s="47"/>
      <c r="C1564" s="14"/>
      <c r="D1564" s="14"/>
      <c r="E1564" s="14"/>
      <c r="F1564" s="14"/>
      <c r="G1564" s="18"/>
    </row>
    <row r="1565" spans="2:7" x14ac:dyDescent="0.35">
      <c r="B1565" s="47"/>
      <c r="C1565" s="14"/>
      <c r="D1565" s="14"/>
      <c r="E1565" s="14"/>
      <c r="F1565" s="14"/>
      <c r="G1565" s="18"/>
    </row>
    <row r="1566" spans="2:7" x14ac:dyDescent="0.35">
      <c r="B1566" s="47"/>
      <c r="C1566" s="14"/>
      <c r="D1566" s="14"/>
      <c r="E1566" s="14"/>
      <c r="F1566" s="14"/>
      <c r="G1566" s="18"/>
    </row>
    <row r="1567" spans="2:7" x14ac:dyDescent="0.35">
      <c r="B1567" s="47"/>
      <c r="C1567" s="14"/>
      <c r="D1567" s="14"/>
      <c r="E1567" s="14"/>
      <c r="F1567" s="14"/>
      <c r="G1567" s="18"/>
    </row>
    <row r="1568" spans="2:7" x14ac:dyDescent="0.35">
      <c r="B1568" s="47"/>
      <c r="C1568" s="14"/>
      <c r="D1568" s="14"/>
      <c r="E1568" s="14"/>
      <c r="F1568" s="14"/>
      <c r="G1568" s="18"/>
    </row>
    <row r="1569" spans="2:7" x14ac:dyDescent="0.35">
      <c r="B1569" s="47"/>
      <c r="C1569" s="14"/>
      <c r="D1569" s="14"/>
      <c r="E1569" s="14"/>
      <c r="F1569" s="14"/>
      <c r="G1569" s="18"/>
    </row>
    <row r="1570" spans="2:7" x14ac:dyDescent="0.35">
      <c r="B1570" s="47"/>
      <c r="C1570" s="14"/>
      <c r="D1570" s="14"/>
      <c r="E1570" s="14"/>
      <c r="F1570" s="14"/>
      <c r="G1570" s="18"/>
    </row>
    <row r="1571" spans="2:7" x14ac:dyDescent="0.35">
      <c r="B1571" s="47"/>
      <c r="C1571" s="14"/>
      <c r="D1571" s="14"/>
      <c r="E1571" s="14"/>
      <c r="F1571" s="14"/>
      <c r="G1571" s="18"/>
    </row>
    <row r="1572" spans="2:7" x14ac:dyDescent="0.35">
      <c r="B1572" s="47"/>
      <c r="C1572" s="14"/>
      <c r="D1572" s="14"/>
      <c r="E1572" s="14"/>
      <c r="F1572" s="14"/>
      <c r="G1572" s="18"/>
    </row>
    <row r="1573" spans="2:7" x14ac:dyDescent="0.35">
      <c r="B1573" s="47"/>
      <c r="C1573" s="14"/>
      <c r="D1573" s="14"/>
      <c r="E1573" s="14"/>
      <c r="F1573" s="14"/>
      <c r="G1573" s="18"/>
    </row>
    <row r="1574" spans="2:7" x14ac:dyDescent="0.35">
      <c r="B1574" s="47"/>
      <c r="C1574" s="14"/>
      <c r="D1574" s="14"/>
      <c r="E1574" s="14"/>
      <c r="F1574" s="14"/>
      <c r="G1574" s="18"/>
    </row>
    <row r="1575" spans="2:7" x14ac:dyDescent="0.35">
      <c r="B1575" s="47"/>
      <c r="C1575" s="14"/>
      <c r="D1575" s="14"/>
      <c r="E1575" s="14"/>
      <c r="F1575" s="14"/>
      <c r="G1575" s="18"/>
    </row>
    <row r="1576" spans="2:7" x14ac:dyDescent="0.35">
      <c r="B1576" s="47"/>
      <c r="C1576" s="14"/>
      <c r="D1576" s="14"/>
      <c r="E1576" s="14"/>
      <c r="F1576" s="14"/>
      <c r="G1576" s="18"/>
    </row>
    <row r="1577" spans="2:7" x14ac:dyDescent="0.35">
      <c r="B1577" s="47"/>
      <c r="C1577" s="14"/>
      <c r="D1577" s="14"/>
      <c r="E1577" s="14"/>
      <c r="F1577" s="14"/>
      <c r="G1577" s="18"/>
    </row>
    <row r="1578" spans="2:7" x14ac:dyDescent="0.35">
      <c r="B1578" s="47"/>
      <c r="C1578" s="14"/>
      <c r="D1578" s="14"/>
      <c r="E1578" s="14"/>
      <c r="F1578" s="14"/>
      <c r="G1578" s="18"/>
    </row>
    <row r="1579" spans="2:7" x14ac:dyDescent="0.35">
      <c r="B1579" s="47"/>
      <c r="C1579" s="14"/>
      <c r="D1579" s="14"/>
      <c r="E1579" s="14"/>
      <c r="F1579" s="14"/>
      <c r="G1579" s="18"/>
    </row>
    <row r="1580" spans="2:7" x14ac:dyDescent="0.35">
      <c r="B1580" s="47"/>
      <c r="C1580" s="14"/>
      <c r="D1580" s="14"/>
      <c r="E1580" s="14"/>
      <c r="F1580" s="14"/>
      <c r="G1580" s="18"/>
    </row>
    <row r="1581" spans="2:7" x14ac:dyDescent="0.35">
      <c r="B1581" s="47"/>
      <c r="C1581" s="14"/>
      <c r="D1581" s="14"/>
      <c r="E1581" s="14"/>
      <c r="F1581" s="14"/>
      <c r="G1581" s="18"/>
    </row>
    <row r="1582" spans="2:7" x14ac:dyDescent="0.35">
      <c r="B1582" s="47"/>
      <c r="C1582" s="14"/>
      <c r="D1582" s="14"/>
      <c r="E1582" s="14"/>
      <c r="F1582" s="14"/>
      <c r="G1582" s="18"/>
    </row>
    <row r="1583" spans="2:7" x14ac:dyDescent="0.35">
      <c r="B1583" s="47"/>
      <c r="C1583" s="14"/>
      <c r="D1583" s="14"/>
      <c r="E1583" s="14"/>
      <c r="F1583" s="14"/>
      <c r="G1583" s="18"/>
    </row>
    <row r="1584" spans="2:7" x14ac:dyDescent="0.35">
      <c r="B1584" s="47"/>
      <c r="C1584" s="14"/>
      <c r="D1584" s="14"/>
      <c r="E1584" s="14"/>
      <c r="F1584" s="14"/>
      <c r="G1584" s="18"/>
    </row>
    <row r="1585" spans="2:7" x14ac:dyDescent="0.35">
      <c r="B1585" s="47"/>
      <c r="C1585" s="14"/>
      <c r="D1585" s="14"/>
      <c r="E1585" s="14"/>
      <c r="F1585" s="14"/>
      <c r="G1585" s="18"/>
    </row>
    <row r="1586" spans="2:7" x14ac:dyDescent="0.35">
      <c r="B1586" s="47"/>
      <c r="C1586" s="14"/>
      <c r="D1586" s="14"/>
      <c r="E1586" s="14"/>
      <c r="F1586" s="14"/>
      <c r="G1586" s="18"/>
    </row>
    <row r="1587" spans="2:7" x14ac:dyDescent="0.35">
      <c r="B1587" s="47"/>
      <c r="C1587" s="14"/>
      <c r="D1587" s="14"/>
      <c r="E1587" s="14"/>
      <c r="F1587" s="14"/>
      <c r="G1587" s="18"/>
    </row>
    <row r="1588" spans="2:7" x14ac:dyDescent="0.35">
      <c r="B1588" s="47"/>
      <c r="C1588" s="14"/>
      <c r="D1588" s="14"/>
      <c r="E1588" s="14"/>
      <c r="F1588" s="14"/>
      <c r="G1588" s="18"/>
    </row>
    <row r="1589" spans="2:7" x14ac:dyDescent="0.35">
      <c r="B1589" s="47"/>
      <c r="C1589" s="14"/>
      <c r="D1589" s="14"/>
      <c r="E1589" s="14"/>
      <c r="F1589" s="14"/>
      <c r="G1589" s="18"/>
    </row>
    <row r="1590" spans="2:7" x14ac:dyDescent="0.35">
      <c r="B1590" s="47"/>
      <c r="C1590" s="14"/>
      <c r="D1590" s="14"/>
      <c r="E1590" s="14"/>
      <c r="F1590" s="14"/>
      <c r="G1590" s="18"/>
    </row>
    <row r="1591" spans="2:7" x14ac:dyDescent="0.35">
      <c r="B1591" s="47"/>
      <c r="C1591" s="14"/>
      <c r="D1591" s="14"/>
      <c r="E1591" s="14"/>
      <c r="F1591" s="14"/>
      <c r="G1591" s="18"/>
    </row>
    <row r="1592" spans="2:7" x14ac:dyDescent="0.35">
      <c r="B1592" s="47"/>
      <c r="C1592" s="14"/>
      <c r="D1592" s="14"/>
      <c r="E1592" s="14"/>
      <c r="F1592" s="14"/>
      <c r="G1592" s="18"/>
    </row>
    <row r="1593" spans="2:7" x14ac:dyDescent="0.35">
      <c r="B1593" s="47"/>
      <c r="C1593" s="14"/>
      <c r="D1593" s="14"/>
      <c r="E1593" s="14"/>
      <c r="F1593" s="14"/>
      <c r="G1593" s="18"/>
    </row>
    <row r="1594" spans="2:7" x14ac:dyDescent="0.35">
      <c r="B1594" s="47"/>
      <c r="C1594" s="14"/>
      <c r="D1594" s="14"/>
      <c r="E1594" s="14"/>
      <c r="F1594" s="14"/>
      <c r="G1594" s="18"/>
    </row>
    <row r="1595" spans="2:7" x14ac:dyDescent="0.35">
      <c r="B1595" s="47"/>
      <c r="C1595" s="14"/>
      <c r="D1595" s="14"/>
      <c r="E1595" s="14"/>
      <c r="F1595" s="14"/>
      <c r="G1595" s="18"/>
    </row>
    <row r="1596" spans="2:7" x14ac:dyDescent="0.35">
      <c r="B1596" s="47"/>
      <c r="C1596" s="14"/>
      <c r="D1596" s="14"/>
      <c r="E1596" s="14"/>
      <c r="F1596" s="14"/>
      <c r="G1596" s="18"/>
    </row>
    <row r="1597" spans="2:7" x14ac:dyDescent="0.35">
      <c r="B1597" s="47"/>
      <c r="C1597" s="14"/>
      <c r="D1597" s="14"/>
      <c r="E1597" s="14"/>
      <c r="F1597" s="14"/>
      <c r="G1597" s="18"/>
    </row>
    <row r="1598" spans="2:7" x14ac:dyDescent="0.35">
      <c r="B1598" s="47"/>
      <c r="C1598" s="14"/>
      <c r="D1598" s="14"/>
      <c r="E1598" s="14"/>
      <c r="F1598" s="14"/>
      <c r="G1598" s="18"/>
    </row>
    <row r="1599" spans="2:7" x14ac:dyDescent="0.35">
      <c r="B1599" s="47"/>
      <c r="C1599" s="14"/>
      <c r="D1599" s="14"/>
      <c r="E1599" s="14"/>
      <c r="F1599" s="14"/>
      <c r="G1599" s="18"/>
    </row>
    <row r="1600" spans="2:7" x14ac:dyDescent="0.35">
      <c r="B1600" s="47"/>
      <c r="C1600" s="14"/>
      <c r="D1600" s="14"/>
      <c r="E1600" s="14"/>
      <c r="F1600" s="14"/>
      <c r="G1600" s="18"/>
    </row>
    <row r="1601" spans="2:7" x14ac:dyDescent="0.35">
      <c r="B1601" s="47"/>
      <c r="C1601" s="14"/>
      <c r="D1601" s="14"/>
      <c r="E1601" s="14"/>
      <c r="F1601" s="14"/>
      <c r="G1601" s="18"/>
    </row>
    <row r="1602" spans="2:7" x14ac:dyDescent="0.35">
      <c r="B1602" s="47"/>
      <c r="C1602" s="14"/>
      <c r="D1602" s="14"/>
      <c r="E1602" s="14"/>
      <c r="F1602" s="14"/>
      <c r="G1602" s="18"/>
    </row>
    <row r="1603" spans="2:7" x14ac:dyDescent="0.35">
      <c r="B1603" s="47"/>
      <c r="C1603" s="14"/>
      <c r="D1603" s="14"/>
      <c r="E1603" s="14"/>
      <c r="F1603" s="14"/>
      <c r="G1603" s="18"/>
    </row>
    <row r="1604" spans="2:7" x14ac:dyDescent="0.35">
      <c r="B1604" s="47"/>
      <c r="C1604" s="14"/>
      <c r="D1604" s="14"/>
      <c r="E1604" s="14"/>
      <c r="F1604" s="14"/>
      <c r="G1604" s="18"/>
    </row>
    <row r="1605" spans="2:7" x14ac:dyDescent="0.35">
      <c r="B1605" s="47"/>
      <c r="C1605" s="14"/>
      <c r="D1605" s="14"/>
      <c r="E1605" s="14"/>
      <c r="F1605" s="14"/>
      <c r="G1605" s="18"/>
    </row>
    <row r="1606" spans="2:7" x14ac:dyDescent="0.35">
      <c r="B1606" s="47"/>
      <c r="C1606" s="14"/>
      <c r="D1606" s="14"/>
      <c r="E1606" s="14"/>
      <c r="F1606" s="14"/>
      <c r="G1606" s="18"/>
    </row>
    <row r="1607" spans="2:7" x14ac:dyDescent="0.35">
      <c r="B1607" s="47"/>
      <c r="C1607" s="14"/>
      <c r="D1607" s="14"/>
      <c r="E1607" s="14"/>
      <c r="F1607" s="14"/>
      <c r="G1607" s="18"/>
    </row>
    <row r="1608" spans="2:7" x14ac:dyDescent="0.35">
      <c r="B1608" s="47"/>
      <c r="C1608" s="14"/>
      <c r="D1608" s="14"/>
      <c r="E1608" s="14"/>
      <c r="F1608" s="14"/>
      <c r="G1608" s="18"/>
    </row>
    <row r="1609" spans="2:7" x14ac:dyDescent="0.35">
      <c r="B1609" s="47"/>
      <c r="C1609" s="14"/>
      <c r="D1609" s="14"/>
      <c r="E1609" s="14"/>
      <c r="F1609" s="14"/>
      <c r="G1609" s="18"/>
    </row>
    <row r="1610" spans="2:7" x14ac:dyDescent="0.35">
      <c r="B1610" s="47"/>
      <c r="C1610" s="14"/>
      <c r="D1610" s="14"/>
      <c r="E1610" s="14"/>
      <c r="F1610" s="14"/>
      <c r="G1610" s="18"/>
    </row>
    <row r="1611" spans="2:7" x14ac:dyDescent="0.35">
      <c r="B1611" s="47"/>
      <c r="C1611" s="14"/>
      <c r="D1611" s="14"/>
      <c r="E1611" s="14"/>
      <c r="F1611" s="14"/>
      <c r="G1611" s="18"/>
    </row>
    <row r="1612" spans="2:7" x14ac:dyDescent="0.35">
      <c r="B1612" s="47"/>
      <c r="C1612" s="14"/>
      <c r="D1612" s="14"/>
      <c r="E1612" s="14"/>
      <c r="F1612" s="14"/>
      <c r="G1612" s="18"/>
    </row>
    <row r="1613" spans="2:7" x14ac:dyDescent="0.35">
      <c r="B1613" s="47"/>
      <c r="C1613" s="14"/>
      <c r="D1613" s="14"/>
      <c r="E1613" s="14"/>
      <c r="F1613" s="14"/>
      <c r="G1613" s="18"/>
    </row>
    <row r="1614" spans="2:7" x14ac:dyDescent="0.35">
      <c r="B1614" s="47"/>
      <c r="C1614" s="14"/>
      <c r="D1614" s="14"/>
      <c r="E1614" s="14"/>
      <c r="F1614" s="14"/>
      <c r="G1614" s="18"/>
    </row>
    <row r="1615" spans="2:7" x14ac:dyDescent="0.35">
      <c r="B1615" s="47"/>
      <c r="C1615" s="14"/>
      <c r="D1615" s="14"/>
      <c r="E1615" s="14"/>
      <c r="F1615" s="14"/>
      <c r="G1615" s="18"/>
    </row>
    <row r="1616" spans="2:7" x14ac:dyDescent="0.35">
      <c r="B1616" s="47"/>
      <c r="C1616" s="14"/>
      <c r="D1616" s="14"/>
      <c r="E1616" s="14"/>
      <c r="F1616" s="14"/>
      <c r="G1616" s="18"/>
    </row>
    <row r="1617" spans="2:7" x14ac:dyDescent="0.35">
      <c r="B1617" s="47"/>
      <c r="C1617" s="14"/>
      <c r="D1617" s="14"/>
      <c r="E1617" s="14"/>
      <c r="F1617" s="14"/>
      <c r="G1617" s="18"/>
    </row>
    <row r="1618" spans="2:7" x14ac:dyDescent="0.35">
      <c r="B1618" s="47"/>
      <c r="C1618" s="14"/>
      <c r="D1618" s="14"/>
      <c r="E1618" s="14"/>
      <c r="F1618" s="14"/>
      <c r="G1618" s="18"/>
    </row>
    <row r="1619" spans="2:7" x14ac:dyDescent="0.35">
      <c r="B1619" s="47"/>
      <c r="C1619" s="14"/>
      <c r="D1619" s="14"/>
      <c r="E1619" s="14"/>
      <c r="F1619" s="14"/>
      <c r="G1619" s="18"/>
    </row>
    <row r="1620" spans="2:7" x14ac:dyDescent="0.35">
      <c r="B1620" s="47"/>
      <c r="C1620" s="14"/>
      <c r="D1620" s="14"/>
      <c r="E1620" s="14"/>
      <c r="F1620" s="14"/>
      <c r="G1620" s="18"/>
    </row>
    <row r="1621" spans="2:7" x14ac:dyDescent="0.35">
      <c r="B1621" s="47"/>
      <c r="C1621" s="14"/>
      <c r="D1621" s="14"/>
      <c r="E1621" s="14"/>
      <c r="F1621" s="14"/>
      <c r="G1621" s="18"/>
    </row>
    <row r="1622" spans="2:7" x14ac:dyDescent="0.35">
      <c r="B1622" s="47"/>
      <c r="C1622" s="14"/>
      <c r="D1622" s="14"/>
      <c r="E1622" s="14"/>
      <c r="F1622" s="14"/>
      <c r="G1622" s="18"/>
    </row>
    <row r="1623" spans="2:7" x14ac:dyDescent="0.35">
      <c r="B1623" s="47"/>
      <c r="C1623" s="14"/>
      <c r="D1623" s="14"/>
      <c r="E1623" s="14"/>
      <c r="F1623" s="14"/>
      <c r="G1623" s="18"/>
    </row>
    <row r="1624" spans="2:7" x14ac:dyDescent="0.35">
      <c r="B1624" s="47"/>
      <c r="C1624" s="14"/>
      <c r="D1624" s="14"/>
      <c r="E1624" s="14"/>
      <c r="F1624" s="14"/>
      <c r="G1624" s="18"/>
    </row>
    <row r="1625" spans="2:7" x14ac:dyDescent="0.35">
      <c r="B1625" s="47"/>
      <c r="C1625" s="14"/>
      <c r="D1625" s="14"/>
      <c r="E1625" s="14"/>
      <c r="F1625" s="14"/>
      <c r="G1625" s="18"/>
    </row>
    <row r="1626" spans="2:7" x14ac:dyDescent="0.35">
      <c r="B1626" s="47"/>
      <c r="C1626" s="14"/>
      <c r="D1626" s="14"/>
      <c r="E1626" s="14"/>
      <c r="F1626" s="14"/>
      <c r="G1626" s="18"/>
    </row>
    <row r="1627" spans="2:7" x14ac:dyDescent="0.35">
      <c r="B1627" s="47"/>
      <c r="C1627" s="14"/>
      <c r="D1627" s="14"/>
      <c r="E1627" s="14"/>
      <c r="F1627" s="14"/>
      <c r="G1627" s="18"/>
    </row>
    <row r="1628" spans="2:7" x14ac:dyDescent="0.35">
      <c r="B1628" s="47"/>
      <c r="C1628" s="14"/>
      <c r="D1628" s="14"/>
      <c r="E1628" s="14"/>
      <c r="F1628" s="14"/>
      <c r="G1628" s="18"/>
    </row>
    <row r="1629" spans="2:7" x14ac:dyDescent="0.35">
      <c r="B1629" s="47"/>
      <c r="C1629" s="14"/>
      <c r="D1629" s="14"/>
      <c r="E1629" s="14"/>
      <c r="F1629" s="14"/>
      <c r="G1629" s="18"/>
    </row>
    <row r="1630" spans="2:7" x14ac:dyDescent="0.35">
      <c r="B1630" s="47"/>
      <c r="C1630" s="14"/>
      <c r="D1630" s="14"/>
      <c r="E1630" s="14"/>
      <c r="F1630" s="14"/>
      <c r="G1630" s="18"/>
    </row>
    <row r="1631" spans="2:7" x14ac:dyDescent="0.35">
      <c r="B1631" s="47"/>
      <c r="C1631" s="14"/>
      <c r="D1631" s="14"/>
      <c r="E1631" s="14"/>
      <c r="F1631" s="14"/>
      <c r="G1631" s="18"/>
    </row>
    <row r="1632" spans="2:7" x14ac:dyDescent="0.35">
      <c r="B1632" s="47"/>
      <c r="C1632" s="14"/>
      <c r="D1632" s="14"/>
      <c r="E1632" s="14"/>
      <c r="F1632" s="14"/>
      <c r="G1632" s="18"/>
    </row>
    <row r="1633" spans="2:7" x14ac:dyDescent="0.35">
      <c r="B1633" s="47"/>
      <c r="C1633" s="14"/>
      <c r="D1633" s="14"/>
      <c r="E1633" s="14"/>
      <c r="F1633" s="14"/>
      <c r="G1633" s="18"/>
    </row>
    <row r="1634" spans="2:7" x14ac:dyDescent="0.35">
      <c r="B1634" s="47"/>
      <c r="C1634" s="14"/>
      <c r="D1634" s="14"/>
      <c r="E1634" s="14"/>
      <c r="F1634" s="14"/>
      <c r="G1634" s="18"/>
    </row>
    <row r="1635" spans="2:7" x14ac:dyDescent="0.35">
      <c r="B1635" s="47"/>
      <c r="C1635" s="14"/>
      <c r="D1635" s="14"/>
      <c r="E1635" s="14"/>
      <c r="F1635" s="14"/>
      <c r="G1635" s="18"/>
    </row>
    <row r="1636" spans="2:7" x14ac:dyDescent="0.35">
      <c r="B1636" s="47"/>
      <c r="C1636" s="14"/>
      <c r="D1636" s="14"/>
      <c r="E1636" s="14"/>
      <c r="F1636" s="14"/>
      <c r="G1636" s="18"/>
    </row>
    <row r="1637" spans="2:7" x14ac:dyDescent="0.35">
      <c r="B1637" s="47"/>
      <c r="C1637" s="14"/>
      <c r="D1637" s="14"/>
      <c r="E1637" s="14"/>
      <c r="F1637" s="14"/>
      <c r="G1637" s="18"/>
    </row>
    <row r="1638" spans="2:7" x14ac:dyDescent="0.35">
      <c r="B1638" s="47"/>
      <c r="C1638" s="14"/>
      <c r="D1638" s="14"/>
      <c r="E1638" s="14"/>
      <c r="F1638" s="14"/>
      <c r="G1638" s="18"/>
    </row>
    <row r="1639" spans="2:7" x14ac:dyDescent="0.35">
      <c r="B1639" s="47"/>
      <c r="C1639" s="14"/>
      <c r="D1639" s="14"/>
      <c r="E1639" s="14"/>
      <c r="F1639" s="14"/>
      <c r="G1639" s="18"/>
    </row>
    <row r="1640" spans="2:7" x14ac:dyDescent="0.35">
      <c r="B1640" s="47"/>
      <c r="C1640" s="14"/>
      <c r="D1640" s="14"/>
      <c r="E1640" s="14"/>
      <c r="F1640" s="14"/>
      <c r="G1640" s="18"/>
    </row>
    <row r="1641" spans="2:7" x14ac:dyDescent="0.35">
      <c r="B1641" s="47"/>
      <c r="C1641" s="14"/>
      <c r="D1641" s="14"/>
      <c r="E1641" s="14"/>
      <c r="F1641" s="14"/>
      <c r="G1641" s="18"/>
    </row>
    <row r="1642" spans="2:7" x14ac:dyDescent="0.35">
      <c r="B1642" s="47"/>
      <c r="C1642" s="14"/>
      <c r="D1642" s="14"/>
      <c r="E1642" s="14"/>
      <c r="F1642" s="14"/>
      <c r="G1642" s="18"/>
    </row>
    <row r="1643" spans="2:7" x14ac:dyDescent="0.35">
      <c r="B1643" s="47"/>
      <c r="C1643" s="14"/>
      <c r="D1643" s="14"/>
      <c r="E1643" s="14"/>
      <c r="F1643" s="14"/>
      <c r="G1643" s="18"/>
    </row>
    <row r="1644" spans="2:7" x14ac:dyDescent="0.35">
      <c r="B1644" s="47"/>
      <c r="C1644" s="14"/>
      <c r="D1644" s="14"/>
      <c r="E1644" s="14"/>
      <c r="F1644" s="14"/>
      <c r="G1644" s="18"/>
    </row>
    <row r="1645" spans="2:7" x14ac:dyDescent="0.35">
      <c r="B1645" s="47"/>
      <c r="C1645" s="14"/>
      <c r="D1645" s="14"/>
      <c r="E1645" s="14"/>
      <c r="F1645" s="14"/>
      <c r="G1645" s="18"/>
    </row>
    <row r="1646" spans="2:7" x14ac:dyDescent="0.35">
      <c r="B1646" s="47"/>
      <c r="C1646" s="14"/>
      <c r="D1646" s="14"/>
      <c r="E1646" s="14"/>
      <c r="F1646" s="14"/>
      <c r="G1646" s="18"/>
    </row>
    <row r="1647" spans="2:7" x14ac:dyDescent="0.35">
      <c r="B1647" s="47"/>
      <c r="C1647" s="14"/>
      <c r="D1647" s="14"/>
      <c r="E1647" s="14"/>
      <c r="F1647" s="14"/>
      <c r="G1647" s="18"/>
    </row>
    <row r="1648" spans="2:7" x14ac:dyDescent="0.35">
      <c r="B1648" s="47"/>
      <c r="C1648" s="14"/>
      <c r="D1648" s="14"/>
      <c r="E1648" s="14"/>
      <c r="F1648" s="14"/>
      <c r="G1648" s="18"/>
    </row>
    <row r="1649" spans="2:7" x14ac:dyDescent="0.35">
      <c r="B1649" s="47"/>
      <c r="C1649" s="14"/>
      <c r="D1649" s="14"/>
      <c r="E1649" s="14"/>
      <c r="F1649" s="14"/>
      <c r="G1649" s="18"/>
    </row>
    <row r="1650" spans="2:7" x14ac:dyDescent="0.35">
      <c r="B1650" s="47"/>
      <c r="C1650" s="14"/>
      <c r="D1650" s="14"/>
      <c r="E1650" s="14"/>
      <c r="F1650" s="14"/>
      <c r="G1650" s="18"/>
    </row>
    <row r="1651" spans="2:7" x14ac:dyDescent="0.35">
      <c r="B1651" s="47"/>
      <c r="C1651" s="14"/>
      <c r="D1651" s="14"/>
      <c r="E1651" s="14"/>
      <c r="F1651" s="14"/>
      <c r="G1651" s="18"/>
    </row>
    <row r="1652" spans="2:7" x14ac:dyDescent="0.35">
      <c r="B1652" s="47"/>
      <c r="C1652" s="14"/>
      <c r="D1652" s="14"/>
      <c r="E1652" s="14"/>
      <c r="F1652" s="14"/>
      <c r="G1652" s="18"/>
    </row>
    <row r="1653" spans="2:7" x14ac:dyDescent="0.35">
      <c r="B1653" s="47"/>
      <c r="C1653" s="14"/>
      <c r="D1653" s="14"/>
      <c r="E1653" s="14"/>
      <c r="F1653" s="14"/>
      <c r="G1653" s="18"/>
    </row>
    <row r="1654" spans="2:7" x14ac:dyDescent="0.35">
      <c r="B1654" s="47"/>
      <c r="C1654" s="14"/>
      <c r="D1654" s="14"/>
      <c r="E1654" s="14"/>
      <c r="F1654" s="14"/>
      <c r="G1654" s="18"/>
    </row>
    <row r="1655" spans="2:7" x14ac:dyDescent="0.35">
      <c r="B1655" s="47"/>
      <c r="C1655" s="14"/>
      <c r="D1655" s="14"/>
      <c r="E1655" s="14"/>
      <c r="F1655" s="14"/>
      <c r="G1655" s="18"/>
    </row>
    <row r="1656" spans="2:7" x14ac:dyDescent="0.35">
      <c r="B1656" s="47"/>
      <c r="C1656" s="14"/>
      <c r="D1656" s="14"/>
      <c r="E1656" s="14"/>
      <c r="F1656" s="14"/>
      <c r="G1656" s="18"/>
    </row>
    <row r="1657" spans="2:7" x14ac:dyDescent="0.35">
      <c r="B1657" s="47"/>
      <c r="C1657" s="14"/>
      <c r="D1657" s="14"/>
      <c r="E1657" s="14"/>
      <c r="F1657" s="14"/>
      <c r="G1657" s="18"/>
    </row>
    <row r="1658" spans="2:7" x14ac:dyDescent="0.35">
      <c r="B1658" s="47"/>
      <c r="C1658" s="14"/>
      <c r="D1658" s="14"/>
      <c r="E1658" s="14"/>
      <c r="F1658" s="14"/>
      <c r="G1658" s="18"/>
    </row>
    <row r="1659" spans="2:7" x14ac:dyDescent="0.35">
      <c r="B1659" s="47"/>
      <c r="C1659" s="14"/>
      <c r="D1659" s="14"/>
      <c r="E1659" s="14"/>
      <c r="F1659" s="14"/>
      <c r="G1659" s="18"/>
    </row>
    <row r="1660" spans="2:7" x14ac:dyDescent="0.35">
      <c r="B1660" s="47"/>
      <c r="C1660" s="14"/>
      <c r="D1660" s="14"/>
      <c r="E1660" s="14"/>
      <c r="F1660" s="14"/>
      <c r="G1660" s="18"/>
    </row>
    <row r="1661" spans="2:7" x14ac:dyDescent="0.35">
      <c r="B1661" s="47"/>
      <c r="C1661" s="14"/>
      <c r="D1661" s="14"/>
      <c r="E1661" s="14"/>
      <c r="F1661" s="14"/>
      <c r="G1661" s="18"/>
    </row>
    <row r="1662" spans="2:7" x14ac:dyDescent="0.35">
      <c r="B1662" s="47"/>
      <c r="C1662" s="14"/>
      <c r="D1662" s="14"/>
      <c r="E1662" s="14"/>
      <c r="F1662" s="14"/>
      <c r="G1662" s="18"/>
    </row>
    <row r="1663" spans="2:7" x14ac:dyDescent="0.35">
      <c r="B1663" s="47"/>
      <c r="C1663" s="14"/>
      <c r="D1663" s="14"/>
      <c r="E1663" s="14"/>
      <c r="F1663" s="14"/>
      <c r="G1663" s="18"/>
    </row>
    <row r="1664" spans="2:7" x14ac:dyDescent="0.35">
      <c r="B1664" s="47"/>
      <c r="C1664" s="14"/>
      <c r="D1664" s="14"/>
      <c r="E1664" s="14"/>
      <c r="F1664" s="14"/>
      <c r="G1664" s="18"/>
    </row>
    <row r="1665" spans="2:7" x14ac:dyDescent="0.35">
      <c r="B1665" s="47"/>
      <c r="C1665" s="14"/>
      <c r="D1665" s="14"/>
      <c r="E1665" s="14"/>
      <c r="F1665" s="14"/>
      <c r="G1665" s="18"/>
    </row>
    <row r="1666" spans="2:7" x14ac:dyDescent="0.35">
      <c r="B1666" s="47"/>
      <c r="C1666" s="14"/>
      <c r="D1666" s="14"/>
      <c r="E1666" s="14"/>
      <c r="F1666" s="14"/>
      <c r="G1666" s="18"/>
    </row>
    <row r="1667" spans="2:7" x14ac:dyDescent="0.35">
      <c r="B1667" s="47"/>
      <c r="C1667" s="14"/>
      <c r="D1667" s="14"/>
      <c r="E1667" s="14"/>
      <c r="F1667" s="14"/>
      <c r="G1667" s="18"/>
    </row>
    <row r="1668" spans="2:7" x14ac:dyDescent="0.35">
      <c r="B1668" s="47"/>
      <c r="C1668" s="14"/>
      <c r="D1668" s="14"/>
      <c r="E1668" s="14"/>
      <c r="F1668" s="14"/>
      <c r="G1668" s="18"/>
    </row>
    <row r="1669" spans="2:7" x14ac:dyDescent="0.35">
      <c r="B1669" s="47"/>
      <c r="C1669" s="14"/>
      <c r="D1669" s="14"/>
      <c r="E1669" s="14"/>
      <c r="F1669" s="14"/>
      <c r="G1669" s="18"/>
    </row>
    <row r="1670" spans="2:7" x14ac:dyDescent="0.35">
      <c r="B1670" s="47"/>
      <c r="C1670" s="14"/>
      <c r="D1670" s="14"/>
      <c r="E1670" s="14"/>
      <c r="F1670" s="14"/>
      <c r="G1670" s="18"/>
    </row>
    <row r="1671" spans="2:7" x14ac:dyDescent="0.35">
      <c r="B1671" s="47"/>
      <c r="C1671" s="14"/>
      <c r="D1671" s="14"/>
      <c r="E1671" s="14"/>
      <c r="F1671" s="14"/>
      <c r="G1671" s="18"/>
    </row>
    <row r="1672" spans="2:7" x14ac:dyDescent="0.35">
      <c r="B1672" s="47"/>
      <c r="C1672" s="14"/>
      <c r="D1672" s="14"/>
      <c r="E1672" s="14"/>
      <c r="F1672" s="14"/>
      <c r="G1672" s="18"/>
    </row>
    <row r="1673" spans="2:7" x14ac:dyDescent="0.35">
      <c r="B1673" s="47"/>
      <c r="C1673" s="14"/>
      <c r="D1673" s="14"/>
      <c r="E1673" s="14"/>
      <c r="F1673" s="14"/>
      <c r="G1673" s="18"/>
    </row>
    <row r="1674" spans="2:7" x14ac:dyDescent="0.35">
      <c r="B1674" s="47"/>
      <c r="C1674" s="14"/>
      <c r="D1674" s="14"/>
      <c r="E1674" s="14"/>
      <c r="F1674" s="14"/>
      <c r="G1674" s="18"/>
    </row>
    <row r="1675" spans="2:7" x14ac:dyDescent="0.35">
      <c r="B1675" s="47"/>
      <c r="C1675" s="14"/>
      <c r="D1675" s="14"/>
      <c r="E1675" s="14"/>
      <c r="F1675" s="14"/>
      <c r="G1675" s="18"/>
    </row>
    <row r="1676" spans="2:7" x14ac:dyDescent="0.35">
      <c r="B1676" s="47"/>
      <c r="C1676" s="14"/>
      <c r="D1676" s="14"/>
      <c r="E1676" s="14"/>
      <c r="F1676" s="14"/>
      <c r="G1676" s="18"/>
    </row>
    <row r="1677" spans="2:7" x14ac:dyDescent="0.35">
      <c r="B1677" s="47"/>
      <c r="C1677" s="14"/>
      <c r="D1677" s="14"/>
      <c r="E1677" s="14"/>
      <c r="F1677" s="14"/>
      <c r="G1677" s="18"/>
    </row>
    <row r="1678" spans="2:7" x14ac:dyDescent="0.35">
      <c r="B1678" s="47"/>
      <c r="C1678" s="14"/>
      <c r="D1678" s="14"/>
      <c r="E1678" s="14"/>
      <c r="F1678" s="14"/>
      <c r="G1678" s="18"/>
    </row>
    <row r="1679" spans="2:7" x14ac:dyDescent="0.35">
      <c r="B1679" s="47"/>
      <c r="C1679" s="14"/>
      <c r="D1679" s="14"/>
      <c r="E1679" s="14"/>
      <c r="F1679" s="14"/>
      <c r="G1679" s="18"/>
    </row>
    <row r="1680" spans="2:7" x14ac:dyDescent="0.35">
      <c r="B1680" s="47"/>
      <c r="C1680" s="14"/>
      <c r="D1680" s="14"/>
      <c r="E1680" s="14"/>
      <c r="F1680" s="14"/>
      <c r="G1680" s="18"/>
    </row>
    <row r="1681" spans="2:7" x14ac:dyDescent="0.35">
      <c r="B1681" s="47"/>
      <c r="C1681" s="14"/>
      <c r="D1681" s="14"/>
      <c r="E1681" s="14"/>
      <c r="F1681" s="14"/>
      <c r="G1681" s="18"/>
    </row>
    <row r="1682" spans="2:7" x14ac:dyDescent="0.35">
      <c r="B1682" s="47"/>
      <c r="C1682" s="14"/>
      <c r="D1682" s="14"/>
      <c r="E1682" s="14"/>
      <c r="F1682" s="14"/>
      <c r="G1682" s="18"/>
    </row>
    <row r="1683" spans="2:7" x14ac:dyDescent="0.35">
      <c r="B1683" s="47"/>
      <c r="C1683" s="14"/>
      <c r="D1683" s="14"/>
      <c r="E1683" s="14"/>
      <c r="F1683" s="14"/>
      <c r="G1683" s="18"/>
    </row>
    <row r="1684" spans="2:7" x14ac:dyDescent="0.35">
      <c r="B1684" s="47"/>
      <c r="C1684" s="14"/>
      <c r="D1684" s="14"/>
      <c r="E1684" s="14"/>
      <c r="F1684" s="14"/>
      <c r="G1684" s="18"/>
    </row>
    <row r="1685" spans="2:7" x14ac:dyDescent="0.35">
      <c r="B1685" s="47"/>
      <c r="C1685" s="14"/>
      <c r="D1685" s="14"/>
      <c r="E1685" s="14"/>
      <c r="F1685" s="14"/>
      <c r="G1685" s="18"/>
    </row>
    <row r="1686" spans="2:7" x14ac:dyDescent="0.35">
      <c r="B1686" s="47"/>
      <c r="C1686" s="14"/>
      <c r="D1686" s="14"/>
      <c r="E1686" s="14"/>
      <c r="F1686" s="14"/>
      <c r="G1686" s="18"/>
    </row>
    <row r="1687" spans="2:7" x14ac:dyDescent="0.35">
      <c r="B1687" s="47"/>
      <c r="C1687" s="14"/>
      <c r="D1687" s="14"/>
      <c r="E1687" s="14"/>
      <c r="F1687" s="14"/>
      <c r="G1687" s="18"/>
    </row>
    <row r="1688" spans="2:7" x14ac:dyDescent="0.35">
      <c r="B1688" s="47"/>
      <c r="C1688" s="14"/>
      <c r="D1688" s="14"/>
      <c r="E1688" s="14"/>
      <c r="F1688" s="14"/>
      <c r="G1688" s="18"/>
    </row>
    <row r="1689" spans="2:7" x14ac:dyDescent="0.35">
      <c r="B1689" s="47"/>
      <c r="C1689" s="14"/>
      <c r="D1689" s="14"/>
      <c r="E1689" s="14"/>
      <c r="F1689" s="14"/>
      <c r="G1689" s="18"/>
    </row>
    <row r="1690" spans="2:7" x14ac:dyDescent="0.35">
      <c r="B1690" s="47"/>
      <c r="C1690" s="14"/>
      <c r="D1690" s="14"/>
      <c r="E1690" s="14"/>
      <c r="F1690" s="14"/>
      <c r="G1690" s="18"/>
    </row>
    <row r="1691" spans="2:7" x14ac:dyDescent="0.35">
      <c r="B1691" s="47"/>
      <c r="C1691" s="14"/>
      <c r="D1691" s="14"/>
      <c r="E1691" s="14"/>
      <c r="F1691" s="14"/>
      <c r="G1691" s="18"/>
    </row>
    <row r="1692" spans="2:7" x14ac:dyDescent="0.35">
      <c r="B1692" s="47"/>
      <c r="C1692" s="14"/>
      <c r="D1692" s="14"/>
      <c r="E1692" s="14"/>
      <c r="F1692" s="14"/>
      <c r="G1692" s="18"/>
    </row>
    <row r="1693" spans="2:7" x14ac:dyDescent="0.35">
      <c r="B1693" s="47"/>
      <c r="C1693" s="14"/>
      <c r="D1693" s="14"/>
      <c r="E1693" s="14"/>
      <c r="F1693" s="14"/>
      <c r="G1693" s="18"/>
    </row>
    <row r="1694" spans="2:7" x14ac:dyDescent="0.35">
      <c r="B1694" s="47"/>
      <c r="C1694" s="14"/>
      <c r="D1694" s="14"/>
      <c r="E1694" s="14"/>
      <c r="F1694" s="14"/>
      <c r="G1694" s="18"/>
    </row>
    <row r="1695" spans="2:7" x14ac:dyDescent="0.35">
      <c r="B1695" s="47"/>
      <c r="C1695" s="14"/>
      <c r="D1695" s="14"/>
      <c r="E1695" s="14"/>
      <c r="F1695" s="14"/>
      <c r="G1695" s="18"/>
    </row>
    <row r="1696" spans="2:7" x14ac:dyDescent="0.35">
      <c r="B1696" s="47"/>
      <c r="C1696" s="14"/>
      <c r="D1696" s="14"/>
      <c r="E1696" s="14"/>
      <c r="F1696" s="14"/>
      <c r="G1696" s="18"/>
    </row>
    <row r="1697" spans="2:7" x14ac:dyDescent="0.35">
      <c r="B1697" s="47"/>
      <c r="C1697" s="14"/>
      <c r="D1697" s="14"/>
      <c r="E1697" s="14"/>
      <c r="F1697" s="14"/>
      <c r="G1697" s="18"/>
    </row>
    <row r="1698" spans="2:7" x14ac:dyDescent="0.35">
      <c r="B1698" s="47"/>
      <c r="C1698" s="14"/>
      <c r="D1698" s="14"/>
      <c r="E1698" s="14"/>
      <c r="F1698" s="14"/>
      <c r="G1698" s="18"/>
    </row>
    <row r="1699" spans="2:7" x14ac:dyDescent="0.35">
      <c r="B1699" s="47"/>
      <c r="C1699" s="14"/>
      <c r="D1699" s="14"/>
      <c r="E1699" s="14"/>
      <c r="F1699" s="14"/>
      <c r="G1699" s="18"/>
    </row>
    <row r="1700" spans="2:7" x14ac:dyDescent="0.35">
      <c r="B1700" s="47"/>
      <c r="C1700" s="14"/>
      <c r="D1700" s="14"/>
      <c r="E1700" s="14"/>
      <c r="F1700" s="14"/>
      <c r="G1700" s="18"/>
    </row>
    <row r="1701" spans="2:7" x14ac:dyDescent="0.35">
      <c r="B1701" s="47"/>
      <c r="C1701" s="14"/>
      <c r="D1701" s="14"/>
      <c r="E1701" s="14"/>
      <c r="F1701" s="14"/>
      <c r="G1701" s="18"/>
    </row>
    <row r="1702" spans="2:7" x14ac:dyDescent="0.35">
      <c r="B1702" s="47"/>
      <c r="C1702" s="14"/>
      <c r="D1702" s="14"/>
      <c r="E1702" s="14"/>
      <c r="F1702" s="14"/>
      <c r="G1702" s="18"/>
    </row>
    <row r="1703" spans="2:7" x14ac:dyDescent="0.35">
      <c r="B1703" s="47"/>
      <c r="C1703" s="14"/>
      <c r="D1703" s="14"/>
      <c r="E1703" s="14"/>
      <c r="F1703" s="14"/>
      <c r="G1703" s="18"/>
    </row>
    <row r="1704" spans="2:7" x14ac:dyDescent="0.35">
      <c r="B1704" s="47"/>
      <c r="C1704" s="14"/>
      <c r="D1704" s="14"/>
      <c r="E1704" s="14"/>
      <c r="F1704" s="14"/>
      <c r="G1704" s="18"/>
    </row>
    <row r="1705" spans="2:7" x14ac:dyDescent="0.35">
      <c r="B1705" s="47"/>
      <c r="C1705" s="14"/>
      <c r="D1705" s="14"/>
      <c r="E1705" s="14"/>
      <c r="F1705" s="14"/>
      <c r="G1705" s="18"/>
    </row>
    <row r="1706" spans="2:7" x14ac:dyDescent="0.35">
      <c r="B1706" s="47"/>
      <c r="C1706" s="14"/>
      <c r="D1706" s="14"/>
      <c r="E1706" s="14"/>
      <c r="F1706" s="14"/>
      <c r="G1706" s="18"/>
    </row>
    <row r="1707" spans="2:7" x14ac:dyDescent="0.35">
      <c r="B1707" s="47"/>
      <c r="C1707" s="14"/>
      <c r="D1707" s="14"/>
      <c r="E1707" s="14"/>
      <c r="F1707" s="14"/>
      <c r="G1707" s="18"/>
    </row>
    <row r="1708" spans="2:7" x14ac:dyDescent="0.35">
      <c r="B1708" s="47"/>
      <c r="C1708" s="14"/>
      <c r="D1708" s="14"/>
      <c r="E1708" s="14"/>
      <c r="F1708" s="14"/>
      <c r="G1708" s="18"/>
    </row>
    <row r="1709" spans="2:7" x14ac:dyDescent="0.35">
      <c r="B1709" s="47"/>
      <c r="C1709" s="14"/>
      <c r="D1709" s="14"/>
      <c r="E1709" s="14"/>
      <c r="F1709" s="14"/>
      <c r="G1709" s="18"/>
    </row>
    <row r="1710" spans="2:7" x14ac:dyDescent="0.35">
      <c r="B1710" s="47"/>
      <c r="C1710" s="14"/>
      <c r="D1710" s="14"/>
      <c r="E1710" s="14"/>
      <c r="F1710" s="14"/>
      <c r="G1710" s="18"/>
    </row>
    <row r="1711" spans="2:7" x14ac:dyDescent="0.35">
      <c r="B1711" s="47"/>
      <c r="C1711" s="14"/>
      <c r="D1711" s="14"/>
      <c r="E1711" s="14"/>
      <c r="F1711" s="14"/>
      <c r="G1711" s="18"/>
    </row>
    <row r="1712" spans="2:7" x14ac:dyDescent="0.35">
      <c r="B1712" s="47"/>
      <c r="C1712" s="14"/>
      <c r="D1712" s="14"/>
      <c r="E1712" s="14"/>
      <c r="F1712" s="14"/>
      <c r="G1712" s="18"/>
    </row>
    <row r="1713" spans="2:7" x14ac:dyDescent="0.35">
      <c r="B1713" s="47"/>
      <c r="C1713" s="14"/>
      <c r="D1713" s="14"/>
      <c r="E1713" s="14"/>
      <c r="F1713" s="14"/>
      <c r="G1713" s="18"/>
    </row>
    <row r="1714" spans="2:7" x14ac:dyDescent="0.35">
      <c r="B1714" s="47"/>
      <c r="C1714" s="14"/>
      <c r="D1714" s="14"/>
      <c r="E1714" s="14"/>
      <c r="F1714" s="14"/>
      <c r="G1714" s="18"/>
    </row>
    <row r="1715" spans="2:7" x14ac:dyDescent="0.35">
      <c r="B1715" s="47"/>
      <c r="C1715" s="14"/>
      <c r="D1715" s="14"/>
      <c r="E1715" s="14"/>
      <c r="F1715" s="14"/>
      <c r="G1715" s="18"/>
    </row>
    <row r="1716" spans="2:7" x14ac:dyDescent="0.35">
      <c r="B1716" s="47"/>
      <c r="C1716" s="14"/>
      <c r="D1716" s="14"/>
      <c r="E1716" s="14"/>
      <c r="F1716" s="14"/>
      <c r="G1716" s="18"/>
    </row>
    <row r="1717" spans="2:7" x14ac:dyDescent="0.35">
      <c r="B1717" s="47"/>
      <c r="C1717" s="14"/>
      <c r="D1717" s="14"/>
      <c r="E1717" s="14"/>
      <c r="F1717" s="14"/>
      <c r="G1717" s="18"/>
    </row>
    <row r="1718" spans="2:7" x14ac:dyDescent="0.35">
      <c r="B1718" s="47"/>
      <c r="C1718" s="14"/>
      <c r="D1718" s="14"/>
      <c r="E1718" s="14"/>
      <c r="F1718" s="14"/>
      <c r="G1718" s="18"/>
    </row>
    <row r="1719" spans="2:7" x14ac:dyDescent="0.35">
      <c r="B1719" s="47"/>
      <c r="C1719" s="14"/>
      <c r="D1719" s="14"/>
      <c r="E1719" s="14"/>
      <c r="F1719" s="14"/>
      <c r="G1719" s="18"/>
    </row>
    <row r="1720" spans="2:7" x14ac:dyDescent="0.35">
      <c r="B1720" s="47"/>
      <c r="C1720" s="14"/>
      <c r="D1720" s="14"/>
      <c r="E1720" s="14"/>
      <c r="F1720" s="14"/>
      <c r="G1720" s="18"/>
    </row>
    <row r="1721" spans="2:7" x14ac:dyDescent="0.35">
      <c r="B1721" s="47"/>
      <c r="C1721" s="14"/>
      <c r="D1721" s="14"/>
      <c r="E1721" s="14"/>
      <c r="F1721" s="14"/>
      <c r="G1721" s="18"/>
    </row>
    <row r="1722" spans="2:7" x14ac:dyDescent="0.35">
      <c r="B1722" s="47"/>
      <c r="C1722" s="14"/>
      <c r="D1722" s="14"/>
      <c r="E1722" s="14"/>
      <c r="F1722" s="14"/>
      <c r="G1722" s="18"/>
    </row>
    <row r="1723" spans="2:7" x14ac:dyDescent="0.35">
      <c r="B1723" s="47"/>
      <c r="C1723" s="14"/>
      <c r="D1723" s="14"/>
      <c r="E1723" s="14"/>
      <c r="F1723" s="14"/>
      <c r="G1723" s="18"/>
    </row>
    <row r="1724" spans="2:7" x14ac:dyDescent="0.35">
      <c r="B1724" s="47"/>
      <c r="C1724" s="14"/>
      <c r="D1724" s="14"/>
      <c r="E1724" s="14"/>
      <c r="F1724" s="14"/>
      <c r="G1724" s="18"/>
    </row>
    <row r="1725" spans="2:7" x14ac:dyDescent="0.35">
      <c r="B1725" s="47"/>
      <c r="C1725" s="14"/>
      <c r="D1725" s="14"/>
      <c r="E1725" s="14"/>
      <c r="F1725" s="14"/>
      <c r="G1725" s="18"/>
    </row>
    <row r="1726" spans="2:7" x14ac:dyDescent="0.35">
      <c r="B1726" s="47"/>
      <c r="C1726" s="14"/>
      <c r="D1726" s="14"/>
      <c r="E1726" s="14"/>
      <c r="F1726" s="14"/>
      <c r="G1726" s="18"/>
    </row>
    <row r="1727" spans="2:7" x14ac:dyDescent="0.35">
      <c r="B1727" s="47"/>
      <c r="C1727" s="14"/>
      <c r="D1727" s="14"/>
      <c r="E1727" s="14"/>
      <c r="F1727" s="14"/>
      <c r="G1727" s="18"/>
    </row>
    <row r="1728" spans="2:7" x14ac:dyDescent="0.35">
      <c r="B1728" s="47"/>
      <c r="C1728" s="14"/>
      <c r="D1728" s="14"/>
      <c r="E1728" s="14"/>
      <c r="F1728" s="14"/>
      <c r="G1728" s="18"/>
    </row>
    <row r="1729" spans="2:7" x14ac:dyDescent="0.35">
      <c r="B1729" s="47"/>
      <c r="C1729" s="14"/>
      <c r="D1729" s="14"/>
      <c r="E1729" s="14"/>
      <c r="F1729" s="14"/>
      <c r="G1729" s="18"/>
    </row>
    <row r="1730" spans="2:7" x14ac:dyDescent="0.35">
      <c r="B1730" s="47"/>
      <c r="C1730" s="14"/>
      <c r="D1730" s="14"/>
      <c r="E1730" s="14"/>
      <c r="F1730" s="14"/>
      <c r="G1730" s="18"/>
    </row>
    <row r="1731" spans="2:7" x14ac:dyDescent="0.35">
      <c r="B1731" s="47"/>
      <c r="C1731" s="14"/>
      <c r="D1731" s="14"/>
      <c r="E1731" s="14"/>
      <c r="F1731" s="14"/>
      <c r="G1731" s="18"/>
    </row>
    <row r="1732" spans="2:7" x14ac:dyDescent="0.35">
      <c r="B1732" s="47"/>
      <c r="C1732" s="14"/>
      <c r="D1732" s="14"/>
      <c r="E1732" s="14"/>
      <c r="F1732" s="14"/>
      <c r="G1732" s="18"/>
    </row>
    <row r="1733" spans="2:7" x14ac:dyDescent="0.35">
      <c r="B1733" s="47"/>
      <c r="C1733" s="14"/>
      <c r="D1733" s="14"/>
      <c r="E1733" s="14"/>
      <c r="F1733" s="14"/>
      <c r="G1733" s="18"/>
    </row>
    <row r="1734" spans="2:7" x14ac:dyDescent="0.35">
      <c r="B1734" s="47"/>
      <c r="C1734" s="14"/>
      <c r="D1734" s="14"/>
      <c r="E1734" s="14"/>
      <c r="F1734" s="14"/>
      <c r="G1734" s="18"/>
    </row>
    <row r="1735" spans="2:7" x14ac:dyDescent="0.35">
      <c r="B1735" s="47"/>
      <c r="C1735" s="14"/>
      <c r="D1735" s="14"/>
      <c r="E1735" s="14"/>
      <c r="F1735" s="14"/>
      <c r="G1735" s="18"/>
    </row>
    <row r="1736" spans="2:7" x14ac:dyDescent="0.35">
      <c r="B1736" s="47"/>
      <c r="C1736" s="14"/>
      <c r="D1736" s="14"/>
      <c r="E1736" s="14"/>
      <c r="F1736" s="14"/>
      <c r="G1736" s="18"/>
    </row>
    <row r="1737" spans="2:7" x14ac:dyDescent="0.35">
      <c r="B1737" s="47"/>
      <c r="C1737" s="14"/>
      <c r="D1737" s="14"/>
      <c r="E1737" s="14"/>
      <c r="F1737" s="14"/>
      <c r="G1737" s="18"/>
    </row>
    <row r="1738" spans="2:7" x14ac:dyDescent="0.35">
      <c r="B1738" s="47"/>
      <c r="C1738" s="14"/>
      <c r="D1738" s="14"/>
      <c r="E1738" s="14"/>
      <c r="F1738" s="14"/>
      <c r="G1738" s="18"/>
    </row>
    <row r="1739" spans="2:7" x14ac:dyDescent="0.35">
      <c r="B1739" s="47"/>
      <c r="C1739" s="14"/>
      <c r="D1739" s="14"/>
      <c r="E1739" s="14"/>
      <c r="F1739" s="14"/>
      <c r="G1739" s="18"/>
    </row>
    <row r="1740" spans="2:7" x14ac:dyDescent="0.35">
      <c r="B1740" s="47"/>
      <c r="C1740" s="14"/>
      <c r="D1740" s="14"/>
      <c r="E1740" s="14"/>
      <c r="F1740" s="14"/>
      <c r="G1740" s="18"/>
    </row>
    <row r="1741" spans="2:7" x14ac:dyDescent="0.35">
      <c r="B1741" s="47"/>
      <c r="C1741" s="14"/>
      <c r="D1741" s="14"/>
      <c r="E1741" s="14"/>
      <c r="F1741" s="14"/>
      <c r="G1741" s="18"/>
    </row>
    <row r="1742" spans="2:7" x14ac:dyDescent="0.35">
      <c r="B1742" s="47"/>
      <c r="C1742" s="14"/>
      <c r="D1742" s="14"/>
      <c r="E1742" s="14"/>
      <c r="F1742" s="14"/>
      <c r="G1742" s="18"/>
    </row>
    <row r="1743" spans="2:7" x14ac:dyDescent="0.35">
      <c r="B1743" s="47"/>
      <c r="C1743" s="14"/>
      <c r="D1743" s="14"/>
      <c r="E1743" s="14"/>
      <c r="F1743" s="14"/>
      <c r="G1743" s="18"/>
    </row>
    <row r="1744" spans="2:7" x14ac:dyDescent="0.35">
      <c r="B1744" s="47"/>
      <c r="C1744" s="14"/>
      <c r="D1744" s="14"/>
      <c r="E1744" s="14"/>
      <c r="F1744" s="14"/>
      <c r="G1744" s="18"/>
    </row>
    <row r="1745" spans="2:7" x14ac:dyDescent="0.35">
      <c r="B1745" s="47"/>
      <c r="C1745" s="14"/>
      <c r="D1745" s="14"/>
      <c r="E1745" s="14"/>
      <c r="F1745" s="14"/>
      <c r="G1745" s="18"/>
    </row>
    <row r="1746" spans="2:7" x14ac:dyDescent="0.35">
      <c r="B1746" s="47"/>
      <c r="C1746" s="14"/>
      <c r="D1746" s="14"/>
      <c r="E1746" s="14"/>
      <c r="F1746" s="14"/>
      <c r="G1746" s="18"/>
    </row>
    <row r="1747" spans="2:7" x14ac:dyDescent="0.35">
      <c r="B1747" s="47"/>
      <c r="C1747" s="14"/>
      <c r="D1747" s="14"/>
      <c r="E1747" s="14"/>
      <c r="F1747" s="14"/>
      <c r="G1747" s="18"/>
    </row>
    <row r="1748" spans="2:7" x14ac:dyDescent="0.35">
      <c r="B1748" s="47"/>
      <c r="C1748" s="14"/>
      <c r="D1748" s="14"/>
      <c r="E1748" s="14"/>
      <c r="F1748" s="14"/>
      <c r="G1748" s="18"/>
    </row>
    <row r="1749" spans="2:7" x14ac:dyDescent="0.35">
      <c r="B1749" s="47"/>
      <c r="C1749" s="14"/>
      <c r="D1749" s="14"/>
      <c r="E1749" s="14"/>
      <c r="F1749" s="14"/>
      <c r="G1749" s="18"/>
    </row>
    <row r="1750" spans="2:7" x14ac:dyDescent="0.35">
      <c r="B1750" s="47"/>
      <c r="C1750" s="14"/>
      <c r="D1750" s="14"/>
      <c r="E1750" s="14"/>
      <c r="F1750" s="14"/>
      <c r="G1750" s="18"/>
    </row>
    <row r="1751" spans="2:7" x14ac:dyDescent="0.35">
      <c r="B1751" s="47"/>
      <c r="C1751" s="14"/>
      <c r="D1751" s="14"/>
      <c r="E1751" s="14"/>
      <c r="F1751" s="14"/>
      <c r="G1751" s="18"/>
    </row>
    <row r="1752" spans="2:7" x14ac:dyDescent="0.35">
      <c r="B1752" s="47"/>
      <c r="C1752" s="14"/>
      <c r="D1752" s="14"/>
      <c r="E1752" s="14"/>
      <c r="F1752" s="14"/>
      <c r="G1752" s="18"/>
    </row>
    <row r="1753" spans="2:7" x14ac:dyDescent="0.35">
      <c r="B1753" s="47"/>
      <c r="C1753" s="14"/>
      <c r="D1753" s="14"/>
      <c r="E1753" s="14"/>
      <c r="F1753" s="14"/>
      <c r="G1753" s="18"/>
    </row>
    <row r="1754" spans="2:7" x14ac:dyDescent="0.35">
      <c r="B1754" s="47"/>
      <c r="C1754" s="14"/>
      <c r="D1754" s="14"/>
      <c r="E1754" s="14"/>
      <c r="F1754" s="14"/>
      <c r="G1754" s="18"/>
    </row>
    <row r="1755" spans="2:7" x14ac:dyDescent="0.35">
      <c r="B1755" s="47"/>
      <c r="C1755" s="14"/>
      <c r="D1755" s="14"/>
      <c r="E1755" s="14"/>
      <c r="F1755" s="14"/>
      <c r="G1755" s="18"/>
    </row>
    <row r="1756" spans="2:7" x14ac:dyDescent="0.35">
      <c r="B1756" s="47"/>
      <c r="C1756" s="14"/>
      <c r="D1756" s="14"/>
      <c r="E1756" s="14"/>
      <c r="F1756" s="14"/>
      <c r="G1756" s="18"/>
    </row>
    <row r="1757" spans="2:7" x14ac:dyDescent="0.35">
      <c r="B1757" s="47"/>
      <c r="C1757" s="14"/>
      <c r="D1757" s="14"/>
      <c r="E1757" s="14"/>
      <c r="F1757" s="14"/>
      <c r="G1757" s="18"/>
    </row>
    <row r="1758" spans="2:7" x14ac:dyDescent="0.35">
      <c r="B1758" s="47"/>
      <c r="C1758" s="14"/>
      <c r="D1758" s="14"/>
      <c r="E1758" s="14"/>
      <c r="F1758" s="14"/>
      <c r="G1758" s="18"/>
    </row>
    <row r="1759" spans="2:7" x14ac:dyDescent="0.35">
      <c r="B1759" s="47"/>
      <c r="C1759" s="14"/>
      <c r="D1759" s="14"/>
      <c r="E1759" s="14"/>
      <c r="F1759" s="14"/>
      <c r="G1759" s="18"/>
    </row>
    <row r="1760" spans="2:7" x14ac:dyDescent="0.35">
      <c r="B1760" s="47"/>
      <c r="C1760" s="14"/>
      <c r="D1760" s="14"/>
      <c r="E1760" s="14"/>
      <c r="F1760" s="14"/>
      <c r="G1760" s="18"/>
    </row>
    <row r="1761" spans="2:7" x14ac:dyDescent="0.35">
      <c r="B1761" s="47"/>
      <c r="C1761" s="14"/>
      <c r="D1761" s="14"/>
      <c r="E1761" s="14"/>
      <c r="F1761" s="14"/>
      <c r="G1761" s="18"/>
    </row>
    <row r="1762" spans="2:7" x14ac:dyDescent="0.35">
      <c r="B1762" s="47"/>
      <c r="C1762" s="14"/>
      <c r="D1762" s="14"/>
      <c r="E1762" s="14"/>
      <c r="F1762" s="14"/>
      <c r="G1762" s="18"/>
    </row>
    <row r="1763" spans="2:7" x14ac:dyDescent="0.35">
      <c r="B1763" s="47"/>
      <c r="C1763" s="14"/>
      <c r="D1763" s="14"/>
      <c r="E1763" s="14"/>
      <c r="F1763" s="14"/>
      <c r="G1763" s="18"/>
    </row>
    <row r="1764" spans="2:7" x14ac:dyDescent="0.35">
      <c r="B1764" s="47"/>
      <c r="C1764" s="14"/>
      <c r="D1764" s="14"/>
      <c r="E1764" s="14"/>
      <c r="F1764" s="14"/>
      <c r="G1764" s="18"/>
    </row>
    <row r="1765" spans="2:7" x14ac:dyDescent="0.35">
      <c r="B1765" s="47"/>
      <c r="C1765" s="14"/>
      <c r="D1765" s="14"/>
      <c r="E1765" s="14"/>
      <c r="F1765" s="14"/>
      <c r="G1765" s="18"/>
    </row>
    <row r="1766" spans="2:7" x14ac:dyDescent="0.35">
      <c r="B1766" s="47"/>
      <c r="C1766" s="14"/>
      <c r="D1766" s="14"/>
      <c r="E1766" s="14"/>
      <c r="F1766" s="14"/>
      <c r="G1766" s="18"/>
    </row>
    <row r="1767" spans="2:7" x14ac:dyDescent="0.35">
      <c r="B1767" s="47"/>
      <c r="C1767" s="14"/>
      <c r="D1767" s="14"/>
      <c r="E1767" s="14"/>
      <c r="F1767" s="14"/>
      <c r="G1767" s="18"/>
    </row>
    <row r="1768" spans="2:7" x14ac:dyDescent="0.35">
      <c r="B1768" s="47"/>
      <c r="C1768" s="14"/>
      <c r="D1768" s="14"/>
      <c r="E1768" s="14"/>
      <c r="F1768" s="14"/>
      <c r="G1768" s="18"/>
    </row>
    <row r="1769" spans="2:7" x14ac:dyDescent="0.35">
      <c r="B1769" s="47"/>
      <c r="C1769" s="14"/>
      <c r="D1769" s="14"/>
      <c r="E1769" s="14"/>
      <c r="F1769" s="14"/>
      <c r="G1769" s="18"/>
    </row>
    <row r="1770" spans="2:7" x14ac:dyDescent="0.35">
      <c r="B1770" s="47"/>
      <c r="C1770" s="14"/>
      <c r="D1770" s="14"/>
      <c r="E1770" s="14"/>
      <c r="F1770" s="14"/>
      <c r="G1770" s="18"/>
    </row>
    <row r="1771" spans="2:7" x14ac:dyDescent="0.35">
      <c r="B1771" s="47"/>
      <c r="C1771" s="14"/>
      <c r="D1771" s="14"/>
      <c r="E1771" s="14"/>
      <c r="F1771" s="14"/>
      <c r="G1771" s="18"/>
    </row>
    <row r="1772" spans="2:7" x14ac:dyDescent="0.35">
      <c r="B1772" s="47"/>
      <c r="C1772" s="14"/>
      <c r="D1772" s="14"/>
      <c r="E1772" s="14"/>
      <c r="F1772" s="14"/>
      <c r="G1772" s="18"/>
    </row>
    <row r="1773" spans="2:7" x14ac:dyDescent="0.35">
      <c r="B1773" s="47"/>
      <c r="C1773" s="14"/>
      <c r="D1773" s="14"/>
      <c r="E1773" s="14"/>
      <c r="F1773" s="14"/>
      <c r="G1773" s="18"/>
    </row>
    <row r="1774" spans="2:7" x14ac:dyDescent="0.35">
      <c r="B1774" s="47"/>
      <c r="C1774" s="14"/>
      <c r="D1774" s="14"/>
      <c r="E1774" s="14"/>
      <c r="F1774" s="14"/>
      <c r="G1774" s="18"/>
    </row>
    <row r="1775" spans="2:7" x14ac:dyDescent="0.35">
      <c r="B1775" s="47"/>
      <c r="C1775" s="14"/>
      <c r="D1775" s="14"/>
      <c r="E1775" s="14"/>
      <c r="F1775" s="14"/>
      <c r="G1775" s="18"/>
    </row>
    <row r="1776" spans="2:7" x14ac:dyDescent="0.35">
      <c r="B1776" s="47"/>
      <c r="C1776" s="14"/>
      <c r="D1776" s="14"/>
      <c r="E1776" s="14"/>
      <c r="F1776" s="14"/>
      <c r="G1776" s="18"/>
    </row>
    <row r="1777" spans="2:7" x14ac:dyDescent="0.35">
      <c r="B1777" s="47"/>
      <c r="C1777" s="14"/>
      <c r="D1777" s="14"/>
      <c r="E1777" s="14"/>
      <c r="F1777" s="14"/>
      <c r="G1777" s="18"/>
    </row>
    <row r="1778" spans="2:7" x14ac:dyDescent="0.35">
      <c r="B1778" s="47"/>
      <c r="C1778" s="14"/>
      <c r="D1778" s="14"/>
      <c r="E1778" s="14"/>
      <c r="F1778" s="14"/>
      <c r="G1778" s="18"/>
    </row>
    <row r="1779" spans="2:7" x14ac:dyDescent="0.35">
      <c r="B1779" s="47"/>
      <c r="C1779" s="14"/>
      <c r="D1779" s="14"/>
      <c r="E1779" s="14"/>
      <c r="F1779" s="14"/>
      <c r="G1779" s="18"/>
    </row>
    <row r="1780" spans="2:7" x14ac:dyDescent="0.35">
      <c r="B1780" s="47"/>
      <c r="C1780" s="14"/>
      <c r="D1780" s="14"/>
      <c r="E1780" s="14"/>
      <c r="F1780" s="14"/>
      <c r="G1780" s="18"/>
    </row>
    <row r="1781" spans="2:7" x14ac:dyDescent="0.35">
      <c r="B1781" s="47"/>
      <c r="C1781" s="14"/>
      <c r="D1781" s="14"/>
      <c r="E1781" s="14"/>
      <c r="F1781" s="14"/>
      <c r="G1781" s="18"/>
    </row>
    <row r="1782" spans="2:7" x14ac:dyDescent="0.35">
      <c r="B1782" s="47"/>
      <c r="C1782" s="14"/>
      <c r="D1782" s="14"/>
      <c r="E1782" s="14"/>
      <c r="F1782" s="14"/>
      <c r="G1782" s="18"/>
    </row>
    <row r="1783" spans="2:7" x14ac:dyDescent="0.35">
      <c r="B1783" s="47"/>
      <c r="C1783" s="14"/>
      <c r="D1783" s="14"/>
      <c r="E1783" s="14"/>
      <c r="F1783" s="14"/>
      <c r="G1783" s="18"/>
    </row>
    <row r="1784" spans="2:7" x14ac:dyDescent="0.35">
      <c r="B1784" s="47"/>
      <c r="C1784" s="14"/>
      <c r="D1784" s="14"/>
      <c r="E1784" s="14"/>
      <c r="F1784" s="14"/>
      <c r="G1784" s="18"/>
    </row>
    <row r="1785" spans="2:7" x14ac:dyDescent="0.35">
      <c r="B1785" s="47"/>
      <c r="C1785" s="14"/>
      <c r="D1785" s="14"/>
      <c r="E1785" s="14"/>
      <c r="F1785" s="14"/>
      <c r="G1785" s="18"/>
    </row>
    <row r="1786" spans="2:7" x14ac:dyDescent="0.35">
      <c r="B1786" s="47"/>
      <c r="C1786" s="14"/>
      <c r="D1786" s="14"/>
      <c r="E1786" s="14"/>
      <c r="F1786" s="14"/>
      <c r="G1786" s="18"/>
    </row>
    <row r="1787" spans="2:7" x14ac:dyDescent="0.35">
      <c r="B1787" s="47"/>
      <c r="C1787" s="14"/>
      <c r="D1787" s="14"/>
      <c r="E1787" s="14"/>
      <c r="F1787" s="14"/>
      <c r="G1787" s="18"/>
    </row>
    <row r="1788" spans="2:7" x14ac:dyDescent="0.35">
      <c r="B1788" s="47"/>
      <c r="C1788" s="14"/>
      <c r="D1788" s="14"/>
      <c r="E1788" s="14"/>
      <c r="F1788" s="14"/>
      <c r="G1788" s="18"/>
    </row>
    <row r="1789" spans="2:7" x14ac:dyDescent="0.35">
      <c r="B1789" s="47"/>
      <c r="C1789" s="14"/>
      <c r="D1789" s="14"/>
      <c r="E1789" s="14"/>
      <c r="F1789" s="14"/>
      <c r="G1789" s="18"/>
    </row>
    <row r="1790" spans="2:7" x14ac:dyDescent="0.35">
      <c r="B1790" s="47"/>
      <c r="C1790" s="14"/>
      <c r="D1790" s="14"/>
      <c r="E1790" s="14"/>
      <c r="F1790" s="14"/>
      <c r="G1790" s="18"/>
    </row>
    <row r="1791" spans="2:7" x14ac:dyDescent="0.35">
      <c r="B1791" s="47"/>
      <c r="C1791" s="14"/>
      <c r="D1791" s="14"/>
      <c r="E1791" s="14"/>
      <c r="F1791" s="14"/>
      <c r="G1791" s="18"/>
    </row>
    <row r="1792" spans="2:7" x14ac:dyDescent="0.35">
      <c r="B1792" s="47"/>
      <c r="C1792" s="14"/>
      <c r="D1792" s="14"/>
      <c r="E1792" s="14"/>
      <c r="F1792" s="14"/>
      <c r="G1792" s="18"/>
    </row>
    <row r="1793" spans="2:7" x14ac:dyDescent="0.35">
      <c r="B1793" s="47"/>
      <c r="C1793" s="14"/>
      <c r="D1793" s="14"/>
      <c r="E1793" s="14"/>
      <c r="F1793" s="14"/>
      <c r="G1793" s="18"/>
    </row>
    <row r="1794" spans="2:7" x14ac:dyDescent="0.35">
      <c r="B1794" s="47"/>
      <c r="C1794" s="14"/>
      <c r="D1794" s="14"/>
      <c r="E1794" s="14"/>
      <c r="F1794" s="14"/>
      <c r="G1794" s="18"/>
    </row>
    <row r="1795" spans="2:7" x14ac:dyDescent="0.35">
      <c r="B1795" s="47"/>
      <c r="C1795" s="14"/>
      <c r="D1795" s="14"/>
      <c r="E1795" s="14"/>
      <c r="F1795" s="14"/>
      <c r="G1795" s="18"/>
    </row>
    <row r="1796" spans="2:7" x14ac:dyDescent="0.35">
      <c r="B1796" s="47"/>
      <c r="C1796" s="14"/>
      <c r="D1796" s="14"/>
      <c r="E1796" s="14"/>
      <c r="F1796" s="14"/>
      <c r="G1796" s="18"/>
    </row>
    <row r="1797" spans="2:7" x14ac:dyDescent="0.35">
      <c r="B1797" s="47"/>
      <c r="C1797" s="14"/>
      <c r="D1797" s="14"/>
      <c r="E1797" s="14"/>
      <c r="F1797" s="14"/>
      <c r="G1797" s="18"/>
    </row>
    <row r="1798" spans="2:7" x14ac:dyDescent="0.35">
      <c r="B1798" s="47"/>
      <c r="C1798" s="14"/>
      <c r="D1798" s="14"/>
      <c r="E1798" s="14"/>
      <c r="F1798" s="14"/>
      <c r="G1798" s="18"/>
    </row>
    <row r="1799" spans="2:7" x14ac:dyDescent="0.35">
      <c r="B1799" s="47"/>
      <c r="C1799" s="14"/>
      <c r="D1799" s="14"/>
      <c r="E1799" s="14"/>
      <c r="F1799" s="14"/>
      <c r="G1799" s="18"/>
    </row>
    <row r="1800" spans="2:7" x14ac:dyDescent="0.35">
      <c r="B1800" s="47"/>
      <c r="C1800" s="14"/>
      <c r="D1800" s="14"/>
      <c r="E1800" s="14"/>
      <c r="F1800" s="14"/>
      <c r="G1800" s="18"/>
    </row>
    <row r="1801" spans="2:7" x14ac:dyDescent="0.35">
      <c r="B1801" s="47"/>
      <c r="C1801" s="14"/>
      <c r="D1801" s="14"/>
      <c r="E1801" s="14"/>
      <c r="F1801" s="14"/>
      <c r="G1801" s="18"/>
    </row>
    <row r="1802" spans="2:7" x14ac:dyDescent="0.35">
      <c r="B1802" s="47"/>
      <c r="C1802" s="14"/>
      <c r="D1802" s="14"/>
      <c r="E1802" s="14"/>
      <c r="F1802" s="14"/>
      <c r="G1802" s="18"/>
    </row>
    <row r="1803" spans="2:7" x14ac:dyDescent="0.35">
      <c r="B1803" s="47"/>
      <c r="C1803" s="14"/>
      <c r="D1803" s="14"/>
      <c r="E1803" s="14"/>
      <c r="F1803" s="14"/>
      <c r="G1803" s="18"/>
    </row>
    <row r="1804" spans="2:7" x14ac:dyDescent="0.35">
      <c r="B1804" s="47"/>
      <c r="C1804" s="14"/>
      <c r="D1804" s="14"/>
      <c r="E1804" s="14"/>
      <c r="F1804" s="14"/>
      <c r="G1804" s="18"/>
    </row>
    <row r="1805" spans="2:7" x14ac:dyDescent="0.35">
      <c r="B1805" s="47"/>
      <c r="C1805" s="14"/>
      <c r="D1805" s="14"/>
      <c r="E1805" s="14"/>
      <c r="F1805" s="14"/>
      <c r="G1805" s="18"/>
    </row>
    <row r="1806" spans="2:7" x14ac:dyDescent="0.35">
      <c r="B1806" s="47"/>
      <c r="C1806" s="14"/>
      <c r="D1806" s="14"/>
      <c r="E1806" s="14"/>
      <c r="F1806" s="14"/>
      <c r="G1806" s="18"/>
    </row>
    <row r="1807" spans="2:7" x14ac:dyDescent="0.35">
      <c r="B1807" s="47"/>
      <c r="C1807" s="14"/>
      <c r="D1807" s="14"/>
      <c r="E1807" s="14"/>
      <c r="F1807" s="14"/>
      <c r="G1807" s="18"/>
    </row>
    <row r="1808" spans="2:7" x14ac:dyDescent="0.35">
      <c r="B1808" s="47"/>
      <c r="C1808" s="14"/>
      <c r="D1808" s="14"/>
      <c r="E1808" s="14"/>
      <c r="F1808" s="14"/>
      <c r="G1808" s="18"/>
    </row>
    <row r="1809" spans="2:7" x14ac:dyDescent="0.35">
      <c r="B1809" s="47"/>
      <c r="C1809" s="14"/>
      <c r="D1809" s="14"/>
      <c r="E1809" s="14"/>
      <c r="F1809" s="14"/>
      <c r="G1809" s="18"/>
    </row>
    <row r="1810" spans="2:7" x14ac:dyDescent="0.35">
      <c r="B1810" s="47"/>
      <c r="C1810" s="14"/>
      <c r="D1810" s="14"/>
      <c r="E1810" s="14"/>
      <c r="F1810" s="14"/>
      <c r="G1810" s="18"/>
    </row>
    <row r="1811" spans="2:7" x14ac:dyDescent="0.35">
      <c r="B1811" s="47"/>
      <c r="C1811" s="14"/>
      <c r="D1811" s="14"/>
      <c r="E1811" s="14"/>
      <c r="F1811" s="14"/>
      <c r="G1811" s="18"/>
    </row>
    <row r="1812" spans="2:7" x14ac:dyDescent="0.35">
      <c r="B1812" s="47"/>
      <c r="C1812" s="14"/>
      <c r="D1812" s="14"/>
      <c r="E1812" s="14"/>
      <c r="F1812" s="14"/>
      <c r="G1812" s="18"/>
    </row>
    <row r="1813" spans="2:7" x14ac:dyDescent="0.35">
      <c r="B1813" s="47"/>
      <c r="C1813" s="14"/>
      <c r="D1813" s="14"/>
      <c r="E1813" s="14"/>
      <c r="F1813" s="14"/>
      <c r="G1813" s="18"/>
    </row>
    <row r="1814" spans="2:7" x14ac:dyDescent="0.35">
      <c r="B1814" s="47"/>
      <c r="C1814" s="14"/>
      <c r="D1814" s="14"/>
      <c r="E1814" s="14"/>
      <c r="F1814" s="14"/>
      <c r="G1814" s="18"/>
    </row>
    <row r="1815" spans="2:7" x14ac:dyDescent="0.35">
      <c r="B1815" s="47"/>
      <c r="C1815" s="14"/>
      <c r="D1815" s="14"/>
      <c r="E1815" s="14"/>
      <c r="F1815" s="14"/>
      <c r="G1815" s="18"/>
    </row>
    <row r="1816" spans="2:7" x14ac:dyDescent="0.35">
      <c r="B1816" s="47"/>
      <c r="C1816" s="14"/>
      <c r="D1816" s="14"/>
      <c r="E1816" s="14"/>
      <c r="F1816" s="14"/>
      <c r="G1816" s="18"/>
    </row>
    <row r="1817" spans="2:7" x14ac:dyDescent="0.35">
      <c r="B1817" s="47"/>
      <c r="C1817" s="14"/>
      <c r="D1817" s="14"/>
      <c r="E1817" s="14"/>
      <c r="F1817" s="14"/>
      <c r="G1817" s="18"/>
    </row>
    <row r="1818" spans="2:7" x14ac:dyDescent="0.35">
      <c r="B1818" s="47"/>
      <c r="C1818" s="14"/>
      <c r="D1818" s="14"/>
      <c r="E1818" s="14"/>
      <c r="F1818" s="14"/>
      <c r="G1818" s="18"/>
    </row>
    <row r="1819" spans="2:7" x14ac:dyDescent="0.35">
      <c r="B1819" s="47"/>
      <c r="C1819" s="14"/>
      <c r="D1819" s="14"/>
      <c r="E1819" s="14"/>
      <c r="F1819" s="14"/>
      <c r="G1819" s="18"/>
    </row>
    <row r="1820" spans="2:7" x14ac:dyDescent="0.35">
      <c r="B1820" s="47"/>
      <c r="C1820" s="14"/>
      <c r="D1820" s="14"/>
      <c r="E1820" s="14"/>
      <c r="F1820" s="14"/>
      <c r="G1820" s="18"/>
    </row>
    <row r="1821" spans="2:7" x14ac:dyDescent="0.35">
      <c r="B1821" s="47"/>
      <c r="C1821" s="14"/>
      <c r="D1821" s="14"/>
      <c r="E1821" s="14"/>
      <c r="F1821" s="14"/>
      <c r="G1821" s="18"/>
    </row>
    <row r="1822" spans="2:7" x14ac:dyDescent="0.35">
      <c r="B1822" s="47"/>
      <c r="C1822" s="14"/>
      <c r="D1822" s="14"/>
      <c r="E1822" s="14"/>
      <c r="F1822" s="14"/>
      <c r="G1822" s="18"/>
    </row>
    <row r="1823" spans="2:7" x14ac:dyDescent="0.35">
      <c r="B1823" s="47"/>
      <c r="C1823" s="14"/>
      <c r="D1823" s="14"/>
      <c r="E1823" s="14"/>
      <c r="F1823" s="14"/>
      <c r="G1823" s="18"/>
    </row>
    <row r="1824" spans="2:7" x14ac:dyDescent="0.35">
      <c r="B1824" s="47"/>
      <c r="C1824" s="14"/>
      <c r="D1824" s="14"/>
      <c r="E1824" s="14"/>
      <c r="F1824" s="14"/>
      <c r="G1824" s="18"/>
    </row>
    <row r="1825" spans="2:7" x14ac:dyDescent="0.35">
      <c r="B1825" s="47"/>
      <c r="C1825" s="14"/>
      <c r="D1825" s="14"/>
      <c r="E1825" s="14"/>
      <c r="F1825" s="14"/>
      <c r="G1825" s="18"/>
    </row>
    <row r="1826" spans="2:7" x14ac:dyDescent="0.35">
      <c r="B1826" s="47"/>
      <c r="C1826" s="14"/>
      <c r="D1826" s="14"/>
      <c r="E1826" s="14"/>
      <c r="F1826" s="14"/>
      <c r="G1826" s="18"/>
    </row>
    <row r="1827" spans="2:7" x14ac:dyDescent="0.35">
      <c r="B1827" s="47"/>
      <c r="C1827" s="14"/>
      <c r="D1827" s="14"/>
      <c r="E1827" s="14"/>
      <c r="F1827" s="14"/>
      <c r="G1827" s="18"/>
    </row>
    <row r="1828" spans="2:7" x14ac:dyDescent="0.35">
      <c r="B1828" s="47"/>
      <c r="C1828" s="14"/>
      <c r="D1828" s="14"/>
      <c r="E1828" s="14"/>
      <c r="F1828" s="14"/>
      <c r="G1828" s="18"/>
    </row>
    <row r="1829" spans="2:7" x14ac:dyDescent="0.35">
      <c r="B1829" s="47"/>
      <c r="C1829" s="14"/>
      <c r="D1829" s="14"/>
      <c r="E1829" s="14"/>
      <c r="F1829" s="14"/>
      <c r="G1829" s="18"/>
    </row>
    <row r="1830" spans="2:7" x14ac:dyDescent="0.35">
      <c r="B1830" s="47"/>
      <c r="C1830" s="14"/>
      <c r="D1830" s="14"/>
      <c r="E1830" s="14"/>
      <c r="F1830" s="14"/>
      <c r="G1830" s="18"/>
    </row>
    <row r="1831" spans="2:7" x14ac:dyDescent="0.35">
      <c r="B1831" s="47"/>
      <c r="C1831" s="14"/>
      <c r="D1831" s="14"/>
      <c r="E1831" s="14"/>
      <c r="F1831" s="14"/>
      <c r="G1831" s="18"/>
    </row>
    <row r="1832" spans="2:7" x14ac:dyDescent="0.35">
      <c r="B1832" s="47"/>
      <c r="C1832" s="14"/>
      <c r="D1832" s="14"/>
      <c r="E1832" s="14"/>
      <c r="F1832" s="14"/>
      <c r="G1832" s="18"/>
    </row>
    <row r="1833" spans="2:7" x14ac:dyDescent="0.35">
      <c r="B1833" s="47"/>
      <c r="C1833" s="14"/>
      <c r="D1833" s="14"/>
      <c r="E1833" s="14"/>
      <c r="F1833" s="14"/>
      <c r="G1833" s="18"/>
    </row>
    <row r="1834" spans="2:7" x14ac:dyDescent="0.35">
      <c r="B1834" s="47"/>
      <c r="C1834" s="14"/>
      <c r="D1834" s="14"/>
      <c r="E1834" s="14"/>
      <c r="F1834" s="14"/>
      <c r="G1834" s="18"/>
    </row>
    <row r="1835" spans="2:7" x14ac:dyDescent="0.35">
      <c r="B1835" s="47"/>
      <c r="C1835" s="14"/>
      <c r="D1835" s="14"/>
      <c r="E1835" s="14"/>
      <c r="F1835" s="14"/>
      <c r="G1835" s="18"/>
    </row>
    <row r="1836" spans="2:7" x14ac:dyDescent="0.35">
      <c r="B1836" s="47"/>
      <c r="C1836" s="14"/>
      <c r="D1836" s="14"/>
      <c r="E1836" s="14"/>
      <c r="F1836" s="14"/>
      <c r="G1836" s="18"/>
    </row>
    <row r="1837" spans="2:7" x14ac:dyDescent="0.35">
      <c r="B1837" s="47"/>
      <c r="C1837" s="14"/>
      <c r="D1837" s="14"/>
      <c r="E1837" s="14"/>
      <c r="F1837" s="14"/>
      <c r="G1837" s="18"/>
    </row>
    <row r="1838" spans="2:7" x14ac:dyDescent="0.35">
      <c r="B1838" s="47"/>
      <c r="C1838" s="14"/>
      <c r="D1838" s="14"/>
      <c r="E1838" s="14"/>
      <c r="F1838" s="14"/>
      <c r="G1838" s="18"/>
    </row>
    <row r="1839" spans="2:7" x14ac:dyDescent="0.35">
      <c r="B1839" s="47"/>
      <c r="C1839" s="14"/>
      <c r="D1839" s="14"/>
      <c r="E1839" s="14"/>
      <c r="F1839" s="14"/>
      <c r="G1839" s="18"/>
    </row>
    <row r="1840" spans="2:7" x14ac:dyDescent="0.35">
      <c r="B1840" s="47"/>
      <c r="C1840" s="14"/>
      <c r="D1840" s="14"/>
      <c r="E1840" s="14"/>
      <c r="F1840" s="14"/>
      <c r="G1840" s="18"/>
    </row>
    <row r="1841" spans="2:7" x14ac:dyDescent="0.35">
      <c r="B1841" s="47"/>
      <c r="C1841" s="14"/>
      <c r="D1841" s="14"/>
      <c r="E1841" s="14"/>
      <c r="F1841" s="14"/>
      <c r="G1841" s="18"/>
    </row>
    <row r="1842" spans="2:7" x14ac:dyDescent="0.35">
      <c r="B1842" s="47"/>
      <c r="C1842" s="14"/>
      <c r="D1842" s="14"/>
      <c r="E1842" s="14"/>
      <c r="F1842" s="14"/>
      <c r="G1842" s="18"/>
    </row>
    <row r="1843" spans="2:7" x14ac:dyDescent="0.35">
      <c r="B1843" s="47"/>
      <c r="C1843" s="14"/>
      <c r="D1843" s="14"/>
      <c r="E1843" s="14"/>
      <c r="F1843" s="14"/>
      <c r="G1843" s="18"/>
    </row>
    <row r="1844" spans="2:7" x14ac:dyDescent="0.35">
      <c r="B1844" s="47"/>
      <c r="C1844" s="14"/>
      <c r="D1844" s="14"/>
      <c r="E1844" s="14"/>
      <c r="F1844" s="14"/>
      <c r="G1844" s="18"/>
    </row>
    <row r="1845" spans="2:7" x14ac:dyDescent="0.35">
      <c r="B1845" s="47"/>
      <c r="C1845" s="14"/>
      <c r="D1845" s="14"/>
      <c r="E1845" s="14"/>
      <c r="F1845" s="14"/>
      <c r="G1845" s="18"/>
    </row>
    <row r="1846" spans="2:7" x14ac:dyDescent="0.35">
      <c r="B1846" s="47"/>
      <c r="C1846" s="14"/>
      <c r="D1846" s="14"/>
      <c r="E1846" s="14"/>
      <c r="F1846" s="14"/>
      <c r="G1846" s="18"/>
    </row>
    <row r="1847" spans="2:7" x14ac:dyDescent="0.35">
      <c r="B1847" s="47"/>
      <c r="C1847" s="14"/>
      <c r="D1847" s="14"/>
      <c r="E1847" s="14"/>
      <c r="F1847" s="14"/>
      <c r="G1847" s="18"/>
    </row>
    <row r="1848" spans="2:7" x14ac:dyDescent="0.35">
      <c r="B1848" s="47"/>
      <c r="C1848" s="14"/>
      <c r="D1848" s="14"/>
      <c r="E1848" s="14"/>
      <c r="F1848" s="14"/>
      <c r="G1848" s="18"/>
    </row>
    <row r="1849" spans="2:7" x14ac:dyDescent="0.35">
      <c r="B1849" s="47"/>
      <c r="C1849" s="14"/>
      <c r="D1849" s="14"/>
      <c r="E1849" s="14"/>
      <c r="F1849" s="14"/>
      <c r="G1849" s="18"/>
    </row>
    <row r="1850" spans="2:7" x14ac:dyDescent="0.35">
      <c r="B1850" s="47"/>
      <c r="C1850" s="14"/>
      <c r="D1850" s="14"/>
      <c r="E1850" s="14"/>
      <c r="F1850" s="14"/>
      <c r="G1850" s="18"/>
    </row>
    <row r="1851" spans="2:7" x14ac:dyDescent="0.35">
      <c r="B1851" s="47"/>
      <c r="C1851" s="14"/>
      <c r="D1851" s="14"/>
      <c r="E1851" s="14"/>
      <c r="F1851" s="14"/>
      <c r="G1851" s="18"/>
    </row>
    <row r="1852" spans="2:7" x14ac:dyDescent="0.35">
      <c r="B1852" s="47"/>
      <c r="C1852" s="14"/>
      <c r="D1852" s="14"/>
      <c r="E1852" s="14"/>
      <c r="F1852" s="14"/>
      <c r="G1852" s="18"/>
    </row>
    <row r="1853" spans="2:7" x14ac:dyDescent="0.35">
      <c r="B1853" s="47"/>
      <c r="C1853" s="14"/>
      <c r="D1853" s="14"/>
      <c r="E1853" s="14"/>
      <c r="F1853" s="14"/>
      <c r="G1853" s="18"/>
    </row>
    <row r="1854" spans="2:7" x14ac:dyDescent="0.35">
      <c r="B1854" s="47"/>
      <c r="C1854" s="14"/>
      <c r="D1854" s="14"/>
      <c r="E1854" s="14"/>
      <c r="F1854" s="14"/>
      <c r="G1854" s="18"/>
    </row>
    <row r="1855" spans="2:7" x14ac:dyDescent="0.35">
      <c r="B1855" s="47"/>
      <c r="C1855" s="14"/>
      <c r="D1855" s="14"/>
      <c r="E1855" s="14"/>
      <c r="F1855" s="14"/>
      <c r="G1855" s="18"/>
    </row>
    <row r="1856" spans="2:7" x14ac:dyDescent="0.35">
      <c r="B1856" s="47"/>
      <c r="C1856" s="14"/>
      <c r="D1856" s="14"/>
      <c r="E1856" s="14"/>
      <c r="F1856" s="14"/>
      <c r="G1856" s="18"/>
    </row>
    <row r="1857" spans="2:7" x14ac:dyDescent="0.35">
      <c r="B1857" s="47"/>
      <c r="C1857" s="14"/>
      <c r="D1857" s="14"/>
      <c r="E1857" s="14"/>
      <c r="F1857" s="14"/>
      <c r="G1857" s="18"/>
    </row>
    <row r="1858" spans="2:7" x14ac:dyDescent="0.35">
      <c r="B1858" s="47"/>
      <c r="C1858" s="14"/>
      <c r="D1858" s="14"/>
      <c r="E1858" s="14"/>
      <c r="F1858" s="14"/>
      <c r="G1858" s="18"/>
    </row>
    <row r="1859" spans="2:7" x14ac:dyDescent="0.35">
      <c r="B1859" s="47"/>
      <c r="C1859" s="14"/>
      <c r="D1859" s="14"/>
      <c r="E1859" s="14"/>
      <c r="F1859" s="14"/>
      <c r="G1859" s="18"/>
    </row>
    <row r="1860" spans="2:7" x14ac:dyDescent="0.35">
      <c r="B1860" s="47"/>
      <c r="C1860" s="14"/>
      <c r="D1860" s="14"/>
      <c r="E1860" s="14"/>
      <c r="F1860" s="14"/>
      <c r="G1860" s="18"/>
    </row>
    <row r="1861" spans="2:7" x14ac:dyDescent="0.35">
      <c r="B1861" s="47"/>
      <c r="C1861" s="14"/>
      <c r="D1861" s="14"/>
      <c r="E1861" s="14"/>
      <c r="F1861" s="14"/>
      <c r="G1861" s="18"/>
    </row>
    <row r="1862" spans="2:7" x14ac:dyDescent="0.35">
      <c r="B1862" s="47"/>
      <c r="C1862" s="14"/>
      <c r="D1862" s="14"/>
      <c r="E1862" s="14"/>
      <c r="F1862" s="14"/>
      <c r="G1862" s="18"/>
    </row>
    <row r="1863" spans="2:7" x14ac:dyDescent="0.35">
      <c r="B1863" s="47"/>
      <c r="C1863" s="14"/>
      <c r="D1863" s="14"/>
      <c r="E1863" s="14"/>
      <c r="F1863" s="14"/>
      <c r="G1863" s="18"/>
    </row>
    <row r="1864" spans="2:7" x14ac:dyDescent="0.35">
      <c r="B1864" s="47"/>
      <c r="C1864" s="14"/>
      <c r="D1864" s="14"/>
      <c r="E1864" s="14"/>
      <c r="F1864" s="14"/>
      <c r="G1864" s="18"/>
    </row>
    <row r="1865" spans="2:7" x14ac:dyDescent="0.35">
      <c r="B1865" s="47"/>
      <c r="C1865" s="14"/>
      <c r="D1865" s="14"/>
      <c r="E1865" s="14"/>
      <c r="F1865" s="14"/>
      <c r="G1865" s="18"/>
    </row>
    <row r="1866" spans="2:7" x14ac:dyDescent="0.35">
      <c r="B1866" s="47"/>
      <c r="C1866" s="14"/>
      <c r="D1866" s="14"/>
      <c r="E1866" s="14"/>
      <c r="F1866" s="14"/>
      <c r="G1866" s="18"/>
    </row>
    <row r="1867" spans="2:7" x14ac:dyDescent="0.35">
      <c r="B1867" s="47"/>
      <c r="C1867" s="14"/>
      <c r="D1867" s="14"/>
      <c r="E1867" s="14"/>
      <c r="F1867" s="14"/>
      <c r="G1867" s="18"/>
    </row>
    <row r="1868" spans="2:7" x14ac:dyDescent="0.35">
      <c r="B1868" s="47"/>
      <c r="C1868" s="14"/>
      <c r="D1868" s="14"/>
      <c r="E1868" s="14"/>
      <c r="F1868" s="14"/>
      <c r="G1868" s="18"/>
    </row>
    <row r="1869" spans="2:7" x14ac:dyDescent="0.35">
      <c r="B1869" s="47"/>
      <c r="C1869" s="14"/>
      <c r="D1869" s="14"/>
      <c r="E1869" s="14"/>
      <c r="F1869" s="14"/>
      <c r="G1869" s="18"/>
    </row>
    <row r="1870" spans="2:7" x14ac:dyDescent="0.35">
      <c r="B1870" s="47"/>
      <c r="C1870" s="14"/>
      <c r="D1870" s="14"/>
      <c r="E1870" s="14"/>
      <c r="F1870" s="14"/>
      <c r="G1870" s="18"/>
    </row>
    <row r="1871" spans="2:7" x14ac:dyDescent="0.35">
      <c r="B1871" s="47"/>
      <c r="C1871" s="14"/>
      <c r="D1871" s="14"/>
      <c r="E1871" s="14"/>
      <c r="F1871" s="14"/>
      <c r="G1871" s="18"/>
    </row>
    <row r="1872" spans="2:7" x14ac:dyDescent="0.35">
      <c r="B1872" s="47"/>
      <c r="C1872" s="14"/>
      <c r="D1872" s="14"/>
      <c r="E1872" s="14"/>
      <c r="F1872" s="14"/>
      <c r="G1872" s="18"/>
    </row>
    <row r="1873" spans="2:7" x14ac:dyDescent="0.35">
      <c r="B1873" s="47"/>
      <c r="C1873" s="14"/>
      <c r="D1873" s="14"/>
      <c r="E1873" s="14"/>
      <c r="F1873" s="14"/>
      <c r="G1873" s="18"/>
    </row>
    <row r="1874" spans="2:7" x14ac:dyDescent="0.35">
      <c r="B1874" s="47"/>
      <c r="C1874" s="14"/>
      <c r="D1874" s="14"/>
      <c r="E1874" s="14"/>
      <c r="F1874" s="14"/>
      <c r="G1874" s="18"/>
    </row>
    <row r="1875" spans="2:7" x14ac:dyDescent="0.35">
      <c r="B1875" s="47"/>
      <c r="C1875" s="14"/>
      <c r="D1875" s="14"/>
      <c r="E1875" s="14"/>
      <c r="F1875" s="14"/>
      <c r="G1875" s="18"/>
    </row>
    <row r="1876" spans="2:7" x14ac:dyDescent="0.35">
      <c r="B1876" s="47"/>
      <c r="C1876" s="14"/>
      <c r="D1876" s="14"/>
      <c r="E1876" s="14"/>
      <c r="F1876" s="14"/>
      <c r="G1876" s="18"/>
    </row>
    <row r="1877" spans="2:7" x14ac:dyDescent="0.35">
      <c r="B1877" s="47"/>
      <c r="C1877" s="14"/>
      <c r="D1877" s="14"/>
      <c r="E1877" s="14"/>
      <c r="F1877" s="14"/>
      <c r="G1877" s="18"/>
    </row>
    <row r="1878" spans="2:7" x14ac:dyDescent="0.35">
      <c r="B1878" s="47"/>
      <c r="C1878" s="14"/>
      <c r="D1878" s="14"/>
      <c r="E1878" s="14"/>
      <c r="F1878" s="14"/>
      <c r="G1878" s="18"/>
    </row>
    <row r="1879" spans="2:7" x14ac:dyDescent="0.35">
      <c r="B1879" s="47"/>
      <c r="C1879" s="14"/>
      <c r="D1879" s="14"/>
      <c r="E1879" s="14"/>
      <c r="F1879" s="14"/>
      <c r="G1879" s="18"/>
    </row>
    <row r="1880" spans="2:7" x14ac:dyDescent="0.35">
      <c r="B1880" s="47"/>
      <c r="C1880" s="14"/>
      <c r="D1880" s="14"/>
      <c r="E1880" s="14"/>
      <c r="F1880" s="14"/>
      <c r="G1880" s="18"/>
    </row>
    <row r="1881" spans="2:7" x14ac:dyDescent="0.35">
      <c r="B1881" s="47"/>
      <c r="C1881" s="14"/>
      <c r="D1881" s="14"/>
      <c r="E1881" s="14"/>
      <c r="F1881" s="14"/>
      <c r="G1881" s="18"/>
    </row>
    <row r="1882" spans="2:7" x14ac:dyDescent="0.35">
      <c r="B1882" s="47"/>
      <c r="C1882" s="14"/>
      <c r="D1882" s="14"/>
      <c r="E1882" s="14"/>
      <c r="F1882" s="14"/>
      <c r="G1882" s="18"/>
    </row>
    <row r="1883" spans="2:7" x14ac:dyDescent="0.35">
      <c r="B1883" s="47"/>
      <c r="C1883" s="14"/>
      <c r="D1883" s="14"/>
      <c r="E1883" s="14"/>
      <c r="F1883" s="14"/>
      <c r="G1883" s="18"/>
    </row>
    <row r="1884" spans="2:7" x14ac:dyDescent="0.35">
      <c r="B1884" s="47"/>
      <c r="C1884" s="14"/>
      <c r="D1884" s="14"/>
      <c r="E1884" s="14"/>
      <c r="F1884" s="14"/>
      <c r="G1884" s="18"/>
    </row>
    <row r="1885" spans="2:7" x14ac:dyDescent="0.35">
      <c r="B1885" s="47"/>
      <c r="C1885" s="14"/>
      <c r="D1885" s="14"/>
      <c r="E1885" s="14"/>
      <c r="F1885" s="14"/>
      <c r="G1885" s="18"/>
    </row>
    <row r="1886" spans="2:7" x14ac:dyDescent="0.35">
      <c r="B1886" s="47"/>
      <c r="C1886" s="14"/>
      <c r="D1886" s="14"/>
      <c r="E1886" s="14"/>
      <c r="F1886" s="14"/>
      <c r="G1886" s="18"/>
    </row>
    <row r="1887" spans="2:7" x14ac:dyDescent="0.35">
      <c r="B1887" s="47"/>
      <c r="C1887" s="14"/>
      <c r="D1887" s="14"/>
      <c r="E1887" s="14"/>
      <c r="F1887" s="14"/>
      <c r="G1887" s="18"/>
    </row>
    <row r="1888" spans="2:7" x14ac:dyDescent="0.35">
      <c r="B1888" s="47"/>
      <c r="C1888" s="14"/>
      <c r="D1888" s="14"/>
      <c r="E1888" s="14"/>
      <c r="F1888" s="14"/>
      <c r="G1888" s="18"/>
    </row>
    <row r="1889" spans="2:7" x14ac:dyDescent="0.35">
      <c r="B1889" s="47"/>
      <c r="C1889" s="14"/>
      <c r="D1889" s="14"/>
      <c r="E1889" s="14"/>
      <c r="F1889" s="14"/>
      <c r="G1889" s="18"/>
    </row>
    <row r="1890" spans="2:7" x14ac:dyDescent="0.35">
      <c r="B1890" s="47"/>
      <c r="C1890" s="14"/>
      <c r="D1890" s="14"/>
      <c r="E1890" s="14"/>
      <c r="F1890" s="14"/>
      <c r="G1890" s="18"/>
    </row>
    <row r="1891" spans="2:7" x14ac:dyDescent="0.35">
      <c r="B1891" s="47"/>
      <c r="C1891" s="14"/>
      <c r="D1891" s="14"/>
      <c r="E1891" s="14"/>
      <c r="F1891" s="14"/>
      <c r="G1891" s="18"/>
    </row>
    <row r="1892" spans="2:7" x14ac:dyDescent="0.35">
      <c r="B1892" s="47"/>
      <c r="C1892" s="14"/>
      <c r="D1892" s="14"/>
      <c r="E1892" s="14"/>
      <c r="F1892" s="14"/>
      <c r="G1892" s="18"/>
    </row>
    <row r="1893" spans="2:7" x14ac:dyDescent="0.35">
      <c r="B1893" s="47"/>
      <c r="C1893" s="14"/>
      <c r="D1893" s="14"/>
      <c r="E1893" s="14"/>
      <c r="F1893" s="14"/>
      <c r="G1893" s="18"/>
    </row>
    <row r="1894" spans="2:7" x14ac:dyDescent="0.35">
      <c r="B1894" s="47"/>
      <c r="C1894" s="14"/>
      <c r="D1894" s="14"/>
      <c r="E1894" s="14"/>
      <c r="F1894" s="14"/>
      <c r="G1894" s="18"/>
    </row>
    <row r="1895" spans="2:7" x14ac:dyDescent="0.35">
      <c r="B1895" s="47"/>
      <c r="C1895" s="14"/>
      <c r="D1895" s="14"/>
      <c r="E1895" s="14"/>
      <c r="F1895" s="14"/>
      <c r="G1895" s="18"/>
    </row>
    <row r="1896" spans="2:7" x14ac:dyDescent="0.35">
      <c r="B1896" s="47"/>
      <c r="C1896" s="14"/>
      <c r="D1896" s="14"/>
      <c r="E1896" s="14"/>
      <c r="F1896" s="14"/>
      <c r="G1896" s="18"/>
    </row>
    <row r="1897" spans="2:7" x14ac:dyDescent="0.35">
      <c r="B1897" s="47"/>
      <c r="C1897" s="14"/>
      <c r="D1897" s="14"/>
      <c r="E1897" s="14"/>
      <c r="F1897" s="14"/>
      <c r="G1897" s="18"/>
    </row>
    <row r="1898" spans="2:7" x14ac:dyDescent="0.35">
      <c r="B1898" s="47"/>
      <c r="C1898" s="14"/>
      <c r="D1898" s="14"/>
      <c r="E1898" s="14"/>
      <c r="F1898" s="14"/>
      <c r="G1898" s="18"/>
    </row>
    <row r="1899" spans="2:7" x14ac:dyDescent="0.35">
      <c r="B1899" s="47"/>
      <c r="C1899" s="14"/>
      <c r="D1899" s="14"/>
      <c r="E1899" s="14"/>
      <c r="F1899" s="14"/>
      <c r="G1899" s="18"/>
    </row>
    <row r="1900" spans="2:7" x14ac:dyDescent="0.35">
      <c r="B1900" s="47"/>
      <c r="C1900" s="14"/>
      <c r="D1900" s="14"/>
      <c r="E1900" s="14"/>
      <c r="F1900" s="14"/>
      <c r="G1900" s="18"/>
    </row>
    <row r="1901" spans="2:7" x14ac:dyDescent="0.35">
      <c r="B1901" s="47"/>
      <c r="C1901" s="14"/>
      <c r="D1901" s="14"/>
      <c r="E1901" s="14"/>
      <c r="F1901" s="14"/>
      <c r="G1901" s="18"/>
    </row>
    <row r="1902" spans="2:7" x14ac:dyDescent="0.35">
      <c r="B1902" s="47"/>
      <c r="C1902" s="14"/>
      <c r="D1902" s="14"/>
      <c r="E1902" s="14"/>
      <c r="F1902" s="14"/>
      <c r="G1902" s="18"/>
    </row>
    <row r="1903" spans="2:7" x14ac:dyDescent="0.35">
      <c r="B1903" s="47"/>
      <c r="C1903" s="14"/>
      <c r="D1903" s="14"/>
      <c r="E1903" s="14"/>
      <c r="F1903" s="14"/>
      <c r="G1903" s="18"/>
    </row>
    <row r="1904" spans="2:7" x14ac:dyDescent="0.35">
      <c r="B1904" s="47"/>
      <c r="C1904" s="14"/>
      <c r="D1904" s="14"/>
      <c r="E1904" s="14"/>
      <c r="F1904" s="14"/>
      <c r="G1904" s="18"/>
    </row>
    <row r="1905" spans="2:7" x14ac:dyDescent="0.35">
      <c r="B1905" s="47"/>
      <c r="C1905" s="14"/>
      <c r="D1905" s="14"/>
      <c r="E1905" s="14"/>
      <c r="F1905" s="14"/>
      <c r="G1905" s="18"/>
    </row>
    <row r="1906" spans="2:7" x14ac:dyDescent="0.35">
      <c r="B1906" s="47"/>
      <c r="C1906" s="14"/>
      <c r="D1906" s="14"/>
      <c r="E1906" s="14"/>
      <c r="F1906" s="14"/>
      <c r="G1906" s="18"/>
    </row>
    <row r="1907" spans="2:7" x14ac:dyDescent="0.35">
      <c r="B1907" s="47"/>
      <c r="C1907" s="14"/>
      <c r="D1907" s="14"/>
      <c r="E1907" s="14"/>
      <c r="F1907" s="14"/>
      <c r="G1907" s="18"/>
    </row>
    <row r="1908" spans="2:7" x14ac:dyDescent="0.35">
      <c r="B1908" s="47"/>
      <c r="C1908" s="14"/>
      <c r="D1908" s="14"/>
      <c r="E1908" s="14"/>
      <c r="F1908" s="14"/>
      <c r="G1908" s="18"/>
    </row>
    <row r="1909" spans="2:7" x14ac:dyDescent="0.35">
      <c r="B1909" s="47"/>
      <c r="C1909" s="14"/>
      <c r="D1909" s="14"/>
      <c r="E1909" s="14"/>
      <c r="F1909" s="14"/>
      <c r="G1909" s="18"/>
    </row>
    <row r="1910" spans="2:7" x14ac:dyDescent="0.35">
      <c r="B1910" s="47"/>
      <c r="C1910" s="14"/>
      <c r="D1910" s="14"/>
      <c r="E1910" s="14"/>
      <c r="F1910" s="14"/>
      <c r="G1910" s="18"/>
    </row>
    <row r="1911" spans="2:7" x14ac:dyDescent="0.35">
      <c r="B1911" s="47"/>
      <c r="C1911" s="14"/>
      <c r="D1911" s="14"/>
      <c r="E1911" s="14"/>
      <c r="F1911" s="14"/>
      <c r="G1911" s="18"/>
    </row>
    <row r="1912" spans="2:7" x14ac:dyDescent="0.35">
      <c r="B1912" s="47"/>
      <c r="C1912" s="14"/>
      <c r="D1912" s="14"/>
      <c r="E1912" s="14"/>
      <c r="F1912" s="14"/>
      <c r="G1912" s="18"/>
    </row>
    <row r="1913" spans="2:7" x14ac:dyDescent="0.35">
      <c r="B1913" s="47"/>
      <c r="C1913" s="14"/>
      <c r="D1913" s="14"/>
      <c r="E1913" s="14"/>
      <c r="F1913" s="14"/>
      <c r="G1913" s="18"/>
    </row>
    <row r="1914" spans="2:7" x14ac:dyDescent="0.35">
      <c r="B1914" s="47"/>
      <c r="C1914" s="14"/>
      <c r="D1914" s="14"/>
      <c r="E1914" s="14"/>
      <c r="F1914" s="14"/>
      <c r="G1914" s="18"/>
    </row>
    <row r="1915" spans="2:7" x14ac:dyDescent="0.35">
      <c r="B1915" s="47"/>
      <c r="C1915" s="14"/>
      <c r="D1915" s="14"/>
      <c r="E1915" s="14"/>
      <c r="F1915" s="14"/>
      <c r="G1915" s="18"/>
    </row>
    <row r="1916" spans="2:7" x14ac:dyDescent="0.35">
      <c r="B1916" s="47"/>
      <c r="C1916" s="14"/>
      <c r="D1916" s="14"/>
      <c r="E1916" s="14"/>
      <c r="F1916" s="14"/>
      <c r="G1916" s="18"/>
    </row>
    <row r="1917" spans="2:7" x14ac:dyDescent="0.35">
      <c r="B1917" s="47"/>
      <c r="C1917" s="14"/>
      <c r="D1917" s="14"/>
      <c r="E1917" s="14"/>
      <c r="F1917" s="14"/>
      <c r="G1917" s="18"/>
    </row>
    <row r="1918" spans="2:7" x14ac:dyDescent="0.35">
      <c r="B1918" s="47"/>
      <c r="C1918" s="14"/>
      <c r="D1918" s="14"/>
      <c r="E1918" s="14"/>
      <c r="F1918" s="14"/>
      <c r="G1918" s="18"/>
    </row>
    <row r="1919" spans="2:7" x14ac:dyDescent="0.35">
      <c r="B1919" s="47"/>
      <c r="C1919" s="14"/>
      <c r="D1919" s="14"/>
      <c r="E1919" s="14"/>
      <c r="F1919" s="14"/>
      <c r="G1919" s="18"/>
    </row>
    <row r="1920" spans="2:7" x14ac:dyDescent="0.35">
      <c r="B1920" s="47"/>
      <c r="C1920" s="14"/>
      <c r="D1920" s="14"/>
      <c r="E1920" s="14"/>
      <c r="F1920" s="14"/>
      <c r="G1920" s="18"/>
    </row>
    <row r="1921" spans="2:7" x14ac:dyDescent="0.35">
      <c r="B1921" s="47"/>
      <c r="C1921" s="14"/>
      <c r="D1921" s="14"/>
      <c r="E1921" s="14"/>
      <c r="F1921" s="14"/>
      <c r="G1921" s="18"/>
    </row>
    <row r="1922" spans="2:7" x14ac:dyDescent="0.35">
      <c r="B1922" s="47"/>
      <c r="C1922" s="14"/>
      <c r="D1922" s="14"/>
      <c r="E1922" s="14"/>
      <c r="F1922" s="14"/>
      <c r="G1922" s="18"/>
    </row>
    <row r="1923" spans="2:7" x14ac:dyDescent="0.35">
      <c r="B1923" s="47"/>
      <c r="C1923" s="14"/>
      <c r="D1923" s="14"/>
      <c r="E1923" s="14"/>
      <c r="F1923" s="14"/>
      <c r="G1923" s="18"/>
    </row>
    <row r="1924" spans="2:7" x14ac:dyDescent="0.35">
      <c r="B1924" s="47"/>
      <c r="C1924" s="14"/>
      <c r="D1924" s="14"/>
      <c r="E1924" s="14"/>
      <c r="F1924" s="14"/>
      <c r="G1924" s="18"/>
    </row>
    <row r="1925" spans="2:7" x14ac:dyDescent="0.35">
      <c r="B1925" s="47"/>
      <c r="C1925" s="14"/>
      <c r="D1925" s="14"/>
      <c r="E1925" s="14"/>
      <c r="F1925" s="14"/>
      <c r="G1925" s="18"/>
    </row>
    <row r="1926" spans="2:7" x14ac:dyDescent="0.35">
      <c r="B1926" s="47"/>
      <c r="C1926" s="14"/>
      <c r="D1926" s="14"/>
      <c r="E1926" s="14"/>
      <c r="F1926" s="14"/>
      <c r="G1926" s="18"/>
    </row>
    <row r="1927" spans="2:7" x14ac:dyDescent="0.35">
      <c r="B1927" s="47"/>
      <c r="C1927" s="14"/>
      <c r="D1927" s="14"/>
      <c r="E1927" s="14"/>
      <c r="F1927" s="14"/>
      <c r="G1927" s="18"/>
    </row>
    <row r="1928" spans="2:7" x14ac:dyDescent="0.35">
      <c r="B1928" s="47"/>
      <c r="C1928" s="14"/>
      <c r="D1928" s="14"/>
      <c r="E1928" s="14"/>
      <c r="F1928" s="14"/>
      <c r="G1928" s="18"/>
    </row>
    <row r="1929" spans="2:7" x14ac:dyDescent="0.35">
      <c r="B1929" s="47"/>
      <c r="C1929" s="14"/>
      <c r="D1929" s="14"/>
      <c r="E1929" s="14"/>
      <c r="F1929" s="14"/>
      <c r="G1929" s="18"/>
    </row>
    <row r="1930" spans="2:7" x14ac:dyDescent="0.35">
      <c r="B1930" s="47"/>
      <c r="C1930" s="14"/>
      <c r="D1930" s="14"/>
      <c r="E1930" s="14"/>
      <c r="F1930" s="14"/>
      <c r="G1930" s="18"/>
    </row>
    <row r="1931" spans="2:7" x14ac:dyDescent="0.35">
      <c r="B1931" s="47"/>
      <c r="C1931" s="14"/>
      <c r="D1931" s="14"/>
      <c r="E1931" s="14"/>
      <c r="F1931" s="14"/>
      <c r="G1931" s="18"/>
    </row>
    <row r="1932" spans="2:7" x14ac:dyDescent="0.35">
      <c r="B1932" s="47"/>
      <c r="C1932" s="14"/>
      <c r="D1932" s="14"/>
      <c r="E1932" s="14"/>
      <c r="F1932" s="14"/>
      <c r="G1932" s="18"/>
    </row>
    <row r="1933" spans="2:7" x14ac:dyDescent="0.35">
      <c r="B1933" s="47"/>
      <c r="C1933" s="14"/>
      <c r="D1933" s="14"/>
      <c r="E1933" s="14"/>
      <c r="F1933" s="14"/>
      <c r="G1933" s="18"/>
    </row>
    <row r="1934" spans="2:7" x14ac:dyDescent="0.35">
      <c r="B1934" s="47"/>
      <c r="C1934" s="14"/>
      <c r="D1934" s="14"/>
      <c r="E1934" s="14"/>
      <c r="F1934" s="14"/>
      <c r="G1934" s="18"/>
    </row>
    <row r="1935" spans="2:7" x14ac:dyDescent="0.35">
      <c r="B1935" s="47"/>
      <c r="C1935" s="14"/>
      <c r="D1935" s="14"/>
      <c r="E1935" s="14"/>
      <c r="F1935" s="14"/>
      <c r="G1935" s="18"/>
    </row>
    <row r="1936" spans="2:7" x14ac:dyDescent="0.35">
      <c r="B1936" s="47"/>
      <c r="C1936" s="14"/>
      <c r="D1936" s="14"/>
      <c r="E1936" s="14"/>
      <c r="F1936" s="14"/>
      <c r="G1936" s="18"/>
    </row>
    <row r="1937" spans="2:7" x14ac:dyDescent="0.35">
      <c r="B1937" s="47"/>
      <c r="C1937" s="14"/>
      <c r="D1937" s="14"/>
      <c r="E1937" s="14"/>
      <c r="F1937" s="14"/>
      <c r="G1937" s="18"/>
    </row>
    <row r="1938" spans="2:7" x14ac:dyDescent="0.35">
      <c r="B1938" s="47"/>
      <c r="C1938" s="14"/>
      <c r="D1938" s="14"/>
      <c r="E1938" s="14"/>
      <c r="F1938" s="14"/>
      <c r="G1938" s="18"/>
    </row>
    <row r="1939" spans="2:7" x14ac:dyDescent="0.35">
      <c r="B1939" s="47"/>
      <c r="C1939" s="14"/>
      <c r="D1939" s="14"/>
      <c r="E1939" s="14"/>
      <c r="F1939" s="14"/>
      <c r="G1939" s="18"/>
    </row>
    <row r="1940" spans="2:7" x14ac:dyDescent="0.35">
      <c r="B1940" s="47"/>
      <c r="C1940" s="14"/>
      <c r="D1940" s="14"/>
      <c r="E1940" s="14"/>
      <c r="F1940" s="14"/>
      <c r="G1940" s="18"/>
    </row>
    <row r="1941" spans="2:7" x14ac:dyDescent="0.35">
      <c r="B1941" s="47"/>
      <c r="C1941" s="14"/>
      <c r="D1941" s="14"/>
      <c r="E1941" s="14"/>
      <c r="F1941" s="14"/>
      <c r="G1941" s="18"/>
    </row>
    <row r="1942" spans="2:7" x14ac:dyDescent="0.35">
      <c r="B1942" s="47"/>
      <c r="C1942" s="14"/>
      <c r="D1942" s="14"/>
      <c r="E1942" s="14"/>
      <c r="F1942" s="14"/>
      <c r="G1942" s="18"/>
    </row>
    <row r="1943" spans="2:7" x14ac:dyDescent="0.35">
      <c r="B1943" s="47"/>
      <c r="C1943" s="14"/>
      <c r="D1943" s="14"/>
      <c r="E1943" s="14"/>
      <c r="F1943" s="14"/>
      <c r="G1943" s="18"/>
    </row>
    <row r="1944" spans="2:7" x14ac:dyDescent="0.35">
      <c r="B1944" s="47"/>
      <c r="C1944" s="14"/>
      <c r="D1944" s="14"/>
      <c r="E1944" s="14"/>
      <c r="F1944" s="14"/>
      <c r="G1944" s="18"/>
    </row>
    <row r="1945" spans="2:7" x14ac:dyDescent="0.35">
      <c r="B1945" s="47"/>
      <c r="C1945" s="14"/>
      <c r="D1945" s="14"/>
      <c r="E1945" s="14"/>
      <c r="F1945" s="14"/>
      <c r="G1945" s="18"/>
    </row>
    <row r="1946" spans="2:7" x14ac:dyDescent="0.35">
      <c r="B1946" s="47"/>
      <c r="C1946" s="14"/>
      <c r="D1946" s="14"/>
      <c r="E1946" s="14"/>
      <c r="F1946" s="14"/>
      <c r="G1946" s="18"/>
    </row>
    <row r="1947" spans="2:7" x14ac:dyDescent="0.35">
      <c r="B1947" s="47"/>
      <c r="C1947" s="14"/>
      <c r="D1947" s="14"/>
      <c r="E1947" s="14"/>
      <c r="F1947" s="14"/>
      <c r="G1947" s="18"/>
    </row>
    <row r="1948" spans="2:7" x14ac:dyDescent="0.35">
      <c r="B1948" s="47"/>
      <c r="C1948" s="14"/>
      <c r="D1948" s="14"/>
      <c r="E1948" s="14"/>
      <c r="F1948" s="14"/>
      <c r="G1948" s="18"/>
    </row>
    <row r="1949" spans="2:7" x14ac:dyDescent="0.35">
      <c r="B1949" s="47"/>
      <c r="C1949" s="14"/>
      <c r="D1949" s="14"/>
      <c r="E1949" s="14"/>
      <c r="F1949" s="14"/>
      <c r="G1949" s="18"/>
    </row>
    <row r="1950" spans="2:7" x14ac:dyDescent="0.35">
      <c r="B1950" s="47"/>
      <c r="C1950" s="14"/>
      <c r="D1950" s="14"/>
      <c r="E1950" s="14"/>
      <c r="F1950" s="14"/>
      <c r="G1950" s="18"/>
    </row>
    <row r="1951" spans="2:7" x14ac:dyDescent="0.35">
      <c r="B1951" s="47"/>
      <c r="C1951" s="14"/>
      <c r="D1951" s="14"/>
      <c r="E1951" s="14"/>
      <c r="F1951" s="14"/>
      <c r="G1951" s="18"/>
    </row>
    <row r="1952" spans="2:7" x14ac:dyDescent="0.35">
      <c r="B1952" s="47"/>
      <c r="C1952" s="14"/>
      <c r="D1952" s="14"/>
      <c r="E1952" s="14"/>
      <c r="F1952" s="14"/>
      <c r="G1952" s="18"/>
    </row>
    <row r="1953" spans="2:7" x14ac:dyDescent="0.35">
      <c r="B1953" s="47"/>
      <c r="C1953" s="14"/>
      <c r="D1953" s="14"/>
      <c r="E1953" s="14"/>
      <c r="F1953" s="14"/>
      <c r="G1953" s="18"/>
    </row>
    <row r="1954" spans="2:7" x14ac:dyDescent="0.35">
      <c r="B1954" s="47"/>
      <c r="C1954" s="14"/>
      <c r="D1954" s="14"/>
      <c r="E1954" s="14"/>
      <c r="F1954" s="14"/>
      <c r="G1954" s="18"/>
    </row>
    <row r="1955" spans="2:7" x14ac:dyDescent="0.35">
      <c r="B1955" s="47"/>
      <c r="C1955" s="14"/>
      <c r="D1955" s="14"/>
      <c r="E1955" s="14"/>
      <c r="F1955" s="14"/>
      <c r="G1955" s="18"/>
    </row>
    <row r="1956" spans="2:7" x14ac:dyDescent="0.35">
      <c r="B1956" s="47"/>
      <c r="C1956" s="14"/>
      <c r="D1956" s="14"/>
      <c r="E1956" s="14"/>
      <c r="F1956" s="14"/>
      <c r="G1956" s="18"/>
    </row>
    <row r="1957" spans="2:7" x14ac:dyDescent="0.35">
      <c r="B1957" s="47"/>
      <c r="C1957" s="14"/>
      <c r="D1957" s="14"/>
      <c r="E1957" s="14"/>
      <c r="F1957" s="14"/>
      <c r="G1957" s="18"/>
    </row>
    <row r="1958" spans="2:7" x14ac:dyDescent="0.35">
      <c r="B1958" s="47"/>
      <c r="C1958" s="14"/>
      <c r="D1958" s="14"/>
      <c r="E1958" s="14"/>
      <c r="F1958" s="14"/>
      <c r="G1958" s="18"/>
    </row>
    <row r="1959" spans="2:7" x14ac:dyDescent="0.35">
      <c r="B1959" s="47"/>
      <c r="C1959" s="14"/>
      <c r="D1959" s="14"/>
      <c r="E1959" s="14"/>
      <c r="F1959" s="14"/>
      <c r="G1959" s="18"/>
    </row>
    <row r="1960" spans="2:7" x14ac:dyDescent="0.35">
      <c r="B1960" s="47"/>
      <c r="C1960" s="14"/>
      <c r="D1960" s="14"/>
      <c r="E1960" s="14"/>
      <c r="F1960" s="14"/>
      <c r="G1960" s="18"/>
    </row>
    <row r="1961" spans="2:7" x14ac:dyDescent="0.35">
      <c r="B1961" s="47"/>
      <c r="C1961" s="14"/>
      <c r="D1961" s="14"/>
      <c r="E1961" s="14"/>
      <c r="F1961" s="14"/>
      <c r="G1961" s="18"/>
    </row>
    <row r="1962" spans="2:7" x14ac:dyDescent="0.35">
      <c r="B1962" s="47"/>
      <c r="C1962" s="14"/>
      <c r="D1962" s="14"/>
      <c r="E1962" s="14"/>
      <c r="F1962" s="14"/>
      <c r="G1962" s="18"/>
    </row>
    <row r="1963" spans="2:7" x14ac:dyDescent="0.35">
      <c r="B1963" s="47"/>
      <c r="C1963" s="14"/>
      <c r="D1963" s="14"/>
      <c r="E1963" s="14"/>
      <c r="F1963" s="14"/>
      <c r="G1963" s="18"/>
    </row>
    <row r="1964" spans="2:7" x14ac:dyDescent="0.35">
      <c r="B1964" s="47"/>
      <c r="C1964" s="14"/>
      <c r="D1964" s="14"/>
      <c r="E1964" s="14"/>
      <c r="F1964" s="14"/>
      <c r="G1964" s="18"/>
    </row>
    <row r="1965" spans="2:7" x14ac:dyDescent="0.35">
      <c r="B1965" s="47"/>
      <c r="C1965" s="14"/>
      <c r="D1965" s="14"/>
      <c r="E1965" s="14"/>
      <c r="F1965" s="14"/>
      <c r="G1965" s="18"/>
    </row>
    <row r="1966" spans="2:7" x14ac:dyDescent="0.35">
      <c r="B1966" s="47"/>
      <c r="C1966" s="14"/>
      <c r="D1966" s="14"/>
      <c r="E1966" s="14"/>
      <c r="F1966" s="14"/>
      <c r="G1966" s="18"/>
    </row>
    <row r="1967" spans="2:7" x14ac:dyDescent="0.35">
      <c r="B1967" s="47"/>
      <c r="C1967" s="14"/>
      <c r="D1967" s="14"/>
      <c r="E1967" s="14"/>
      <c r="F1967" s="14"/>
      <c r="G1967" s="18"/>
    </row>
    <row r="1968" spans="2:7" x14ac:dyDescent="0.35">
      <c r="B1968" s="47"/>
      <c r="C1968" s="14"/>
      <c r="D1968" s="14"/>
      <c r="E1968" s="14"/>
      <c r="F1968" s="14"/>
      <c r="G1968" s="18"/>
    </row>
    <row r="1969" spans="2:7" x14ac:dyDescent="0.35">
      <c r="B1969" s="47"/>
      <c r="C1969" s="14"/>
      <c r="D1969" s="14"/>
      <c r="E1969" s="14"/>
      <c r="F1969" s="14"/>
      <c r="G1969" s="18"/>
    </row>
    <row r="1970" spans="2:7" x14ac:dyDescent="0.35">
      <c r="B1970" s="47"/>
      <c r="C1970" s="14"/>
      <c r="D1970" s="14"/>
      <c r="E1970" s="14"/>
      <c r="F1970" s="14"/>
      <c r="G1970" s="18"/>
    </row>
    <row r="1971" spans="2:7" x14ac:dyDescent="0.35">
      <c r="B1971" s="47"/>
      <c r="C1971" s="14"/>
      <c r="D1971" s="14"/>
      <c r="E1971" s="14"/>
      <c r="F1971" s="14"/>
      <c r="G1971" s="18"/>
    </row>
    <row r="1972" spans="2:7" x14ac:dyDescent="0.35">
      <c r="B1972" s="47"/>
      <c r="C1972" s="14"/>
      <c r="D1972" s="14"/>
      <c r="E1972" s="14"/>
      <c r="F1972" s="14"/>
      <c r="G1972" s="18"/>
    </row>
    <row r="1973" spans="2:7" x14ac:dyDescent="0.35">
      <c r="B1973" s="47"/>
      <c r="C1973" s="14"/>
      <c r="D1973" s="14"/>
      <c r="E1973" s="14"/>
      <c r="F1973" s="14"/>
      <c r="G1973" s="18"/>
    </row>
    <row r="1974" spans="2:7" x14ac:dyDescent="0.35">
      <c r="B1974" s="47"/>
      <c r="C1974" s="14"/>
      <c r="D1974" s="14"/>
      <c r="E1974" s="14"/>
      <c r="F1974" s="14"/>
      <c r="G1974" s="18"/>
    </row>
    <row r="1975" spans="2:7" x14ac:dyDescent="0.35">
      <c r="B1975" s="47"/>
      <c r="C1975" s="14"/>
      <c r="D1975" s="14"/>
      <c r="E1975" s="14"/>
      <c r="F1975" s="14"/>
      <c r="G1975" s="18"/>
    </row>
    <row r="1976" spans="2:7" x14ac:dyDescent="0.35">
      <c r="B1976" s="47"/>
      <c r="C1976" s="14"/>
      <c r="D1976" s="14"/>
      <c r="E1976" s="14"/>
      <c r="F1976" s="14"/>
      <c r="G1976" s="18"/>
    </row>
    <row r="1977" spans="2:7" x14ac:dyDescent="0.35">
      <c r="B1977" s="47"/>
      <c r="C1977" s="14"/>
      <c r="D1977" s="14"/>
      <c r="E1977" s="14"/>
      <c r="F1977" s="14"/>
      <c r="G1977" s="18"/>
    </row>
    <row r="1978" spans="2:7" x14ac:dyDescent="0.35">
      <c r="B1978" s="47"/>
      <c r="C1978" s="14"/>
      <c r="D1978" s="14"/>
      <c r="E1978" s="14"/>
      <c r="F1978" s="14"/>
      <c r="G1978" s="18"/>
    </row>
    <row r="1979" spans="2:7" x14ac:dyDescent="0.35">
      <c r="B1979" s="47"/>
      <c r="C1979" s="14"/>
      <c r="D1979" s="14"/>
      <c r="E1979" s="14"/>
      <c r="F1979" s="14"/>
      <c r="G1979" s="18"/>
    </row>
    <row r="1980" spans="2:7" x14ac:dyDescent="0.35">
      <c r="B1980" s="47"/>
      <c r="C1980" s="14"/>
      <c r="D1980" s="14"/>
      <c r="E1980" s="14"/>
      <c r="F1980" s="14"/>
      <c r="G1980" s="18"/>
    </row>
    <row r="1981" spans="2:7" x14ac:dyDescent="0.35">
      <c r="B1981" s="47"/>
      <c r="C1981" s="14"/>
      <c r="D1981" s="14"/>
      <c r="E1981" s="14"/>
      <c r="F1981" s="14"/>
      <c r="G1981" s="18"/>
    </row>
    <row r="1982" spans="2:7" x14ac:dyDescent="0.35">
      <c r="B1982" s="47"/>
      <c r="C1982" s="14"/>
      <c r="D1982" s="14"/>
      <c r="E1982" s="14"/>
      <c r="F1982" s="14"/>
      <c r="G1982" s="18"/>
    </row>
    <row r="1983" spans="2:7" x14ac:dyDescent="0.35">
      <c r="B1983" s="47"/>
      <c r="C1983" s="14"/>
      <c r="D1983" s="14"/>
      <c r="E1983" s="14"/>
      <c r="F1983" s="14"/>
      <c r="G1983" s="18"/>
    </row>
    <row r="1984" spans="2:7" x14ac:dyDescent="0.35">
      <c r="B1984" s="47"/>
      <c r="C1984" s="14"/>
      <c r="D1984" s="14"/>
      <c r="E1984" s="14"/>
      <c r="F1984" s="14"/>
      <c r="G1984" s="18"/>
    </row>
    <row r="1985" spans="2:7" x14ac:dyDescent="0.35">
      <c r="B1985" s="47"/>
      <c r="C1985" s="14"/>
      <c r="D1985" s="14"/>
      <c r="E1985" s="14"/>
      <c r="F1985" s="14"/>
      <c r="G1985" s="18"/>
    </row>
    <row r="1986" spans="2:7" x14ac:dyDescent="0.35">
      <c r="B1986" s="47"/>
      <c r="C1986" s="14"/>
      <c r="D1986" s="14"/>
      <c r="E1986" s="14"/>
      <c r="F1986" s="14"/>
      <c r="G1986" s="18"/>
    </row>
    <row r="1987" spans="2:7" x14ac:dyDescent="0.35">
      <c r="B1987" s="47"/>
      <c r="C1987" s="14"/>
      <c r="D1987" s="14"/>
      <c r="E1987" s="14"/>
      <c r="F1987" s="14"/>
      <c r="G1987" s="18"/>
    </row>
    <row r="1988" spans="2:7" x14ac:dyDescent="0.35">
      <c r="B1988" s="47"/>
      <c r="C1988" s="14"/>
      <c r="D1988" s="14"/>
      <c r="E1988" s="14"/>
      <c r="F1988" s="14"/>
      <c r="G1988" s="18"/>
    </row>
    <row r="1989" spans="2:7" x14ac:dyDescent="0.35">
      <c r="B1989" s="47"/>
      <c r="C1989" s="14"/>
      <c r="D1989" s="14"/>
      <c r="E1989" s="14"/>
      <c r="F1989" s="14"/>
      <c r="G1989" s="18"/>
    </row>
    <row r="1990" spans="2:7" x14ac:dyDescent="0.35">
      <c r="B1990" s="47"/>
      <c r="C1990" s="14"/>
      <c r="D1990" s="14"/>
      <c r="E1990" s="14"/>
      <c r="F1990" s="14"/>
      <c r="G1990" s="18"/>
    </row>
    <row r="1991" spans="2:7" x14ac:dyDescent="0.35">
      <c r="B1991" s="47"/>
      <c r="C1991" s="14"/>
      <c r="D1991" s="14"/>
      <c r="E1991" s="14"/>
      <c r="F1991" s="14"/>
      <c r="G1991" s="18"/>
    </row>
    <row r="1992" spans="2:7" x14ac:dyDescent="0.35">
      <c r="B1992" s="47"/>
      <c r="C1992" s="14"/>
      <c r="D1992" s="14"/>
      <c r="E1992" s="14"/>
      <c r="F1992" s="14"/>
      <c r="G1992" s="18"/>
    </row>
    <row r="1993" spans="2:7" x14ac:dyDescent="0.35">
      <c r="B1993" s="47"/>
      <c r="C1993" s="14"/>
      <c r="D1993" s="14"/>
      <c r="E1993" s="14"/>
      <c r="F1993" s="14"/>
      <c r="G1993" s="18"/>
    </row>
    <row r="1994" spans="2:7" x14ac:dyDescent="0.35">
      <c r="B1994" s="47"/>
      <c r="C1994" s="14"/>
      <c r="D1994" s="14"/>
      <c r="E1994" s="14"/>
      <c r="F1994" s="14"/>
      <c r="G1994" s="18"/>
    </row>
    <row r="1995" spans="2:7" x14ac:dyDescent="0.35">
      <c r="B1995" s="47"/>
      <c r="C1995" s="14"/>
      <c r="D1995" s="14"/>
      <c r="E1995" s="14"/>
      <c r="F1995" s="14"/>
      <c r="G1995" s="18"/>
    </row>
    <row r="1996" spans="2:7" x14ac:dyDescent="0.35">
      <c r="B1996" s="47"/>
      <c r="C1996" s="14"/>
      <c r="D1996" s="14"/>
      <c r="E1996" s="14"/>
      <c r="F1996" s="14"/>
      <c r="G1996" s="18"/>
    </row>
    <row r="1997" spans="2:7" x14ac:dyDescent="0.35">
      <c r="B1997" s="47"/>
      <c r="C1997" s="14"/>
      <c r="D1997" s="14"/>
      <c r="E1997" s="14"/>
      <c r="F1997" s="14"/>
      <c r="G1997" s="18"/>
    </row>
    <row r="1998" spans="2:7" x14ac:dyDescent="0.35">
      <c r="B1998" s="47"/>
      <c r="C1998" s="14"/>
      <c r="D1998" s="14"/>
      <c r="E1998" s="14"/>
      <c r="F1998" s="14"/>
      <c r="G1998" s="18"/>
    </row>
    <row r="1999" spans="2:7" x14ac:dyDescent="0.35">
      <c r="B1999" s="47"/>
      <c r="C1999" s="14"/>
      <c r="D1999" s="14"/>
      <c r="E1999" s="14"/>
      <c r="F1999" s="14"/>
      <c r="G1999" s="18"/>
    </row>
    <row r="2000" spans="2:7" x14ac:dyDescent="0.35">
      <c r="B2000" s="47"/>
      <c r="C2000" s="14"/>
      <c r="D2000" s="14"/>
      <c r="E2000" s="14"/>
      <c r="F2000" s="14"/>
      <c r="G2000" s="18"/>
    </row>
    <row r="2001" spans="2:7" x14ac:dyDescent="0.35">
      <c r="B2001" s="47"/>
      <c r="C2001" s="14"/>
      <c r="D2001" s="14"/>
      <c r="E2001" s="14"/>
      <c r="F2001" s="14"/>
      <c r="G2001" s="18"/>
    </row>
    <row r="2002" spans="2:7" x14ac:dyDescent="0.35">
      <c r="B2002" s="47"/>
      <c r="C2002" s="14"/>
      <c r="D2002" s="14"/>
      <c r="E2002" s="14"/>
      <c r="F2002" s="14"/>
      <c r="G2002" s="18"/>
    </row>
    <row r="2003" spans="2:7" x14ac:dyDescent="0.35">
      <c r="B2003" s="47"/>
      <c r="C2003" s="14"/>
      <c r="D2003" s="14"/>
      <c r="E2003" s="14"/>
      <c r="F2003" s="14"/>
      <c r="G2003" s="18"/>
    </row>
    <row r="2004" spans="2:7" x14ac:dyDescent="0.35">
      <c r="B2004" s="47"/>
      <c r="C2004" s="14"/>
      <c r="D2004" s="14"/>
      <c r="E2004" s="14"/>
      <c r="F2004" s="14"/>
      <c r="G2004" s="18"/>
    </row>
    <row r="2005" spans="2:7" x14ac:dyDescent="0.35">
      <c r="B2005" s="47"/>
      <c r="C2005" s="14"/>
      <c r="D2005" s="14"/>
      <c r="E2005" s="14"/>
      <c r="F2005" s="14"/>
      <c r="G2005" s="18"/>
    </row>
    <row r="2006" spans="2:7" x14ac:dyDescent="0.35">
      <c r="B2006" s="47"/>
      <c r="C2006" s="14"/>
      <c r="D2006" s="14"/>
      <c r="E2006" s="14"/>
      <c r="F2006" s="14"/>
      <c r="G2006" s="18"/>
    </row>
    <row r="2007" spans="2:7" x14ac:dyDescent="0.35">
      <c r="B2007" s="47"/>
      <c r="C2007" s="14"/>
      <c r="D2007" s="14"/>
      <c r="E2007" s="14"/>
      <c r="F2007" s="14"/>
      <c r="G2007" s="18"/>
    </row>
    <row r="2008" spans="2:7" x14ac:dyDescent="0.35">
      <c r="B2008" s="47"/>
      <c r="C2008" s="14"/>
      <c r="D2008" s="14"/>
      <c r="E2008" s="14"/>
      <c r="F2008" s="14"/>
      <c r="G2008" s="18"/>
    </row>
    <row r="2009" spans="2:7" x14ac:dyDescent="0.35">
      <c r="B2009" s="47"/>
      <c r="C2009" s="14"/>
      <c r="D2009" s="14"/>
      <c r="E2009" s="14"/>
      <c r="F2009" s="14"/>
      <c r="G2009" s="18"/>
    </row>
    <row r="2010" spans="2:7" x14ac:dyDescent="0.35">
      <c r="B2010" s="47"/>
      <c r="C2010" s="14"/>
      <c r="D2010" s="14"/>
      <c r="E2010" s="14"/>
      <c r="F2010" s="14"/>
      <c r="G2010" s="18"/>
    </row>
    <row r="2011" spans="2:7" x14ac:dyDescent="0.35">
      <c r="B2011" s="47"/>
      <c r="C2011" s="14"/>
      <c r="D2011" s="14"/>
      <c r="E2011" s="14"/>
      <c r="F2011" s="14"/>
      <c r="G2011" s="18"/>
    </row>
    <row r="2012" spans="2:7" x14ac:dyDescent="0.35">
      <c r="B2012" s="47"/>
      <c r="C2012" s="14"/>
      <c r="D2012" s="14"/>
      <c r="E2012" s="14"/>
      <c r="F2012" s="14"/>
      <c r="G2012" s="18"/>
    </row>
    <row r="2013" spans="2:7" x14ac:dyDescent="0.35">
      <c r="B2013" s="47"/>
      <c r="C2013" s="14"/>
      <c r="D2013" s="14"/>
      <c r="E2013" s="14"/>
      <c r="F2013" s="14"/>
      <c r="G2013" s="18"/>
    </row>
    <row r="2014" spans="2:7" x14ac:dyDescent="0.35">
      <c r="B2014" s="47"/>
      <c r="C2014" s="14"/>
      <c r="D2014" s="14"/>
      <c r="E2014" s="14"/>
      <c r="F2014" s="14"/>
      <c r="G2014" s="18"/>
    </row>
    <row r="2015" spans="2:7" x14ac:dyDescent="0.35">
      <c r="B2015" s="47"/>
      <c r="C2015" s="14"/>
      <c r="D2015" s="14"/>
      <c r="E2015" s="14"/>
      <c r="F2015" s="14"/>
      <c r="G2015" s="18"/>
    </row>
    <row r="2016" spans="2:7" x14ac:dyDescent="0.35">
      <c r="B2016" s="47"/>
      <c r="C2016" s="14"/>
      <c r="D2016" s="14"/>
      <c r="E2016" s="14"/>
      <c r="F2016" s="14"/>
      <c r="G2016" s="18"/>
    </row>
    <row r="2017" spans="2:7" x14ac:dyDescent="0.35">
      <c r="B2017" s="47"/>
      <c r="C2017" s="14"/>
      <c r="D2017" s="14"/>
      <c r="E2017" s="14"/>
      <c r="F2017" s="14"/>
      <c r="G2017" s="18"/>
    </row>
    <row r="2018" spans="2:7" x14ac:dyDescent="0.35">
      <c r="B2018" s="47"/>
      <c r="C2018" s="14"/>
      <c r="D2018" s="14"/>
      <c r="E2018" s="14"/>
      <c r="F2018" s="14"/>
      <c r="G2018" s="18"/>
    </row>
    <row r="2019" spans="2:7" x14ac:dyDescent="0.35">
      <c r="B2019" s="47"/>
      <c r="C2019" s="14"/>
      <c r="D2019" s="14"/>
      <c r="E2019" s="14"/>
      <c r="F2019" s="14"/>
      <c r="G2019" s="18"/>
    </row>
    <row r="2020" spans="2:7" x14ac:dyDescent="0.35">
      <c r="B2020" s="47"/>
      <c r="C2020" s="14"/>
      <c r="D2020" s="14"/>
      <c r="E2020" s="14"/>
      <c r="F2020" s="14"/>
      <c r="G2020" s="18"/>
    </row>
    <row r="2021" spans="2:7" x14ac:dyDescent="0.35">
      <c r="B2021" s="47"/>
      <c r="C2021" s="14"/>
      <c r="D2021" s="14"/>
      <c r="E2021" s="14"/>
      <c r="F2021" s="14"/>
      <c r="G2021" s="18"/>
    </row>
    <row r="2022" spans="2:7" x14ac:dyDescent="0.35">
      <c r="B2022" s="47"/>
      <c r="C2022" s="14"/>
      <c r="D2022" s="14"/>
      <c r="E2022" s="14"/>
      <c r="F2022" s="14"/>
      <c r="G2022" s="18"/>
    </row>
    <row r="2023" spans="2:7" x14ac:dyDescent="0.35">
      <c r="B2023" s="47"/>
      <c r="C2023" s="14"/>
      <c r="D2023" s="14"/>
      <c r="E2023" s="14"/>
      <c r="F2023" s="14"/>
      <c r="G2023" s="18"/>
    </row>
    <row r="2024" spans="2:7" x14ac:dyDescent="0.35">
      <c r="B2024" s="47"/>
      <c r="C2024" s="14"/>
      <c r="D2024" s="14"/>
      <c r="E2024" s="14"/>
      <c r="F2024" s="14"/>
      <c r="G2024" s="18"/>
    </row>
    <row r="2025" spans="2:7" x14ac:dyDescent="0.35">
      <c r="B2025" s="47"/>
      <c r="C2025" s="14"/>
      <c r="D2025" s="14"/>
      <c r="E2025" s="14"/>
      <c r="F2025" s="14"/>
      <c r="G2025" s="18"/>
    </row>
    <row r="2026" spans="2:7" x14ac:dyDescent="0.35">
      <c r="B2026" s="47"/>
      <c r="C2026" s="14"/>
      <c r="D2026" s="14"/>
      <c r="E2026" s="14"/>
      <c r="F2026" s="14"/>
      <c r="G2026" s="18"/>
    </row>
    <row r="2027" spans="2:7" x14ac:dyDescent="0.35">
      <c r="B2027" s="47"/>
      <c r="C2027" s="14"/>
      <c r="D2027" s="14"/>
      <c r="E2027" s="14"/>
      <c r="F2027" s="14"/>
      <c r="G2027" s="18"/>
    </row>
    <row r="2028" spans="2:7" x14ac:dyDescent="0.35">
      <c r="B2028" s="47"/>
      <c r="C2028" s="14"/>
      <c r="D2028" s="14"/>
      <c r="E2028" s="14"/>
      <c r="F2028" s="14"/>
      <c r="G2028" s="18"/>
    </row>
    <row r="2029" spans="2:7" x14ac:dyDescent="0.35">
      <c r="B2029" s="47"/>
      <c r="C2029" s="14"/>
      <c r="D2029" s="14"/>
      <c r="E2029" s="14"/>
      <c r="F2029" s="14"/>
      <c r="G2029" s="18"/>
    </row>
    <row r="2030" spans="2:7" x14ac:dyDescent="0.35">
      <c r="B2030" s="47"/>
      <c r="C2030" s="14"/>
      <c r="D2030" s="14"/>
      <c r="E2030" s="14"/>
      <c r="F2030" s="14"/>
      <c r="G2030" s="18"/>
    </row>
    <row r="2031" spans="2:7" x14ac:dyDescent="0.35">
      <c r="B2031" s="47"/>
      <c r="C2031" s="14"/>
      <c r="D2031" s="14"/>
      <c r="E2031" s="14"/>
      <c r="F2031" s="14"/>
      <c r="G2031" s="18"/>
    </row>
    <row r="2032" spans="2:7" x14ac:dyDescent="0.35">
      <c r="B2032" s="47"/>
      <c r="C2032" s="14"/>
      <c r="D2032" s="14"/>
      <c r="E2032" s="14"/>
      <c r="F2032" s="14"/>
      <c r="G2032" s="18"/>
    </row>
    <row r="2033" spans="2:7" x14ac:dyDescent="0.35">
      <c r="B2033" s="47"/>
      <c r="C2033" s="14"/>
      <c r="D2033" s="14"/>
      <c r="E2033" s="14"/>
      <c r="F2033" s="14"/>
      <c r="G2033" s="18"/>
    </row>
    <row r="2034" spans="2:7" x14ac:dyDescent="0.35">
      <c r="B2034" s="47"/>
      <c r="C2034" s="14"/>
      <c r="D2034" s="14"/>
      <c r="E2034" s="14"/>
      <c r="F2034" s="14"/>
      <c r="G2034" s="18"/>
    </row>
    <row r="2035" spans="2:7" x14ac:dyDescent="0.35">
      <c r="B2035" s="47"/>
      <c r="C2035" s="14"/>
      <c r="D2035" s="14"/>
      <c r="E2035" s="14"/>
      <c r="F2035" s="14"/>
      <c r="G2035" s="18"/>
    </row>
    <row r="2036" spans="2:7" x14ac:dyDescent="0.35">
      <c r="B2036" s="47"/>
      <c r="C2036" s="14"/>
      <c r="D2036" s="14"/>
      <c r="E2036" s="14"/>
      <c r="F2036" s="14"/>
      <c r="G2036" s="18"/>
    </row>
    <row r="2037" spans="2:7" x14ac:dyDescent="0.35">
      <c r="B2037" s="47"/>
      <c r="C2037" s="14"/>
      <c r="D2037" s="14"/>
      <c r="E2037" s="14"/>
      <c r="F2037" s="14"/>
      <c r="G2037" s="18"/>
    </row>
    <row r="2038" spans="2:7" x14ac:dyDescent="0.35">
      <c r="B2038" s="47"/>
      <c r="C2038" s="14"/>
      <c r="D2038" s="14"/>
      <c r="E2038" s="14"/>
      <c r="F2038" s="14"/>
      <c r="G2038" s="18"/>
    </row>
    <row r="2039" spans="2:7" x14ac:dyDescent="0.35">
      <c r="B2039" s="47"/>
      <c r="C2039" s="14"/>
      <c r="D2039" s="14"/>
      <c r="E2039" s="14"/>
      <c r="F2039" s="14"/>
      <c r="G2039" s="18"/>
    </row>
    <row r="2040" spans="2:7" x14ac:dyDescent="0.35">
      <c r="B2040" s="47"/>
      <c r="C2040" s="14"/>
      <c r="D2040" s="14"/>
      <c r="E2040" s="14"/>
      <c r="F2040" s="14"/>
      <c r="G2040" s="18"/>
    </row>
    <row r="2041" spans="2:7" x14ac:dyDescent="0.35">
      <c r="B2041" s="47"/>
      <c r="C2041" s="14"/>
      <c r="D2041" s="14"/>
      <c r="E2041" s="14"/>
      <c r="F2041" s="14"/>
      <c r="G2041" s="18"/>
    </row>
    <row r="2042" spans="2:7" x14ac:dyDescent="0.35">
      <c r="B2042" s="47"/>
      <c r="C2042" s="14"/>
      <c r="D2042" s="14"/>
      <c r="E2042" s="14"/>
      <c r="F2042" s="14"/>
      <c r="G2042" s="18"/>
    </row>
    <row r="2043" spans="2:7" x14ac:dyDescent="0.35">
      <c r="B2043" s="47"/>
      <c r="C2043" s="14"/>
      <c r="D2043" s="14"/>
      <c r="E2043" s="14"/>
      <c r="F2043" s="14"/>
      <c r="G2043" s="18"/>
    </row>
    <row r="2044" spans="2:7" x14ac:dyDescent="0.35">
      <c r="B2044" s="47"/>
      <c r="C2044" s="14"/>
      <c r="D2044" s="14"/>
      <c r="E2044" s="14"/>
      <c r="F2044" s="14"/>
      <c r="G2044" s="18"/>
    </row>
    <row r="2045" spans="2:7" x14ac:dyDescent="0.35">
      <c r="B2045" s="47"/>
      <c r="C2045" s="14"/>
      <c r="D2045" s="14"/>
      <c r="E2045" s="14"/>
      <c r="F2045" s="14"/>
      <c r="G2045" s="18"/>
    </row>
    <row r="2046" spans="2:7" x14ac:dyDescent="0.35">
      <c r="B2046" s="47"/>
      <c r="C2046" s="14"/>
      <c r="D2046" s="14"/>
      <c r="E2046" s="14"/>
      <c r="F2046" s="14"/>
      <c r="G2046" s="18"/>
    </row>
    <row r="2047" spans="2:7" x14ac:dyDescent="0.35">
      <c r="B2047" s="47"/>
      <c r="C2047" s="14"/>
      <c r="D2047" s="14"/>
      <c r="E2047" s="14"/>
      <c r="F2047" s="14"/>
      <c r="G2047" s="18"/>
    </row>
    <row r="2048" spans="2:7" x14ac:dyDescent="0.35">
      <c r="B2048" s="47"/>
      <c r="C2048" s="14"/>
      <c r="D2048" s="14"/>
      <c r="E2048" s="14"/>
      <c r="F2048" s="14"/>
      <c r="G2048" s="18"/>
    </row>
    <row r="2049" spans="2:7" x14ac:dyDescent="0.35">
      <c r="B2049" s="47"/>
      <c r="C2049" s="14"/>
      <c r="D2049" s="14"/>
      <c r="E2049" s="14"/>
      <c r="F2049" s="14"/>
      <c r="G2049" s="18"/>
    </row>
    <row r="2050" spans="2:7" x14ac:dyDescent="0.35">
      <c r="B2050" s="47"/>
      <c r="C2050" s="14"/>
      <c r="D2050" s="14"/>
      <c r="E2050" s="14"/>
      <c r="F2050" s="14"/>
      <c r="G2050" s="18"/>
    </row>
    <row r="2051" spans="2:7" x14ac:dyDescent="0.35">
      <c r="B2051" s="47"/>
      <c r="C2051" s="14"/>
      <c r="D2051" s="14"/>
      <c r="E2051" s="14"/>
      <c r="F2051" s="14"/>
      <c r="G2051" s="18"/>
    </row>
    <row r="2052" spans="2:7" x14ac:dyDescent="0.35">
      <c r="B2052" s="47"/>
      <c r="C2052" s="14"/>
      <c r="D2052" s="14"/>
      <c r="E2052" s="14"/>
      <c r="F2052" s="14"/>
      <c r="G2052" s="18"/>
    </row>
    <row r="2053" spans="2:7" x14ac:dyDescent="0.35">
      <c r="B2053" s="47"/>
      <c r="C2053" s="14"/>
      <c r="D2053" s="14"/>
      <c r="E2053" s="14"/>
      <c r="F2053" s="14"/>
      <c r="G2053" s="18"/>
    </row>
    <row r="2054" spans="2:7" x14ac:dyDescent="0.35">
      <c r="B2054" s="47"/>
      <c r="C2054" s="14"/>
      <c r="D2054" s="14"/>
      <c r="E2054" s="14"/>
      <c r="F2054" s="14"/>
      <c r="G2054" s="18"/>
    </row>
    <row r="2055" spans="2:7" x14ac:dyDescent="0.35">
      <c r="B2055" s="47"/>
      <c r="C2055" s="14"/>
      <c r="D2055" s="14"/>
      <c r="E2055" s="14"/>
      <c r="F2055" s="14"/>
      <c r="G2055" s="18"/>
    </row>
    <row r="2056" spans="2:7" x14ac:dyDescent="0.35">
      <c r="B2056" s="47"/>
      <c r="C2056" s="14"/>
      <c r="D2056" s="14"/>
      <c r="E2056" s="14"/>
      <c r="F2056" s="14"/>
      <c r="G2056" s="18"/>
    </row>
    <row r="2057" spans="2:7" x14ac:dyDescent="0.35">
      <c r="B2057" s="47"/>
      <c r="C2057" s="14"/>
      <c r="D2057" s="14"/>
      <c r="E2057" s="14"/>
      <c r="F2057" s="14"/>
      <c r="G2057" s="18"/>
    </row>
    <row r="2058" spans="2:7" x14ac:dyDescent="0.35">
      <c r="B2058" s="47"/>
      <c r="C2058" s="14"/>
      <c r="D2058" s="14"/>
      <c r="E2058" s="14"/>
      <c r="F2058" s="14"/>
      <c r="G2058" s="18"/>
    </row>
    <row r="2059" spans="2:7" x14ac:dyDescent="0.35">
      <c r="B2059" s="47"/>
      <c r="C2059" s="14"/>
      <c r="D2059" s="14"/>
      <c r="E2059" s="14"/>
      <c r="F2059" s="14"/>
      <c r="G2059" s="18"/>
    </row>
    <row r="2060" spans="2:7" x14ac:dyDescent="0.35">
      <c r="B2060" s="47"/>
      <c r="C2060" s="14"/>
      <c r="D2060" s="14"/>
      <c r="E2060" s="14"/>
      <c r="F2060" s="14"/>
      <c r="G2060" s="18"/>
    </row>
    <row r="2061" spans="2:7" x14ac:dyDescent="0.35">
      <c r="B2061" s="47"/>
      <c r="C2061" s="14"/>
      <c r="D2061" s="14"/>
      <c r="E2061" s="14"/>
      <c r="F2061" s="14"/>
      <c r="G2061" s="18"/>
    </row>
    <row r="2062" spans="2:7" x14ac:dyDescent="0.35">
      <c r="B2062" s="47"/>
      <c r="C2062" s="14"/>
      <c r="D2062" s="14"/>
      <c r="E2062" s="14"/>
      <c r="F2062" s="14"/>
      <c r="G2062" s="18"/>
    </row>
    <row r="2063" spans="2:7" x14ac:dyDescent="0.35">
      <c r="B2063" s="47"/>
      <c r="C2063" s="14"/>
      <c r="D2063" s="14"/>
      <c r="E2063" s="14"/>
      <c r="F2063" s="14"/>
      <c r="G2063" s="18"/>
    </row>
    <row r="2064" spans="2:7" x14ac:dyDescent="0.35">
      <c r="B2064" s="47"/>
      <c r="C2064" s="14"/>
      <c r="D2064" s="14"/>
      <c r="E2064" s="14"/>
      <c r="F2064" s="14"/>
      <c r="G2064" s="18"/>
    </row>
    <row r="2065" spans="2:7" x14ac:dyDescent="0.35">
      <c r="B2065" s="47"/>
      <c r="C2065" s="14"/>
      <c r="D2065" s="14"/>
      <c r="E2065" s="14"/>
      <c r="F2065" s="14"/>
      <c r="G2065" s="18"/>
    </row>
    <row r="2066" spans="2:7" x14ac:dyDescent="0.35">
      <c r="B2066" s="47"/>
      <c r="C2066" s="14"/>
      <c r="D2066" s="14"/>
      <c r="E2066" s="14"/>
      <c r="F2066" s="14"/>
      <c r="G2066" s="18"/>
    </row>
    <row r="2067" spans="2:7" x14ac:dyDescent="0.35">
      <c r="B2067" s="47"/>
      <c r="C2067" s="14"/>
      <c r="D2067" s="14"/>
      <c r="E2067" s="14"/>
      <c r="F2067" s="14"/>
      <c r="G2067" s="18"/>
    </row>
    <row r="2068" spans="2:7" x14ac:dyDescent="0.35">
      <c r="B2068" s="47"/>
      <c r="C2068" s="14"/>
      <c r="D2068" s="14"/>
      <c r="E2068" s="14"/>
      <c r="F2068" s="14"/>
      <c r="G2068" s="18"/>
    </row>
    <row r="2069" spans="2:7" x14ac:dyDescent="0.35">
      <c r="B2069" s="47"/>
      <c r="C2069" s="14"/>
      <c r="D2069" s="14"/>
      <c r="E2069" s="14"/>
      <c r="F2069" s="14"/>
      <c r="G2069" s="18"/>
    </row>
    <row r="2070" spans="2:7" x14ac:dyDescent="0.35">
      <c r="B2070" s="47"/>
      <c r="C2070" s="14"/>
      <c r="D2070" s="14"/>
      <c r="E2070" s="14"/>
      <c r="F2070" s="14"/>
      <c r="G2070" s="18"/>
    </row>
    <row r="2071" spans="2:7" x14ac:dyDescent="0.35">
      <c r="B2071" s="47"/>
      <c r="C2071" s="14"/>
      <c r="D2071" s="14"/>
      <c r="E2071" s="14"/>
      <c r="F2071" s="14"/>
      <c r="G2071" s="18"/>
    </row>
    <row r="2072" spans="2:7" x14ac:dyDescent="0.35">
      <c r="B2072" s="47"/>
      <c r="C2072" s="14"/>
      <c r="D2072" s="14"/>
      <c r="E2072" s="14"/>
      <c r="F2072" s="14"/>
      <c r="G2072" s="18"/>
    </row>
    <row r="2073" spans="2:7" x14ac:dyDescent="0.35">
      <c r="B2073" s="47"/>
      <c r="C2073" s="14"/>
      <c r="D2073" s="14"/>
      <c r="E2073" s="14"/>
      <c r="F2073" s="14"/>
      <c r="G2073" s="18"/>
    </row>
    <row r="2074" spans="2:7" x14ac:dyDescent="0.35">
      <c r="B2074" s="47"/>
      <c r="C2074" s="14"/>
      <c r="D2074" s="14"/>
      <c r="E2074" s="14"/>
      <c r="F2074" s="14"/>
      <c r="G2074" s="18"/>
    </row>
    <row r="2075" spans="2:7" x14ac:dyDescent="0.35">
      <c r="B2075" s="47"/>
      <c r="C2075" s="14"/>
      <c r="D2075" s="14"/>
      <c r="E2075" s="14"/>
      <c r="F2075" s="14"/>
      <c r="G2075" s="18"/>
    </row>
    <row r="2076" spans="2:7" x14ac:dyDescent="0.35">
      <c r="B2076" s="47"/>
      <c r="C2076" s="14"/>
      <c r="D2076" s="14"/>
      <c r="E2076" s="14"/>
      <c r="F2076" s="14"/>
      <c r="G2076" s="18"/>
    </row>
    <row r="2077" spans="2:7" x14ac:dyDescent="0.35">
      <c r="B2077" s="47"/>
      <c r="C2077" s="14"/>
      <c r="D2077" s="14"/>
      <c r="E2077" s="14"/>
      <c r="F2077" s="14"/>
      <c r="G2077" s="18"/>
    </row>
    <row r="2078" spans="2:7" x14ac:dyDescent="0.35">
      <c r="B2078" s="47"/>
      <c r="C2078" s="14"/>
      <c r="D2078" s="14"/>
      <c r="E2078" s="14"/>
      <c r="F2078" s="14"/>
      <c r="G2078" s="18"/>
    </row>
    <row r="2079" spans="2:7" x14ac:dyDescent="0.35">
      <c r="B2079" s="47"/>
      <c r="C2079" s="14"/>
      <c r="D2079" s="14"/>
      <c r="E2079" s="14"/>
      <c r="F2079" s="14"/>
      <c r="G2079" s="18"/>
    </row>
    <row r="2080" spans="2:7" x14ac:dyDescent="0.35">
      <c r="B2080" s="47"/>
      <c r="C2080" s="14"/>
      <c r="D2080" s="14"/>
      <c r="E2080" s="14"/>
      <c r="F2080" s="14"/>
      <c r="G2080" s="18"/>
    </row>
    <row r="2081" spans="2:7" x14ac:dyDescent="0.35">
      <c r="B2081" s="47"/>
      <c r="C2081" s="14"/>
      <c r="D2081" s="14"/>
      <c r="E2081" s="14"/>
      <c r="F2081" s="14"/>
      <c r="G2081" s="18"/>
    </row>
    <row r="2082" spans="2:7" x14ac:dyDescent="0.35">
      <c r="B2082" s="47"/>
      <c r="C2082" s="14"/>
      <c r="D2082" s="14"/>
      <c r="E2082" s="14"/>
      <c r="F2082" s="14"/>
      <c r="G2082" s="18"/>
    </row>
    <row r="2083" spans="2:7" x14ac:dyDescent="0.35">
      <c r="B2083" s="47"/>
      <c r="C2083" s="14"/>
      <c r="D2083" s="14"/>
      <c r="E2083" s="14"/>
      <c r="F2083" s="14"/>
      <c r="G2083" s="18"/>
    </row>
    <row r="2084" spans="2:7" x14ac:dyDescent="0.35">
      <c r="B2084" s="47"/>
      <c r="C2084" s="14"/>
      <c r="D2084" s="14"/>
      <c r="E2084" s="14"/>
      <c r="F2084" s="14"/>
      <c r="G2084" s="18"/>
    </row>
    <row r="2085" spans="2:7" x14ac:dyDescent="0.35">
      <c r="B2085" s="47"/>
      <c r="C2085" s="14"/>
      <c r="D2085" s="14"/>
      <c r="E2085" s="14"/>
      <c r="F2085" s="14"/>
      <c r="G2085" s="18"/>
    </row>
    <row r="2086" spans="2:7" x14ac:dyDescent="0.35">
      <c r="B2086" s="47"/>
      <c r="C2086" s="14"/>
      <c r="D2086" s="14"/>
      <c r="E2086" s="14"/>
      <c r="F2086" s="14"/>
      <c r="G2086" s="18"/>
    </row>
    <row r="2087" spans="2:7" x14ac:dyDescent="0.35">
      <c r="B2087" s="47"/>
      <c r="C2087" s="14"/>
      <c r="D2087" s="14"/>
      <c r="E2087" s="14"/>
      <c r="F2087" s="14"/>
      <c r="G2087" s="18"/>
    </row>
    <row r="2088" spans="2:7" x14ac:dyDescent="0.35">
      <c r="B2088" s="47"/>
      <c r="C2088" s="14"/>
      <c r="D2088" s="14"/>
      <c r="E2088" s="14"/>
      <c r="F2088" s="14"/>
      <c r="G2088" s="18"/>
    </row>
    <row r="2089" spans="2:7" x14ac:dyDescent="0.35">
      <c r="B2089" s="47"/>
      <c r="C2089" s="14"/>
      <c r="D2089" s="14"/>
      <c r="E2089" s="14"/>
      <c r="F2089" s="14"/>
      <c r="G2089" s="18"/>
    </row>
    <row r="2090" spans="2:7" x14ac:dyDescent="0.35">
      <c r="B2090" s="47"/>
      <c r="C2090" s="14"/>
      <c r="D2090" s="14"/>
      <c r="E2090" s="14"/>
      <c r="F2090" s="14"/>
      <c r="G2090" s="18"/>
    </row>
    <row r="2091" spans="2:7" x14ac:dyDescent="0.35">
      <c r="B2091" s="47"/>
      <c r="C2091" s="14"/>
      <c r="D2091" s="14"/>
      <c r="E2091" s="14"/>
      <c r="F2091" s="14"/>
      <c r="G2091" s="18"/>
    </row>
    <row r="2092" spans="2:7" x14ac:dyDescent="0.35">
      <c r="B2092" s="47"/>
      <c r="C2092" s="14"/>
      <c r="D2092" s="14"/>
      <c r="E2092" s="14"/>
      <c r="F2092" s="14"/>
      <c r="G2092" s="18"/>
    </row>
    <row r="2093" spans="2:7" x14ac:dyDescent="0.35">
      <c r="B2093" s="47"/>
      <c r="C2093" s="14"/>
      <c r="D2093" s="14"/>
      <c r="E2093" s="14"/>
      <c r="F2093" s="14"/>
      <c r="G2093" s="18"/>
    </row>
    <row r="2094" spans="2:7" x14ac:dyDescent="0.35">
      <c r="B2094" s="47"/>
      <c r="C2094" s="14"/>
      <c r="D2094" s="14"/>
      <c r="E2094" s="14"/>
      <c r="F2094" s="14"/>
      <c r="G2094" s="18"/>
    </row>
    <row r="2095" spans="2:7" x14ac:dyDescent="0.35">
      <c r="B2095" s="47"/>
      <c r="C2095" s="14"/>
      <c r="D2095" s="14"/>
      <c r="E2095" s="14"/>
      <c r="F2095" s="14"/>
      <c r="G2095" s="18"/>
    </row>
    <row r="2096" spans="2:7" x14ac:dyDescent="0.35">
      <c r="B2096" s="47"/>
      <c r="C2096" s="14"/>
      <c r="D2096" s="14"/>
      <c r="E2096" s="14"/>
      <c r="F2096" s="14"/>
      <c r="G2096" s="18"/>
    </row>
    <row r="2097" spans="2:7" x14ac:dyDescent="0.35">
      <c r="B2097" s="47"/>
      <c r="C2097" s="14"/>
      <c r="D2097" s="14"/>
      <c r="E2097" s="14"/>
      <c r="F2097" s="14"/>
      <c r="G2097" s="18"/>
    </row>
    <row r="2098" spans="2:7" x14ac:dyDescent="0.35">
      <c r="B2098" s="47"/>
      <c r="C2098" s="14"/>
      <c r="D2098" s="14"/>
      <c r="E2098" s="14"/>
      <c r="F2098" s="14"/>
      <c r="G2098" s="18"/>
    </row>
    <row r="2099" spans="2:7" x14ac:dyDescent="0.35">
      <c r="B2099" s="47"/>
      <c r="C2099" s="14"/>
      <c r="D2099" s="14"/>
      <c r="E2099" s="14"/>
      <c r="F2099" s="14"/>
      <c r="G2099" s="18"/>
    </row>
    <row r="2100" spans="2:7" x14ac:dyDescent="0.35">
      <c r="B2100" s="47"/>
      <c r="C2100" s="14"/>
      <c r="D2100" s="14"/>
      <c r="E2100" s="14"/>
      <c r="F2100" s="14"/>
      <c r="G2100" s="18"/>
    </row>
    <row r="2101" spans="2:7" x14ac:dyDescent="0.35">
      <c r="B2101" s="47"/>
      <c r="C2101" s="14"/>
      <c r="D2101" s="14"/>
      <c r="E2101" s="14"/>
      <c r="F2101" s="14"/>
      <c r="G2101" s="18"/>
    </row>
    <row r="2102" spans="2:7" x14ac:dyDescent="0.35">
      <c r="B2102" s="47"/>
      <c r="C2102" s="14"/>
      <c r="D2102" s="14"/>
      <c r="E2102" s="14"/>
      <c r="F2102" s="14"/>
      <c r="G2102" s="18"/>
    </row>
    <row r="2103" spans="2:7" x14ac:dyDescent="0.35">
      <c r="B2103" s="47"/>
      <c r="C2103" s="14"/>
      <c r="D2103" s="14"/>
      <c r="E2103" s="14"/>
      <c r="F2103" s="14"/>
      <c r="G2103" s="18"/>
    </row>
    <row r="2104" spans="2:7" x14ac:dyDescent="0.35">
      <c r="B2104" s="47"/>
      <c r="C2104" s="14"/>
      <c r="D2104" s="14"/>
      <c r="E2104" s="14"/>
      <c r="F2104" s="14"/>
      <c r="G2104" s="18"/>
    </row>
    <row r="2105" spans="2:7" x14ac:dyDescent="0.35">
      <c r="B2105" s="47"/>
      <c r="C2105" s="14"/>
      <c r="D2105" s="14"/>
      <c r="E2105" s="14"/>
      <c r="F2105" s="14"/>
      <c r="G2105" s="18"/>
    </row>
    <row r="2106" spans="2:7" x14ac:dyDescent="0.35">
      <c r="B2106" s="47"/>
      <c r="C2106" s="14"/>
      <c r="D2106" s="14"/>
      <c r="E2106" s="14"/>
      <c r="F2106" s="14"/>
      <c r="G2106" s="18"/>
    </row>
    <row r="2107" spans="2:7" x14ac:dyDescent="0.35">
      <c r="B2107" s="47"/>
      <c r="C2107" s="14"/>
      <c r="D2107" s="14"/>
      <c r="E2107" s="14"/>
      <c r="F2107" s="14"/>
      <c r="G2107" s="18"/>
    </row>
    <row r="2108" spans="2:7" x14ac:dyDescent="0.35">
      <c r="B2108" s="47"/>
      <c r="C2108" s="14"/>
      <c r="D2108" s="14"/>
      <c r="E2108" s="14"/>
      <c r="F2108" s="14"/>
      <c r="G2108" s="18"/>
    </row>
    <row r="2109" spans="2:7" x14ac:dyDescent="0.35">
      <c r="B2109" s="47"/>
      <c r="C2109" s="14"/>
      <c r="D2109" s="14"/>
      <c r="E2109" s="14"/>
      <c r="F2109" s="14"/>
      <c r="G2109" s="18"/>
    </row>
    <row r="2110" spans="2:7" x14ac:dyDescent="0.35">
      <c r="B2110" s="47"/>
      <c r="C2110" s="14"/>
      <c r="D2110" s="14"/>
      <c r="E2110" s="14"/>
      <c r="F2110" s="14"/>
      <c r="G2110" s="18"/>
    </row>
    <row r="2111" spans="2:7" x14ac:dyDescent="0.35">
      <c r="B2111" s="47"/>
      <c r="C2111" s="14"/>
      <c r="D2111" s="14"/>
      <c r="E2111" s="14"/>
      <c r="F2111" s="14"/>
      <c r="G2111" s="18"/>
    </row>
    <row r="2112" spans="2:7" x14ac:dyDescent="0.35">
      <c r="B2112" s="47"/>
      <c r="C2112" s="14"/>
      <c r="D2112" s="14"/>
      <c r="E2112" s="14"/>
      <c r="F2112" s="14"/>
      <c r="G2112" s="18"/>
    </row>
    <row r="2113" spans="2:7" x14ac:dyDescent="0.35">
      <c r="B2113" s="47"/>
      <c r="C2113" s="14"/>
      <c r="D2113" s="14"/>
      <c r="E2113" s="14"/>
      <c r="F2113" s="14"/>
      <c r="G2113" s="18"/>
    </row>
    <row r="2114" spans="2:7" x14ac:dyDescent="0.35">
      <c r="B2114" s="47"/>
      <c r="C2114" s="14"/>
      <c r="D2114" s="14"/>
      <c r="E2114" s="14"/>
      <c r="F2114" s="14"/>
      <c r="G2114" s="18"/>
    </row>
    <row r="2115" spans="2:7" x14ac:dyDescent="0.35">
      <c r="B2115" s="47"/>
      <c r="C2115" s="14"/>
      <c r="D2115" s="14"/>
      <c r="E2115" s="14"/>
      <c r="F2115" s="14"/>
      <c r="G2115" s="18"/>
    </row>
    <row r="2116" spans="2:7" x14ac:dyDescent="0.35">
      <c r="B2116" s="47"/>
      <c r="C2116" s="14"/>
      <c r="D2116" s="14"/>
      <c r="E2116" s="14"/>
      <c r="F2116" s="14"/>
      <c r="G2116" s="18"/>
    </row>
    <row r="2117" spans="2:7" x14ac:dyDescent="0.35">
      <c r="B2117" s="47"/>
      <c r="C2117" s="14"/>
      <c r="D2117" s="14"/>
      <c r="E2117" s="14"/>
      <c r="F2117" s="14"/>
      <c r="G2117" s="18"/>
    </row>
    <row r="2118" spans="2:7" x14ac:dyDescent="0.35">
      <c r="B2118" s="47"/>
      <c r="C2118" s="14"/>
      <c r="D2118" s="14"/>
      <c r="E2118" s="14"/>
      <c r="F2118" s="14"/>
      <c r="G2118" s="18"/>
    </row>
    <row r="2119" spans="2:7" x14ac:dyDescent="0.35">
      <c r="B2119" s="47"/>
      <c r="C2119" s="14"/>
      <c r="D2119" s="14"/>
      <c r="E2119" s="14"/>
      <c r="F2119" s="14"/>
      <c r="G2119" s="18"/>
    </row>
    <row r="2120" spans="2:7" x14ac:dyDescent="0.35">
      <c r="B2120" s="47"/>
      <c r="C2120" s="14"/>
      <c r="D2120" s="14"/>
      <c r="E2120" s="14"/>
      <c r="F2120" s="14"/>
      <c r="G2120" s="18"/>
    </row>
    <row r="2121" spans="2:7" x14ac:dyDescent="0.35">
      <c r="B2121" s="47"/>
      <c r="C2121" s="14"/>
      <c r="D2121" s="14"/>
      <c r="E2121" s="14"/>
      <c r="F2121" s="14"/>
      <c r="G2121" s="18"/>
    </row>
    <row r="2122" spans="2:7" x14ac:dyDescent="0.35">
      <c r="B2122" s="47"/>
      <c r="C2122" s="14"/>
      <c r="D2122" s="14"/>
      <c r="E2122" s="14"/>
      <c r="F2122" s="14"/>
      <c r="G2122" s="18"/>
    </row>
    <row r="2123" spans="2:7" x14ac:dyDescent="0.35">
      <c r="B2123" s="47"/>
      <c r="C2123" s="14"/>
      <c r="D2123" s="14"/>
      <c r="E2123" s="14"/>
      <c r="F2123" s="14"/>
      <c r="G2123" s="18"/>
    </row>
    <row r="2124" spans="2:7" x14ac:dyDescent="0.35">
      <c r="B2124" s="47"/>
      <c r="C2124" s="14"/>
      <c r="D2124" s="14"/>
      <c r="E2124" s="14"/>
      <c r="F2124" s="14"/>
      <c r="G2124" s="18"/>
    </row>
    <row r="2125" spans="2:7" x14ac:dyDescent="0.35">
      <c r="B2125" s="47"/>
      <c r="C2125" s="14"/>
      <c r="D2125" s="14"/>
      <c r="E2125" s="14"/>
      <c r="F2125" s="14"/>
      <c r="G2125" s="18"/>
    </row>
    <row r="2126" spans="2:7" x14ac:dyDescent="0.35">
      <c r="B2126" s="47"/>
      <c r="C2126" s="14"/>
      <c r="D2126" s="14"/>
      <c r="E2126" s="14"/>
      <c r="F2126" s="14"/>
      <c r="G2126" s="18"/>
    </row>
    <row r="2127" spans="2:7" x14ac:dyDescent="0.35">
      <c r="B2127" s="47"/>
      <c r="C2127" s="14"/>
      <c r="D2127" s="14"/>
      <c r="E2127" s="14"/>
      <c r="F2127" s="14"/>
      <c r="G2127" s="18"/>
    </row>
    <row r="2128" spans="2:7" x14ac:dyDescent="0.35">
      <c r="B2128" s="47"/>
      <c r="C2128" s="14"/>
      <c r="D2128" s="14"/>
      <c r="E2128" s="14"/>
      <c r="F2128" s="14"/>
      <c r="G2128" s="18"/>
    </row>
    <row r="2129" spans="2:7" x14ac:dyDescent="0.35">
      <c r="B2129" s="47"/>
      <c r="C2129" s="14"/>
      <c r="D2129" s="14"/>
      <c r="E2129" s="14"/>
      <c r="F2129" s="14"/>
      <c r="G2129" s="18"/>
    </row>
    <row r="2130" spans="2:7" x14ac:dyDescent="0.35">
      <c r="B2130" s="47"/>
      <c r="C2130" s="14"/>
      <c r="D2130" s="14"/>
      <c r="E2130" s="14"/>
      <c r="F2130" s="14"/>
      <c r="G2130" s="18"/>
    </row>
    <row r="2131" spans="2:7" x14ac:dyDescent="0.35">
      <c r="B2131" s="47"/>
      <c r="C2131" s="14"/>
      <c r="D2131" s="14"/>
      <c r="E2131" s="14"/>
      <c r="F2131" s="14"/>
      <c r="G2131" s="18"/>
    </row>
    <row r="2132" spans="2:7" x14ac:dyDescent="0.35">
      <c r="B2132" s="47"/>
      <c r="C2132" s="14"/>
      <c r="D2132" s="14"/>
      <c r="E2132" s="14"/>
      <c r="F2132" s="14"/>
      <c r="G2132" s="18"/>
    </row>
    <row r="2133" spans="2:7" x14ac:dyDescent="0.35">
      <c r="B2133" s="47"/>
      <c r="C2133" s="14"/>
      <c r="D2133" s="14"/>
      <c r="E2133" s="14"/>
      <c r="F2133" s="14"/>
      <c r="G2133" s="18"/>
    </row>
    <row r="2134" spans="2:7" x14ac:dyDescent="0.35">
      <c r="B2134" s="47"/>
      <c r="C2134" s="14"/>
      <c r="D2134" s="14"/>
      <c r="E2134" s="14"/>
      <c r="F2134" s="14"/>
      <c r="G2134" s="18"/>
    </row>
    <row r="2135" spans="2:7" x14ac:dyDescent="0.35">
      <c r="B2135" s="47"/>
      <c r="C2135" s="14"/>
      <c r="D2135" s="14"/>
      <c r="E2135" s="14"/>
      <c r="F2135" s="14"/>
      <c r="G2135" s="18"/>
    </row>
    <row r="2136" spans="2:7" x14ac:dyDescent="0.35">
      <c r="B2136" s="47"/>
      <c r="C2136" s="14"/>
      <c r="D2136" s="14"/>
      <c r="E2136" s="14"/>
      <c r="F2136" s="14"/>
      <c r="G2136" s="18"/>
    </row>
    <row r="2137" spans="2:7" x14ac:dyDescent="0.35">
      <c r="B2137" s="47"/>
      <c r="C2137" s="14"/>
      <c r="D2137" s="14"/>
      <c r="E2137" s="14"/>
      <c r="F2137" s="14"/>
      <c r="G2137" s="18"/>
    </row>
    <row r="2138" spans="2:7" x14ac:dyDescent="0.35">
      <c r="B2138" s="47"/>
      <c r="C2138" s="14"/>
      <c r="D2138" s="14"/>
      <c r="E2138" s="14"/>
      <c r="F2138" s="14"/>
      <c r="G2138" s="18"/>
    </row>
    <row r="2139" spans="2:7" x14ac:dyDescent="0.35">
      <c r="B2139" s="47"/>
      <c r="C2139" s="14"/>
      <c r="D2139" s="14"/>
      <c r="E2139" s="14"/>
      <c r="F2139" s="14"/>
      <c r="G2139" s="18"/>
    </row>
    <row r="2140" spans="2:7" x14ac:dyDescent="0.35">
      <c r="B2140" s="47"/>
      <c r="C2140" s="14"/>
      <c r="D2140" s="14"/>
      <c r="E2140" s="14"/>
      <c r="F2140" s="14"/>
      <c r="G2140" s="18"/>
    </row>
    <row r="2141" spans="2:7" x14ac:dyDescent="0.35">
      <c r="B2141" s="47"/>
      <c r="C2141" s="14"/>
      <c r="D2141" s="14"/>
      <c r="E2141" s="14"/>
      <c r="F2141" s="14"/>
      <c r="G2141" s="18"/>
    </row>
    <row r="2142" spans="2:7" x14ac:dyDescent="0.35">
      <c r="B2142" s="47"/>
      <c r="C2142" s="14"/>
      <c r="D2142" s="14"/>
      <c r="E2142" s="14"/>
      <c r="F2142" s="14"/>
      <c r="G2142" s="18"/>
    </row>
    <row r="2143" spans="2:7" x14ac:dyDescent="0.35">
      <c r="B2143" s="47"/>
      <c r="C2143" s="14"/>
      <c r="D2143" s="14"/>
      <c r="E2143" s="14"/>
      <c r="F2143" s="14"/>
      <c r="G2143" s="18"/>
    </row>
    <row r="2144" spans="2:7" x14ac:dyDescent="0.35">
      <c r="B2144" s="47"/>
      <c r="C2144" s="14"/>
      <c r="D2144" s="14"/>
      <c r="E2144" s="14"/>
      <c r="F2144" s="14"/>
      <c r="G2144" s="18"/>
    </row>
    <row r="2145" spans="2:7" x14ac:dyDescent="0.35">
      <c r="B2145" s="47"/>
      <c r="C2145" s="14"/>
      <c r="D2145" s="14"/>
      <c r="E2145" s="14"/>
      <c r="F2145" s="14"/>
      <c r="G2145" s="18"/>
    </row>
    <row r="2146" spans="2:7" x14ac:dyDescent="0.35">
      <c r="B2146" s="47"/>
      <c r="C2146" s="14"/>
      <c r="D2146" s="14"/>
      <c r="E2146" s="14"/>
      <c r="F2146" s="14"/>
      <c r="G2146" s="18"/>
    </row>
    <row r="2147" spans="2:7" x14ac:dyDescent="0.35">
      <c r="B2147" s="47"/>
      <c r="C2147" s="14"/>
      <c r="D2147" s="14"/>
      <c r="E2147" s="14"/>
      <c r="F2147" s="14"/>
      <c r="G2147" s="18"/>
    </row>
    <row r="2148" spans="2:7" x14ac:dyDescent="0.35">
      <c r="B2148" s="47"/>
      <c r="C2148" s="14"/>
      <c r="D2148" s="14"/>
      <c r="E2148" s="14"/>
      <c r="F2148" s="14"/>
      <c r="G2148" s="18"/>
    </row>
    <row r="2149" spans="2:7" x14ac:dyDescent="0.35">
      <c r="B2149" s="47"/>
      <c r="C2149" s="14"/>
      <c r="D2149" s="14"/>
      <c r="E2149" s="14"/>
      <c r="F2149" s="14"/>
      <c r="G2149" s="18"/>
    </row>
    <row r="2150" spans="2:7" x14ac:dyDescent="0.35">
      <c r="B2150" s="47"/>
      <c r="C2150" s="14"/>
      <c r="D2150" s="14"/>
      <c r="E2150" s="14"/>
      <c r="F2150" s="14"/>
      <c r="G2150" s="18"/>
    </row>
    <row r="2151" spans="2:7" x14ac:dyDescent="0.35">
      <c r="B2151" s="47"/>
      <c r="C2151" s="14"/>
      <c r="D2151" s="14"/>
      <c r="E2151" s="14"/>
      <c r="F2151" s="14"/>
      <c r="G2151" s="18"/>
    </row>
    <row r="2152" spans="2:7" x14ac:dyDescent="0.35">
      <c r="B2152" s="47"/>
      <c r="C2152" s="14"/>
      <c r="D2152" s="14"/>
      <c r="E2152" s="14"/>
      <c r="F2152" s="14"/>
      <c r="G2152" s="18"/>
    </row>
    <row r="2153" spans="2:7" x14ac:dyDescent="0.35">
      <c r="B2153" s="47"/>
      <c r="C2153" s="14"/>
      <c r="D2153" s="14"/>
      <c r="E2153" s="14"/>
      <c r="F2153" s="14"/>
      <c r="G2153" s="18"/>
    </row>
    <row r="2154" spans="2:7" x14ac:dyDescent="0.35">
      <c r="B2154" s="47"/>
      <c r="C2154" s="14"/>
      <c r="D2154" s="14"/>
      <c r="E2154" s="14"/>
      <c r="F2154" s="14"/>
      <c r="G2154" s="18"/>
    </row>
    <row r="2155" spans="2:7" x14ac:dyDescent="0.35">
      <c r="B2155" s="47"/>
      <c r="C2155" s="14"/>
      <c r="D2155" s="14"/>
      <c r="E2155" s="14"/>
      <c r="F2155" s="14"/>
      <c r="G2155" s="18"/>
    </row>
    <row r="2156" spans="2:7" x14ac:dyDescent="0.35">
      <c r="B2156" s="47"/>
      <c r="C2156" s="14"/>
      <c r="D2156" s="14"/>
      <c r="E2156" s="14"/>
      <c r="F2156" s="14"/>
      <c r="G2156" s="18"/>
    </row>
    <row r="2157" spans="2:7" x14ac:dyDescent="0.35">
      <c r="B2157" s="47"/>
      <c r="C2157" s="14"/>
      <c r="D2157" s="14"/>
      <c r="E2157" s="14"/>
      <c r="F2157" s="14"/>
      <c r="G2157" s="18"/>
    </row>
    <row r="2158" spans="2:7" x14ac:dyDescent="0.35">
      <c r="B2158" s="47"/>
      <c r="C2158" s="14"/>
      <c r="D2158" s="14"/>
      <c r="E2158" s="14"/>
      <c r="F2158" s="14"/>
      <c r="G2158" s="18"/>
    </row>
    <row r="2159" spans="2:7" x14ac:dyDescent="0.35">
      <c r="B2159" s="47"/>
      <c r="C2159" s="14"/>
      <c r="D2159" s="14"/>
      <c r="E2159" s="14"/>
      <c r="F2159" s="14"/>
      <c r="G2159" s="18"/>
    </row>
    <row r="2160" spans="2:7" x14ac:dyDescent="0.35">
      <c r="B2160" s="47"/>
      <c r="C2160" s="14"/>
      <c r="D2160" s="14"/>
      <c r="E2160" s="14"/>
      <c r="F2160" s="14"/>
      <c r="G2160" s="18"/>
    </row>
    <row r="2161" spans="2:7" x14ac:dyDescent="0.35">
      <c r="B2161" s="47"/>
      <c r="C2161" s="14"/>
      <c r="D2161" s="14"/>
      <c r="E2161" s="14"/>
      <c r="F2161" s="14"/>
      <c r="G2161" s="18"/>
    </row>
    <row r="2162" spans="2:7" x14ac:dyDescent="0.35">
      <c r="B2162" s="47"/>
      <c r="C2162" s="14"/>
      <c r="D2162" s="14"/>
      <c r="E2162" s="14"/>
      <c r="F2162" s="14"/>
      <c r="G2162" s="18"/>
    </row>
    <row r="2163" spans="2:7" x14ac:dyDescent="0.35">
      <c r="B2163" s="47"/>
      <c r="C2163" s="14"/>
      <c r="D2163" s="14"/>
      <c r="E2163" s="14"/>
      <c r="F2163" s="14"/>
      <c r="G2163" s="18"/>
    </row>
    <row r="2164" spans="2:7" x14ac:dyDescent="0.35">
      <c r="B2164" s="47"/>
      <c r="C2164" s="14"/>
      <c r="D2164" s="14"/>
      <c r="E2164" s="14"/>
      <c r="F2164" s="14"/>
      <c r="G2164" s="18"/>
    </row>
    <row r="2165" spans="2:7" x14ac:dyDescent="0.35">
      <c r="B2165" s="47"/>
      <c r="C2165" s="14"/>
      <c r="D2165" s="14"/>
      <c r="E2165" s="14"/>
      <c r="F2165" s="14"/>
      <c r="G2165" s="18"/>
    </row>
    <row r="2166" spans="2:7" x14ac:dyDescent="0.35">
      <c r="B2166" s="47"/>
      <c r="C2166" s="14"/>
      <c r="D2166" s="14"/>
      <c r="E2166" s="14"/>
      <c r="F2166" s="14"/>
      <c r="G2166" s="18"/>
    </row>
    <row r="2167" spans="2:7" x14ac:dyDescent="0.35">
      <c r="B2167" s="47"/>
      <c r="C2167" s="14"/>
      <c r="D2167" s="14"/>
      <c r="E2167" s="14"/>
      <c r="F2167" s="14"/>
      <c r="G2167" s="18"/>
    </row>
    <row r="2168" spans="2:7" x14ac:dyDescent="0.35">
      <c r="B2168" s="47"/>
      <c r="C2168" s="14"/>
      <c r="D2168" s="14"/>
      <c r="E2168" s="14"/>
      <c r="F2168" s="14"/>
      <c r="G2168" s="18"/>
    </row>
    <row r="2169" spans="2:7" x14ac:dyDescent="0.35">
      <c r="B2169" s="47"/>
      <c r="C2169" s="14"/>
      <c r="D2169" s="14"/>
      <c r="E2169" s="14"/>
      <c r="F2169" s="14"/>
      <c r="G2169" s="18"/>
    </row>
    <row r="2170" spans="2:7" x14ac:dyDescent="0.35">
      <c r="B2170" s="47"/>
      <c r="C2170" s="14"/>
      <c r="D2170" s="14"/>
      <c r="E2170" s="14"/>
      <c r="F2170" s="14"/>
      <c r="G2170" s="18"/>
    </row>
    <row r="2171" spans="2:7" x14ac:dyDescent="0.35">
      <c r="B2171" s="47"/>
      <c r="C2171" s="14"/>
      <c r="D2171" s="14"/>
      <c r="E2171" s="14"/>
      <c r="F2171" s="14"/>
      <c r="G2171" s="18"/>
    </row>
    <row r="2172" spans="2:7" x14ac:dyDescent="0.35">
      <c r="B2172" s="47"/>
      <c r="C2172" s="14"/>
      <c r="D2172" s="14"/>
      <c r="E2172" s="14"/>
      <c r="F2172" s="14"/>
      <c r="G2172" s="18"/>
    </row>
    <row r="2173" spans="2:7" x14ac:dyDescent="0.35">
      <c r="B2173" s="47"/>
      <c r="C2173" s="14"/>
      <c r="D2173" s="14"/>
      <c r="E2173" s="14"/>
      <c r="F2173" s="14"/>
      <c r="G2173" s="18"/>
    </row>
    <row r="2174" spans="2:7" x14ac:dyDescent="0.35">
      <c r="B2174" s="47"/>
      <c r="C2174" s="14"/>
      <c r="D2174" s="14"/>
      <c r="E2174" s="14"/>
      <c r="F2174" s="14"/>
      <c r="G2174" s="18"/>
    </row>
    <row r="2175" spans="2:7" x14ac:dyDescent="0.35">
      <c r="B2175" s="47"/>
      <c r="C2175" s="14"/>
      <c r="D2175" s="14"/>
      <c r="E2175" s="14"/>
      <c r="F2175" s="14"/>
      <c r="G2175" s="18"/>
    </row>
    <row r="2176" spans="2:7" x14ac:dyDescent="0.35">
      <c r="B2176" s="47"/>
      <c r="C2176" s="14"/>
      <c r="D2176" s="14"/>
      <c r="E2176" s="14"/>
      <c r="F2176" s="14"/>
      <c r="G2176" s="18"/>
    </row>
    <row r="2177" spans="2:7" x14ac:dyDescent="0.35">
      <c r="B2177" s="47"/>
      <c r="C2177" s="14"/>
      <c r="D2177" s="14"/>
      <c r="E2177" s="14"/>
      <c r="F2177" s="14"/>
      <c r="G2177" s="18"/>
    </row>
    <row r="2178" spans="2:7" x14ac:dyDescent="0.35">
      <c r="B2178" s="47"/>
      <c r="C2178" s="14"/>
      <c r="D2178" s="14"/>
      <c r="E2178" s="14"/>
      <c r="F2178" s="14"/>
      <c r="G2178" s="18"/>
    </row>
    <row r="2179" spans="2:7" x14ac:dyDescent="0.35">
      <c r="B2179" s="47"/>
      <c r="C2179" s="14"/>
      <c r="D2179" s="14"/>
      <c r="E2179" s="14"/>
      <c r="F2179" s="14"/>
      <c r="G2179" s="18"/>
    </row>
    <row r="2180" spans="2:7" x14ac:dyDescent="0.35">
      <c r="B2180" s="47"/>
      <c r="C2180" s="14"/>
      <c r="D2180" s="14"/>
      <c r="E2180" s="14"/>
      <c r="F2180" s="14"/>
      <c r="G2180" s="18"/>
    </row>
    <row r="2181" spans="2:7" x14ac:dyDescent="0.35">
      <c r="B2181" s="47"/>
      <c r="C2181" s="14"/>
      <c r="D2181" s="14"/>
      <c r="E2181" s="14"/>
      <c r="F2181" s="14"/>
      <c r="G2181" s="18"/>
    </row>
    <row r="2182" spans="2:7" x14ac:dyDescent="0.35">
      <c r="B2182" s="47"/>
      <c r="C2182" s="14"/>
      <c r="D2182" s="14"/>
      <c r="E2182" s="14"/>
      <c r="F2182" s="14"/>
      <c r="G2182" s="18"/>
    </row>
    <row r="2183" spans="2:7" x14ac:dyDescent="0.35">
      <c r="B2183" s="47"/>
      <c r="C2183" s="14"/>
      <c r="D2183" s="14"/>
      <c r="E2183" s="14"/>
      <c r="F2183" s="14"/>
      <c r="G2183" s="18"/>
    </row>
    <row r="2184" spans="2:7" x14ac:dyDescent="0.35">
      <c r="B2184" s="47"/>
      <c r="C2184" s="14"/>
      <c r="D2184" s="14"/>
      <c r="E2184" s="14"/>
      <c r="F2184" s="14"/>
      <c r="G2184" s="18"/>
    </row>
    <row r="2185" spans="2:7" x14ac:dyDescent="0.35">
      <c r="B2185" s="47"/>
      <c r="C2185" s="14"/>
      <c r="D2185" s="14"/>
      <c r="E2185" s="14"/>
      <c r="F2185" s="14"/>
      <c r="G2185" s="18"/>
    </row>
    <row r="2186" spans="2:7" x14ac:dyDescent="0.35">
      <c r="B2186" s="47"/>
      <c r="C2186" s="14"/>
      <c r="D2186" s="14"/>
      <c r="E2186" s="14"/>
      <c r="F2186" s="14"/>
      <c r="G2186" s="18"/>
    </row>
    <row r="2187" spans="2:7" x14ac:dyDescent="0.35">
      <c r="B2187" s="47"/>
      <c r="C2187" s="14"/>
      <c r="D2187" s="14"/>
      <c r="E2187" s="14"/>
      <c r="F2187" s="14"/>
      <c r="G2187" s="18"/>
    </row>
    <row r="2188" spans="2:7" x14ac:dyDescent="0.35">
      <c r="B2188" s="47"/>
      <c r="C2188" s="14"/>
      <c r="D2188" s="14"/>
      <c r="E2188" s="14"/>
      <c r="F2188" s="14"/>
      <c r="G2188" s="18"/>
    </row>
    <row r="2189" spans="2:7" x14ac:dyDescent="0.35">
      <c r="B2189" s="47"/>
      <c r="C2189" s="14"/>
      <c r="D2189" s="14"/>
      <c r="E2189" s="14"/>
      <c r="F2189" s="14"/>
      <c r="G2189" s="18"/>
    </row>
    <row r="2190" spans="2:7" x14ac:dyDescent="0.35">
      <c r="B2190" s="47"/>
      <c r="C2190" s="14"/>
      <c r="D2190" s="14"/>
      <c r="E2190" s="14"/>
      <c r="F2190" s="14"/>
      <c r="G2190" s="18"/>
    </row>
    <row r="2191" spans="2:7" x14ac:dyDescent="0.35">
      <c r="B2191" s="47"/>
      <c r="C2191" s="14"/>
      <c r="D2191" s="14"/>
      <c r="E2191" s="14"/>
      <c r="F2191" s="14"/>
      <c r="G2191" s="18"/>
    </row>
    <row r="2192" spans="2:7" x14ac:dyDescent="0.35">
      <c r="B2192" s="47"/>
      <c r="C2192" s="14"/>
      <c r="D2192" s="14"/>
      <c r="E2192" s="14"/>
      <c r="F2192" s="14"/>
      <c r="G2192" s="18"/>
    </row>
    <row r="2193" spans="2:7" x14ac:dyDescent="0.35">
      <c r="B2193" s="47"/>
      <c r="C2193" s="14"/>
      <c r="D2193" s="14"/>
      <c r="E2193" s="14"/>
      <c r="F2193" s="14"/>
      <c r="G2193" s="18"/>
    </row>
    <row r="2194" spans="2:7" x14ac:dyDescent="0.35">
      <c r="B2194" s="47"/>
      <c r="C2194" s="14"/>
      <c r="D2194" s="14"/>
      <c r="E2194" s="14"/>
      <c r="F2194" s="14"/>
      <c r="G2194" s="18"/>
    </row>
    <row r="2195" spans="2:7" x14ac:dyDescent="0.35">
      <c r="B2195" s="47"/>
      <c r="C2195" s="14"/>
      <c r="D2195" s="14"/>
      <c r="E2195" s="14"/>
      <c r="F2195" s="14"/>
      <c r="G2195" s="18"/>
    </row>
    <row r="2196" spans="2:7" x14ac:dyDescent="0.35">
      <c r="B2196" s="47"/>
      <c r="C2196" s="14"/>
      <c r="D2196" s="14"/>
      <c r="E2196" s="14"/>
      <c r="F2196" s="14"/>
      <c r="G2196" s="18"/>
    </row>
    <row r="2197" spans="2:7" x14ac:dyDescent="0.35">
      <c r="B2197" s="47"/>
      <c r="C2197" s="14"/>
      <c r="D2197" s="14"/>
      <c r="E2197" s="14"/>
      <c r="F2197" s="14"/>
      <c r="G2197" s="18"/>
    </row>
    <row r="2198" spans="2:7" x14ac:dyDescent="0.35">
      <c r="B2198" s="47"/>
      <c r="C2198" s="14"/>
      <c r="D2198" s="14"/>
      <c r="E2198" s="14"/>
      <c r="F2198" s="14"/>
      <c r="G2198" s="18"/>
    </row>
    <row r="2199" spans="2:7" x14ac:dyDescent="0.35">
      <c r="B2199" s="47"/>
      <c r="C2199" s="14"/>
      <c r="D2199" s="14"/>
      <c r="E2199" s="14"/>
      <c r="F2199" s="14"/>
      <c r="G2199" s="18"/>
    </row>
    <row r="2200" spans="2:7" x14ac:dyDescent="0.35">
      <c r="B2200" s="47"/>
      <c r="C2200" s="14"/>
      <c r="D2200" s="14"/>
      <c r="E2200" s="14"/>
      <c r="F2200" s="14"/>
      <c r="G2200" s="18"/>
    </row>
    <row r="2201" spans="2:7" x14ac:dyDescent="0.35">
      <c r="B2201" s="47"/>
      <c r="C2201" s="14"/>
      <c r="D2201" s="14"/>
      <c r="E2201" s="14"/>
      <c r="F2201" s="14"/>
      <c r="G2201" s="18"/>
    </row>
    <row r="2202" spans="2:7" x14ac:dyDescent="0.35">
      <c r="B2202" s="47"/>
      <c r="C2202" s="14"/>
      <c r="D2202" s="14"/>
      <c r="E2202" s="14"/>
      <c r="F2202" s="14"/>
      <c r="G2202" s="18"/>
    </row>
    <row r="2203" spans="2:7" x14ac:dyDescent="0.35">
      <c r="B2203" s="47"/>
      <c r="C2203" s="14"/>
      <c r="D2203" s="14"/>
      <c r="E2203" s="14"/>
      <c r="F2203" s="14"/>
      <c r="G2203" s="18"/>
    </row>
    <row r="2204" spans="2:7" x14ac:dyDescent="0.35">
      <c r="B2204" s="47"/>
      <c r="C2204" s="14"/>
      <c r="D2204" s="14"/>
      <c r="E2204" s="14"/>
      <c r="F2204" s="14"/>
      <c r="G2204" s="18"/>
    </row>
    <row r="2205" spans="2:7" x14ac:dyDescent="0.35">
      <c r="B2205" s="47"/>
      <c r="C2205" s="14"/>
      <c r="D2205" s="14"/>
      <c r="E2205" s="14"/>
      <c r="F2205" s="14"/>
      <c r="G2205" s="18"/>
    </row>
    <row r="2206" spans="2:7" x14ac:dyDescent="0.35">
      <c r="B2206" s="47"/>
      <c r="C2206" s="14"/>
      <c r="D2206" s="14"/>
      <c r="E2206" s="14"/>
      <c r="F2206" s="14"/>
      <c r="G2206" s="18"/>
    </row>
    <row r="2207" spans="2:7" x14ac:dyDescent="0.35">
      <c r="B2207" s="47"/>
      <c r="C2207" s="14"/>
      <c r="D2207" s="14"/>
      <c r="E2207" s="14"/>
      <c r="F2207" s="14"/>
      <c r="G2207" s="18"/>
    </row>
    <row r="2208" spans="2:7" x14ac:dyDescent="0.35">
      <c r="B2208" s="47"/>
      <c r="C2208" s="14"/>
      <c r="D2208" s="14"/>
      <c r="E2208" s="14"/>
      <c r="F2208" s="14"/>
      <c r="G2208" s="18"/>
    </row>
    <row r="2209" spans="2:7" x14ac:dyDescent="0.35">
      <c r="B2209" s="47"/>
      <c r="C2209" s="14"/>
      <c r="D2209" s="14"/>
      <c r="E2209" s="14"/>
      <c r="F2209" s="14"/>
      <c r="G2209" s="18"/>
    </row>
    <row r="2210" spans="2:7" x14ac:dyDescent="0.35">
      <c r="B2210" s="47"/>
      <c r="C2210" s="14"/>
      <c r="D2210" s="14"/>
      <c r="E2210" s="14"/>
      <c r="F2210" s="14"/>
      <c r="G2210" s="18"/>
    </row>
    <row r="2211" spans="2:7" x14ac:dyDescent="0.35">
      <c r="B2211" s="47"/>
      <c r="C2211" s="14"/>
      <c r="D2211" s="14"/>
      <c r="E2211" s="14"/>
      <c r="F2211" s="14"/>
      <c r="G2211" s="18"/>
    </row>
    <row r="2212" spans="2:7" x14ac:dyDescent="0.35">
      <c r="B2212" s="47"/>
      <c r="C2212" s="14"/>
      <c r="D2212" s="14"/>
      <c r="E2212" s="14"/>
      <c r="F2212" s="14"/>
      <c r="G2212" s="18"/>
    </row>
    <row r="2213" spans="2:7" x14ac:dyDescent="0.35">
      <c r="B2213" s="47"/>
      <c r="C2213" s="14"/>
      <c r="D2213" s="14"/>
      <c r="E2213" s="14"/>
      <c r="F2213" s="14"/>
      <c r="G2213" s="18"/>
    </row>
    <row r="2214" spans="2:7" x14ac:dyDescent="0.35">
      <c r="B2214" s="47"/>
      <c r="C2214" s="14"/>
      <c r="D2214" s="14"/>
      <c r="E2214" s="14"/>
      <c r="F2214" s="14"/>
      <c r="G2214" s="18"/>
    </row>
    <row r="2215" spans="2:7" x14ac:dyDescent="0.35">
      <c r="B2215" s="47"/>
      <c r="C2215" s="14"/>
      <c r="D2215" s="14"/>
      <c r="E2215" s="14"/>
      <c r="F2215" s="14"/>
      <c r="G2215" s="18"/>
    </row>
    <row r="2216" spans="2:7" x14ac:dyDescent="0.35">
      <c r="B2216" s="47"/>
      <c r="C2216" s="14"/>
      <c r="D2216" s="14"/>
      <c r="E2216" s="14"/>
      <c r="F2216" s="14"/>
      <c r="G2216" s="18"/>
    </row>
    <row r="2217" spans="2:7" x14ac:dyDescent="0.35">
      <c r="B2217" s="47"/>
      <c r="C2217" s="14"/>
      <c r="D2217" s="14"/>
      <c r="E2217" s="14"/>
      <c r="F2217" s="14"/>
      <c r="G2217" s="18"/>
    </row>
    <row r="2218" spans="2:7" x14ac:dyDescent="0.35">
      <c r="B2218" s="47"/>
      <c r="C2218" s="14"/>
      <c r="D2218" s="14"/>
      <c r="E2218" s="14"/>
      <c r="F2218" s="14"/>
      <c r="G2218" s="18"/>
    </row>
    <row r="2219" spans="2:7" x14ac:dyDescent="0.35">
      <c r="B2219" s="47"/>
      <c r="C2219" s="14"/>
      <c r="D2219" s="14"/>
      <c r="E2219" s="14"/>
      <c r="F2219" s="14"/>
      <c r="G2219" s="18"/>
    </row>
    <row r="2220" spans="2:7" x14ac:dyDescent="0.35">
      <c r="B2220" s="47"/>
      <c r="C2220" s="14"/>
      <c r="D2220" s="14"/>
      <c r="E2220" s="14"/>
      <c r="F2220" s="14"/>
      <c r="G2220" s="18"/>
    </row>
    <row r="2221" spans="2:7" x14ac:dyDescent="0.35">
      <c r="B2221" s="47"/>
      <c r="C2221" s="14"/>
      <c r="D2221" s="14"/>
      <c r="E2221" s="14"/>
      <c r="F2221" s="14"/>
      <c r="G2221" s="18"/>
    </row>
    <row r="2222" spans="2:7" x14ac:dyDescent="0.35">
      <c r="B2222" s="47"/>
      <c r="C2222" s="14"/>
      <c r="D2222" s="14"/>
      <c r="E2222" s="14"/>
      <c r="F2222" s="14"/>
      <c r="G2222" s="18"/>
    </row>
    <row r="2223" spans="2:7" x14ac:dyDescent="0.35">
      <c r="B2223" s="47"/>
      <c r="C2223" s="14"/>
      <c r="D2223" s="14"/>
      <c r="E2223" s="14"/>
      <c r="F2223" s="14"/>
      <c r="G2223" s="18"/>
    </row>
    <row r="2224" spans="2:7" x14ac:dyDescent="0.35">
      <c r="B2224" s="47"/>
      <c r="C2224" s="14"/>
      <c r="D2224" s="14"/>
      <c r="E2224" s="14"/>
      <c r="F2224" s="14"/>
      <c r="G2224" s="18"/>
    </row>
    <row r="2225" spans="2:7" x14ac:dyDescent="0.35">
      <c r="B2225" s="47"/>
      <c r="C2225" s="14"/>
      <c r="D2225" s="14"/>
      <c r="E2225" s="14"/>
      <c r="F2225" s="14"/>
      <c r="G2225" s="18"/>
    </row>
    <row r="2226" spans="2:7" x14ac:dyDescent="0.35">
      <c r="B2226" s="47"/>
      <c r="C2226" s="14"/>
      <c r="D2226" s="14"/>
      <c r="E2226" s="14"/>
      <c r="F2226" s="14"/>
      <c r="G2226" s="18"/>
    </row>
    <row r="2227" spans="2:7" x14ac:dyDescent="0.35">
      <c r="B2227" s="47"/>
      <c r="C2227" s="14"/>
      <c r="D2227" s="14"/>
      <c r="E2227" s="14"/>
      <c r="F2227" s="14"/>
      <c r="G2227" s="18"/>
    </row>
    <row r="2228" spans="2:7" x14ac:dyDescent="0.35">
      <c r="B2228" s="47"/>
      <c r="C2228" s="14"/>
      <c r="D2228" s="14"/>
      <c r="E2228" s="14"/>
      <c r="F2228" s="14"/>
      <c r="G2228" s="18"/>
    </row>
    <row r="2229" spans="2:7" x14ac:dyDescent="0.35">
      <c r="B2229" s="47"/>
      <c r="C2229" s="14"/>
      <c r="D2229" s="14"/>
      <c r="E2229" s="14"/>
      <c r="F2229" s="14"/>
      <c r="G2229" s="18"/>
    </row>
    <row r="2230" spans="2:7" x14ac:dyDescent="0.35">
      <c r="B2230" s="47"/>
      <c r="C2230" s="14"/>
      <c r="D2230" s="14"/>
      <c r="E2230" s="14"/>
      <c r="F2230" s="14"/>
      <c r="G2230" s="18"/>
    </row>
    <row r="2231" spans="2:7" x14ac:dyDescent="0.35">
      <c r="B2231" s="47"/>
      <c r="C2231" s="14"/>
      <c r="D2231" s="14"/>
      <c r="E2231" s="14"/>
      <c r="F2231" s="14"/>
      <c r="G2231" s="18"/>
    </row>
    <row r="2232" spans="2:7" x14ac:dyDescent="0.35">
      <c r="B2232" s="47"/>
      <c r="C2232" s="14"/>
      <c r="D2232" s="14"/>
      <c r="E2232" s="14"/>
      <c r="F2232" s="14"/>
      <c r="G2232" s="18"/>
    </row>
    <row r="2233" spans="2:7" x14ac:dyDescent="0.35">
      <c r="B2233" s="47"/>
      <c r="C2233" s="14"/>
      <c r="D2233" s="14"/>
      <c r="E2233" s="14"/>
      <c r="F2233" s="14"/>
      <c r="G2233" s="18"/>
    </row>
    <row r="2234" spans="2:7" x14ac:dyDescent="0.35">
      <c r="B2234" s="47"/>
      <c r="C2234" s="14"/>
      <c r="D2234" s="14"/>
      <c r="E2234" s="14"/>
      <c r="F2234" s="14"/>
      <c r="G2234" s="18"/>
    </row>
    <row r="2235" spans="2:7" x14ac:dyDescent="0.35">
      <c r="B2235" s="47"/>
      <c r="C2235" s="14"/>
      <c r="D2235" s="14"/>
      <c r="E2235" s="14"/>
      <c r="F2235" s="14"/>
      <c r="G2235" s="18"/>
    </row>
    <row r="2236" spans="2:7" x14ac:dyDescent="0.35">
      <c r="B2236" s="47"/>
      <c r="C2236" s="14"/>
      <c r="D2236" s="14"/>
      <c r="E2236" s="14"/>
      <c r="F2236" s="14"/>
      <c r="G2236" s="18"/>
    </row>
    <row r="2237" spans="2:7" x14ac:dyDescent="0.35">
      <c r="B2237" s="47"/>
      <c r="C2237" s="14"/>
      <c r="D2237" s="14"/>
      <c r="E2237" s="14"/>
      <c r="F2237" s="14"/>
      <c r="G2237" s="18"/>
    </row>
    <row r="2238" spans="2:7" x14ac:dyDescent="0.35">
      <c r="B2238" s="47"/>
      <c r="C2238" s="14"/>
      <c r="D2238" s="14"/>
      <c r="E2238" s="14"/>
      <c r="F2238" s="14"/>
      <c r="G2238" s="18"/>
    </row>
    <row r="2239" spans="2:7" x14ac:dyDescent="0.35">
      <c r="B2239" s="47"/>
      <c r="C2239" s="14"/>
      <c r="D2239" s="14"/>
      <c r="E2239" s="14"/>
      <c r="F2239" s="14"/>
      <c r="G2239" s="18"/>
    </row>
    <row r="2240" spans="2:7" x14ac:dyDescent="0.35">
      <c r="B2240" s="47"/>
      <c r="C2240" s="14"/>
      <c r="D2240" s="14"/>
      <c r="E2240" s="14"/>
      <c r="F2240" s="14"/>
      <c r="G2240" s="18"/>
    </row>
    <row r="2241" spans="2:7" x14ac:dyDescent="0.35">
      <c r="B2241" s="47"/>
      <c r="C2241" s="14"/>
      <c r="D2241" s="14"/>
      <c r="E2241" s="14"/>
      <c r="F2241" s="14"/>
      <c r="G2241" s="18"/>
    </row>
    <row r="2242" spans="2:7" x14ac:dyDescent="0.35">
      <c r="B2242" s="47"/>
      <c r="C2242" s="14"/>
      <c r="D2242" s="14"/>
      <c r="E2242" s="14"/>
      <c r="F2242" s="14"/>
      <c r="G2242" s="18"/>
    </row>
    <row r="2243" spans="2:7" x14ac:dyDescent="0.35">
      <c r="B2243" s="47"/>
      <c r="C2243" s="14"/>
      <c r="D2243" s="14"/>
      <c r="E2243" s="14"/>
      <c r="F2243" s="14"/>
      <c r="G2243" s="18"/>
    </row>
    <row r="2244" spans="2:7" x14ac:dyDescent="0.35">
      <c r="B2244" s="47"/>
      <c r="C2244" s="14"/>
      <c r="D2244" s="14"/>
      <c r="E2244" s="14"/>
      <c r="F2244" s="14"/>
      <c r="G2244" s="18"/>
    </row>
    <row r="2245" spans="2:7" x14ac:dyDescent="0.35">
      <c r="B2245" s="47"/>
      <c r="C2245" s="14"/>
      <c r="D2245" s="14"/>
      <c r="E2245" s="14"/>
      <c r="F2245" s="14"/>
      <c r="G2245" s="18"/>
    </row>
    <row r="2246" spans="2:7" x14ac:dyDescent="0.35">
      <c r="B2246" s="47"/>
      <c r="C2246" s="14"/>
      <c r="D2246" s="14"/>
      <c r="E2246" s="14"/>
      <c r="F2246" s="14"/>
      <c r="G2246" s="18"/>
    </row>
    <row r="2247" spans="2:7" x14ac:dyDescent="0.35">
      <c r="B2247" s="47"/>
      <c r="C2247" s="14"/>
      <c r="D2247" s="14"/>
      <c r="E2247" s="14"/>
      <c r="F2247" s="14"/>
      <c r="G2247" s="18"/>
    </row>
    <row r="2248" spans="2:7" x14ac:dyDescent="0.35">
      <c r="B2248" s="47"/>
      <c r="C2248" s="14"/>
      <c r="D2248" s="14"/>
      <c r="E2248" s="14"/>
      <c r="F2248" s="14"/>
      <c r="G2248" s="18"/>
    </row>
    <row r="2249" spans="2:7" x14ac:dyDescent="0.35">
      <c r="B2249" s="47"/>
      <c r="C2249" s="14"/>
      <c r="D2249" s="14"/>
      <c r="E2249" s="14"/>
      <c r="F2249" s="14"/>
      <c r="G2249" s="18"/>
    </row>
    <row r="2250" spans="2:7" x14ac:dyDescent="0.35">
      <c r="B2250" s="47"/>
      <c r="C2250" s="14"/>
      <c r="D2250" s="14"/>
      <c r="E2250" s="14"/>
      <c r="F2250" s="14"/>
      <c r="G2250" s="18"/>
    </row>
    <row r="2251" spans="2:7" x14ac:dyDescent="0.35">
      <c r="B2251" s="47"/>
      <c r="C2251" s="14"/>
      <c r="D2251" s="14"/>
      <c r="E2251" s="14"/>
      <c r="F2251" s="14"/>
      <c r="G2251" s="18"/>
    </row>
    <row r="2252" spans="2:7" x14ac:dyDescent="0.35">
      <c r="B2252" s="47"/>
      <c r="C2252" s="14"/>
      <c r="D2252" s="14"/>
      <c r="E2252" s="14"/>
      <c r="F2252" s="14"/>
      <c r="G2252" s="18"/>
    </row>
    <row r="2253" spans="2:7" x14ac:dyDescent="0.35">
      <c r="B2253" s="47"/>
      <c r="C2253" s="14"/>
      <c r="D2253" s="14"/>
      <c r="E2253" s="14"/>
      <c r="F2253" s="14"/>
      <c r="G2253" s="18"/>
    </row>
    <row r="2254" spans="2:7" x14ac:dyDescent="0.35">
      <c r="B2254" s="47"/>
      <c r="C2254" s="14"/>
      <c r="D2254" s="14"/>
      <c r="E2254" s="14"/>
      <c r="F2254" s="14"/>
      <c r="G2254" s="18"/>
    </row>
    <row r="2255" spans="2:7" x14ac:dyDescent="0.35">
      <c r="B2255" s="47"/>
      <c r="C2255" s="14"/>
      <c r="D2255" s="14"/>
      <c r="E2255" s="14"/>
      <c r="F2255" s="14"/>
      <c r="G2255" s="18"/>
    </row>
    <row r="2256" spans="2:7" x14ac:dyDescent="0.35">
      <c r="B2256" s="47"/>
      <c r="C2256" s="14"/>
      <c r="D2256" s="14"/>
      <c r="E2256" s="14"/>
      <c r="F2256" s="14"/>
      <c r="G2256" s="18"/>
    </row>
    <row r="2257" spans="2:7" x14ac:dyDescent="0.35">
      <c r="B2257" s="47"/>
      <c r="C2257" s="14"/>
      <c r="D2257" s="14"/>
      <c r="E2257" s="14"/>
      <c r="F2257" s="14"/>
      <c r="G2257" s="18"/>
    </row>
    <row r="2258" spans="2:7" x14ac:dyDescent="0.35">
      <c r="B2258" s="47"/>
      <c r="C2258" s="14"/>
      <c r="D2258" s="14"/>
      <c r="E2258" s="14"/>
      <c r="F2258" s="14"/>
      <c r="G2258" s="18"/>
    </row>
    <row r="2259" spans="2:7" x14ac:dyDescent="0.35">
      <c r="B2259" s="47"/>
      <c r="C2259" s="14"/>
      <c r="D2259" s="14"/>
      <c r="E2259" s="14"/>
      <c r="F2259" s="14"/>
      <c r="G2259" s="18"/>
    </row>
    <row r="2260" spans="2:7" x14ac:dyDescent="0.35">
      <c r="B2260" s="47"/>
      <c r="C2260" s="14"/>
      <c r="D2260" s="14"/>
      <c r="E2260" s="14"/>
      <c r="F2260" s="14"/>
      <c r="G2260" s="18"/>
    </row>
    <row r="2261" spans="2:7" x14ac:dyDescent="0.35">
      <c r="B2261" s="47"/>
      <c r="C2261" s="14"/>
      <c r="D2261" s="14"/>
      <c r="E2261" s="14"/>
      <c r="F2261" s="14"/>
      <c r="G2261" s="18"/>
    </row>
    <row r="2262" spans="2:7" x14ac:dyDescent="0.35">
      <c r="B2262" s="47"/>
      <c r="C2262" s="14"/>
      <c r="D2262" s="14"/>
      <c r="E2262" s="14"/>
      <c r="F2262" s="14"/>
      <c r="G2262" s="18"/>
    </row>
    <row r="2263" spans="2:7" x14ac:dyDescent="0.35">
      <c r="B2263" s="47"/>
      <c r="C2263" s="14"/>
      <c r="D2263" s="14"/>
      <c r="E2263" s="14"/>
      <c r="F2263" s="14"/>
      <c r="G2263" s="18"/>
    </row>
    <row r="2264" spans="2:7" x14ac:dyDescent="0.35">
      <c r="B2264" s="47"/>
      <c r="C2264" s="14"/>
      <c r="D2264" s="14"/>
      <c r="E2264" s="14"/>
      <c r="F2264" s="14"/>
      <c r="G2264" s="18"/>
    </row>
    <row r="2265" spans="2:7" x14ac:dyDescent="0.35">
      <c r="B2265" s="47"/>
      <c r="C2265" s="14"/>
      <c r="D2265" s="14"/>
      <c r="E2265" s="14"/>
      <c r="F2265" s="14"/>
      <c r="G2265" s="18"/>
    </row>
    <row r="2266" spans="2:7" x14ac:dyDescent="0.35">
      <c r="B2266" s="47"/>
      <c r="C2266" s="14"/>
      <c r="D2266" s="14"/>
      <c r="E2266" s="14"/>
      <c r="F2266" s="14"/>
      <c r="G2266" s="18"/>
    </row>
    <row r="2267" spans="2:7" x14ac:dyDescent="0.35">
      <c r="B2267" s="47"/>
      <c r="C2267" s="14"/>
      <c r="D2267" s="14"/>
      <c r="E2267" s="14"/>
      <c r="F2267" s="14"/>
      <c r="G2267" s="18"/>
    </row>
    <row r="2268" spans="2:7" x14ac:dyDescent="0.35">
      <c r="B2268" s="47"/>
      <c r="C2268" s="14"/>
      <c r="D2268" s="14"/>
      <c r="E2268" s="14"/>
      <c r="F2268" s="14"/>
      <c r="G2268" s="18"/>
    </row>
    <row r="2269" spans="2:7" x14ac:dyDescent="0.35">
      <c r="B2269" s="47"/>
      <c r="C2269" s="14"/>
      <c r="D2269" s="14"/>
      <c r="E2269" s="14"/>
      <c r="F2269" s="14"/>
      <c r="G2269" s="18"/>
    </row>
    <row r="2270" spans="2:7" x14ac:dyDescent="0.35">
      <c r="B2270" s="47"/>
      <c r="C2270" s="14"/>
      <c r="D2270" s="14"/>
      <c r="E2270" s="14"/>
      <c r="F2270" s="14"/>
      <c r="G2270" s="18"/>
    </row>
    <row r="2271" spans="2:7" x14ac:dyDescent="0.35">
      <c r="B2271" s="47"/>
      <c r="C2271" s="14"/>
      <c r="D2271" s="14"/>
      <c r="E2271" s="14"/>
      <c r="F2271" s="14"/>
      <c r="G2271" s="18"/>
    </row>
    <row r="2272" spans="2:7" x14ac:dyDescent="0.35">
      <c r="B2272" s="47"/>
      <c r="C2272" s="14"/>
      <c r="D2272" s="14"/>
      <c r="E2272" s="14"/>
      <c r="F2272" s="14"/>
      <c r="G2272" s="18"/>
    </row>
    <row r="2273" spans="2:7" x14ac:dyDescent="0.35">
      <c r="B2273" s="47"/>
      <c r="C2273" s="14"/>
      <c r="D2273" s="14"/>
      <c r="E2273" s="14"/>
      <c r="F2273" s="14"/>
      <c r="G2273" s="18"/>
    </row>
    <row r="2274" spans="2:7" x14ac:dyDescent="0.35">
      <c r="B2274" s="47"/>
      <c r="C2274" s="14"/>
      <c r="D2274" s="14"/>
      <c r="E2274" s="14"/>
      <c r="F2274" s="14"/>
      <c r="G2274" s="18"/>
    </row>
    <row r="2275" spans="2:7" x14ac:dyDescent="0.35">
      <c r="B2275" s="47"/>
      <c r="C2275" s="14"/>
      <c r="D2275" s="14"/>
      <c r="E2275" s="14"/>
      <c r="F2275" s="14"/>
      <c r="G2275" s="18"/>
    </row>
    <row r="2276" spans="2:7" x14ac:dyDescent="0.35">
      <c r="B2276" s="47"/>
      <c r="C2276" s="14"/>
      <c r="D2276" s="14"/>
      <c r="E2276" s="14"/>
      <c r="F2276" s="14"/>
      <c r="G2276" s="18"/>
    </row>
    <row r="2277" spans="2:7" x14ac:dyDescent="0.35">
      <c r="B2277" s="47"/>
      <c r="C2277" s="14"/>
      <c r="D2277" s="14"/>
      <c r="E2277" s="14"/>
      <c r="F2277" s="14"/>
      <c r="G2277" s="18"/>
    </row>
    <row r="2278" spans="2:7" x14ac:dyDescent="0.35">
      <c r="B2278" s="47"/>
      <c r="C2278" s="14"/>
      <c r="D2278" s="14"/>
      <c r="E2278" s="14"/>
      <c r="F2278" s="14"/>
      <c r="G2278" s="18"/>
    </row>
    <row r="2279" spans="2:7" x14ac:dyDescent="0.35">
      <c r="B2279" s="47"/>
      <c r="C2279" s="14"/>
      <c r="D2279" s="14"/>
      <c r="E2279" s="14"/>
      <c r="F2279" s="14"/>
      <c r="G2279" s="18"/>
    </row>
    <row r="2280" spans="2:7" x14ac:dyDescent="0.35">
      <c r="B2280" s="47"/>
      <c r="C2280" s="14"/>
      <c r="D2280" s="14"/>
      <c r="E2280" s="14"/>
      <c r="F2280" s="14"/>
      <c r="G2280" s="18"/>
    </row>
    <row r="2281" spans="2:7" x14ac:dyDescent="0.35">
      <c r="B2281" s="47"/>
      <c r="C2281" s="14"/>
      <c r="D2281" s="14"/>
      <c r="E2281" s="14"/>
      <c r="F2281" s="14"/>
      <c r="G2281" s="18"/>
    </row>
    <row r="2282" spans="2:7" x14ac:dyDescent="0.35">
      <c r="B2282" s="47"/>
      <c r="C2282" s="14"/>
      <c r="D2282" s="14"/>
      <c r="E2282" s="14"/>
      <c r="F2282" s="14"/>
      <c r="G2282" s="18"/>
    </row>
    <row r="2283" spans="2:7" x14ac:dyDescent="0.35">
      <c r="B2283" s="47"/>
      <c r="C2283" s="14"/>
      <c r="D2283" s="14"/>
      <c r="E2283" s="14"/>
      <c r="F2283" s="14"/>
      <c r="G2283" s="18"/>
    </row>
    <row r="2284" spans="2:7" x14ac:dyDescent="0.35">
      <c r="B2284" s="47"/>
      <c r="C2284" s="14"/>
      <c r="D2284" s="14"/>
      <c r="E2284" s="14"/>
      <c r="F2284" s="14"/>
      <c r="G2284" s="18"/>
    </row>
    <row r="2285" spans="2:7" x14ac:dyDescent="0.35">
      <c r="B2285" s="47"/>
      <c r="C2285" s="14"/>
      <c r="D2285" s="14"/>
      <c r="E2285" s="14"/>
      <c r="F2285" s="14"/>
      <c r="G2285" s="18"/>
    </row>
    <row r="2286" spans="2:7" x14ac:dyDescent="0.35">
      <c r="B2286" s="47"/>
      <c r="C2286" s="14"/>
      <c r="D2286" s="14"/>
      <c r="E2286" s="14"/>
      <c r="F2286" s="14"/>
      <c r="G2286" s="18"/>
    </row>
    <row r="2287" spans="2:7" x14ac:dyDescent="0.35">
      <c r="B2287" s="47"/>
      <c r="C2287" s="14"/>
      <c r="D2287" s="14"/>
      <c r="E2287" s="14"/>
      <c r="F2287" s="14"/>
      <c r="G2287" s="18"/>
    </row>
    <row r="2288" spans="2:7" x14ac:dyDescent="0.35">
      <c r="B2288" s="47"/>
      <c r="C2288" s="14"/>
      <c r="D2288" s="14"/>
      <c r="E2288" s="14"/>
      <c r="F2288" s="14"/>
      <c r="G2288" s="18"/>
    </row>
    <row r="2289" spans="2:7" x14ac:dyDescent="0.35">
      <c r="B2289" s="47"/>
      <c r="C2289" s="14"/>
      <c r="D2289" s="14"/>
      <c r="E2289" s="14"/>
      <c r="F2289" s="14"/>
      <c r="G2289" s="18"/>
    </row>
    <row r="2290" spans="2:7" x14ac:dyDescent="0.35">
      <c r="B2290" s="47"/>
      <c r="C2290" s="14"/>
      <c r="D2290" s="14"/>
      <c r="E2290" s="14"/>
      <c r="F2290" s="14"/>
      <c r="G2290" s="18"/>
    </row>
    <row r="2291" spans="2:7" x14ac:dyDescent="0.35">
      <c r="B2291" s="47"/>
      <c r="C2291" s="14"/>
      <c r="D2291" s="14"/>
      <c r="E2291" s="14"/>
      <c r="F2291" s="14"/>
      <c r="G2291" s="18"/>
    </row>
    <row r="2292" spans="2:7" x14ac:dyDescent="0.35">
      <c r="B2292" s="47"/>
      <c r="C2292" s="14"/>
      <c r="D2292" s="14"/>
      <c r="E2292" s="14"/>
      <c r="F2292" s="14"/>
      <c r="G2292" s="18"/>
    </row>
    <row r="2293" spans="2:7" x14ac:dyDescent="0.35">
      <c r="B2293" s="47"/>
      <c r="C2293" s="14"/>
      <c r="D2293" s="14"/>
      <c r="E2293" s="14"/>
      <c r="F2293" s="14"/>
      <c r="G2293" s="18"/>
    </row>
    <row r="2294" spans="2:7" x14ac:dyDescent="0.35">
      <c r="B2294" s="47"/>
      <c r="C2294" s="14"/>
      <c r="D2294" s="14"/>
      <c r="E2294" s="14"/>
      <c r="F2294" s="14"/>
      <c r="G2294" s="18"/>
    </row>
    <row r="2295" spans="2:7" x14ac:dyDescent="0.35">
      <c r="B2295" s="47"/>
      <c r="C2295" s="14"/>
      <c r="D2295" s="14"/>
      <c r="E2295" s="14"/>
      <c r="F2295" s="14"/>
      <c r="G2295" s="18"/>
    </row>
    <row r="2296" spans="2:7" x14ac:dyDescent="0.35">
      <c r="B2296" s="47"/>
      <c r="C2296" s="14"/>
      <c r="D2296" s="14"/>
      <c r="E2296" s="14"/>
      <c r="F2296" s="14"/>
      <c r="G2296" s="18"/>
    </row>
    <row r="2297" spans="2:7" x14ac:dyDescent="0.35">
      <c r="B2297" s="47"/>
      <c r="C2297" s="14"/>
      <c r="D2297" s="14"/>
      <c r="E2297" s="14"/>
      <c r="F2297" s="14"/>
      <c r="G2297" s="18"/>
    </row>
    <row r="2298" spans="2:7" x14ac:dyDescent="0.35">
      <c r="B2298" s="47"/>
      <c r="C2298" s="14"/>
      <c r="D2298" s="14"/>
      <c r="E2298" s="14"/>
      <c r="F2298" s="14"/>
      <c r="G2298" s="18"/>
    </row>
    <row r="2299" spans="2:7" x14ac:dyDescent="0.35">
      <c r="B2299" s="47"/>
      <c r="C2299" s="14"/>
      <c r="D2299" s="14"/>
      <c r="E2299" s="14"/>
      <c r="F2299" s="14"/>
      <c r="G2299" s="18"/>
    </row>
    <row r="2300" spans="2:7" x14ac:dyDescent="0.35">
      <c r="B2300" s="47"/>
      <c r="C2300" s="14"/>
      <c r="D2300" s="14"/>
      <c r="E2300" s="14"/>
      <c r="F2300" s="14"/>
      <c r="G2300" s="18"/>
    </row>
    <row r="2301" spans="2:7" x14ac:dyDescent="0.35">
      <c r="B2301" s="47"/>
      <c r="C2301" s="14"/>
      <c r="D2301" s="14"/>
      <c r="E2301" s="14"/>
      <c r="F2301" s="14"/>
      <c r="G2301" s="18"/>
    </row>
    <row r="2302" spans="2:7" x14ac:dyDescent="0.35">
      <c r="B2302" s="47"/>
      <c r="C2302" s="14"/>
      <c r="D2302" s="14"/>
      <c r="E2302" s="14"/>
      <c r="F2302" s="14"/>
      <c r="G2302" s="18"/>
    </row>
    <row r="2303" spans="2:7" x14ac:dyDescent="0.35">
      <c r="B2303" s="47"/>
      <c r="C2303" s="14"/>
      <c r="D2303" s="14"/>
      <c r="E2303" s="14"/>
      <c r="F2303" s="14"/>
      <c r="G2303" s="18"/>
    </row>
    <row r="2304" spans="2:7" x14ac:dyDescent="0.35">
      <c r="B2304" s="47"/>
      <c r="C2304" s="14"/>
      <c r="D2304" s="14"/>
      <c r="E2304" s="14"/>
      <c r="F2304" s="14"/>
      <c r="G2304" s="18"/>
    </row>
    <row r="2305" spans="2:7" x14ac:dyDescent="0.35">
      <c r="B2305" s="47"/>
      <c r="C2305" s="14"/>
      <c r="D2305" s="14"/>
      <c r="E2305" s="14"/>
      <c r="F2305" s="14"/>
      <c r="G2305" s="18"/>
    </row>
    <row r="2306" spans="2:7" x14ac:dyDescent="0.35">
      <c r="B2306" s="47"/>
      <c r="C2306" s="14"/>
      <c r="D2306" s="14"/>
      <c r="E2306" s="14"/>
      <c r="F2306" s="14"/>
      <c r="G2306" s="18"/>
    </row>
    <row r="2307" spans="2:7" x14ac:dyDescent="0.35">
      <c r="B2307" s="47"/>
      <c r="C2307" s="14"/>
      <c r="D2307" s="14"/>
      <c r="E2307" s="14"/>
      <c r="F2307" s="14"/>
      <c r="G2307" s="18"/>
    </row>
    <row r="2308" spans="2:7" x14ac:dyDescent="0.35">
      <c r="B2308" s="47"/>
      <c r="C2308" s="14"/>
      <c r="D2308" s="14"/>
      <c r="E2308" s="14"/>
      <c r="F2308" s="14"/>
      <c r="G2308" s="18"/>
    </row>
    <row r="2309" spans="2:7" x14ac:dyDescent="0.35">
      <c r="B2309" s="47"/>
      <c r="C2309" s="14"/>
      <c r="D2309" s="14"/>
      <c r="E2309" s="14"/>
      <c r="F2309" s="14"/>
      <c r="G2309" s="18"/>
    </row>
    <row r="2310" spans="2:7" x14ac:dyDescent="0.35">
      <c r="B2310" s="47"/>
      <c r="C2310" s="14"/>
      <c r="D2310" s="14"/>
      <c r="E2310" s="14"/>
      <c r="F2310" s="14"/>
      <c r="G2310" s="18"/>
    </row>
    <row r="2311" spans="2:7" x14ac:dyDescent="0.35">
      <c r="B2311" s="47"/>
      <c r="C2311" s="14"/>
      <c r="D2311" s="14"/>
      <c r="E2311" s="14"/>
      <c r="F2311" s="14"/>
      <c r="G2311" s="18"/>
    </row>
    <row r="2312" spans="2:7" x14ac:dyDescent="0.35">
      <c r="B2312" s="47"/>
      <c r="C2312" s="14"/>
      <c r="D2312" s="14"/>
      <c r="E2312" s="14"/>
      <c r="F2312" s="14"/>
      <c r="G2312" s="18"/>
    </row>
    <row r="2313" spans="2:7" x14ac:dyDescent="0.35">
      <c r="B2313" s="47"/>
      <c r="C2313" s="14"/>
      <c r="D2313" s="14"/>
      <c r="E2313" s="14"/>
      <c r="F2313" s="14"/>
      <c r="G2313" s="18"/>
    </row>
    <row r="2314" spans="2:7" x14ac:dyDescent="0.35">
      <c r="B2314" s="47"/>
      <c r="C2314" s="14"/>
      <c r="D2314" s="14"/>
      <c r="E2314" s="14"/>
      <c r="F2314" s="14"/>
      <c r="G2314" s="18"/>
    </row>
    <row r="2315" spans="2:7" x14ac:dyDescent="0.35">
      <c r="B2315" s="47"/>
      <c r="C2315" s="14"/>
      <c r="D2315" s="14"/>
      <c r="E2315" s="14"/>
      <c r="F2315" s="14"/>
      <c r="G2315" s="18"/>
    </row>
    <row r="2316" spans="2:7" x14ac:dyDescent="0.35">
      <c r="B2316" s="47"/>
      <c r="C2316" s="14"/>
      <c r="D2316" s="14"/>
      <c r="E2316" s="14"/>
      <c r="F2316" s="14"/>
      <c r="G2316" s="18"/>
    </row>
    <row r="2317" spans="2:7" x14ac:dyDescent="0.35">
      <c r="B2317" s="47"/>
      <c r="C2317" s="14"/>
      <c r="D2317" s="14"/>
      <c r="E2317" s="14"/>
      <c r="F2317" s="14"/>
      <c r="G2317" s="18"/>
    </row>
    <row r="2318" spans="2:7" x14ac:dyDescent="0.35">
      <c r="B2318" s="47"/>
      <c r="C2318" s="14"/>
      <c r="D2318" s="14"/>
      <c r="E2318" s="14"/>
      <c r="F2318" s="14"/>
      <c r="G2318" s="18"/>
    </row>
    <row r="2319" spans="2:7" x14ac:dyDescent="0.35">
      <c r="B2319" s="47"/>
      <c r="C2319" s="14"/>
      <c r="D2319" s="14"/>
      <c r="E2319" s="14"/>
      <c r="F2319" s="14"/>
      <c r="G2319" s="18"/>
    </row>
    <row r="2320" spans="2:7" x14ac:dyDescent="0.35">
      <c r="B2320" s="47"/>
      <c r="C2320" s="14"/>
      <c r="D2320" s="14"/>
      <c r="E2320" s="14"/>
      <c r="F2320" s="14"/>
      <c r="G2320" s="18"/>
    </row>
    <row r="2321" spans="2:7" x14ac:dyDescent="0.35">
      <c r="B2321" s="47"/>
      <c r="C2321" s="14"/>
      <c r="D2321" s="14"/>
      <c r="E2321" s="14"/>
      <c r="F2321" s="14"/>
      <c r="G2321" s="18"/>
    </row>
    <row r="2322" spans="2:7" x14ac:dyDescent="0.35">
      <c r="B2322" s="47"/>
      <c r="C2322" s="14"/>
      <c r="D2322" s="14"/>
      <c r="E2322" s="14"/>
      <c r="F2322" s="14"/>
      <c r="G2322" s="18"/>
    </row>
    <row r="2323" spans="2:7" x14ac:dyDescent="0.35">
      <c r="B2323" s="47"/>
      <c r="C2323" s="14"/>
      <c r="D2323" s="14"/>
      <c r="E2323" s="14"/>
      <c r="F2323" s="14"/>
      <c r="G2323" s="18"/>
    </row>
    <row r="2324" spans="2:7" x14ac:dyDescent="0.35">
      <c r="B2324" s="47"/>
      <c r="C2324" s="14"/>
      <c r="D2324" s="14"/>
      <c r="E2324" s="14"/>
      <c r="F2324" s="14"/>
      <c r="G2324" s="18"/>
    </row>
    <row r="2325" spans="2:7" x14ac:dyDescent="0.35">
      <c r="B2325" s="47"/>
      <c r="C2325" s="14"/>
      <c r="D2325" s="14"/>
      <c r="E2325" s="14"/>
      <c r="F2325" s="14"/>
      <c r="G2325" s="18"/>
    </row>
    <row r="2326" spans="2:7" x14ac:dyDescent="0.35">
      <c r="B2326" s="47"/>
      <c r="C2326" s="14"/>
      <c r="D2326" s="14"/>
      <c r="E2326" s="14"/>
      <c r="F2326" s="14"/>
      <c r="G2326" s="18"/>
    </row>
    <row r="2327" spans="2:7" x14ac:dyDescent="0.35">
      <c r="B2327" s="47"/>
      <c r="C2327" s="14"/>
      <c r="D2327" s="14"/>
      <c r="E2327" s="14"/>
      <c r="F2327" s="14"/>
      <c r="G2327" s="18"/>
    </row>
    <row r="2328" spans="2:7" x14ac:dyDescent="0.35">
      <c r="B2328" s="47"/>
      <c r="C2328" s="14"/>
      <c r="D2328" s="14"/>
      <c r="E2328" s="14"/>
      <c r="F2328" s="14"/>
      <c r="G2328" s="18"/>
    </row>
    <row r="2329" spans="2:7" x14ac:dyDescent="0.35">
      <c r="B2329" s="47"/>
      <c r="C2329" s="14"/>
      <c r="D2329" s="14"/>
      <c r="E2329" s="14"/>
      <c r="F2329" s="14"/>
      <c r="G2329" s="18"/>
    </row>
    <row r="2330" spans="2:7" x14ac:dyDescent="0.35">
      <c r="B2330" s="47"/>
      <c r="C2330" s="14"/>
      <c r="D2330" s="14"/>
      <c r="E2330" s="14"/>
      <c r="F2330" s="14"/>
      <c r="G2330" s="18"/>
    </row>
    <row r="2331" spans="2:7" x14ac:dyDescent="0.35">
      <c r="B2331" s="47"/>
      <c r="C2331" s="14"/>
      <c r="D2331" s="14"/>
      <c r="E2331" s="14"/>
      <c r="F2331" s="14"/>
      <c r="G2331" s="18"/>
    </row>
    <row r="2332" spans="2:7" x14ac:dyDescent="0.35">
      <c r="B2332" s="47"/>
      <c r="C2332" s="14"/>
      <c r="D2332" s="14"/>
      <c r="E2332" s="14"/>
      <c r="F2332" s="14"/>
      <c r="G2332" s="18"/>
    </row>
    <row r="2333" spans="2:7" x14ac:dyDescent="0.35">
      <c r="B2333" s="47"/>
      <c r="C2333" s="14"/>
      <c r="D2333" s="14"/>
      <c r="E2333" s="14"/>
      <c r="F2333" s="14"/>
      <c r="G2333" s="18"/>
    </row>
    <row r="2334" spans="2:7" x14ac:dyDescent="0.35">
      <c r="B2334" s="47"/>
      <c r="C2334" s="14"/>
      <c r="D2334" s="14"/>
      <c r="E2334" s="14"/>
      <c r="F2334" s="14"/>
      <c r="G2334" s="18"/>
    </row>
    <row r="2335" spans="2:7" x14ac:dyDescent="0.35">
      <c r="B2335" s="47"/>
      <c r="C2335" s="14"/>
      <c r="D2335" s="14"/>
      <c r="E2335" s="14"/>
      <c r="F2335" s="14"/>
      <c r="G2335" s="18"/>
    </row>
    <row r="2336" spans="2:7" x14ac:dyDescent="0.35">
      <c r="B2336" s="47"/>
      <c r="C2336" s="14"/>
      <c r="D2336" s="14"/>
      <c r="E2336" s="14"/>
      <c r="F2336" s="14"/>
      <c r="G2336" s="18"/>
    </row>
    <row r="2337" spans="2:7" x14ac:dyDescent="0.35">
      <c r="B2337" s="47"/>
      <c r="C2337" s="14"/>
      <c r="D2337" s="14"/>
      <c r="E2337" s="14"/>
      <c r="F2337" s="14"/>
      <c r="G2337" s="18"/>
    </row>
    <row r="2338" spans="2:7" x14ac:dyDescent="0.35">
      <c r="B2338" s="47"/>
      <c r="C2338" s="14"/>
      <c r="D2338" s="14"/>
      <c r="E2338" s="14"/>
      <c r="F2338" s="14"/>
      <c r="G2338" s="18"/>
    </row>
    <row r="2339" spans="2:7" x14ac:dyDescent="0.35">
      <c r="B2339" s="47"/>
      <c r="C2339" s="14"/>
      <c r="D2339" s="14"/>
      <c r="E2339" s="14"/>
      <c r="F2339" s="14"/>
      <c r="G2339" s="18"/>
    </row>
    <row r="2340" spans="2:7" x14ac:dyDescent="0.35">
      <c r="B2340" s="47"/>
      <c r="C2340" s="14"/>
      <c r="D2340" s="14"/>
      <c r="E2340" s="14"/>
      <c r="F2340" s="14"/>
      <c r="G2340" s="18"/>
    </row>
    <row r="2341" spans="2:7" x14ac:dyDescent="0.35">
      <c r="B2341" s="47"/>
      <c r="C2341" s="14"/>
      <c r="D2341" s="14"/>
      <c r="E2341" s="14"/>
      <c r="F2341" s="14"/>
      <c r="G2341" s="18"/>
    </row>
    <row r="2342" spans="2:7" x14ac:dyDescent="0.35">
      <c r="B2342" s="47"/>
      <c r="C2342" s="14"/>
      <c r="D2342" s="14"/>
      <c r="E2342" s="14"/>
      <c r="F2342" s="14"/>
      <c r="G2342" s="18"/>
    </row>
    <row r="2343" spans="2:7" x14ac:dyDescent="0.35">
      <c r="B2343" s="47"/>
      <c r="C2343" s="14"/>
      <c r="D2343" s="14"/>
      <c r="E2343" s="14"/>
      <c r="F2343" s="14"/>
      <c r="G2343" s="18"/>
    </row>
    <row r="2344" spans="2:7" x14ac:dyDescent="0.35">
      <c r="B2344" s="47"/>
      <c r="C2344" s="14"/>
      <c r="D2344" s="14"/>
      <c r="E2344" s="14"/>
      <c r="F2344" s="14"/>
      <c r="G2344" s="18"/>
    </row>
    <row r="2345" spans="2:7" x14ac:dyDescent="0.35">
      <c r="B2345" s="47"/>
      <c r="C2345" s="14"/>
      <c r="D2345" s="14"/>
      <c r="E2345" s="14"/>
      <c r="F2345" s="14"/>
      <c r="G2345" s="18"/>
    </row>
    <row r="2346" spans="2:7" x14ac:dyDescent="0.35">
      <c r="B2346" s="47"/>
      <c r="C2346" s="14"/>
      <c r="D2346" s="14"/>
      <c r="E2346" s="14"/>
      <c r="F2346" s="14"/>
      <c r="G2346" s="18"/>
    </row>
    <row r="2347" spans="2:7" x14ac:dyDescent="0.35">
      <c r="B2347" s="47"/>
      <c r="C2347" s="14"/>
      <c r="D2347" s="14"/>
      <c r="E2347" s="14"/>
      <c r="F2347" s="14"/>
      <c r="G2347" s="18"/>
    </row>
    <row r="2348" spans="2:7" x14ac:dyDescent="0.35">
      <c r="B2348" s="47"/>
      <c r="C2348" s="14"/>
      <c r="D2348" s="14"/>
      <c r="E2348" s="14"/>
      <c r="F2348" s="14"/>
      <c r="G2348" s="18"/>
    </row>
    <row r="2349" spans="2:7" x14ac:dyDescent="0.35">
      <c r="B2349" s="47"/>
      <c r="C2349" s="14"/>
      <c r="D2349" s="14"/>
      <c r="E2349" s="14"/>
      <c r="F2349" s="14"/>
      <c r="G2349" s="18"/>
    </row>
    <row r="2350" spans="2:7" x14ac:dyDescent="0.35">
      <c r="B2350" s="47"/>
      <c r="C2350" s="14"/>
      <c r="D2350" s="14"/>
      <c r="E2350" s="14"/>
      <c r="F2350" s="14"/>
      <c r="G2350" s="18"/>
    </row>
    <row r="2351" spans="2:7" x14ac:dyDescent="0.35">
      <c r="B2351" s="47"/>
      <c r="C2351" s="14"/>
      <c r="D2351" s="14"/>
      <c r="E2351" s="14"/>
      <c r="F2351" s="14"/>
      <c r="G2351" s="18"/>
    </row>
    <row r="2352" spans="2:7" x14ac:dyDescent="0.35">
      <c r="B2352" s="47"/>
      <c r="C2352" s="14"/>
      <c r="D2352" s="14"/>
      <c r="E2352" s="14"/>
      <c r="F2352" s="14"/>
      <c r="G2352" s="18"/>
    </row>
    <row r="2353" spans="2:7" x14ac:dyDescent="0.35">
      <c r="B2353" s="47"/>
      <c r="C2353" s="14"/>
      <c r="D2353" s="14"/>
      <c r="E2353" s="14"/>
      <c r="F2353" s="14"/>
      <c r="G2353" s="18"/>
    </row>
    <row r="2354" spans="2:7" x14ac:dyDescent="0.35">
      <c r="B2354" s="47"/>
      <c r="C2354" s="14"/>
      <c r="D2354" s="14"/>
      <c r="E2354" s="14"/>
      <c r="F2354" s="14"/>
      <c r="G2354" s="18"/>
    </row>
    <row r="2355" spans="2:7" x14ac:dyDescent="0.35">
      <c r="B2355" s="47"/>
      <c r="C2355" s="14"/>
      <c r="D2355" s="14"/>
      <c r="E2355" s="14"/>
      <c r="F2355" s="14"/>
      <c r="G2355" s="18"/>
    </row>
    <row r="2356" spans="2:7" x14ac:dyDescent="0.35">
      <c r="B2356" s="47"/>
      <c r="C2356" s="14"/>
      <c r="D2356" s="14"/>
      <c r="E2356" s="14"/>
      <c r="F2356" s="14"/>
      <c r="G2356" s="18"/>
    </row>
    <row r="2357" spans="2:7" x14ac:dyDescent="0.35">
      <c r="B2357" s="47"/>
      <c r="C2357" s="14"/>
      <c r="D2357" s="14"/>
      <c r="E2357" s="14"/>
      <c r="F2357" s="14"/>
      <c r="G2357" s="18"/>
    </row>
    <row r="2358" spans="2:7" x14ac:dyDescent="0.35">
      <c r="B2358" s="47"/>
      <c r="C2358" s="14"/>
      <c r="D2358" s="14"/>
      <c r="E2358" s="14"/>
      <c r="F2358" s="14"/>
      <c r="G2358" s="18"/>
    </row>
    <row r="2359" spans="2:7" x14ac:dyDescent="0.35">
      <c r="B2359" s="47"/>
      <c r="C2359" s="14"/>
      <c r="D2359" s="14"/>
      <c r="E2359" s="14"/>
      <c r="F2359" s="14"/>
      <c r="G2359" s="18"/>
    </row>
    <row r="2360" spans="2:7" x14ac:dyDescent="0.35">
      <c r="B2360" s="47"/>
      <c r="C2360" s="14"/>
      <c r="D2360" s="14"/>
      <c r="E2360" s="14"/>
      <c r="F2360" s="14"/>
      <c r="G2360" s="18"/>
    </row>
    <row r="2361" spans="2:7" x14ac:dyDescent="0.35">
      <c r="B2361" s="47"/>
      <c r="C2361" s="14"/>
      <c r="D2361" s="14"/>
      <c r="E2361" s="14"/>
      <c r="F2361" s="14"/>
      <c r="G2361" s="18"/>
    </row>
    <row r="2362" spans="2:7" x14ac:dyDescent="0.35">
      <c r="B2362" s="47"/>
      <c r="C2362" s="14"/>
      <c r="D2362" s="14"/>
      <c r="E2362" s="14"/>
      <c r="F2362" s="14"/>
      <c r="G2362" s="18"/>
    </row>
    <row r="2363" spans="2:7" x14ac:dyDescent="0.35">
      <c r="B2363" s="47"/>
      <c r="C2363" s="14"/>
      <c r="D2363" s="14"/>
      <c r="E2363" s="14"/>
      <c r="F2363" s="14"/>
      <c r="G2363" s="18"/>
    </row>
    <row r="2364" spans="2:7" x14ac:dyDescent="0.35">
      <c r="B2364" s="47"/>
      <c r="C2364" s="14"/>
      <c r="D2364" s="14"/>
      <c r="E2364" s="14"/>
      <c r="F2364" s="14"/>
      <c r="G2364" s="18"/>
    </row>
    <row r="2365" spans="2:7" x14ac:dyDescent="0.35">
      <c r="B2365" s="47"/>
      <c r="C2365" s="14"/>
      <c r="D2365" s="14"/>
      <c r="E2365" s="14"/>
      <c r="F2365" s="14"/>
      <c r="G2365" s="18"/>
    </row>
    <row r="2366" spans="2:7" x14ac:dyDescent="0.35">
      <c r="B2366" s="47"/>
      <c r="C2366" s="14"/>
      <c r="D2366" s="14"/>
      <c r="E2366" s="14"/>
      <c r="F2366" s="14"/>
      <c r="G2366" s="18"/>
    </row>
    <row r="2367" spans="2:7" x14ac:dyDescent="0.35">
      <c r="B2367" s="47"/>
      <c r="C2367" s="14"/>
      <c r="D2367" s="14"/>
      <c r="E2367" s="14"/>
      <c r="F2367" s="14"/>
      <c r="G2367" s="18"/>
    </row>
    <row r="2368" spans="2:7" x14ac:dyDescent="0.35">
      <c r="B2368" s="47"/>
      <c r="C2368" s="14"/>
      <c r="D2368" s="14"/>
      <c r="E2368" s="14"/>
      <c r="F2368" s="14"/>
      <c r="G2368" s="18"/>
    </row>
    <row r="2369" spans="2:7" x14ac:dyDescent="0.35">
      <c r="B2369" s="47"/>
      <c r="C2369" s="14"/>
      <c r="D2369" s="14"/>
      <c r="E2369" s="14"/>
      <c r="F2369" s="14"/>
      <c r="G2369" s="18"/>
    </row>
    <row r="2370" spans="2:7" x14ac:dyDescent="0.35">
      <c r="B2370" s="47"/>
      <c r="C2370" s="14"/>
      <c r="D2370" s="14"/>
      <c r="E2370" s="14"/>
      <c r="F2370" s="14"/>
      <c r="G2370" s="18"/>
    </row>
    <row r="2371" spans="2:7" x14ac:dyDescent="0.35">
      <c r="B2371" s="47"/>
      <c r="C2371" s="14"/>
      <c r="D2371" s="14"/>
      <c r="E2371" s="14"/>
      <c r="F2371" s="14"/>
      <c r="G2371" s="18"/>
    </row>
    <row r="2372" spans="2:7" x14ac:dyDescent="0.35">
      <c r="B2372" s="47"/>
      <c r="C2372" s="14"/>
      <c r="D2372" s="14"/>
      <c r="E2372" s="14"/>
      <c r="F2372" s="14"/>
      <c r="G2372" s="18"/>
    </row>
    <row r="2373" spans="2:7" x14ac:dyDescent="0.35">
      <c r="B2373" s="47"/>
      <c r="C2373" s="14"/>
      <c r="D2373" s="14"/>
      <c r="E2373" s="14"/>
      <c r="F2373" s="14"/>
      <c r="G2373" s="18"/>
    </row>
    <row r="2374" spans="2:7" x14ac:dyDescent="0.35">
      <c r="B2374" s="47"/>
      <c r="C2374" s="14"/>
      <c r="D2374" s="14"/>
      <c r="E2374" s="14"/>
      <c r="F2374" s="14"/>
      <c r="G2374" s="18"/>
    </row>
    <row r="2375" spans="2:7" x14ac:dyDescent="0.35">
      <c r="B2375" s="47"/>
      <c r="C2375" s="14"/>
      <c r="D2375" s="14"/>
      <c r="E2375" s="14"/>
      <c r="F2375" s="14"/>
      <c r="G2375" s="18"/>
    </row>
    <row r="2376" spans="2:7" x14ac:dyDescent="0.35">
      <c r="B2376" s="47"/>
      <c r="C2376" s="14"/>
      <c r="D2376" s="14"/>
      <c r="E2376" s="14"/>
      <c r="F2376" s="14"/>
      <c r="G2376" s="18"/>
    </row>
    <row r="2377" spans="2:7" x14ac:dyDescent="0.35">
      <c r="B2377" s="47"/>
      <c r="C2377" s="14"/>
      <c r="D2377" s="14"/>
      <c r="E2377" s="14"/>
      <c r="F2377" s="14"/>
      <c r="G2377" s="18"/>
    </row>
    <row r="2378" spans="2:7" x14ac:dyDescent="0.35">
      <c r="B2378" s="47"/>
      <c r="C2378" s="14"/>
      <c r="D2378" s="14"/>
      <c r="E2378" s="14"/>
      <c r="F2378" s="14"/>
      <c r="G2378" s="18"/>
    </row>
    <row r="2379" spans="2:7" x14ac:dyDescent="0.35">
      <c r="B2379" s="47"/>
      <c r="C2379" s="14"/>
      <c r="D2379" s="14"/>
      <c r="E2379" s="14"/>
      <c r="F2379" s="14"/>
      <c r="G2379" s="18"/>
    </row>
    <row r="2380" spans="2:7" x14ac:dyDescent="0.35">
      <c r="B2380" s="47"/>
      <c r="C2380" s="14"/>
      <c r="D2380" s="14"/>
      <c r="E2380" s="14"/>
      <c r="F2380" s="14"/>
      <c r="G2380" s="18"/>
    </row>
    <row r="2381" spans="2:7" x14ac:dyDescent="0.35">
      <c r="B2381" s="47"/>
      <c r="C2381" s="14"/>
      <c r="D2381" s="14"/>
      <c r="E2381" s="14"/>
      <c r="F2381" s="14"/>
      <c r="G2381" s="18"/>
    </row>
    <row r="2382" spans="2:7" x14ac:dyDescent="0.35">
      <c r="B2382" s="47"/>
      <c r="C2382" s="14"/>
      <c r="D2382" s="14"/>
      <c r="E2382" s="14"/>
      <c r="F2382" s="14"/>
      <c r="G2382" s="18"/>
    </row>
    <row r="2383" spans="2:7" x14ac:dyDescent="0.35">
      <c r="B2383" s="47"/>
      <c r="C2383" s="14"/>
      <c r="D2383" s="14"/>
      <c r="E2383" s="14"/>
      <c r="F2383" s="14"/>
      <c r="G2383" s="18"/>
    </row>
    <row r="2384" spans="2:7" x14ac:dyDescent="0.35">
      <c r="B2384" s="47"/>
      <c r="C2384" s="14"/>
      <c r="D2384" s="14"/>
      <c r="E2384" s="14"/>
      <c r="F2384" s="14"/>
      <c r="G2384" s="18"/>
    </row>
    <row r="2385" spans="2:7" x14ac:dyDescent="0.35">
      <c r="B2385" s="47"/>
      <c r="C2385" s="14"/>
      <c r="D2385" s="14"/>
      <c r="E2385" s="14"/>
      <c r="F2385" s="14"/>
      <c r="G2385" s="18"/>
    </row>
    <row r="2386" spans="2:7" x14ac:dyDescent="0.35">
      <c r="B2386" s="47"/>
      <c r="C2386" s="14"/>
      <c r="D2386" s="14"/>
      <c r="E2386" s="14"/>
      <c r="F2386" s="14"/>
      <c r="G2386" s="18"/>
    </row>
    <row r="2387" spans="2:7" x14ac:dyDescent="0.35">
      <c r="B2387" s="47"/>
      <c r="C2387" s="14"/>
      <c r="D2387" s="14"/>
      <c r="E2387" s="14"/>
      <c r="F2387" s="14"/>
      <c r="G2387" s="18"/>
    </row>
    <row r="2388" spans="2:7" x14ac:dyDescent="0.35">
      <c r="B2388" s="47"/>
      <c r="C2388" s="14"/>
      <c r="D2388" s="14"/>
      <c r="E2388" s="14"/>
      <c r="F2388" s="14"/>
      <c r="G2388" s="18"/>
    </row>
    <row r="2389" spans="2:7" x14ac:dyDescent="0.35">
      <c r="B2389" s="47"/>
      <c r="C2389" s="14"/>
      <c r="D2389" s="14"/>
      <c r="E2389" s="14"/>
      <c r="F2389" s="14"/>
      <c r="G2389" s="18"/>
    </row>
    <row r="2390" spans="2:7" x14ac:dyDescent="0.35">
      <c r="B2390" s="47"/>
      <c r="C2390" s="14"/>
      <c r="D2390" s="14"/>
      <c r="E2390" s="14"/>
      <c r="F2390" s="14"/>
      <c r="G2390" s="18"/>
    </row>
    <row r="2391" spans="2:7" x14ac:dyDescent="0.35">
      <c r="B2391" s="47"/>
      <c r="C2391" s="14"/>
      <c r="D2391" s="14"/>
      <c r="E2391" s="14"/>
      <c r="F2391" s="14"/>
      <c r="G2391" s="18"/>
    </row>
    <row r="2392" spans="2:7" x14ac:dyDescent="0.35">
      <c r="B2392" s="47"/>
      <c r="C2392" s="14"/>
      <c r="D2392" s="14"/>
      <c r="E2392" s="14"/>
      <c r="F2392" s="14"/>
      <c r="G2392" s="18"/>
    </row>
    <row r="2393" spans="2:7" x14ac:dyDescent="0.35">
      <c r="B2393" s="47"/>
      <c r="C2393" s="14"/>
      <c r="D2393" s="14"/>
      <c r="E2393" s="14"/>
      <c r="F2393" s="14"/>
      <c r="G2393" s="18"/>
    </row>
    <row r="2394" spans="2:7" x14ac:dyDescent="0.35">
      <c r="B2394" s="47"/>
      <c r="C2394" s="14"/>
      <c r="D2394" s="14"/>
      <c r="E2394" s="14"/>
      <c r="F2394" s="14"/>
      <c r="G2394" s="18"/>
    </row>
    <row r="2395" spans="2:7" x14ac:dyDescent="0.35">
      <c r="B2395" s="47"/>
      <c r="C2395" s="14"/>
      <c r="D2395" s="14"/>
      <c r="E2395" s="14"/>
      <c r="F2395" s="14"/>
      <c r="G2395" s="18"/>
    </row>
    <row r="2396" spans="2:7" x14ac:dyDescent="0.35">
      <c r="B2396" s="47"/>
      <c r="C2396" s="14"/>
      <c r="D2396" s="14"/>
      <c r="E2396" s="14"/>
      <c r="F2396" s="14"/>
      <c r="G2396" s="18"/>
    </row>
    <row r="2397" spans="2:7" x14ac:dyDescent="0.35">
      <c r="B2397" s="47"/>
      <c r="C2397" s="14"/>
      <c r="D2397" s="14"/>
      <c r="E2397" s="14"/>
      <c r="F2397" s="14"/>
      <c r="G2397" s="18"/>
    </row>
    <row r="2398" spans="2:7" x14ac:dyDescent="0.35">
      <c r="B2398" s="47"/>
      <c r="C2398" s="14"/>
      <c r="D2398" s="14"/>
      <c r="E2398" s="14"/>
      <c r="F2398" s="14"/>
      <c r="G2398" s="18"/>
    </row>
    <row r="2399" spans="2:7" x14ac:dyDescent="0.35">
      <c r="B2399" s="47"/>
      <c r="C2399" s="14"/>
      <c r="D2399" s="14"/>
      <c r="E2399" s="14"/>
      <c r="F2399" s="14"/>
      <c r="G2399" s="18"/>
    </row>
    <row r="2400" spans="2:7" x14ac:dyDescent="0.35">
      <c r="B2400" s="47"/>
      <c r="C2400" s="14"/>
      <c r="D2400" s="14"/>
      <c r="E2400" s="14"/>
      <c r="F2400" s="14"/>
      <c r="G2400" s="18"/>
    </row>
    <row r="2401" spans="2:7" x14ac:dyDescent="0.35">
      <c r="B2401" s="47"/>
      <c r="C2401" s="14"/>
      <c r="D2401" s="14"/>
      <c r="E2401" s="14"/>
      <c r="F2401" s="14"/>
      <c r="G2401" s="18"/>
    </row>
    <row r="2402" spans="2:7" x14ac:dyDescent="0.35">
      <c r="B2402" s="47"/>
      <c r="C2402" s="14"/>
      <c r="D2402" s="14"/>
      <c r="E2402" s="14"/>
      <c r="F2402" s="14"/>
      <c r="G2402" s="18"/>
    </row>
    <row r="2403" spans="2:7" x14ac:dyDescent="0.35">
      <c r="B2403" s="47"/>
      <c r="C2403" s="14"/>
      <c r="D2403" s="14"/>
      <c r="E2403" s="14"/>
      <c r="F2403" s="14"/>
      <c r="G2403" s="18"/>
    </row>
    <row r="2404" spans="2:7" x14ac:dyDescent="0.35">
      <c r="B2404" s="47"/>
      <c r="C2404" s="14"/>
      <c r="D2404" s="14"/>
      <c r="E2404" s="14"/>
      <c r="F2404" s="14"/>
      <c r="G2404" s="18"/>
    </row>
    <row r="2405" spans="2:7" x14ac:dyDescent="0.35">
      <c r="B2405" s="47"/>
      <c r="C2405" s="14"/>
      <c r="D2405" s="14"/>
      <c r="E2405" s="14"/>
      <c r="F2405" s="14"/>
      <c r="G2405" s="18"/>
    </row>
    <row r="2406" spans="2:7" x14ac:dyDescent="0.35">
      <c r="B2406" s="47"/>
      <c r="C2406" s="14"/>
      <c r="D2406" s="14"/>
      <c r="E2406" s="14"/>
      <c r="F2406" s="14"/>
      <c r="G2406" s="18"/>
    </row>
    <row r="2407" spans="2:7" x14ac:dyDescent="0.35">
      <c r="B2407" s="47"/>
      <c r="C2407" s="14"/>
      <c r="D2407" s="14"/>
      <c r="E2407" s="14"/>
      <c r="F2407" s="14"/>
      <c r="G2407" s="18"/>
    </row>
    <row r="2408" spans="2:7" x14ac:dyDescent="0.35">
      <c r="B2408" s="47"/>
      <c r="C2408" s="14"/>
      <c r="D2408" s="14"/>
      <c r="E2408" s="14"/>
      <c r="F2408" s="14"/>
      <c r="G2408" s="18"/>
    </row>
    <row r="2409" spans="2:7" x14ac:dyDescent="0.35">
      <c r="B2409" s="47"/>
      <c r="C2409" s="14"/>
      <c r="D2409" s="14"/>
      <c r="E2409" s="14"/>
      <c r="F2409" s="14"/>
      <c r="G2409" s="18"/>
    </row>
    <row r="2410" spans="2:7" x14ac:dyDescent="0.35">
      <c r="B2410" s="47"/>
      <c r="C2410" s="14"/>
      <c r="D2410" s="14"/>
      <c r="E2410" s="14"/>
      <c r="F2410" s="14"/>
      <c r="G2410" s="18"/>
    </row>
    <row r="2411" spans="2:7" x14ac:dyDescent="0.35">
      <c r="B2411" s="47"/>
      <c r="C2411" s="14"/>
      <c r="D2411" s="14"/>
      <c r="E2411" s="14"/>
      <c r="F2411" s="14"/>
      <c r="G2411" s="18"/>
    </row>
    <row r="2412" spans="2:7" x14ac:dyDescent="0.35">
      <c r="B2412" s="47"/>
      <c r="C2412" s="14"/>
      <c r="D2412" s="14"/>
      <c r="E2412" s="14"/>
      <c r="F2412" s="14"/>
      <c r="G2412" s="18"/>
    </row>
    <row r="2413" spans="2:7" x14ac:dyDescent="0.35">
      <c r="B2413" s="47"/>
      <c r="C2413" s="14"/>
      <c r="D2413" s="14"/>
      <c r="E2413" s="14"/>
      <c r="F2413" s="14"/>
      <c r="G2413" s="18"/>
    </row>
    <row r="2414" spans="2:7" x14ac:dyDescent="0.35">
      <c r="B2414" s="47"/>
      <c r="C2414" s="14"/>
      <c r="D2414" s="14"/>
      <c r="E2414" s="14"/>
      <c r="F2414" s="14"/>
      <c r="G2414" s="18"/>
    </row>
    <row r="2415" spans="2:7" x14ac:dyDescent="0.35">
      <c r="B2415" s="47"/>
      <c r="C2415" s="14"/>
      <c r="D2415" s="14"/>
      <c r="E2415" s="14"/>
      <c r="F2415" s="14"/>
      <c r="G2415" s="18"/>
    </row>
    <row r="2416" spans="2:7" x14ac:dyDescent="0.35">
      <c r="B2416" s="47"/>
      <c r="C2416" s="14"/>
      <c r="D2416" s="14"/>
      <c r="E2416" s="14"/>
      <c r="F2416" s="14"/>
      <c r="G2416" s="18"/>
    </row>
    <row r="2417" spans="2:7" x14ac:dyDescent="0.35">
      <c r="B2417" s="47"/>
      <c r="C2417" s="14"/>
      <c r="D2417" s="14"/>
      <c r="E2417" s="14"/>
      <c r="F2417" s="14"/>
      <c r="G2417" s="18"/>
    </row>
    <row r="2418" spans="2:7" x14ac:dyDescent="0.35">
      <c r="B2418" s="47"/>
      <c r="C2418" s="14"/>
      <c r="D2418" s="14"/>
      <c r="E2418" s="14"/>
      <c r="F2418" s="14"/>
      <c r="G2418" s="18"/>
    </row>
    <row r="2419" spans="2:7" x14ac:dyDescent="0.35">
      <c r="B2419" s="47"/>
      <c r="C2419" s="14"/>
      <c r="D2419" s="14"/>
      <c r="E2419" s="14"/>
      <c r="F2419" s="14"/>
      <c r="G2419" s="18"/>
    </row>
    <row r="2420" spans="2:7" x14ac:dyDescent="0.35">
      <c r="B2420" s="47"/>
      <c r="C2420" s="14"/>
      <c r="D2420" s="14"/>
      <c r="E2420" s="14"/>
      <c r="F2420" s="14"/>
      <c r="G2420" s="18"/>
    </row>
    <row r="2421" spans="2:7" x14ac:dyDescent="0.35">
      <c r="B2421" s="47"/>
      <c r="C2421" s="14"/>
      <c r="D2421" s="14"/>
      <c r="E2421" s="14"/>
      <c r="F2421" s="14"/>
      <c r="G2421" s="18"/>
    </row>
    <row r="2422" spans="2:7" x14ac:dyDescent="0.35">
      <c r="B2422" s="47"/>
      <c r="C2422" s="14"/>
      <c r="D2422" s="14"/>
      <c r="E2422" s="14"/>
      <c r="F2422" s="14"/>
      <c r="G2422" s="18"/>
    </row>
    <row r="2423" spans="2:7" x14ac:dyDescent="0.35">
      <c r="B2423" s="47"/>
      <c r="C2423" s="14"/>
      <c r="D2423" s="14"/>
      <c r="E2423" s="14"/>
      <c r="F2423" s="14"/>
      <c r="G2423" s="18"/>
    </row>
    <row r="2424" spans="2:7" x14ac:dyDescent="0.35">
      <c r="B2424" s="47"/>
      <c r="C2424" s="14"/>
      <c r="D2424" s="14"/>
      <c r="E2424" s="14"/>
      <c r="F2424" s="14"/>
      <c r="G2424" s="18"/>
    </row>
    <row r="2425" spans="2:7" x14ac:dyDescent="0.35">
      <c r="B2425" s="47"/>
      <c r="C2425" s="14"/>
      <c r="D2425" s="14"/>
      <c r="E2425" s="14"/>
      <c r="F2425" s="14"/>
      <c r="G2425" s="18"/>
    </row>
    <row r="2426" spans="2:7" x14ac:dyDescent="0.35">
      <c r="B2426" s="47"/>
      <c r="C2426" s="14"/>
      <c r="D2426" s="14"/>
      <c r="E2426" s="14"/>
      <c r="F2426" s="14"/>
      <c r="G2426" s="18"/>
    </row>
    <row r="2427" spans="2:7" x14ac:dyDescent="0.35">
      <c r="B2427" s="47"/>
      <c r="C2427" s="14"/>
      <c r="D2427" s="14"/>
      <c r="E2427" s="14"/>
      <c r="F2427" s="14"/>
      <c r="G2427" s="18"/>
    </row>
    <row r="2428" spans="2:7" x14ac:dyDescent="0.35">
      <c r="B2428" s="47"/>
      <c r="C2428" s="14"/>
      <c r="D2428" s="14"/>
      <c r="E2428" s="14"/>
      <c r="F2428" s="14"/>
      <c r="G2428" s="18"/>
    </row>
    <row r="2429" spans="2:7" x14ac:dyDescent="0.35">
      <c r="B2429" s="47"/>
      <c r="C2429" s="14"/>
      <c r="D2429" s="14"/>
      <c r="E2429" s="14"/>
      <c r="F2429" s="14"/>
      <c r="G2429" s="18"/>
    </row>
    <row r="2430" spans="2:7" x14ac:dyDescent="0.35">
      <c r="B2430" s="47"/>
      <c r="C2430" s="14"/>
      <c r="D2430" s="14"/>
      <c r="E2430" s="14"/>
      <c r="F2430" s="14"/>
      <c r="G2430" s="18"/>
    </row>
    <row r="2431" spans="2:7" x14ac:dyDescent="0.35">
      <c r="B2431" s="47"/>
      <c r="C2431" s="14"/>
      <c r="D2431" s="14"/>
      <c r="E2431" s="14"/>
      <c r="F2431" s="14"/>
      <c r="G2431" s="18"/>
    </row>
    <row r="2432" spans="2:7" x14ac:dyDescent="0.35">
      <c r="B2432" s="47"/>
      <c r="C2432" s="14"/>
      <c r="D2432" s="14"/>
      <c r="E2432" s="14"/>
      <c r="F2432" s="14"/>
      <c r="G2432" s="18"/>
    </row>
    <row r="2433" spans="2:7" x14ac:dyDescent="0.35">
      <c r="B2433" s="47"/>
      <c r="C2433" s="14"/>
      <c r="D2433" s="14"/>
      <c r="E2433" s="14"/>
      <c r="F2433" s="14"/>
      <c r="G2433" s="18"/>
    </row>
    <row r="2434" spans="2:7" x14ac:dyDescent="0.35">
      <c r="B2434" s="47"/>
      <c r="C2434" s="14"/>
      <c r="D2434" s="14"/>
      <c r="E2434" s="14"/>
      <c r="F2434" s="14"/>
      <c r="G2434" s="18"/>
    </row>
    <row r="2435" spans="2:7" x14ac:dyDescent="0.35">
      <c r="B2435" s="47"/>
      <c r="C2435" s="14"/>
      <c r="D2435" s="14"/>
      <c r="E2435" s="14"/>
      <c r="F2435" s="14"/>
      <c r="G2435" s="18"/>
    </row>
    <row r="2436" spans="2:7" x14ac:dyDescent="0.35">
      <c r="B2436" s="47"/>
      <c r="C2436" s="14"/>
      <c r="D2436" s="14"/>
      <c r="E2436" s="14"/>
      <c r="F2436" s="14"/>
      <c r="G2436" s="18"/>
    </row>
    <row r="2437" spans="2:7" x14ac:dyDescent="0.35">
      <c r="B2437" s="47"/>
      <c r="C2437" s="14"/>
      <c r="D2437" s="14"/>
      <c r="E2437" s="14"/>
      <c r="F2437" s="14"/>
      <c r="G2437" s="18"/>
    </row>
    <row r="2438" spans="2:7" x14ac:dyDescent="0.35">
      <c r="B2438" s="47"/>
      <c r="C2438" s="14"/>
      <c r="D2438" s="14"/>
      <c r="E2438" s="14"/>
      <c r="F2438" s="14"/>
      <c r="G2438" s="18"/>
    </row>
    <row r="2439" spans="2:7" x14ac:dyDescent="0.35">
      <c r="B2439" s="47"/>
      <c r="C2439" s="14"/>
      <c r="D2439" s="14"/>
      <c r="E2439" s="14"/>
      <c r="F2439" s="14"/>
      <c r="G2439" s="18"/>
    </row>
    <row r="2440" spans="2:7" x14ac:dyDescent="0.35">
      <c r="B2440" s="47"/>
      <c r="C2440" s="14"/>
      <c r="D2440" s="14"/>
      <c r="E2440" s="14"/>
      <c r="F2440" s="14"/>
      <c r="G2440" s="18"/>
    </row>
    <row r="2441" spans="2:7" x14ac:dyDescent="0.35">
      <c r="B2441" s="47"/>
      <c r="C2441" s="14"/>
      <c r="D2441" s="14"/>
      <c r="E2441" s="14"/>
      <c r="F2441" s="14"/>
      <c r="G2441" s="18"/>
    </row>
    <row r="2442" spans="2:7" x14ac:dyDescent="0.35">
      <c r="B2442" s="47"/>
      <c r="C2442" s="14"/>
      <c r="D2442" s="14"/>
      <c r="E2442" s="14"/>
      <c r="F2442" s="14"/>
      <c r="G2442" s="18"/>
    </row>
    <row r="2443" spans="2:7" x14ac:dyDescent="0.35">
      <c r="B2443" s="47"/>
      <c r="C2443" s="14"/>
      <c r="D2443" s="14"/>
      <c r="E2443" s="14"/>
      <c r="F2443" s="14"/>
      <c r="G2443" s="18"/>
    </row>
    <row r="2444" spans="2:7" x14ac:dyDescent="0.35">
      <c r="B2444" s="47"/>
      <c r="C2444" s="14"/>
      <c r="D2444" s="14"/>
      <c r="E2444" s="14"/>
      <c r="F2444" s="14"/>
      <c r="G2444" s="18"/>
    </row>
    <row r="2445" spans="2:7" x14ac:dyDescent="0.35">
      <c r="B2445" s="47"/>
      <c r="C2445" s="14"/>
      <c r="D2445" s="14"/>
      <c r="E2445" s="14"/>
      <c r="F2445" s="14"/>
      <c r="G2445" s="18"/>
    </row>
    <row r="2446" spans="2:7" x14ac:dyDescent="0.35">
      <c r="B2446" s="47"/>
      <c r="C2446" s="14"/>
      <c r="D2446" s="14"/>
      <c r="E2446" s="14"/>
      <c r="F2446" s="14"/>
      <c r="G2446" s="18"/>
    </row>
    <row r="2447" spans="2:7" x14ac:dyDescent="0.35">
      <c r="B2447" s="47"/>
      <c r="C2447" s="14"/>
      <c r="D2447" s="14"/>
      <c r="E2447" s="14"/>
      <c r="F2447" s="14"/>
      <c r="G2447" s="18"/>
    </row>
    <row r="2448" spans="2:7" x14ac:dyDescent="0.35">
      <c r="B2448" s="47"/>
      <c r="C2448" s="14"/>
      <c r="D2448" s="14"/>
      <c r="E2448" s="14"/>
      <c r="F2448" s="14"/>
      <c r="G2448" s="18"/>
    </row>
    <row r="2449" spans="2:7" x14ac:dyDescent="0.35">
      <c r="B2449" s="47"/>
      <c r="C2449" s="14"/>
      <c r="D2449" s="14"/>
      <c r="E2449" s="14"/>
      <c r="F2449" s="14"/>
      <c r="G2449" s="18"/>
    </row>
    <row r="2450" spans="2:7" x14ac:dyDescent="0.35">
      <c r="B2450" s="47"/>
      <c r="C2450" s="14"/>
      <c r="D2450" s="14"/>
      <c r="E2450" s="14"/>
      <c r="F2450" s="14"/>
      <c r="G2450" s="18"/>
    </row>
    <row r="2451" spans="2:7" x14ac:dyDescent="0.35">
      <c r="B2451" s="47"/>
      <c r="C2451" s="14"/>
      <c r="D2451" s="14"/>
      <c r="E2451" s="14"/>
      <c r="F2451" s="14"/>
      <c r="G2451" s="18"/>
    </row>
    <row r="2452" spans="2:7" x14ac:dyDescent="0.35">
      <c r="B2452" s="47"/>
      <c r="C2452" s="14"/>
      <c r="D2452" s="14"/>
      <c r="E2452" s="14"/>
      <c r="F2452" s="14"/>
      <c r="G2452" s="18"/>
    </row>
    <row r="2453" spans="2:7" x14ac:dyDescent="0.35">
      <c r="B2453" s="47"/>
      <c r="C2453" s="14"/>
      <c r="D2453" s="14"/>
      <c r="E2453" s="14"/>
      <c r="F2453" s="14"/>
      <c r="G2453" s="18"/>
    </row>
    <row r="2454" spans="2:7" x14ac:dyDescent="0.35">
      <c r="B2454" s="47"/>
      <c r="C2454" s="14"/>
      <c r="D2454" s="14"/>
      <c r="E2454" s="14"/>
      <c r="F2454" s="14"/>
      <c r="G2454" s="18"/>
    </row>
    <row r="2455" spans="2:7" x14ac:dyDescent="0.35">
      <c r="B2455" s="47"/>
      <c r="C2455" s="14"/>
      <c r="D2455" s="14"/>
      <c r="E2455" s="14"/>
      <c r="F2455" s="14"/>
      <c r="G2455" s="18"/>
    </row>
    <row r="2456" spans="2:7" x14ac:dyDescent="0.35">
      <c r="B2456" s="47"/>
      <c r="C2456" s="14"/>
      <c r="D2456" s="14"/>
      <c r="E2456" s="14"/>
      <c r="F2456" s="14"/>
      <c r="G2456" s="18"/>
    </row>
    <row r="2457" spans="2:7" x14ac:dyDescent="0.35">
      <c r="B2457" s="47"/>
      <c r="C2457" s="14"/>
      <c r="D2457" s="14"/>
      <c r="E2457" s="14"/>
      <c r="F2457" s="14"/>
      <c r="G2457" s="18"/>
    </row>
    <row r="2458" spans="2:7" x14ac:dyDescent="0.35">
      <c r="B2458" s="47"/>
      <c r="C2458" s="14"/>
      <c r="D2458" s="14"/>
      <c r="E2458" s="14"/>
      <c r="F2458" s="14"/>
      <c r="G2458" s="18"/>
    </row>
    <row r="2459" spans="2:7" x14ac:dyDescent="0.35">
      <c r="B2459" s="47"/>
      <c r="C2459" s="14"/>
      <c r="D2459" s="14"/>
      <c r="E2459" s="14"/>
      <c r="F2459" s="14"/>
      <c r="G2459" s="18"/>
    </row>
    <row r="2460" spans="2:7" x14ac:dyDescent="0.35">
      <c r="B2460" s="47"/>
      <c r="C2460" s="14"/>
      <c r="D2460" s="14"/>
      <c r="E2460" s="14"/>
      <c r="F2460" s="14"/>
      <c r="G2460" s="18"/>
    </row>
    <row r="2461" spans="2:7" x14ac:dyDescent="0.35">
      <c r="B2461" s="47"/>
      <c r="C2461" s="14"/>
      <c r="D2461" s="14"/>
      <c r="E2461" s="14"/>
      <c r="F2461" s="14"/>
      <c r="G2461" s="18"/>
    </row>
    <row r="2462" spans="2:7" x14ac:dyDescent="0.35">
      <c r="B2462" s="47"/>
      <c r="C2462" s="14"/>
      <c r="D2462" s="14"/>
      <c r="E2462" s="14"/>
      <c r="F2462" s="14"/>
      <c r="G2462" s="18"/>
    </row>
    <row r="2463" spans="2:7" x14ac:dyDescent="0.35">
      <c r="B2463" s="47"/>
      <c r="C2463" s="14"/>
      <c r="D2463" s="14"/>
      <c r="E2463" s="14"/>
      <c r="F2463" s="14"/>
      <c r="G2463" s="18"/>
    </row>
    <row r="2464" spans="2:7" x14ac:dyDescent="0.35">
      <c r="B2464" s="47"/>
      <c r="C2464" s="14"/>
      <c r="D2464" s="14"/>
      <c r="E2464" s="14"/>
      <c r="F2464" s="14"/>
      <c r="G2464" s="18"/>
    </row>
    <row r="2465" spans="2:7" x14ac:dyDescent="0.35">
      <c r="B2465" s="47"/>
      <c r="C2465" s="14"/>
      <c r="D2465" s="14"/>
      <c r="E2465" s="14"/>
      <c r="F2465" s="14"/>
      <c r="G2465" s="18"/>
    </row>
    <row r="2466" spans="2:7" x14ac:dyDescent="0.35">
      <c r="B2466" s="47"/>
      <c r="C2466" s="14"/>
      <c r="D2466" s="14"/>
      <c r="E2466" s="14"/>
      <c r="F2466" s="14"/>
      <c r="G2466" s="18"/>
    </row>
    <row r="2467" spans="2:7" x14ac:dyDescent="0.35">
      <c r="B2467" s="47"/>
      <c r="C2467" s="14"/>
      <c r="D2467" s="14"/>
      <c r="E2467" s="14"/>
      <c r="F2467" s="14"/>
      <c r="G2467" s="18"/>
    </row>
    <row r="2468" spans="2:7" x14ac:dyDescent="0.35">
      <c r="B2468" s="47"/>
      <c r="C2468" s="14"/>
      <c r="D2468" s="14"/>
      <c r="E2468" s="14"/>
      <c r="F2468" s="14"/>
      <c r="G2468" s="18"/>
    </row>
    <row r="2469" spans="2:7" x14ac:dyDescent="0.35">
      <c r="B2469" s="47"/>
      <c r="C2469" s="14"/>
      <c r="D2469" s="14"/>
      <c r="E2469" s="14"/>
      <c r="F2469" s="14"/>
      <c r="G2469" s="18"/>
    </row>
    <row r="2470" spans="2:7" x14ac:dyDescent="0.35">
      <c r="B2470" s="47"/>
      <c r="C2470" s="14"/>
      <c r="D2470" s="14"/>
      <c r="E2470" s="14"/>
      <c r="F2470" s="14"/>
      <c r="G2470" s="18"/>
    </row>
    <row r="2471" spans="2:7" x14ac:dyDescent="0.35">
      <c r="B2471" s="47"/>
      <c r="C2471" s="14"/>
      <c r="D2471" s="14"/>
      <c r="E2471" s="14"/>
      <c r="F2471" s="14"/>
      <c r="G2471" s="18"/>
    </row>
    <row r="2472" spans="2:7" x14ac:dyDescent="0.35">
      <c r="B2472" s="47"/>
      <c r="C2472" s="14"/>
      <c r="D2472" s="14"/>
      <c r="E2472" s="14"/>
      <c r="F2472" s="14"/>
      <c r="G2472" s="18"/>
    </row>
    <row r="2473" spans="2:7" x14ac:dyDescent="0.35">
      <c r="B2473" s="47"/>
      <c r="C2473" s="14"/>
      <c r="D2473" s="14"/>
      <c r="E2473" s="14"/>
      <c r="F2473" s="14"/>
      <c r="G2473" s="18"/>
    </row>
    <row r="2474" spans="2:7" x14ac:dyDescent="0.35">
      <c r="B2474" s="47"/>
      <c r="C2474" s="14"/>
      <c r="D2474" s="14"/>
      <c r="E2474" s="14"/>
      <c r="F2474" s="14"/>
      <c r="G2474" s="18"/>
    </row>
    <row r="2475" spans="2:7" x14ac:dyDescent="0.35">
      <c r="B2475" s="47"/>
      <c r="C2475" s="14"/>
      <c r="D2475" s="14"/>
      <c r="E2475" s="14"/>
      <c r="F2475" s="14"/>
      <c r="G2475" s="18"/>
    </row>
    <row r="2476" spans="2:7" x14ac:dyDescent="0.35">
      <c r="B2476" s="47"/>
      <c r="C2476" s="14"/>
      <c r="D2476" s="14"/>
      <c r="E2476" s="14"/>
      <c r="F2476" s="14"/>
      <c r="G2476" s="18"/>
    </row>
    <row r="2477" spans="2:7" x14ac:dyDescent="0.35">
      <c r="B2477" s="47"/>
      <c r="C2477" s="14"/>
      <c r="D2477" s="14"/>
      <c r="E2477" s="14"/>
      <c r="F2477" s="14"/>
      <c r="G2477" s="18"/>
    </row>
    <row r="2478" spans="2:7" x14ac:dyDescent="0.35">
      <c r="B2478" s="47"/>
      <c r="C2478" s="14"/>
      <c r="D2478" s="14"/>
      <c r="E2478" s="14"/>
      <c r="F2478" s="14"/>
      <c r="G2478" s="18"/>
    </row>
    <row r="2479" spans="2:7" x14ac:dyDescent="0.35">
      <c r="B2479" s="47"/>
      <c r="C2479" s="14"/>
      <c r="D2479" s="14"/>
      <c r="E2479" s="14"/>
      <c r="F2479" s="14"/>
      <c r="G2479" s="18"/>
    </row>
    <row r="2480" spans="2:7" x14ac:dyDescent="0.35">
      <c r="B2480" s="47"/>
      <c r="C2480" s="14"/>
      <c r="D2480" s="14"/>
      <c r="E2480" s="14"/>
      <c r="F2480" s="14"/>
      <c r="G2480" s="18"/>
    </row>
    <row r="2481" spans="2:7" x14ac:dyDescent="0.35">
      <c r="B2481" s="47"/>
      <c r="C2481" s="14"/>
      <c r="D2481" s="14"/>
      <c r="E2481" s="14"/>
      <c r="F2481" s="14"/>
      <c r="G2481" s="18"/>
    </row>
    <row r="2482" spans="2:7" x14ac:dyDescent="0.35">
      <c r="B2482" s="47"/>
      <c r="C2482" s="14"/>
      <c r="D2482" s="14"/>
      <c r="E2482" s="14"/>
      <c r="F2482" s="14"/>
      <c r="G2482" s="18"/>
    </row>
    <row r="2483" spans="2:7" x14ac:dyDescent="0.35">
      <c r="B2483" s="47"/>
      <c r="C2483" s="14"/>
      <c r="D2483" s="14"/>
      <c r="E2483" s="14"/>
      <c r="F2483" s="14"/>
      <c r="G2483" s="18"/>
    </row>
    <row r="2484" spans="2:7" x14ac:dyDescent="0.35">
      <c r="B2484" s="47"/>
      <c r="C2484" s="14"/>
      <c r="D2484" s="14"/>
      <c r="E2484" s="14"/>
      <c r="F2484" s="14"/>
      <c r="G2484" s="18"/>
    </row>
    <row r="2485" spans="2:7" x14ac:dyDescent="0.35">
      <c r="B2485" s="47"/>
      <c r="C2485" s="14"/>
      <c r="D2485" s="14"/>
      <c r="E2485" s="14"/>
      <c r="F2485" s="14"/>
      <c r="G2485" s="18"/>
    </row>
    <row r="2486" spans="2:7" x14ac:dyDescent="0.35">
      <c r="B2486" s="47"/>
      <c r="C2486" s="14"/>
      <c r="D2486" s="14"/>
      <c r="E2486" s="14"/>
      <c r="F2486" s="14"/>
      <c r="G2486" s="18"/>
    </row>
    <row r="2487" spans="2:7" x14ac:dyDescent="0.35">
      <c r="B2487" s="47"/>
      <c r="C2487" s="14"/>
      <c r="D2487" s="14"/>
      <c r="E2487" s="14"/>
      <c r="F2487" s="14"/>
      <c r="G2487" s="18"/>
    </row>
    <row r="2488" spans="2:7" x14ac:dyDescent="0.35">
      <c r="B2488" s="47"/>
      <c r="C2488" s="14"/>
      <c r="D2488" s="14"/>
      <c r="E2488" s="14"/>
      <c r="F2488" s="14"/>
      <c r="G2488" s="18"/>
    </row>
    <row r="2489" spans="2:7" x14ac:dyDescent="0.35">
      <c r="B2489" s="47"/>
      <c r="C2489" s="14"/>
      <c r="D2489" s="14"/>
      <c r="E2489" s="14"/>
      <c r="F2489" s="14"/>
      <c r="G2489" s="18"/>
    </row>
    <row r="2490" spans="2:7" x14ac:dyDescent="0.35">
      <c r="B2490" s="47"/>
      <c r="C2490" s="14"/>
      <c r="D2490" s="14"/>
      <c r="E2490" s="14"/>
      <c r="F2490" s="14"/>
      <c r="G2490" s="18"/>
    </row>
    <row r="2491" spans="2:7" x14ac:dyDescent="0.35">
      <c r="B2491" s="47"/>
      <c r="C2491" s="14"/>
      <c r="D2491" s="14"/>
      <c r="E2491" s="14"/>
      <c r="F2491" s="14"/>
      <c r="G2491" s="18"/>
    </row>
    <row r="2492" spans="2:7" x14ac:dyDescent="0.35">
      <c r="B2492" s="47"/>
      <c r="C2492" s="14"/>
      <c r="D2492" s="14"/>
      <c r="E2492" s="14"/>
      <c r="F2492" s="14"/>
      <c r="G2492" s="18"/>
    </row>
    <row r="2493" spans="2:7" x14ac:dyDescent="0.35">
      <c r="B2493" s="47"/>
      <c r="C2493" s="14"/>
      <c r="D2493" s="14"/>
      <c r="E2493" s="14"/>
      <c r="F2493" s="14"/>
      <c r="G2493" s="18"/>
    </row>
    <row r="2494" spans="2:7" x14ac:dyDescent="0.35">
      <c r="B2494" s="47"/>
      <c r="C2494" s="14"/>
      <c r="D2494" s="14"/>
      <c r="E2494" s="14"/>
      <c r="F2494" s="14"/>
      <c r="G2494" s="18"/>
    </row>
    <row r="2495" spans="2:7" x14ac:dyDescent="0.35">
      <c r="B2495" s="47"/>
      <c r="C2495" s="14"/>
      <c r="D2495" s="14"/>
      <c r="E2495" s="14"/>
      <c r="F2495" s="14"/>
      <c r="G2495" s="18"/>
    </row>
    <row r="2496" spans="2:7" x14ac:dyDescent="0.35">
      <c r="B2496" s="47"/>
      <c r="C2496" s="14"/>
      <c r="D2496" s="14"/>
      <c r="E2496" s="14"/>
      <c r="F2496" s="14"/>
      <c r="G2496" s="18"/>
    </row>
    <row r="2497" spans="2:7" x14ac:dyDescent="0.35">
      <c r="B2497" s="47"/>
      <c r="C2497" s="14"/>
      <c r="D2497" s="14"/>
      <c r="E2497" s="14"/>
      <c r="F2497" s="14"/>
      <c r="G2497" s="18"/>
    </row>
    <row r="2498" spans="2:7" x14ac:dyDescent="0.35">
      <c r="B2498" s="47"/>
      <c r="C2498" s="14"/>
      <c r="D2498" s="14"/>
      <c r="E2498" s="14"/>
      <c r="F2498" s="14"/>
      <c r="G2498" s="18"/>
    </row>
    <row r="2499" spans="2:7" x14ac:dyDescent="0.35">
      <c r="B2499" s="47"/>
      <c r="C2499" s="14"/>
      <c r="D2499" s="14"/>
      <c r="E2499" s="14"/>
      <c r="F2499" s="14"/>
      <c r="G2499" s="18"/>
    </row>
    <row r="2500" spans="2:7" x14ac:dyDescent="0.35">
      <c r="B2500" s="47"/>
      <c r="C2500" s="14"/>
      <c r="D2500" s="14"/>
      <c r="E2500" s="14"/>
      <c r="F2500" s="14"/>
      <c r="G2500" s="18"/>
    </row>
    <row r="2501" spans="2:7" x14ac:dyDescent="0.35">
      <c r="B2501" s="47"/>
      <c r="C2501" s="14"/>
      <c r="D2501" s="14"/>
      <c r="E2501" s="14"/>
      <c r="F2501" s="14"/>
      <c r="G2501" s="18"/>
    </row>
    <row r="2502" spans="2:7" x14ac:dyDescent="0.35">
      <c r="B2502" s="47"/>
      <c r="C2502" s="14"/>
      <c r="D2502" s="14"/>
      <c r="E2502" s="14"/>
      <c r="F2502" s="14"/>
      <c r="G2502" s="18"/>
    </row>
    <row r="2503" spans="2:7" x14ac:dyDescent="0.35">
      <c r="B2503" s="47"/>
      <c r="C2503" s="14"/>
      <c r="D2503" s="14"/>
      <c r="E2503" s="14"/>
      <c r="F2503" s="14"/>
      <c r="G2503" s="18"/>
    </row>
    <row r="2504" spans="2:7" x14ac:dyDescent="0.35">
      <c r="B2504" s="47"/>
      <c r="C2504" s="14"/>
      <c r="D2504" s="14"/>
      <c r="E2504" s="14"/>
      <c r="F2504" s="14"/>
      <c r="G2504" s="18"/>
    </row>
    <row r="2505" spans="2:7" x14ac:dyDescent="0.35">
      <c r="B2505" s="47"/>
      <c r="C2505" s="14"/>
      <c r="D2505" s="14"/>
      <c r="E2505" s="14"/>
      <c r="F2505" s="14"/>
      <c r="G2505" s="18"/>
    </row>
    <row r="2506" spans="2:7" x14ac:dyDescent="0.35">
      <c r="B2506" s="47"/>
      <c r="C2506" s="14"/>
      <c r="D2506" s="14"/>
      <c r="E2506" s="14"/>
      <c r="F2506" s="14"/>
      <c r="G2506" s="18"/>
    </row>
    <row r="2507" spans="2:7" x14ac:dyDescent="0.35">
      <c r="B2507" s="47"/>
      <c r="C2507" s="14"/>
      <c r="D2507" s="14"/>
      <c r="E2507" s="14"/>
      <c r="F2507" s="14"/>
      <c r="G2507" s="18"/>
    </row>
    <row r="2508" spans="2:7" x14ac:dyDescent="0.35">
      <c r="B2508" s="47"/>
      <c r="C2508" s="14"/>
      <c r="D2508" s="14"/>
      <c r="E2508" s="14"/>
      <c r="F2508" s="14"/>
      <c r="G2508" s="18"/>
    </row>
    <row r="2509" spans="2:7" x14ac:dyDescent="0.35">
      <c r="B2509" s="47"/>
      <c r="C2509" s="14"/>
      <c r="D2509" s="14"/>
      <c r="E2509" s="14"/>
      <c r="F2509" s="14"/>
      <c r="G2509" s="18"/>
    </row>
    <row r="2510" spans="2:7" x14ac:dyDescent="0.35">
      <c r="B2510" s="47"/>
      <c r="C2510" s="14"/>
      <c r="D2510" s="14"/>
      <c r="E2510" s="14"/>
      <c r="F2510" s="14"/>
      <c r="G2510" s="18"/>
    </row>
    <row r="2511" spans="2:7" x14ac:dyDescent="0.35">
      <c r="B2511" s="47"/>
      <c r="C2511" s="14"/>
      <c r="D2511" s="14"/>
      <c r="E2511" s="14"/>
      <c r="F2511" s="14"/>
      <c r="G2511" s="18"/>
    </row>
    <row r="2512" spans="2:7" x14ac:dyDescent="0.35">
      <c r="B2512" s="47"/>
      <c r="C2512" s="14"/>
      <c r="D2512" s="14"/>
      <c r="E2512" s="14"/>
      <c r="F2512" s="14"/>
      <c r="G2512" s="18"/>
    </row>
    <row r="2513" spans="2:7" x14ac:dyDescent="0.35">
      <c r="B2513" s="47"/>
      <c r="C2513" s="14"/>
      <c r="D2513" s="14"/>
      <c r="E2513" s="14"/>
      <c r="F2513" s="14"/>
      <c r="G2513" s="18"/>
    </row>
    <row r="2514" spans="2:7" x14ac:dyDescent="0.35">
      <c r="B2514" s="47"/>
      <c r="C2514" s="14"/>
      <c r="D2514" s="14"/>
      <c r="E2514" s="14"/>
      <c r="F2514" s="14"/>
      <c r="G2514" s="18"/>
    </row>
    <row r="2515" spans="2:7" x14ac:dyDescent="0.35">
      <c r="B2515" s="47"/>
      <c r="C2515" s="14"/>
      <c r="D2515" s="14"/>
      <c r="E2515" s="14"/>
      <c r="F2515" s="14"/>
      <c r="G2515" s="18"/>
    </row>
    <row r="2516" spans="2:7" x14ac:dyDescent="0.35">
      <c r="B2516" s="47"/>
      <c r="C2516" s="14"/>
      <c r="D2516" s="14"/>
      <c r="E2516" s="14"/>
      <c r="F2516" s="14"/>
      <c r="G2516" s="18"/>
    </row>
    <row r="2517" spans="2:7" x14ac:dyDescent="0.35">
      <c r="B2517" s="47"/>
      <c r="C2517" s="14"/>
      <c r="D2517" s="14"/>
      <c r="E2517" s="14"/>
      <c r="F2517" s="14"/>
      <c r="G2517" s="18"/>
    </row>
    <row r="2518" spans="2:7" x14ac:dyDescent="0.35">
      <c r="B2518" s="47"/>
      <c r="C2518" s="14"/>
      <c r="D2518" s="14"/>
      <c r="E2518" s="14"/>
      <c r="F2518" s="14"/>
      <c r="G2518" s="18"/>
    </row>
    <row r="2519" spans="2:7" x14ac:dyDescent="0.35">
      <c r="B2519" s="47"/>
      <c r="C2519" s="14"/>
      <c r="D2519" s="14"/>
      <c r="E2519" s="14"/>
      <c r="F2519" s="14"/>
      <c r="G2519" s="18"/>
    </row>
    <row r="2520" spans="2:7" x14ac:dyDescent="0.35">
      <c r="B2520" s="47"/>
      <c r="C2520" s="14"/>
      <c r="D2520" s="14"/>
      <c r="E2520" s="14"/>
      <c r="F2520" s="14"/>
      <c r="G2520" s="18"/>
    </row>
    <row r="2521" spans="2:7" x14ac:dyDescent="0.35">
      <c r="B2521" s="47"/>
      <c r="C2521" s="14"/>
      <c r="D2521" s="14"/>
      <c r="E2521" s="14"/>
      <c r="F2521" s="14"/>
      <c r="G2521" s="18"/>
    </row>
    <row r="2522" spans="2:7" x14ac:dyDescent="0.35">
      <c r="B2522" s="47"/>
      <c r="C2522" s="14"/>
      <c r="D2522" s="14"/>
      <c r="E2522" s="14"/>
      <c r="F2522" s="14"/>
      <c r="G2522" s="18"/>
    </row>
    <row r="2523" spans="2:7" x14ac:dyDescent="0.35">
      <c r="B2523" s="47"/>
      <c r="C2523" s="14"/>
      <c r="D2523" s="14"/>
      <c r="E2523" s="14"/>
      <c r="F2523" s="14"/>
      <c r="G2523" s="18"/>
    </row>
    <row r="2524" spans="2:7" x14ac:dyDescent="0.35">
      <c r="B2524" s="47"/>
      <c r="C2524" s="14"/>
      <c r="D2524" s="14"/>
      <c r="E2524" s="14"/>
      <c r="F2524" s="14"/>
      <c r="G2524" s="18"/>
    </row>
    <row r="2525" spans="2:7" x14ac:dyDescent="0.35">
      <c r="B2525" s="47"/>
      <c r="C2525" s="14"/>
      <c r="D2525" s="14"/>
      <c r="E2525" s="14"/>
      <c r="F2525" s="14"/>
      <c r="G2525" s="18"/>
    </row>
    <row r="2526" spans="2:7" x14ac:dyDescent="0.35">
      <c r="B2526" s="47"/>
      <c r="C2526" s="14"/>
      <c r="D2526" s="14"/>
      <c r="E2526" s="14"/>
      <c r="F2526" s="14"/>
      <c r="G2526" s="18"/>
    </row>
    <row r="2527" spans="2:7" x14ac:dyDescent="0.35">
      <c r="B2527" s="47"/>
      <c r="C2527" s="14"/>
      <c r="D2527" s="14"/>
      <c r="E2527" s="14"/>
      <c r="F2527" s="14"/>
      <c r="G2527" s="18"/>
    </row>
    <row r="2528" spans="2:7" x14ac:dyDescent="0.35">
      <c r="B2528" s="47"/>
      <c r="C2528" s="14"/>
      <c r="D2528" s="14"/>
      <c r="E2528" s="14"/>
      <c r="F2528" s="14"/>
      <c r="G2528" s="18"/>
    </row>
    <row r="2529" spans="2:7" x14ac:dyDescent="0.35">
      <c r="B2529" s="47"/>
      <c r="C2529" s="14"/>
      <c r="D2529" s="14"/>
      <c r="E2529" s="14"/>
      <c r="F2529" s="14"/>
      <c r="G2529" s="18"/>
    </row>
    <row r="2530" spans="2:7" x14ac:dyDescent="0.35">
      <c r="B2530" s="47"/>
      <c r="C2530" s="14"/>
      <c r="D2530" s="14"/>
      <c r="E2530" s="14"/>
      <c r="F2530" s="14"/>
      <c r="G2530" s="18"/>
    </row>
    <row r="2531" spans="2:7" x14ac:dyDescent="0.35">
      <c r="B2531" s="47"/>
      <c r="C2531" s="14"/>
      <c r="D2531" s="14"/>
      <c r="E2531" s="14"/>
      <c r="F2531" s="14"/>
      <c r="G2531" s="18"/>
    </row>
    <row r="2532" spans="2:7" x14ac:dyDescent="0.35">
      <c r="B2532" s="47"/>
      <c r="C2532" s="14"/>
      <c r="D2532" s="14"/>
      <c r="E2532" s="14"/>
      <c r="F2532" s="14"/>
      <c r="G2532" s="18"/>
    </row>
    <row r="2533" spans="2:7" x14ac:dyDescent="0.35">
      <c r="B2533" s="47"/>
      <c r="C2533" s="14"/>
      <c r="D2533" s="14"/>
      <c r="E2533" s="14"/>
      <c r="F2533" s="14"/>
      <c r="G2533" s="18"/>
    </row>
    <row r="2534" spans="2:7" x14ac:dyDescent="0.35">
      <c r="B2534" s="47"/>
      <c r="C2534" s="14"/>
      <c r="D2534" s="14"/>
      <c r="E2534" s="14"/>
      <c r="F2534" s="14"/>
      <c r="G2534" s="18"/>
    </row>
    <row r="2535" spans="2:7" x14ac:dyDescent="0.35">
      <c r="B2535" s="47"/>
      <c r="C2535" s="14"/>
      <c r="D2535" s="14"/>
      <c r="E2535" s="14"/>
      <c r="F2535" s="14"/>
      <c r="G2535" s="18"/>
    </row>
    <row r="2536" spans="2:7" x14ac:dyDescent="0.35">
      <c r="B2536" s="47"/>
      <c r="C2536" s="14"/>
      <c r="D2536" s="14"/>
      <c r="E2536" s="14"/>
      <c r="F2536" s="14"/>
      <c r="G2536" s="18"/>
    </row>
    <row r="2537" spans="2:7" x14ac:dyDescent="0.35">
      <c r="B2537" s="47"/>
      <c r="C2537" s="14"/>
      <c r="D2537" s="14"/>
      <c r="E2537" s="14"/>
      <c r="F2537" s="14"/>
      <c r="G2537" s="18"/>
    </row>
    <row r="2538" spans="2:7" x14ac:dyDescent="0.35">
      <c r="B2538" s="47"/>
      <c r="C2538" s="14"/>
      <c r="D2538" s="14"/>
      <c r="E2538" s="14"/>
      <c r="F2538" s="14"/>
      <c r="G2538" s="18"/>
    </row>
    <row r="2539" spans="2:7" x14ac:dyDescent="0.35">
      <c r="B2539" s="47"/>
      <c r="C2539" s="14"/>
      <c r="D2539" s="14"/>
      <c r="E2539" s="14"/>
      <c r="F2539" s="14"/>
      <c r="G2539" s="18"/>
    </row>
    <row r="2540" spans="2:7" x14ac:dyDescent="0.35">
      <c r="B2540" s="47"/>
      <c r="C2540" s="14"/>
      <c r="D2540" s="14"/>
      <c r="E2540" s="14"/>
      <c r="F2540" s="14"/>
      <c r="G2540" s="18"/>
    </row>
    <row r="2541" spans="2:7" x14ac:dyDescent="0.35">
      <c r="B2541" s="47"/>
      <c r="C2541" s="14"/>
      <c r="D2541" s="14"/>
      <c r="E2541" s="14"/>
      <c r="F2541" s="14"/>
      <c r="G2541" s="18"/>
    </row>
    <row r="2542" spans="2:7" x14ac:dyDescent="0.35">
      <c r="B2542" s="47"/>
      <c r="C2542" s="14"/>
      <c r="D2542" s="14"/>
      <c r="E2542" s="14"/>
      <c r="F2542" s="14"/>
      <c r="G2542" s="18"/>
    </row>
    <row r="2543" spans="2:7" x14ac:dyDescent="0.35">
      <c r="B2543" s="47"/>
      <c r="C2543" s="14"/>
      <c r="D2543" s="14"/>
      <c r="E2543" s="14"/>
      <c r="F2543" s="14"/>
      <c r="G2543" s="18"/>
    </row>
    <row r="2544" spans="2:7" x14ac:dyDescent="0.35">
      <c r="B2544" s="47"/>
      <c r="C2544" s="14"/>
      <c r="D2544" s="14"/>
      <c r="E2544" s="14"/>
      <c r="F2544" s="14"/>
      <c r="G2544" s="18"/>
    </row>
    <row r="2545" spans="2:7" x14ac:dyDescent="0.35">
      <c r="B2545" s="47"/>
      <c r="C2545" s="14"/>
      <c r="D2545" s="14"/>
      <c r="E2545" s="14"/>
      <c r="F2545" s="14"/>
      <c r="G2545" s="18"/>
    </row>
    <row r="2546" spans="2:7" x14ac:dyDescent="0.35">
      <c r="B2546" s="47"/>
      <c r="C2546" s="14"/>
      <c r="D2546" s="14"/>
      <c r="E2546" s="14"/>
      <c r="F2546" s="14"/>
      <c r="G2546" s="18"/>
    </row>
    <row r="2547" spans="2:7" x14ac:dyDescent="0.35">
      <c r="B2547" s="47"/>
      <c r="C2547" s="14"/>
      <c r="D2547" s="14"/>
      <c r="E2547" s="14"/>
      <c r="F2547" s="14"/>
      <c r="G2547" s="18"/>
    </row>
    <row r="2548" spans="2:7" x14ac:dyDescent="0.35">
      <c r="B2548" s="47"/>
      <c r="C2548" s="14"/>
      <c r="D2548" s="14"/>
      <c r="E2548" s="14"/>
      <c r="F2548" s="14"/>
      <c r="G2548" s="18"/>
    </row>
    <row r="2549" spans="2:7" x14ac:dyDescent="0.35">
      <c r="B2549" s="47"/>
      <c r="C2549" s="14"/>
      <c r="D2549" s="14"/>
      <c r="E2549" s="14"/>
      <c r="F2549" s="14"/>
      <c r="G2549" s="18"/>
    </row>
    <row r="2550" spans="2:7" x14ac:dyDescent="0.35">
      <c r="B2550" s="47"/>
      <c r="C2550" s="14"/>
      <c r="D2550" s="14"/>
      <c r="E2550" s="14"/>
      <c r="F2550" s="14"/>
      <c r="G2550" s="18"/>
    </row>
    <row r="2551" spans="2:7" x14ac:dyDescent="0.35">
      <c r="B2551" s="47"/>
      <c r="C2551" s="14"/>
      <c r="D2551" s="14"/>
      <c r="E2551" s="14"/>
      <c r="F2551" s="14"/>
      <c r="G2551" s="18"/>
    </row>
    <row r="2552" spans="2:7" x14ac:dyDescent="0.35">
      <c r="B2552" s="47"/>
      <c r="C2552" s="14"/>
      <c r="D2552" s="14"/>
      <c r="E2552" s="14"/>
      <c r="F2552" s="14"/>
      <c r="G2552" s="18"/>
    </row>
    <row r="2553" spans="2:7" x14ac:dyDescent="0.35">
      <c r="B2553" s="47"/>
      <c r="C2553" s="14"/>
      <c r="D2553" s="14"/>
      <c r="E2553" s="14"/>
      <c r="F2553" s="14"/>
      <c r="G2553" s="18"/>
    </row>
    <row r="2554" spans="2:7" x14ac:dyDescent="0.35">
      <c r="B2554" s="47"/>
      <c r="C2554" s="14"/>
      <c r="D2554" s="14"/>
      <c r="E2554" s="14"/>
      <c r="F2554" s="14"/>
      <c r="G2554" s="18"/>
    </row>
    <row r="2555" spans="2:7" x14ac:dyDescent="0.35">
      <c r="B2555" s="47"/>
      <c r="C2555" s="14"/>
      <c r="D2555" s="14"/>
      <c r="E2555" s="14"/>
      <c r="F2555" s="14"/>
      <c r="G2555" s="18"/>
    </row>
    <row r="2556" spans="2:7" x14ac:dyDescent="0.35">
      <c r="B2556" s="47"/>
      <c r="C2556" s="14"/>
      <c r="D2556" s="14"/>
      <c r="E2556" s="14"/>
      <c r="F2556" s="14"/>
      <c r="G2556" s="18"/>
    </row>
    <row r="2557" spans="2:7" x14ac:dyDescent="0.35">
      <c r="B2557" s="47"/>
      <c r="C2557" s="14"/>
      <c r="D2557" s="14"/>
      <c r="E2557" s="14"/>
      <c r="F2557" s="14"/>
      <c r="G2557" s="18"/>
    </row>
    <row r="2558" spans="2:7" x14ac:dyDescent="0.35">
      <c r="B2558" s="47"/>
      <c r="C2558" s="14"/>
      <c r="D2558" s="14"/>
      <c r="E2558" s="14"/>
      <c r="F2558" s="14"/>
      <c r="G2558" s="18"/>
    </row>
    <row r="2559" spans="2:7" x14ac:dyDescent="0.35">
      <c r="B2559" s="47"/>
      <c r="C2559" s="14"/>
      <c r="D2559" s="14"/>
      <c r="E2559" s="14"/>
      <c r="F2559" s="14"/>
      <c r="G2559" s="18"/>
    </row>
    <row r="2560" spans="2:7" x14ac:dyDescent="0.35">
      <c r="B2560" s="47"/>
      <c r="C2560" s="14"/>
      <c r="D2560" s="14"/>
      <c r="E2560" s="14"/>
      <c r="F2560" s="14"/>
      <c r="G2560" s="18"/>
    </row>
    <row r="2561" spans="2:7" x14ac:dyDescent="0.35">
      <c r="B2561" s="47"/>
      <c r="C2561" s="14"/>
      <c r="D2561" s="14"/>
      <c r="E2561" s="14"/>
      <c r="F2561" s="14"/>
      <c r="G2561" s="18"/>
    </row>
    <row r="2562" spans="2:7" x14ac:dyDescent="0.35">
      <c r="B2562" s="47"/>
      <c r="C2562" s="14"/>
      <c r="D2562" s="14"/>
      <c r="E2562" s="14"/>
      <c r="F2562" s="14"/>
      <c r="G2562" s="18"/>
    </row>
    <row r="2563" spans="2:7" x14ac:dyDescent="0.35">
      <c r="B2563" s="47"/>
      <c r="C2563" s="14"/>
      <c r="D2563" s="14"/>
      <c r="E2563" s="14"/>
      <c r="F2563" s="14"/>
      <c r="G2563" s="18"/>
    </row>
    <row r="2564" spans="2:7" x14ac:dyDescent="0.35">
      <c r="B2564" s="47"/>
      <c r="C2564" s="14"/>
      <c r="D2564" s="14"/>
      <c r="E2564" s="14"/>
      <c r="F2564" s="14"/>
      <c r="G2564" s="18"/>
    </row>
    <row r="2565" spans="2:7" x14ac:dyDescent="0.35">
      <c r="B2565" s="47"/>
      <c r="C2565" s="14"/>
      <c r="D2565" s="14"/>
      <c r="E2565" s="14"/>
      <c r="F2565" s="14"/>
      <c r="G2565" s="18"/>
    </row>
    <row r="2566" spans="2:7" x14ac:dyDescent="0.35">
      <c r="B2566" s="47"/>
      <c r="C2566" s="14"/>
      <c r="D2566" s="14"/>
      <c r="E2566" s="14"/>
      <c r="F2566" s="14"/>
      <c r="G2566" s="18"/>
    </row>
    <row r="2567" spans="2:7" x14ac:dyDescent="0.35">
      <c r="B2567" s="47"/>
      <c r="C2567" s="14"/>
      <c r="D2567" s="14"/>
      <c r="E2567" s="14"/>
      <c r="F2567" s="14"/>
      <c r="G2567" s="18"/>
    </row>
    <row r="2568" spans="2:7" x14ac:dyDescent="0.35">
      <c r="B2568" s="47"/>
      <c r="C2568" s="14"/>
      <c r="D2568" s="14"/>
      <c r="E2568" s="14"/>
      <c r="F2568" s="14"/>
      <c r="G2568" s="18"/>
    </row>
    <row r="2569" spans="2:7" x14ac:dyDescent="0.35">
      <c r="B2569" s="47"/>
      <c r="C2569" s="14"/>
      <c r="D2569" s="14"/>
      <c r="E2569" s="14"/>
      <c r="F2569" s="14"/>
      <c r="G2569" s="18"/>
    </row>
    <row r="2570" spans="2:7" x14ac:dyDescent="0.35">
      <c r="B2570" s="47"/>
      <c r="C2570" s="14"/>
      <c r="D2570" s="14"/>
      <c r="E2570" s="14"/>
      <c r="F2570" s="14"/>
      <c r="G2570" s="18"/>
    </row>
    <row r="2571" spans="2:7" x14ac:dyDescent="0.35">
      <c r="B2571" s="47"/>
      <c r="C2571" s="14"/>
      <c r="D2571" s="14"/>
      <c r="E2571" s="14"/>
      <c r="F2571" s="14"/>
      <c r="G2571" s="18"/>
    </row>
    <row r="2572" spans="2:7" x14ac:dyDescent="0.35">
      <c r="B2572" s="47"/>
      <c r="C2572" s="14"/>
      <c r="D2572" s="14"/>
      <c r="E2572" s="14"/>
      <c r="F2572" s="14"/>
      <c r="G2572" s="18"/>
    </row>
    <row r="2573" spans="2:7" x14ac:dyDescent="0.35">
      <c r="B2573" s="47"/>
      <c r="C2573" s="14"/>
      <c r="D2573" s="14"/>
      <c r="E2573" s="14"/>
      <c r="F2573" s="14"/>
      <c r="G2573" s="18"/>
    </row>
    <row r="2574" spans="2:7" x14ac:dyDescent="0.35">
      <c r="B2574" s="47"/>
      <c r="C2574" s="14"/>
      <c r="D2574" s="14"/>
      <c r="E2574" s="14"/>
      <c r="F2574" s="14"/>
      <c r="G2574" s="18"/>
    </row>
    <row r="2575" spans="2:7" x14ac:dyDescent="0.35">
      <c r="B2575" s="47"/>
      <c r="C2575" s="14"/>
      <c r="D2575" s="14"/>
      <c r="E2575" s="14"/>
      <c r="F2575" s="14"/>
      <c r="G2575" s="18"/>
    </row>
    <row r="2576" spans="2:7" x14ac:dyDescent="0.35">
      <c r="B2576" s="47"/>
      <c r="C2576" s="14"/>
      <c r="D2576" s="14"/>
      <c r="E2576" s="14"/>
      <c r="F2576" s="14"/>
      <c r="G2576" s="18"/>
    </row>
    <row r="2577" spans="2:7" x14ac:dyDescent="0.35">
      <c r="B2577" s="47"/>
      <c r="C2577" s="14"/>
      <c r="D2577" s="14"/>
      <c r="E2577" s="14"/>
      <c r="F2577" s="14"/>
      <c r="G2577" s="18"/>
    </row>
    <row r="2578" spans="2:7" x14ac:dyDescent="0.35">
      <c r="B2578" s="47"/>
      <c r="C2578" s="14"/>
      <c r="D2578" s="14"/>
      <c r="E2578" s="14"/>
      <c r="F2578" s="14"/>
      <c r="G2578" s="18"/>
    </row>
    <row r="2579" spans="2:7" x14ac:dyDescent="0.35">
      <c r="B2579" s="47"/>
      <c r="C2579" s="14"/>
      <c r="D2579" s="14"/>
      <c r="E2579" s="14"/>
      <c r="F2579" s="14"/>
      <c r="G2579" s="18"/>
    </row>
    <row r="2580" spans="2:7" x14ac:dyDescent="0.35">
      <c r="B2580" s="47"/>
      <c r="C2580" s="14"/>
      <c r="D2580" s="14"/>
      <c r="E2580" s="14"/>
      <c r="F2580" s="14"/>
      <c r="G2580" s="18"/>
    </row>
    <row r="2581" spans="2:7" x14ac:dyDescent="0.35">
      <c r="B2581" s="47"/>
      <c r="C2581" s="14"/>
      <c r="D2581" s="14"/>
      <c r="E2581" s="14"/>
      <c r="F2581" s="14"/>
      <c r="G2581" s="18"/>
    </row>
    <row r="2582" spans="2:7" x14ac:dyDescent="0.35">
      <c r="B2582" s="47"/>
      <c r="C2582" s="14"/>
      <c r="D2582" s="14"/>
      <c r="E2582" s="14"/>
      <c r="F2582" s="14"/>
      <c r="G2582" s="18"/>
    </row>
    <row r="2583" spans="2:7" x14ac:dyDescent="0.35">
      <c r="B2583" s="47"/>
      <c r="C2583" s="14"/>
      <c r="D2583" s="14"/>
      <c r="E2583" s="14"/>
      <c r="F2583" s="14"/>
      <c r="G2583" s="18"/>
    </row>
    <row r="2584" spans="2:7" x14ac:dyDescent="0.35">
      <c r="B2584" s="47"/>
      <c r="C2584" s="14"/>
      <c r="D2584" s="14"/>
      <c r="E2584" s="14"/>
      <c r="F2584" s="14"/>
      <c r="G2584" s="18"/>
    </row>
    <row r="2585" spans="2:7" x14ac:dyDescent="0.35">
      <c r="B2585" s="47"/>
      <c r="C2585" s="14"/>
      <c r="D2585" s="14"/>
      <c r="E2585" s="14"/>
      <c r="F2585" s="14"/>
      <c r="G2585" s="18"/>
    </row>
    <row r="2586" spans="2:7" x14ac:dyDescent="0.35">
      <c r="B2586" s="47"/>
      <c r="C2586" s="14"/>
      <c r="D2586" s="14"/>
      <c r="E2586" s="14"/>
      <c r="F2586" s="14"/>
      <c r="G2586" s="18"/>
    </row>
    <row r="2587" spans="2:7" x14ac:dyDescent="0.35">
      <c r="B2587" s="47"/>
      <c r="C2587" s="14"/>
      <c r="D2587" s="14"/>
      <c r="E2587" s="14"/>
      <c r="F2587" s="14"/>
      <c r="G2587" s="18"/>
    </row>
    <row r="2588" spans="2:7" x14ac:dyDescent="0.35">
      <c r="B2588" s="47"/>
      <c r="C2588" s="14"/>
      <c r="D2588" s="14"/>
      <c r="E2588" s="14"/>
      <c r="F2588" s="14"/>
      <c r="G2588" s="18"/>
    </row>
    <row r="2589" spans="2:7" x14ac:dyDescent="0.35">
      <c r="B2589" s="47"/>
      <c r="C2589" s="14"/>
      <c r="D2589" s="14"/>
      <c r="E2589" s="14"/>
      <c r="F2589" s="14"/>
      <c r="G2589" s="18"/>
    </row>
    <row r="2590" spans="2:7" x14ac:dyDescent="0.35">
      <c r="B2590" s="47"/>
      <c r="C2590" s="14"/>
      <c r="D2590" s="14"/>
      <c r="E2590" s="14"/>
      <c r="F2590" s="14"/>
      <c r="G2590" s="18"/>
    </row>
    <row r="2591" spans="2:7" x14ac:dyDescent="0.35">
      <c r="B2591" s="47"/>
      <c r="C2591" s="14"/>
      <c r="D2591" s="14"/>
      <c r="E2591" s="14"/>
      <c r="F2591" s="14"/>
      <c r="G2591" s="18"/>
    </row>
    <row r="2592" spans="2:7" x14ac:dyDescent="0.35">
      <c r="B2592" s="47"/>
      <c r="C2592" s="14"/>
      <c r="D2592" s="14"/>
      <c r="E2592" s="14"/>
      <c r="F2592" s="14"/>
      <c r="G2592" s="18"/>
    </row>
    <row r="2593" spans="2:7" x14ac:dyDescent="0.35">
      <c r="B2593" s="47"/>
      <c r="C2593" s="14"/>
      <c r="D2593" s="14"/>
      <c r="E2593" s="14"/>
      <c r="F2593" s="14"/>
      <c r="G2593" s="18"/>
    </row>
    <row r="2594" spans="2:7" x14ac:dyDescent="0.35">
      <c r="B2594" s="47"/>
      <c r="C2594" s="14"/>
      <c r="D2594" s="14"/>
      <c r="E2594" s="14"/>
      <c r="F2594" s="14"/>
      <c r="G2594" s="18"/>
    </row>
    <row r="2595" spans="2:7" x14ac:dyDescent="0.35">
      <c r="B2595" s="47"/>
      <c r="C2595" s="14"/>
      <c r="D2595" s="14"/>
      <c r="E2595" s="14"/>
      <c r="F2595" s="14"/>
      <c r="G2595" s="18"/>
    </row>
    <row r="2596" spans="2:7" x14ac:dyDescent="0.35">
      <c r="B2596" s="47"/>
      <c r="C2596" s="14"/>
      <c r="D2596" s="14"/>
      <c r="E2596" s="14"/>
      <c r="F2596" s="14"/>
      <c r="G2596" s="18"/>
    </row>
    <row r="2597" spans="2:7" x14ac:dyDescent="0.35">
      <c r="B2597" s="47"/>
      <c r="C2597" s="14"/>
      <c r="D2597" s="14"/>
      <c r="E2597" s="14"/>
      <c r="F2597" s="14"/>
      <c r="G2597" s="18"/>
    </row>
    <row r="2598" spans="2:7" x14ac:dyDescent="0.35">
      <c r="B2598" s="47"/>
      <c r="C2598" s="14"/>
      <c r="D2598" s="14"/>
      <c r="E2598" s="14"/>
      <c r="F2598" s="14"/>
      <c r="G2598" s="18"/>
    </row>
    <row r="2599" spans="2:7" x14ac:dyDescent="0.35">
      <c r="B2599" s="47"/>
      <c r="C2599" s="14"/>
      <c r="D2599" s="14"/>
      <c r="E2599" s="14"/>
      <c r="F2599" s="14"/>
      <c r="G2599" s="18"/>
    </row>
    <row r="2600" spans="2:7" x14ac:dyDescent="0.35">
      <c r="B2600" s="47"/>
      <c r="C2600" s="14"/>
      <c r="D2600" s="14"/>
      <c r="E2600" s="14"/>
      <c r="F2600" s="14"/>
      <c r="G2600" s="18"/>
    </row>
    <row r="2601" spans="2:7" x14ac:dyDescent="0.35">
      <c r="B2601" s="47"/>
      <c r="C2601" s="14"/>
      <c r="D2601" s="14"/>
      <c r="E2601" s="14"/>
      <c r="F2601" s="14"/>
      <c r="G2601" s="18"/>
    </row>
    <row r="2602" spans="2:7" x14ac:dyDescent="0.35">
      <c r="B2602" s="47"/>
      <c r="C2602" s="14"/>
      <c r="D2602" s="14"/>
      <c r="E2602" s="14"/>
      <c r="F2602" s="14"/>
      <c r="G2602" s="18"/>
    </row>
    <row r="2603" spans="2:7" x14ac:dyDescent="0.35">
      <c r="B2603" s="47"/>
      <c r="C2603" s="14"/>
      <c r="D2603" s="14"/>
      <c r="E2603" s="14"/>
      <c r="F2603" s="14"/>
      <c r="G2603" s="18"/>
    </row>
    <row r="2604" spans="2:7" x14ac:dyDescent="0.35">
      <c r="B2604" s="47"/>
      <c r="C2604" s="14"/>
      <c r="D2604" s="14"/>
      <c r="E2604" s="14"/>
      <c r="F2604" s="14"/>
      <c r="G2604" s="18"/>
    </row>
    <row r="2605" spans="2:7" x14ac:dyDescent="0.35">
      <c r="B2605" s="47"/>
      <c r="C2605" s="14"/>
      <c r="D2605" s="14"/>
      <c r="E2605" s="14"/>
      <c r="F2605" s="14"/>
      <c r="G2605" s="18"/>
    </row>
    <row r="2606" spans="2:7" x14ac:dyDescent="0.35">
      <c r="B2606" s="47"/>
      <c r="C2606" s="14"/>
      <c r="D2606" s="14"/>
      <c r="E2606" s="14"/>
      <c r="F2606" s="14"/>
      <c r="G2606" s="18"/>
    </row>
    <row r="2607" spans="2:7" x14ac:dyDescent="0.35">
      <c r="B2607" s="47"/>
      <c r="C2607" s="14"/>
      <c r="D2607" s="14"/>
      <c r="E2607" s="14"/>
      <c r="F2607" s="14"/>
      <c r="G2607" s="18"/>
    </row>
    <row r="2608" spans="2:7" x14ac:dyDescent="0.35">
      <c r="B2608" s="47"/>
      <c r="C2608" s="14"/>
      <c r="D2608" s="14"/>
      <c r="E2608" s="14"/>
      <c r="F2608" s="14"/>
      <c r="G2608" s="18"/>
    </row>
    <row r="2609" spans="2:7" x14ac:dyDescent="0.35">
      <c r="B2609" s="47"/>
      <c r="C2609" s="14"/>
      <c r="D2609" s="14"/>
      <c r="E2609" s="14"/>
      <c r="F2609" s="14"/>
      <c r="G2609" s="18"/>
    </row>
    <row r="2610" spans="2:7" x14ac:dyDescent="0.35">
      <c r="B2610" s="47"/>
      <c r="C2610" s="14"/>
      <c r="D2610" s="14"/>
      <c r="E2610" s="14"/>
      <c r="F2610" s="14"/>
      <c r="G2610" s="18"/>
    </row>
    <row r="2611" spans="2:7" x14ac:dyDescent="0.35">
      <c r="B2611" s="47"/>
      <c r="C2611" s="14"/>
      <c r="D2611" s="14"/>
      <c r="E2611" s="14"/>
      <c r="F2611" s="14"/>
      <c r="G2611" s="18"/>
    </row>
    <row r="2612" spans="2:7" x14ac:dyDescent="0.35">
      <c r="B2612" s="47"/>
      <c r="C2612" s="14"/>
      <c r="D2612" s="14"/>
      <c r="E2612" s="14"/>
      <c r="F2612" s="14"/>
      <c r="G2612" s="18"/>
    </row>
    <row r="2613" spans="2:7" x14ac:dyDescent="0.35">
      <c r="B2613" s="47"/>
      <c r="C2613" s="14"/>
      <c r="D2613" s="14"/>
      <c r="E2613" s="14"/>
      <c r="F2613" s="14"/>
      <c r="G2613" s="18"/>
    </row>
    <row r="2614" spans="2:7" x14ac:dyDescent="0.35">
      <c r="B2614" s="47"/>
      <c r="C2614" s="14"/>
      <c r="D2614" s="14"/>
      <c r="E2614" s="14"/>
      <c r="F2614" s="14"/>
      <c r="G2614" s="18"/>
    </row>
    <row r="2615" spans="2:7" x14ac:dyDescent="0.35">
      <c r="B2615" s="47"/>
      <c r="C2615" s="14"/>
      <c r="D2615" s="14"/>
      <c r="E2615" s="14"/>
      <c r="F2615" s="14"/>
      <c r="G2615" s="18"/>
    </row>
    <row r="2616" spans="2:7" x14ac:dyDescent="0.35">
      <c r="B2616" s="47"/>
      <c r="C2616" s="14"/>
      <c r="D2616" s="14"/>
      <c r="E2616" s="14"/>
      <c r="F2616" s="14"/>
      <c r="G2616" s="18"/>
    </row>
    <row r="2617" spans="2:7" x14ac:dyDescent="0.35">
      <c r="B2617" s="47"/>
      <c r="C2617" s="14"/>
      <c r="D2617" s="14"/>
      <c r="E2617" s="14"/>
      <c r="F2617" s="14"/>
      <c r="G2617" s="18"/>
    </row>
    <row r="2618" spans="2:7" x14ac:dyDescent="0.35">
      <c r="B2618" s="47"/>
      <c r="C2618" s="14"/>
      <c r="D2618" s="14"/>
      <c r="E2618" s="14"/>
      <c r="F2618" s="14"/>
      <c r="G2618" s="18"/>
    </row>
    <row r="2619" spans="2:7" x14ac:dyDescent="0.35">
      <c r="B2619" s="47"/>
      <c r="C2619" s="14"/>
      <c r="D2619" s="14"/>
      <c r="E2619" s="14"/>
      <c r="F2619" s="14"/>
      <c r="G2619" s="18"/>
    </row>
    <row r="2620" spans="2:7" x14ac:dyDescent="0.35">
      <c r="B2620" s="47"/>
      <c r="C2620" s="14"/>
      <c r="D2620" s="14"/>
      <c r="E2620" s="14"/>
      <c r="F2620" s="14"/>
      <c r="G2620" s="18"/>
    </row>
    <row r="2621" spans="2:7" x14ac:dyDescent="0.35">
      <c r="B2621" s="47"/>
      <c r="C2621" s="14"/>
      <c r="D2621" s="14"/>
      <c r="E2621" s="14"/>
      <c r="F2621" s="14"/>
      <c r="G2621" s="18"/>
    </row>
    <row r="2622" spans="2:7" x14ac:dyDescent="0.35">
      <c r="B2622" s="47"/>
      <c r="C2622" s="14"/>
      <c r="D2622" s="14"/>
      <c r="E2622" s="14"/>
      <c r="F2622" s="14"/>
      <c r="G2622" s="18"/>
    </row>
    <row r="2623" spans="2:7" x14ac:dyDescent="0.35">
      <c r="B2623" s="47"/>
      <c r="C2623" s="14"/>
      <c r="D2623" s="14"/>
      <c r="E2623" s="14"/>
      <c r="F2623" s="14"/>
      <c r="G2623" s="18"/>
    </row>
    <row r="2624" spans="2:7" x14ac:dyDescent="0.35">
      <c r="B2624" s="47"/>
      <c r="C2624" s="14"/>
      <c r="D2624" s="14"/>
      <c r="E2624" s="14"/>
      <c r="F2624" s="14"/>
      <c r="G2624" s="18"/>
    </row>
    <row r="2625" spans="2:7" x14ac:dyDescent="0.35">
      <c r="B2625" s="47"/>
      <c r="C2625" s="14"/>
      <c r="D2625" s="14"/>
      <c r="E2625" s="14"/>
      <c r="F2625" s="14"/>
      <c r="G2625" s="18"/>
    </row>
    <row r="2626" spans="2:7" x14ac:dyDescent="0.35">
      <c r="B2626" s="47"/>
      <c r="C2626" s="14"/>
      <c r="D2626" s="14"/>
      <c r="E2626" s="14"/>
      <c r="F2626" s="14"/>
      <c r="G2626" s="18"/>
    </row>
    <row r="2627" spans="2:7" x14ac:dyDescent="0.35">
      <c r="B2627" s="47"/>
      <c r="C2627" s="14"/>
      <c r="D2627" s="14"/>
      <c r="E2627" s="14"/>
      <c r="F2627" s="14"/>
      <c r="G2627" s="18"/>
    </row>
    <row r="2628" spans="2:7" x14ac:dyDescent="0.35">
      <c r="B2628" s="47"/>
      <c r="C2628" s="14"/>
      <c r="D2628" s="14"/>
      <c r="E2628" s="14"/>
      <c r="F2628" s="14"/>
      <c r="G2628" s="18"/>
    </row>
    <row r="2629" spans="2:7" x14ac:dyDescent="0.35">
      <c r="B2629" s="47"/>
      <c r="C2629" s="14"/>
      <c r="D2629" s="14"/>
      <c r="E2629" s="14"/>
      <c r="F2629" s="14"/>
      <c r="G2629" s="18"/>
    </row>
    <row r="2630" spans="2:7" x14ac:dyDescent="0.35">
      <c r="B2630" s="47"/>
      <c r="C2630" s="14"/>
      <c r="D2630" s="14"/>
      <c r="E2630" s="14"/>
      <c r="F2630" s="14"/>
      <c r="G2630" s="18"/>
    </row>
    <row r="2631" spans="2:7" x14ac:dyDescent="0.35">
      <c r="B2631" s="47"/>
      <c r="C2631" s="14"/>
      <c r="D2631" s="14"/>
      <c r="E2631" s="14"/>
      <c r="F2631" s="14"/>
      <c r="G2631" s="18"/>
    </row>
    <row r="2632" spans="2:7" x14ac:dyDescent="0.35">
      <c r="B2632" s="47"/>
      <c r="C2632" s="14"/>
      <c r="D2632" s="14"/>
      <c r="E2632" s="14"/>
      <c r="F2632" s="14"/>
      <c r="G2632" s="18"/>
    </row>
    <row r="2633" spans="2:7" x14ac:dyDescent="0.35">
      <c r="B2633" s="47"/>
      <c r="C2633" s="14"/>
      <c r="D2633" s="14"/>
      <c r="E2633" s="14"/>
      <c r="F2633" s="14"/>
      <c r="G2633" s="18"/>
    </row>
    <row r="2634" spans="2:7" x14ac:dyDescent="0.35">
      <c r="B2634" s="47"/>
      <c r="C2634" s="14"/>
      <c r="D2634" s="14"/>
      <c r="E2634" s="14"/>
      <c r="F2634" s="14"/>
      <c r="G2634" s="18"/>
    </row>
    <row r="2635" spans="2:7" x14ac:dyDescent="0.35">
      <c r="B2635" s="47"/>
      <c r="C2635" s="14"/>
      <c r="D2635" s="14"/>
      <c r="E2635" s="14"/>
      <c r="F2635" s="14"/>
      <c r="G2635" s="18"/>
    </row>
    <row r="2636" spans="2:7" x14ac:dyDescent="0.35">
      <c r="B2636" s="47"/>
      <c r="C2636" s="14"/>
      <c r="D2636" s="14"/>
      <c r="E2636" s="14"/>
      <c r="F2636" s="14"/>
      <c r="G2636" s="18"/>
    </row>
    <row r="2637" spans="2:7" x14ac:dyDescent="0.35">
      <c r="B2637" s="47"/>
      <c r="C2637" s="14"/>
      <c r="D2637" s="14"/>
      <c r="E2637" s="14"/>
      <c r="F2637" s="14"/>
      <c r="G2637" s="18"/>
    </row>
    <row r="2638" spans="2:7" x14ac:dyDescent="0.35">
      <c r="B2638" s="47"/>
      <c r="C2638" s="14"/>
      <c r="D2638" s="14"/>
      <c r="E2638" s="14"/>
      <c r="F2638" s="14"/>
      <c r="G2638" s="18"/>
    </row>
    <row r="2639" spans="2:7" x14ac:dyDescent="0.35">
      <c r="B2639" s="47"/>
      <c r="C2639" s="14"/>
      <c r="D2639" s="14"/>
      <c r="E2639" s="14"/>
      <c r="F2639" s="14"/>
      <c r="G2639" s="18"/>
    </row>
    <row r="2640" spans="2:7" x14ac:dyDescent="0.35">
      <c r="B2640" s="47"/>
      <c r="C2640" s="14"/>
      <c r="D2640" s="14"/>
      <c r="E2640" s="14"/>
      <c r="F2640" s="14"/>
      <c r="G2640" s="18"/>
    </row>
    <row r="2641" spans="2:7" x14ac:dyDescent="0.35">
      <c r="B2641" s="47"/>
      <c r="C2641" s="14"/>
      <c r="D2641" s="14"/>
      <c r="E2641" s="14"/>
      <c r="F2641" s="14"/>
      <c r="G2641" s="18"/>
    </row>
    <row r="2642" spans="2:7" x14ac:dyDescent="0.35">
      <c r="B2642" s="47"/>
      <c r="C2642" s="14"/>
      <c r="D2642" s="14"/>
      <c r="E2642" s="14"/>
      <c r="F2642" s="14"/>
      <c r="G2642" s="18"/>
    </row>
    <row r="2643" spans="2:7" x14ac:dyDescent="0.35">
      <c r="B2643" s="47"/>
      <c r="C2643" s="14"/>
      <c r="D2643" s="14"/>
      <c r="E2643" s="14"/>
      <c r="F2643" s="14"/>
      <c r="G2643" s="18"/>
    </row>
    <row r="2644" spans="2:7" x14ac:dyDescent="0.35">
      <c r="B2644" s="47"/>
      <c r="C2644" s="14"/>
      <c r="D2644" s="14"/>
      <c r="E2644" s="14"/>
      <c r="F2644" s="14"/>
      <c r="G2644" s="18"/>
    </row>
    <row r="2645" spans="2:7" x14ac:dyDescent="0.35">
      <c r="B2645" s="47"/>
      <c r="C2645" s="14"/>
      <c r="D2645" s="14"/>
      <c r="E2645" s="14"/>
      <c r="F2645" s="14"/>
      <c r="G2645" s="18"/>
    </row>
    <row r="2646" spans="2:7" x14ac:dyDescent="0.35">
      <c r="B2646" s="47"/>
      <c r="C2646" s="14"/>
      <c r="D2646" s="14"/>
      <c r="E2646" s="14"/>
      <c r="F2646" s="14"/>
      <c r="G2646" s="18"/>
    </row>
    <row r="2647" spans="2:7" x14ac:dyDescent="0.35">
      <c r="B2647" s="47"/>
      <c r="C2647" s="14"/>
      <c r="D2647" s="14"/>
      <c r="E2647" s="14"/>
      <c r="F2647" s="14"/>
      <c r="G2647" s="18"/>
    </row>
    <row r="2648" spans="2:7" x14ac:dyDescent="0.35">
      <c r="B2648" s="47"/>
      <c r="C2648" s="14"/>
      <c r="D2648" s="14"/>
      <c r="E2648" s="14"/>
      <c r="F2648" s="14"/>
      <c r="G2648" s="18"/>
    </row>
    <row r="2649" spans="2:7" x14ac:dyDescent="0.35">
      <c r="B2649" s="47"/>
      <c r="C2649" s="14"/>
      <c r="D2649" s="14"/>
      <c r="E2649" s="14"/>
      <c r="F2649" s="14"/>
      <c r="G2649" s="18"/>
    </row>
    <row r="2650" spans="2:7" x14ac:dyDescent="0.35">
      <c r="B2650" s="47"/>
      <c r="C2650" s="14"/>
      <c r="D2650" s="14"/>
      <c r="E2650" s="14"/>
      <c r="F2650" s="14"/>
      <c r="G2650" s="18"/>
    </row>
    <row r="2651" spans="2:7" x14ac:dyDescent="0.35">
      <c r="B2651" s="47"/>
      <c r="C2651" s="14"/>
      <c r="D2651" s="14"/>
      <c r="E2651" s="14"/>
      <c r="F2651" s="14"/>
      <c r="G2651" s="18"/>
    </row>
    <row r="2652" spans="2:7" x14ac:dyDescent="0.35">
      <c r="B2652" s="47"/>
      <c r="C2652" s="14"/>
      <c r="D2652" s="14"/>
      <c r="E2652" s="14"/>
      <c r="F2652" s="14"/>
      <c r="G2652" s="18"/>
    </row>
    <row r="2653" spans="2:7" x14ac:dyDescent="0.35">
      <c r="B2653" s="47"/>
      <c r="C2653" s="14"/>
      <c r="D2653" s="14"/>
      <c r="E2653" s="14"/>
      <c r="F2653" s="14"/>
      <c r="G2653" s="18"/>
    </row>
    <row r="2654" spans="2:7" x14ac:dyDescent="0.35">
      <c r="B2654" s="47"/>
      <c r="C2654" s="14"/>
      <c r="D2654" s="14"/>
      <c r="E2654" s="14"/>
      <c r="F2654" s="14"/>
      <c r="G2654" s="18"/>
    </row>
    <row r="2655" spans="2:7" x14ac:dyDescent="0.35">
      <c r="B2655" s="47"/>
      <c r="C2655" s="14"/>
      <c r="D2655" s="14"/>
      <c r="E2655" s="14"/>
      <c r="F2655" s="14"/>
      <c r="G2655" s="18"/>
    </row>
    <row r="2656" spans="2:7" x14ac:dyDescent="0.35">
      <c r="B2656" s="47"/>
      <c r="C2656" s="14"/>
      <c r="D2656" s="14"/>
      <c r="E2656" s="14"/>
      <c r="F2656" s="14"/>
      <c r="G2656" s="18"/>
    </row>
    <row r="2657" spans="2:7" x14ac:dyDescent="0.35">
      <c r="B2657" s="47"/>
      <c r="C2657" s="14"/>
      <c r="D2657" s="14"/>
      <c r="E2657" s="14"/>
      <c r="F2657" s="14"/>
      <c r="G2657" s="18"/>
    </row>
    <row r="2658" spans="2:7" x14ac:dyDescent="0.35">
      <c r="B2658" s="47"/>
      <c r="C2658" s="14"/>
      <c r="D2658" s="14"/>
      <c r="E2658" s="14"/>
      <c r="F2658" s="14"/>
      <c r="G2658" s="18"/>
    </row>
    <row r="2659" spans="2:7" x14ac:dyDescent="0.35">
      <c r="B2659" s="47"/>
      <c r="C2659" s="14"/>
      <c r="D2659" s="14"/>
      <c r="E2659" s="14"/>
      <c r="F2659" s="14"/>
      <c r="G2659" s="18"/>
    </row>
    <row r="2660" spans="2:7" x14ac:dyDescent="0.35">
      <c r="B2660" s="47"/>
      <c r="C2660" s="14"/>
      <c r="D2660" s="14"/>
      <c r="E2660" s="14"/>
      <c r="F2660" s="14"/>
      <c r="G2660" s="18"/>
    </row>
    <row r="2661" spans="2:7" x14ac:dyDescent="0.35">
      <c r="B2661" s="47"/>
      <c r="C2661" s="14"/>
      <c r="D2661" s="14"/>
      <c r="E2661" s="14"/>
      <c r="F2661" s="14"/>
      <c r="G2661" s="18"/>
    </row>
    <row r="2662" spans="2:7" x14ac:dyDescent="0.35">
      <c r="B2662" s="47"/>
      <c r="C2662" s="14"/>
      <c r="D2662" s="14"/>
      <c r="E2662" s="14"/>
      <c r="F2662" s="14"/>
      <c r="G2662" s="18"/>
    </row>
    <row r="2663" spans="2:7" x14ac:dyDescent="0.35">
      <c r="B2663" s="47"/>
      <c r="C2663" s="14"/>
      <c r="D2663" s="14"/>
      <c r="E2663" s="14"/>
      <c r="F2663" s="14"/>
      <c r="G2663" s="18"/>
    </row>
    <row r="2664" spans="2:7" x14ac:dyDescent="0.35">
      <c r="B2664" s="47"/>
      <c r="C2664" s="14"/>
      <c r="D2664" s="14"/>
      <c r="E2664" s="14"/>
      <c r="F2664" s="14"/>
      <c r="G2664" s="18"/>
    </row>
    <row r="2665" spans="2:7" x14ac:dyDescent="0.35">
      <c r="B2665" s="47"/>
      <c r="C2665" s="14"/>
      <c r="D2665" s="14"/>
      <c r="E2665" s="14"/>
      <c r="F2665" s="14"/>
      <c r="G2665" s="18"/>
    </row>
    <row r="2666" spans="2:7" x14ac:dyDescent="0.35">
      <c r="B2666" s="47"/>
      <c r="C2666" s="14"/>
      <c r="D2666" s="14"/>
      <c r="E2666" s="14"/>
      <c r="F2666" s="14"/>
      <c r="G2666" s="18"/>
    </row>
    <row r="2667" spans="2:7" x14ac:dyDescent="0.35">
      <c r="B2667" s="47"/>
      <c r="C2667" s="14"/>
      <c r="D2667" s="14"/>
      <c r="E2667" s="14"/>
      <c r="F2667" s="14"/>
      <c r="G2667" s="18"/>
    </row>
    <row r="2668" spans="2:7" x14ac:dyDescent="0.35">
      <c r="B2668" s="47"/>
      <c r="C2668" s="14"/>
      <c r="D2668" s="14"/>
      <c r="E2668" s="14"/>
      <c r="F2668" s="14"/>
      <c r="G2668" s="18"/>
    </row>
    <row r="2669" spans="2:7" x14ac:dyDescent="0.35">
      <c r="B2669" s="47"/>
      <c r="C2669" s="14"/>
      <c r="D2669" s="14"/>
      <c r="E2669" s="14"/>
      <c r="F2669" s="14"/>
      <c r="G2669" s="18"/>
    </row>
    <row r="2670" spans="2:7" x14ac:dyDescent="0.35">
      <c r="B2670" s="47"/>
      <c r="C2670" s="14"/>
      <c r="D2670" s="14"/>
      <c r="E2670" s="14"/>
      <c r="F2670" s="14"/>
      <c r="G2670" s="18"/>
    </row>
    <row r="2671" spans="2:7" x14ac:dyDescent="0.35">
      <c r="B2671" s="47"/>
      <c r="C2671" s="14"/>
      <c r="D2671" s="14"/>
      <c r="E2671" s="14"/>
      <c r="F2671" s="14"/>
      <c r="G2671" s="18"/>
    </row>
    <row r="2672" spans="2:7" x14ac:dyDescent="0.35">
      <c r="B2672" s="47"/>
      <c r="C2672" s="14"/>
      <c r="D2672" s="14"/>
      <c r="E2672" s="14"/>
      <c r="F2672" s="14"/>
      <c r="G2672" s="18"/>
    </row>
    <row r="2673" spans="2:7" x14ac:dyDescent="0.35">
      <c r="B2673" s="47"/>
      <c r="C2673" s="14"/>
      <c r="D2673" s="14"/>
      <c r="E2673" s="14"/>
      <c r="F2673" s="14"/>
      <c r="G2673" s="18"/>
    </row>
    <row r="2674" spans="2:7" x14ac:dyDescent="0.35">
      <c r="B2674" s="47"/>
      <c r="C2674" s="14"/>
      <c r="D2674" s="14"/>
      <c r="E2674" s="14"/>
      <c r="F2674" s="14"/>
      <c r="G2674" s="18"/>
    </row>
    <row r="2675" spans="2:7" x14ac:dyDescent="0.35">
      <c r="B2675" s="47"/>
      <c r="C2675" s="14"/>
      <c r="D2675" s="14"/>
      <c r="E2675" s="14"/>
      <c r="F2675" s="14"/>
      <c r="G2675" s="18"/>
    </row>
    <row r="2676" spans="2:7" x14ac:dyDescent="0.35">
      <c r="B2676" s="47"/>
      <c r="C2676" s="14"/>
      <c r="D2676" s="14"/>
      <c r="E2676" s="14"/>
      <c r="F2676" s="14"/>
      <c r="G2676" s="18"/>
    </row>
    <row r="2677" spans="2:7" x14ac:dyDescent="0.35">
      <c r="B2677" s="47"/>
      <c r="C2677" s="14"/>
      <c r="D2677" s="14"/>
      <c r="E2677" s="14"/>
      <c r="F2677" s="14"/>
      <c r="G2677" s="18"/>
    </row>
    <row r="2678" spans="2:7" x14ac:dyDescent="0.35">
      <c r="B2678" s="47"/>
      <c r="C2678" s="14"/>
      <c r="D2678" s="14"/>
      <c r="E2678" s="14"/>
      <c r="F2678" s="14"/>
      <c r="G2678" s="18"/>
    </row>
    <row r="2679" spans="2:7" x14ac:dyDescent="0.35">
      <c r="B2679" s="47"/>
      <c r="C2679" s="14"/>
      <c r="D2679" s="14"/>
      <c r="E2679" s="14"/>
      <c r="F2679" s="14"/>
      <c r="G2679" s="18"/>
    </row>
    <row r="2680" spans="2:7" x14ac:dyDescent="0.35">
      <c r="B2680" s="47"/>
      <c r="C2680" s="14"/>
      <c r="D2680" s="14"/>
      <c r="E2680" s="14"/>
      <c r="F2680" s="14"/>
      <c r="G2680" s="18"/>
    </row>
    <row r="2681" spans="2:7" x14ac:dyDescent="0.35">
      <c r="B2681" s="47"/>
      <c r="C2681" s="14"/>
      <c r="D2681" s="14"/>
      <c r="E2681" s="14"/>
      <c r="F2681" s="14"/>
      <c r="G2681" s="18"/>
    </row>
    <row r="2682" spans="2:7" x14ac:dyDescent="0.35">
      <c r="B2682" s="47"/>
      <c r="C2682" s="14"/>
      <c r="D2682" s="14"/>
      <c r="E2682" s="14"/>
      <c r="F2682" s="14"/>
      <c r="G2682" s="18"/>
    </row>
    <row r="2683" spans="2:7" x14ac:dyDescent="0.35">
      <c r="B2683" s="47"/>
      <c r="C2683" s="14"/>
      <c r="D2683" s="14"/>
      <c r="E2683" s="14"/>
      <c r="F2683" s="14"/>
      <c r="G2683" s="18"/>
    </row>
    <row r="2684" spans="2:7" x14ac:dyDescent="0.35">
      <c r="B2684" s="47"/>
      <c r="C2684" s="14"/>
      <c r="D2684" s="14"/>
      <c r="E2684" s="14"/>
      <c r="F2684" s="14"/>
      <c r="G2684" s="18"/>
    </row>
    <row r="2685" spans="2:7" x14ac:dyDescent="0.35">
      <c r="B2685" s="47"/>
      <c r="C2685" s="14"/>
      <c r="D2685" s="14"/>
      <c r="E2685" s="14"/>
      <c r="F2685" s="14"/>
      <c r="G2685" s="18"/>
    </row>
    <row r="2686" spans="2:7" x14ac:dyDescent="0.35">
      <c r="B2686" s="47"/>
      <c r="C2686" s="14"/>
      <c r="D2686" s="14"/>
      <c r="E2686" s="14"/>
      <c r="F2686" s="14"/>
      <c r="G2686" s="18"/>
    </row>
    <row r="2687" spans="2:7" x14ac:dyDescent="0.35">
      <c r="B2687" s="47"/>
      <c r="C2687" s="14"/>
      <c r="D2687" s="14"/>
      <c r="E2687" s="14"/>
      <c r="F2687" s="14"/>
      <c r="G2687" s="18"/>
    </row>
    <row r="2688" spans="2:7" x14ac:dyDescent="0.35">
      <c r="B2688" s="47"/>
      <c r="C2688" s="14"/>
      <c r="D2688" s="14"/>
      <c r="E2688" s="14"/>
      <c r="F2688" s="14"/>
      <c r="G2688" s="18"/>
    </row>
    <row r="2689" spans="2:7" x14ac:dyDescent="0.35">
      <c r="B2689" s="47"/>
      <c r="C2689" s="14"/>
      <c r="D2689" s="14"/>
      <c r="E2689" s="14"/>
      <c r="F2689" s="14"/>
      <c r="G2689" s="18"/>
    </row>
    <row r="2690" spans="2:7" x14ac:dyDescent="0.35">
      <c r="B2690" s="47"/>
      <c r="C2690" s="14"/>
      <c r="D2690" s="14"/>
      <c r="E2690" s="14"/>
      <c r="F2690" s="14"/>
      <c r="G2690" s="18"/>
    </row>
    <row r="2691" spans="2:7" x14ac:dyDescent="0.35">
      <c r="B2691" s="47"/>
      <c r="C2691" s="14"/>
      <c r="D2691" s="14"/>
      <c r="E2691" s="14"/>
      <c r="F2691" s="14"/>
      <c r="G2691" s="18"/>
    </row>
    <row r="2692" spans="2:7" x14ac:dyDescent="0.35">
      <c r="B2692" s="47"/>
      <c r="C2692" s="14"/>
      <c r="D2692" s="14"/>
      <c r="E2692" s="14"/>
      <c r="F2692" s="14"/>
      <c r="G2692" s="18"/>
    </row>
    <row r="2693" spans="2:7" x14ac:dyDescent="0.35">
      <c r="B2693" s="47"/>
      <c r="C2693" s="14"/>
      <c r="D2693" s="14"/>
      <c r="E2693" s="14"/>
      <c r="F2693" s="14"/>
      <c r="G2693" s="18"/>
    </row>
    <row r="2694" spans="2:7" x14ac:dyDescent="0.35">
      <c r="B2694" s="47"/>
      <c r="C2694" s="14"/>
      <c r="D2694" s="14"/>
      <c r="E2694" s="14"/>
      <c r="F2694" s="14"/>
      <c r="G2694" s="18"/>
    </row>
    <row r="2695" spans="2:7" x14ac:dyDescent="0.35">
      <c r="B2695" s="47"/>
      <c r="C2695" s="14"/>
      <c r="D2695" s="14"/>
      <c r="E2695" s="14"/>
      <c r="F2695" s="14"/>
      <c r="G2695" s="18"/>
    </row>
    <row r="2696" spans="2:7" x14ac:dyDescent="0.35">
      <c r="B2696" s="47"/>
      <c r="C2696" s="14"/>
      <c r="D2696" s="14"/>
      <c r="E2696" s="14"/>
      <c r="F2696" s="14"/>
      <c r="G2696" s="18"/>
    </row>
    <row r="2697" spans="2:7" x14ac:dyDescent="0.35">
      <c r="B2697" s="47"/>
      <c r="C2697" s="14"/>
      <c r="D2697" s="14"/>
      <c r="E2697" s="14"/>
      <c r="F2697" s="14"/>
      <c r="G2697" s="18"/>
    </row>
    <row r="2698" spans="2:7" x14ac:dyDescent="0.35">
      <c r="B2698" s="47"/>
      <c r="C2698" s="14"/>
      <c r="D2698" s="14"/>
      <c r="E2698" s="14"/>
      <c r="F2698" s="14"/>
      <c r="G2698" s="18"/>
    </row>
    <row r="2699" spans="2:7" x14ac:dyDescent="0.35">
      <c r="B2699" s="47"/>
      <c r="C2699" s="14"/>
      <c r="D2699" s="14"/>
      <c r="E2699" s="14"/>
      <c r="F2699" s="14"/>
      <c r="G2699" s="18"/>
    </row>
    <row r="2700" spans="2:7" x14ac:dyDescent="0.35">
      <c r="B2700" s="47"/>
      <c r="C2700" s="14"/>
      <c r="D2700" s="14"/>
      <c r="E2700" s="14"/>
      <c r="F2700" s="14"/>
      <c r="G2700" s="18"/>
    </row>
    <row r="2701" spans="2:7" x14ac:dyDescent="0.35">
      <c r="B2701" s="47"/>
      <c r="C2701" s="14"/>
      <c r="D2701" s="14"/>
      <c r="E2701" s="14"/>
      <c r="F2701" s="14"/>
      <c r="G2701" s="18"/>
    </row>
    <row r="2702" spans="2:7" x14ac:dyDescent="0.35">
      <c r="B2702" s="47"/>
      <c r="C2702" s="14"/>
      <c r="D2702" s="14"/>
      <c r="E2702" s="14"/>
      <c r="F2702" s="14"/>
      <c r="G2702" s="18"/>
    </row>
    <row r="2703" spans="2:7" x14ac:dyDescent="0.35">
      <c r="B2703" s="47"/>
      <c r="C2703" s="14"/>
      <c r="D2703" s="14"/>
      <c r="E2703" s="14"/>
      <c r="F2703" s="14"/>
      <c r="G2703" s="18"/>
    </row>
    <row r="2704" spans="2:7" x14ac:dyDescent="0.35">
      <c r="B2704" s="47"/>
      <c r="C2704" s="14"/>
      <c r="D2704" s="14"/>
      <c r="E2704" s="14"/>
      <c r="F2704" s="14"/>
      <c r="G2704" s="18"/>
    </row>
    <row r="2705" spans="2:7" x14ac:dyDescent="0.35">
      <c r="B2705" s="47"/>
      <c r="C2705" s="14"/>
      <c r="D2705" s="14"/>
      <c r="E2705" s="14"/>
      <c r="F2705" s="14"/>
      <c r="G2705" s="18"/>
    </row>
    <row r="2706" spans="2:7" x14ac:dyDescent="0.35">
      <c r="B2706" s="47"/>
      <c r="C2706" s="14"/>
      <c r="D2706" s="14"/>
      <c r="E2706" s="14"/>
      <c r="F2706" s="14"/>
      <c r="G2706" s="18"/>
    </row>
    <row r="2707" spans="2:7" x14ac:dyDescent="0.35">
      <c r="B2707" s="47"/>
      <c r="C2707" s="14"/>
      <c r="D2707" s="14"/>
      <c r="E2707" s="14"/>
      <c r="F2707" s="14"/>
      <c r="G2707" s="18"/>
    </row>
    <row r="2708" spans="2:7" x14ac:dyDescent="0.35">
      <c r="B2708" s="47"/>
      <c r="C2708" s="14"/>
      <c r="D2708" s="14"/>
      <c r="E2708" s="14"/>
      <c r="F2708" s="14"/>
      <c r="G2708" s="18"/>
    </row>
    <row r="2709" spans="2:7" x14ac:dyDescent="0.35">
      <c r="B2709" s="47"/>
      <c r="C2709" s="14"/>
      <c r="D2709" s="14"/>
      <c r="E2709" s="14"/>
      <c r="F2709" s="14"/>
      <c r="G2709" s="18"/>
    </row>
    <row r="2710" spans="2:7" x14ac:dyDescent="0.35">
      <c r="B2710" s="47"/>
      <c r="C2710" s="14"/>
      <c r="D2710" s="14"/>
      <c r="E2710" s="14"/>
      <c r="F2710" s="14"/>
      <c r="G2710" s="18"/>
    </row>
    <row r="2711" spans="2:7" x14ac:dyDescent="0.35">
      <c r="B2711" s="47"/>
      <c r="C2711" s="14"/>
      <c r="D2711" s="14"/>
      <c r="E2711" s="14"/>
      <c r="F2711" s="14"/>
      <c r="G2711" s="18"/>
    </row>
    <row r="2712" spans="2:7" x14ac:dyDescent="0.35">
      <c r="B2712" s="47"/>
      <c r="C2712" s="14"/>
      <c r="D2712" s="14"/>
      <c r="E2712" s="14"/>
      <c r="F2712" s="14"/>
      <c r="G2712" s="18"/>
    </row>
    <row r="2713" spans="2:7" x14ac:dyDescent="0.35">
      <c r="B2713" s="47"/>
      <c r="C2713" s="14"/>
      <c r="D2713" s="14"/>
      <c r="E2713" s="14"/>
      <c r="F2713" s="14"/>
      <c r="G2713" s="18"/>
    </row>
    <row r="2714" spans="2:7" x14ac:dyDescent="0.35">
      <c r="B2714" s="47"/>
      <c r="C2714" s="14"/>
      <c r="D2714" s="14"/>
      <c r="E2714" s="14"/>
      <c r="F2714" s="14"/>
      <c r="G2714" s="18"/>
    </row>
    <row r="2715" spans="2:7" x14ac:dyDescent="0.35">
      <c r="B2715" s="47"/>
      <c r="C2715" s="14"/>
      <c r="D2715" s="14"/>
      <c r="E2715" s="14"/>
      <c r="F2715" s="14"/>
      <c r="G2715" s="18"/>
    </row>
    <row r="2716" spans="2:7" x14ac:dyDescent="0.35">
      <c r="B2716" s="47"/>
      <c r="C2716" s="14"/>
      <c r="D2716" s="14"/>
      <c r="E2716" s="14"/>
      <c r="F2716" s="14"/>
      <c r="G2716" s="18"/>
    </row>
    <row r="2717" spans="2:7" x14ac:dyDescent="0.35">
      <c r="B2717" s="47"/>
      <c r="C2717" s="14"/>
      <c r="D2717" s="14"/>
      <c r="E2717" s="14"/>
      <c r="F2717" s="14"/>
      <c r="G2717" s="18"/>
    </row>
    <row r="2718" spans="2:7" x14ac:dyDescent="0.35">
      <c r="B2718" s="47"/>
      <c r="C2718" s="14"/>
      <c r="D2718" s="14"/>
      <c r="E2718" s="14"/>
      <c r="F2718" s="14"/>
      <c r="G2718" s="18"/>
    </row>
    <row r="2719" spans="2:7" x14ac:dyDescent="0.35">
      <c r="B2719" s="47"/>
      <c r="C2719" s="14"/>
      <c r="D2719" s="14"/>
      <c r="E2719" s="14"/>
      <c r="F2719" s="14"/>
      <c r="G2719" s="18"/>
    </row>
    <row r="2720" spans="2:7" x14ac:dyDescent="0.35">
      <c r="B2720" s="47"/>
      <c r="C2720" s="14"/>
      <c r="D2720" s="14"/>
      <c r="E2720" s="14"/>
      <c r="F2720" s="14"/>
      <c r="G2720" s="18"/>
    </row>
    <row r="2721" spans="2:7" x14ac:dyDescent="0.35">
      <c r="B2721" s="47"/>
      <c r="C2721" s="14"/>
      <c r="D2721" s="14"/>
      <c r="E2721" s="14"/>
      <c r="F2721" s="14"/>
      <c r="G2721" s="18"/>
    </row>
    <row r="2722" spans="2:7" x14ac:dyDescent="0.35">
      <c r="B2722" s="47"/>
      <c r="C2722" s="14"/>
      <c r="D2722" s="14"/>
      <c r="E2722" s="14"/>
      <c r="F2722" s="14"/>
      <c r="G2722" s="18"/>
    </row>
    <row r="2723" spans="2:7" x14ac:dyDescent="0.35">
      <c r="B2723" s="47"/>
      <c r="C2723" s="14"/>
      <c r="D2723" s="14"/>
      <c r="E2723" s="14"/>
      <c r="F2723" s="14"/>
      <c r="G2723" s="18"/>
    </row>
    <row r="2724" spans="2:7" x14ac:dyDescent="0.35">
      <c r="B2724" s="47"/>
      <c r="C2724" s="14"/>
      <c r="D2724" s="14"/>
      <c r="E2724" s="14"/>
      <c r="F2724" s="14"/>
      <c r="G2724" s="18"/>
    </row>
    <row r="2725" spans="2:7" x14ac:dyDescent="0.35">
      <c r="B2725" s="47"/>
      <c r="C2725" s="14"/>
      <c r="D2725" s="14"/>
      <c r="E2725" s="14"/>
      <c r="F2725" s="14"/>
      <c r="G2725" s="18"/>
    </row>
    <row r="2726" spans="2:7" x14ac:dyDescent="0.35">
      <c r="B2726" s="47"/>
      <c r="C2726" s="14"/>
      <c r="D2726" s="14"/>
      <c r="E2726" s="14"/>
      <c r="F2726" s="14"/>
      <c r="G2726" s="18"/>
    </row>
    <row r="2727" spans="2:7" x14ac:dyDescent="0.35">
      <c r="B2727" s="47"/>
      <c r="C2727" s="14"/>
      <c r="D2727" s="14"/>
      <c r="E2727" s="14"/>
      <c r="F2727" s="14"/>
      <c r="G2727" s="18"/>
    </row>
    <row r="2728" spans="2:7" x14ac:dyDescent="0.35">
      <c r="B2728" s="47"/>
      <c r="C2728" s="14"/>
      <c r="D2728" s="14"/>
      <c r="E2728" s="14"/>
      <c r="F2728" s="14"/>
      <c r="G2728" s="18"/>
    </row>
    <row r="2729" spans="2:7" x14ac:dyDescent="0.35">
      <c r="B2729" s="47"/>
      <c r="C2729" s="14"/>
      <c r="D2729" s="14"/>
      <c r="E2729" s="14"/>
      <c r="F2729" s="14"/>
      <c r="G2729" s="18"/>
    </row>
    <row r="2730" spans="2:7" x14ac:dyDescent="0.35">
      <c r="B2730" s="47"/>
      <c r="C2730" s="14"/>
      <c r="D2730" s="14"/>
      <c r="E2730" s="14"/>
      <c r="F2730" s="14"/>
      <c r="G2730" s="18"/>
    </row>
    <row r="2731" spans="2:7" x14ac:dyDescent="0.35">
      <c r="B2731" s="47"/>
      <c r="C2731" s="14"/>
      <c r="D2731" s="14"/>
      <c r="E2731" s="14"/>
      <c r="F2731" s="14"/>
      <c r="G2731" s="18"/>
    </row>
    <row r="2732" spans="2:7" x14ac:dyDescent="0.35">
      <c r="B2732" s="47"/>
      <c r="C2732" s="14"/>
      <c r="D2732" s="14"/>
      <c r="E2732" s="14"/>
      <c r="F2732" s="14"/>
      <c r="G2732" s="18"/>
    </row>
    <row r="2733" spans="2:7" x14ac:dyDescent="0.35">
      <c r="B2733" s="47"/>
      <c r="C2733" s="14"/>
      <c r="D2733" s="14"/>
      <c r="E2733" s="14"/>
      <c r="F2733" s="14"/>
      <c r="G2733" s="18"/>
    </row>
    <row r="2734" spans="2:7" x14ac:dyDescent="0.35">
      <c r="B2734" s="47"/>
      <c r="C2734" s="14"/>
      <c r="D2734" s="14"/>
      <c r="E2734" s="14"/>
      <c r="F2734" s="14"/>
      <c r="G2734" s="18"/>
    </row>
    <row r="2735" spans="2:7" x14ac:dyDescent="0.35">
      <c r="B2735" s="47"/>
      <c r="C2735" s="14"/>
      <c r="D2735" s="14"/>
      <c r="E2735" s="14"/>
      <c r="F2735" s="14"/>
      <c r="G2735" s="18"/>
    </row>
    <row r="2736" spans="2:7" x14ac:dyDescent="0.35">
      <c r="B2736" s="47"/>
      <c r="C2736" s="14"/>
      <c r="D2736" s="14"/>
      <c r="E2736" s="14"/>
      <c r="F2736" s="14"/>
      <c r="G2736" s="18"/>
    </row>
    <row r="2737" spans="2:7" x14ac:dyDescent="0.35">
      <c r="B2737" s="47"/>
      <c r="C2737" s="14"/>
      <c r="D2737" s="14"/>
      <c r="E2737" s="14"/>
      <c r="F2737" s="14"/>
      <c r="G2737" s="18"/>
    </row>
    <row r="2738" spans="2:7" x14ac:dyDescent="0.35">
      <c r="B2738" s="47"/>
      <c r="C2738" s="14"/>
      <c r="D2738" s="14"/>
      <c r="E2738" s="14"/>
      <c r="F2738" s="14"/>
      <c r="G2738" s="18"/>
    </row>
    <row r="2739" spans="2:7" x14ac:dyDescent="0.35">
      <c r="B2739" s="47"/>
      <c r="C2739" s="14"/>
      <c r="D2739" s="14"/>
      <c r="E2739" s="14"/>
      <c r="F2739" s="14"/>
      <c r="G2739" s="18"/>
    </row>
    <row r="2740" spans="2:7" x14ac:dyDescent="0.35">
      <c r="B2740" s="47"/>
      <c r="C2740" s="14"/>
      <c r="D2740" s="14"/>
      <c r="E2740" s="14"/>
      <c r="F2740" s="14"/>
      <c r="G2740" s="18"/>
    </row>
    <row r="2741" spans="2:7" x14ac:dyDescent="0.35">
      <c r="B2741" s="47"/>
      <c r="C2741" s="14"/>
      <c r="D2741" s="14"/>
      <c r="E2741" s="14"/>
      <c r="F2741" s="14"/>
      <c r="G2741" s="18"/>
    </row>
    <row r="2742" spans="2:7" x14ac:dyDescent="0.35">
      <c r="B2742" s="47"/>
      <c r="C2742" s="14"/>
      <c r="D2742" s="14"/>
      <c r="E2742" s="14"/>
      <c r="F2742" s="14"/>
      <c r="G2742" s="18"/>
    </row>
    <row r="2743" spans="2:7" x14ac:dyDescent="0.35">
      <c r="B2743" s="47"/>
      <c r="C2743" s="14"/>
      <c r="D2743" s="14"/>
      <c r="E2743" s="14"/>
      <c r="F2743" s="14"/>
      <c r="G2743" s="18"/>
    </row>
    <row r="2744" spans="2:7" x14ac:dyDescent="0.35">
      <c r="B2744" s="47"/>
      <c r="C2744" s="14"/>
      <c r="D2744" s="14"/>
      <c r="E2744" s="14"/>
      <c r="F2744" s="14"/>
      <c r="G2744" s="18"/>
    </row>
    <row r="2745" spans="2:7" x14ac:dyDescent="0.35">
      <c r="B2745" s="47"/>
      <c r="C2745" s="14"/>
      <c r="D2745" s="14"/>
      <c r="E2745" s="14"/>
      <c r="F2745" s="14"/>
      <c r="G2745" s="18"/>
    </row>
    <row r="2746" spans="2:7" x14ac:dyDescent="0.35">
      <c r="B2746" s="47"/>
      <c r="C2746" s="14"/>
      <c r="D2746" s="14"/>
      <c r="E2746" s="14"/>
      <c r="F2746" s="14"/>
      <c r="G2746" s="18"/>
    </row>
    <row r="2747" spans="2:7" x14ac:dyDescent="0.35">
      <c r="B2747" s="47"/>
      <c r="C2747" s="14"/>
      <c r="D2747" s="14"/>
      <c r="E2747" s="14"/>
      <c r="F2747" s="14"/>
      <c r="G2747" s="18"/>
    </row>
    <row r="2748" spans="2:7" x14ac:dyDescent="0.35">
      <c r="B2748" s="47"/>
      <c r="C2748" s="14"/>
      <c r="D2748" s="14"/>
      <c r="E2748" s="14"/>
      <c r="F2748" s="14"/>
      <c r="G2748" s="18"/>
    </row>
    <row r="2749" spans="2:7" x14ac:dyDescent="0.35">
      <c r="B2749" s="47"/>
      <c r="C2749" s="14"/>
      <c r="D2749" s="14"/>
      <c r="E2749" s="14"/>
      <c r="F2749" s="14"/>
      <c r="G2749" s="18"/>
    </row>
    <row r="2750" spans="2:7" x14ac:dyDescent="0.35">
      <c r="B2750" s="47"/>
      <c r="C2750" s="14"/>
      <c r="D2750" s="14"/>
      <c r="E2750" s="14"/>
      <c r="F2750" s="14"/>
      <c r="G2750" s="18"/>
    </row>
    <row r="2751" spans="2:7" x14ac:dyDescent="0.35">
      <c r="B2751" s="47"/>
      <c r="C2751" s="14"/>
      <c r="D2751" s="14"/>
      <c r="E2751" s="14"/>
      <c r="F2751" s="14"/>
      <c r="G2751" s="18"/>
    </row>
    <row r="2752" spans="2:7" x14ac:dyDescent="0.35">
      <c r="B2752" s="47"/>
      <c r="C2752" s="14"/>
      <c r="D2752" s="14"/>
      <c r="E2752" s="14"/>
      <c r="F2752" s="14"/>
      <c r="G2752" s="18"/>
    </row>
    <row r="2753" spans="2:7" x14ac:dyDescent="0.35">
      <c r="B2753" s="47"/>
      <c r="C2753" s="14"/>
      <c r="D2753" s="14"/>
      <c r="E2753" s="14"/>
      <c r="F2753" s="14"/>
      <c r="G2753" s="18"/>
    </row>
    <row r="2754" spans="2:7" x14ac:dyDescent="0.35">
      <c r="B2754" s="47"/>
      <c r="C2754" s="14"/>
      <c r="D2754" s="14"/>
      <c r="E2754" s="14"/>
      <c r="F2754" s="14"/>
      <c r="G2754" s="18"/>
    </row>
    <row r="2755" spans="2:7" x14ac:dyDescent="0.35">
      <c r="B2755" s="47"/>
      <c r="C2755" s="14"/>
      <c r="D2755" s="14"/>
      <c r="E2755" s="14"/>
      <c r="F2755" s="14"/>
      <c r="G2755" s="18"/>
    </row>
    <row r="2756" spans="2:7" x14ac:dyDescent="0.35">
      <c r="B2756" s="47"/>
      <c r="C2756" s="14"/>
      <c r="D2756" s="14"/>
      <c r="E2756" s="14"/>
      <c r="F2756" s="14"/>
      <c r="G2756" s="18"/>
    </row>
    <row r="2757" spans="2:7" x14ac:dyDescent="0.35">
      <c r="B2757" s="47"/>
      <c r="C2757" s="14"/>
      <c r="D2757" s="14"/>
      <c r="E2757" s="14"/>
      <c r="F2757" s="14"/>
      <c r="G2757" s="18"/>
    </row>
    <row r="2758" spans="2:7" x14ac:dyDescent="0.35">
      <c r="B2758" s="47"/>
      <c r="C2758" s="14"/>
      <c r="D2758" s="14"/>
      <c r="E2758" s="14"/>
      <c r="F2758" s="14"/>
      <c r="G2758" s="18"/>
    </row>
    <row r="2759" spans="2:7" x14ac:dyDescent="0.35">
      <c r="B2759" s="47"/>
      <c r="C2759" s="14"/>
      <c r="D2759" s="14"/>
      <c r="E2759" s="14"/>
      <c r="F2759" s="14"/>
      <c r="G2759" s="18"/>
    </row>
    <row r="2760" spans="2:7" x14ac:dyDescent="0.35">
      <c r="B2760" s="47"/>
      <c r="C2760" s="14"/>
      <c r="D2760" s="14"/>
      <c r="E2760" s="14"/>
      <c r="F2760" s="14"/>
      <c r="G2760" s="18"/>
    </row>
    <row r="2761" spans="2:7" x14ac:dyDescent="0.35">
      <c r="B2761" s="47"/>
      <c r="C2761" s="14"/>
      <c r="D2761" s="14"/>
      <c r="E2761" s="14"/>
      <c r="F2761" s="14"/>
      <c r="G2761" s="18"/>
    </row>
    <row r="2762" spans="2:7" x14ac:dyDescent="0.35">
      <c r="B2762" s="47"/>
      <c r="C2762" s="14"/>
      <c r="D2762" s="14"/>
      <c r="E2762" s="14"/>
      <c r="F2762" s="14"/>
      <c r="G2762" s="18"/>
    </row>
    <row r="2763" spans="2:7" x14ac:dyDescent="0.35">
      <c r="B2763" s="47"/>
      <c r="C2763" s="14"/>
      <c r="D2763" s="14"/>
      <c r="E2763" s="14"/>
      <c r="F2763" s="14"/>
      <c r="G2763" s="18"/>
    </row>
    <row r="2764" spans="2:7" x14ac:dyDescent="0.35">
      <c r="B2764" s="47"/>
      <c r="C2764" s="14"/>
      <c r="D2764" s="14"/>
      <c r="E2764" s="14"/>
      <c r="F2764" s="14"/>
      <c r="G2764" s="18"/>
    </row>
    <row r="2765" spans="2:7" x14ac:dyDescent="0.35">
      <c r="B2765" s="47"/>
      <c r="C2765" s="14"/>
      <c r="D2765" s="14"/>
      <c r="E2765" s="14"/>
      <c r="F2765" s="14"/>
      <c r="G2765" s="18"/>
    </row>
    <row r="2766" spans="2:7" x14ac:dyDescent="0.35">
      <c r="B2766" s="47"/>
      <c r="C2766" s="14"/>
      <c r="D2766" s="14"/>
      <c r="E2766" s="14"/>
      <c r="F2766" s="14"/>
      <c r="G2766" s="18"/>
    </row>
    <row r="2767" spans="2:7" x14ac:dyDescent="0.35">
      <c r="B2767" s="47"/>
      <c r="C2767" s="14"/>
      <c r="D2767" s="14"/>
      <c r="E2767" s="14"/>
      <c r="F2767" s="14"/>
      <c r="G2767" s="18"/>
    </row>
    <row r="2768" spans="2:7" x14ac:dyDescent="0.35">
      <c r="B2768" s="47"/>
      <c r="C2768" s="14"/>
      <c r="D2768" s="14"/>
      <c r="E2768" s="14"/>
      <c r="F2768" s="14"/>
      <c r="G2768" s="18"/>
    </row>
    <row r="2769" spans="2:7" x14ac:dyDescent="0.35">
      <c r="B2769" s="47"/>
      <c r="C2769" s="14"/>
      <c r="D2769" s="14"/>
      <c r="E2769" s="14"/>
      <c r="F2769" s="14"/>
      <c r="G2769" s="18"/>
    </row>
    <row r="2770" spans="2:7" x14ac:dyDescent="0.35">
      <c r="B2770" s="47"/>
      <c r="C2770" s="14"/>
      <c r="D2770" s="14"/>
      <c r="E2770" s="14"/>
      <c r="F2770" s="14"/>
      <c r="G2770" s="18"/>
    </row>
    <row r="2771" spans="2:7" x14ac:dyDescent="0.35">
      <c r="B2771" s="47"/>
      <c r="C2771" s="14"/>
      <c r="D2771" s="14"/>
      <c r="E2771" s="14"/>
      <c r="F2771" s="14"/>
      <c r="G2771" s="18"/>
    </row>
    <row r="2772" spans="2:7" x14ac:dyDescent="0.35">
      <c r="B2772" s="47"/>
      <c r="C2772" s="14"/>
      <c r="D2772" s="14"/>
      <c r="E2772" s="14"/>
      <c r="F2772" s="14"/>
      <c r="G2772" s="18"/>
    </row>
    <row r="2773" spans="2:7" x14ac:dyDescent="0.35">
      <c r="B2773" s="47"/>
      <c r="C2773" s="14"/>
      <c r="D2773" s="14"/>
      <c r="E2773" s="14"/>
      <c r="F2773" s="14"/>
      <c r="G2773" s="18"/>
    </row>
    <row r="2774" spans="2:7" x14ac:dyDescent="0.35">
      <c r="B2774" s="47"/>
      <c r="C2774" s="14"/>
      <c r="D2774" s="14"/>
      <c r="E2774" s="14"/>
      <c r="F2774" s="14"/>
      <c r="G2774" s="18"/>
    </row>
    <row r="2775" spans="2:7" x14ac:dyDescent="0.35">
      <c r="B2775" s="47"/>
      <c r="C2775" s="14"/>
      <c r="D2775" s="14"/>
      <c r="E2775" s="14"/>
      <c r="F2775" s="14"/>
      <c r="G2775" s="18"/>
    </row>
    <row r="2776" spans="2:7" x14ac:dyDescent="0.35">
      <c r="B2776" s="47"/>
      <c r="C2776" s="14"/>
      <c r="D2776" s="14"/>
      <c r="E2776" s="14"/>
      <c r="F2776" s="14"/>
      <c r="G2776" s="18"/>
    </row>
    <row r="2777" spans="2:7" x14ac:dyDescent="0.35">
      <c r="B2777" s="47"/>
      <c r="C2777" s="14"/>
      <c r="D2777" s="14"/>
      <c r="E2777" s="14"/>
      <c r="F2777" s="14"/>
      <c r="G2777" s="18"/>
    </row>
    <row r="2778" spans="2:7" x14ac:dyDescent="0.35">
      <c r="B2778" s="47"/>
      <c r="C2778" s="14"/>
      <c r="D2778" s="14"/>
      <c r="E2778" s="14"/>
      <c r="F2778" s="14"/>
      <c r="G2778" s="18"/>
    </row>
    <row r="2779" spans="2:7" x14ac:dyDescent="0.35">
      <c r="B2779" s="47"/>
      <c r="C2779" s="14"/>
      <c r="D2779" s="14"/>
      <c r="E2779" s="14"/>
      <c r="F2779" s="14"/>
      <c r="G2779" s="18"/>
    </row>
    <row r="2780" spans="2:7" x14ac:dyDescent="0.35">
      <c r="B2780" s="47"/>
      <c r="C2780" s="14"/>
      <c r="D2780" s="14"/>
      <c r="E2780" s="14"/>
      <c r="F2780" s="14"/>
      <c r="G2780" s="18"/>
    </row>
    <row r="2781" spans="2:7" x14ac:dyDescent="0.35">
      <c r="B2781" s="47"/>
      <c r="C2781" s="14"/>
      <c r="D2781" s="14"/>
      <c r="E2781" s="14"/>
      <c r="F2781" s="14"/>
      <c r="G2781" s="18"/>
    </row>
    <row r="2782" spans="2:7" x14ac:dyDescent="0.35">
      <c r="B2782" s="47"/>
      <c r="C2782" s="14"/>
      <c r="D2782" s="14"/>
      <c r="E2782" s="14"/>
      <c r="F2782" s="14"/>
      <c r="G2782" s="18"/>
    </row>
    <row r="2783" spans="2:7" x14ac:dyDescent="0.35">
      <c r="B2783" s="47"/>
      <c r="C2783" s="14"/>
      <c r="D2783" s="14"/>
      <c r="E2783" s="14"/>
      <c r="F2783" s="14"/>
      <c r="G2783" s="18"/>
    </row>
    <row r="2784" spans="2:7" x14ac:dyDescent="0.35">
      <c r="B2784" s="47"/>
      <c r="C2784" s="14"/>
      <c r="D2784" s="14"/>
      <c r="E2784" s="14"/>
      <c r="F2784" s="14"/>
      <c r="G2784" s="18"/>
    </row>
    <row r="2785" spans="2:7" x14ac:dyDescent="0.35">
      <c r="B2785" s="47"/>
      <c r="C2785" s="14"/>
      <c r="D2785" s="14"/>
      <c r="E2785" s="14"/>
      <c r="F2785" s="14"/>
      <c r="G2785" s="18"/>
    </row>
    <row r="2786" spans="2:7" x14ac:dyDescent="0.35">
      <c r="B2786" s="47"/>
      <c r="C2786" s="14"/>
      <c r="D2786" s="14"/>
      <c r="E2786" s="14"/>
      <c r="F2786" s="14"/>
      <c r="G2786" s="18"/>
    </row>
    <row r="2787" spans="2:7" x14ac:dyDescent="0.35">
      <c r="B2787" s="47"/>
      <c r="C2787" s="14"/>
      <c r="D2787" s="14"/>
      <c r="E2787" s="14"/>
      <c r="F2787" s="14"/>
      <c r="G2787" s="18"/>
    </row>
    <row r="2788" spans="2:7" x14ac:dyDescent="0.35">
      <c r="B2788" s="47"/>
      <c r="C2788" s="14"/>
      <c r="D2788" s="14"/>
      <c r="E2788" s="14"/>
      <c r="F2788" s="14"/>
      <c r="G2788" s="18"/>
    </row>
    <row r="2789" spans="2:7" x14ac:dyDescent="0.35">
      <c r="B2789" s="47"/>
      <c r="C2789" s="14"/>
      <c r="D2789" s="14"/>
      <c r="E2789" s="14"/>
      <c r="F2789" s="14"/>
      <c r="G2789" s="18"/>
    </row>
    <row r="2790" spans="2:7" x14ac:dyDescent="0.35">
      <c r="B2790" s="47"/>
      <c r="C2790" s="14"/>
      <c r="D2790" s="14"/>
      <c r="E2790" s="14"/>
      <c r="F2790" s="14"/>
      <c r="G2790" s="18"/>
    </row>
    <row r="2791" spans="2:7" x14ac:dyDescent="0.35">
      <c r="B2791" s="47"/>
      <c r="C2791" s="14"/>
      <c r="D2791" s="14"/>
      <c r="E2791" s="14"/>
      <c r="F2791" s="14"/>
      <c r="G2791" s="18"/>
    </row>
    <row r="2792" spans="2:7" x14ac:dyDescent="0.35">
      <c r="B2792" s="47"/>
      <c r="C2792" s="14"/>
      <c r="D2792" s="14"/>
      <c r="E2792" s="14"/>
      <c r="F2792" s="14"/>
      <c r="G2792" s="18"/>
    </row>
    <row r="2793" spans="2:7" x14ac:dyDescent="0.35">
      <c r="B2793" s="47"/>
      <c r="C2793" s="14"/>
      <c r="D2793" s="14"/>
      <c r="E2793" s="14"/>
      <c r="F2793" s="14"/>
      <c r="G2793" s="18"/>
    </row>
    <row r="2794" spans="2:7" x14ac:dyDescent="0.35">
      <c r="B2794" s="47"/>
      <c r="C2794" s="14"/>
      <c r="D2794" s="14"/>
      <c r="E2794" s="14"/>
      <c r="F2794" s="14"/>
      <c r="G2794" s="18"/>
    </row>
    <row r="2795" spans="2:7" x14ac:dyDescent="0.35">
      <c r="B2795" s="47"/>
      <c r="C2795" s="14"/>
      <c r="D2795" s="14"/>
      <c r="E2795" s="14"/>
      <c r="F2795" s="14"/>
      <c r="G2795" s="18"/>
    </row>
    <row r="2796" spans="2:7" x14ac:dyDescent="0.35">
      <c r="B2796" s="47"/>
      <c r="C2796" s="14"/>
      <c r="D2796" s="14"/>
      <c r="E2796" s="14"/>
      <c r="F2796" s="14"/>
      <c r="G2796" s="18"/>
    </row>
    <row r="2797" spans="2:7" x14ac:dyDescent="0.35">
      <c r="B2797" s="47"/>
      <c r="C2797" s="14"/>
      <c r="D2797" s="14"/>
      <c r="E2797" s="14"/>
      <c r="F2797" s="14"/>
      <c r="G2797" s="18"/>
    </row>
    <row r="2798" spans="2:7" x14ac:dyDescent="0.35">
      <c r="B2798" s="47"/>
      <c r="C2798" s="14"/>
      <c r="D2798" s="14"/>
      <c r="E2798" s="14"/>
      <c r="F2798" s="14"/>
      <c r="G2798" s="18"/>
    </row>
    <row r="2799" spans="2:7" x14ac:dyDescent="0.35">
      <c r="B2799" s="47"/>
      <c r="C2799" s="14"/>
      <c r="D2799" s="14"/>
      <c r="E2799" s="14"/>
      <c r="F2799" s="14"/>
      <c r="G2799" s="18"/>
    </row>
    <row r="2800" spans="2:7" x14ac:dyDescent="0.35">
      <c r="B2800" s="47"/>
      <c r="C2800" s="14"/>
      <c r="D2800" s="14"/>
      <c r="E2800" s="14"/>
      <c r="F2800" s="14"/>
      <c r="G2800" s="18"/>
    </row>
    <row r="2801" spans="2:7" x14ac:dyDescent="0.35">
      <c r="B2801" s="47"/>
      <c r="C2801" s="14"/>
      <c r="D2801" s="14"/>
      <c r="E2801" s="14"/>
      <c r="F2801" s="14"/>
      <c r="G2801" s="18"/>
    </row>
    <row r="2802" spans="2:7" x14ac:dyDescent="0.35">
      <c r="B2802" s="47"/>
      <c r="C2802" s="14"/>
      <c r="D2802" s="14"/>
      <c r="E2802" s="14"/>
      <c r="F2802" s="14"/>
      <c r="G2802" s="18"/>
    </row>
    <row r="2803" spans="2:7" x14ac:dyDescent="0.35">
      <c r="B2803" s="47"/>
      <c r="C2803" s="14"/>
      <c r="D2803" s="14"/>
      <c r="E2803" s="14"/>
      <c r="F2803" s="14"/>
      <c r="G2803" s="18"/>
    </row>
    <row r="2804" spans="2:7" x14ac:dyDescent="0.35">
      <c r="B2804" s="47"/>
      <c r="C2804" s="14"/>
      <c r="D2804" s="14"/>
      <c r="E2804" s="14"/>
      <c r="F2804" s="14"/>
      <c r="G2804" s="18"/>
    </row>
    <row r="2805" spans="2:7" x14ac:dyDescent="0.35">
      <c r="B2805" s="47"/>
      <c r="C2805" s="14"/>
      <c r="D2805" s="14"/>
      <c r="E2805" s="14"/>
      <c r="F2805" s="14"/>
      <c r="G2805" s="18"/>
    </row>
    <row r="2806" spans="2:7" x14ac:dyDescent="0.35">
      <c r="B2806" s="47"/>
      <c r="C2806" s="14"/>
      <c r="D2806" s="14"/>
      <c r="E2806" s="14"/>
      <c r="F2806" s="14"/>
      <c r="G2806" s="18"/>
    </row>
    <row r="2807" spans="2:7" x14ac:dyDescent="0.35">
      <c r="B2807" s="47"/>
      <c r="C2807" s="14"/>
      <c r="D2807" s="14"/>
      <c r="E2807" s="14"/>
      <c r="F2807" s="14"/>
      <c r="G2807" s="18"/>
    </row>
    <row r="2808" spans="2:7" x14ac:dyDescent="0.35">
      <c r="B2808" s="47"/>
      <c r="C2808" s="14"/>
      <c r="D2808" s="14"/>
      <c r="E2808" s="14"/>
      <c r="F2808" s="14"/>
      <c r="G2808" s="18"/>
    </row>
    <row r="2809" spans="2:7" x14ac:dyDescent="0.35">
      <c r="B2809" s="47"/>
      <c r="C2809" s="14"/>
      <c r="D2809" s="14"/>
      <c r="E2809" s="14"/>
      <c r="F2809" s="14"/>
      <c r="G2809" s="18"/>
    </row>
    <row r="2810" spans="2:7" x14ac:dyDescent="0.35">
      <c r="B2810" s="47"/>
      <c r="C2810" s="14"/>
      <c r="D2810" s="14"/>
      <c r="E2810" s="14"/>
      <c r="F2810" s="14"/>
      <c r="G2810" s="18"/>
    </row>
    <row r="2811" spans="2:7" x14ac:dyDescent="0.35">
      <c r="B2811" s="47"/>
      <c r="C2811" s="14"/>
      <c r="D2811" s="14"/>
      <c r="E2811" s="14"/>
      <c r="F2811" s="14"/>
      <c r="G2811" s="18"/>
    </row>
    <row r="2812" spans="2:7" x14ac:dyDescent="0.35">
      <c r="B2812" s="47"/>
      <c r="C2812" s="14"/>
      <c r="D2812" s="14"/>
      <c r="E2812" s="14"/>
      <c r="F2812" s="14"/>
      <c r="G2812" s="18"/>
    </row>
    <row r="2813" spans="2:7" x14ac:dyDescent="0.35">
      <c r="B2813" s="47"/>
      <c r="C2813" s="14"/>
      <c r="D2813" s="14"/>
      <c r="E2813" s="14"/>
      <c r="F2813" s="14"/>
      <c r="G2813" s="18"/>
    </row>
    <row r="2814" spans="2:7" x14ac:dyDescent="0.35">
      <c r="B2814" s="47"/>
      <c r="C2814" s="14"/>
      <c r="D2814" s="14"/>
      <c r="E2814" s="14"/>
      <c r="F2814" s="14"/>
      <c r="G2814" s="18"/>
    </row>
    <row r="2815" spans="2:7" x14ac:dyDescent="0.35">
      <c r="B2815" s="47"/>
      <c r="C2815" s="14"/>
      <c r="D2815" s="14"/>
      <c r="E2815" s="14"/>
      <c r="F2815" s="14"/>
      <c r="G2815" s="18"/>
    </row>
    <row r="2816" spans="2:7" x14ac:dyDescent="0.35">
      <c r="B2816" s="47"/>
      <c r="C2816" s="14"/>
      <c r="D2816" s="14"/>
      <c r="E2816" s="14"/>
      <c r="F2816" s="14"/>
      <c r="G2816" s="18"/>
    </row>
    <row r="2817" spans="2:7" x14ac:dyDescent="0.35">
      <c r="B2817" s="47"/>
      <c r="C2817" s="14"/>
      <c r="D2817" s="14"/>
      <c r="E2817" s="14"/>
      <c r="F2817" s="14"/>
      <c r="G2817" s="18"/>
    </row>
    <row r="2818" spans="2:7" x14ac:dyDescent="0.35">
      <c r="B2818" s="47"/>
      <c r="C2818" s="14"/>
      <c r="D2818" s="14"/>
      <c r="E2818" s="14"/>
      <c r="F2818" s="14"/>
      <c r="G2818" s="18"/>
    </row>
    <row r="2819" spans="2:7" x14ac:dyDescent="0.35">
      <c r="B2819" s="47"/>
      <c r="C2819" s="14"/>
      <c r="D2819" s="14"/>
      <c r="E2819" s="14"/>
      <c r="F2819" s="14"/>
      <c r="G2819" s="18"/>
    </row>
    <row r="2820" spans="2:7" x14ac:dyDescent="0.35">
      <c r="B2820" s="47"/>
      <c r="C2820" s="14"/>
      <c r="D2820" s="14"/>
      <c r="E2820" s="14"/>
      <c r="F2820" s="14"/>
      <c r="G2820" s="18"/>
    </row>
    <row r="2821" spans="2:7" x14ac:dyDescent="0.35">
      <c r="B2821" s="47"/>
      <c r="C2821" s="14"/>
      <c r="D2821" s="14"/>
      <c r="E2821" s="14"/>
      <c r="F2821" s="14"/>
      <c r="G2821" s="18"/>
    </row>
    <row r="2822" spans="2:7" x14ac:dyDescent="0.35">
      <c r="B2822" s="47"/>
      <c r="C2822" s="14"/>
      <c r="D2822" s="14"/>
      <c r="E2822" s="14"/>
      <c r="F2822" s="14"/>
      <c r="G2822" s="18"/>
    </row>
    <row r="2823" spans="2:7" x14ac:dyDescent="0.35">
      <c r="B2823" s="47"/>
      <c r="C2823" s="14"/>
      <c r="D2823" s="14"/>
      <c r="E2823" s="14"/>
      <c r="F2823" s="14"/>
      <c r="G2823" s="18"/>
    </row>
    <row r="2824" spans="2:7" x14ac:dyDescent="0.35">
      <c r="B2824" s="47"/>
      <c r="C2824" s="14"/>
      <c r="D2824" s="14"/>
      <c r="E2824" s="14"/>
      <c r="F2824" s="14"/>
      <c r="G2824" s="18"/>
    </row>
    <row r="2825" spans="2:7" x14ac:dyDescent="0.35">
      <c r="B2825" s="47"/>
      <c r="C2825" s="14"/>
      <c r="D2825" s="14"/>
      <c r="E2825" s="14"/>
      <c r="F2825" s="14"/>
      <c r="G2825" s="18"/>
    </row>
    <row r="2826" spans="2:7" x14ac:dyDescent="0.35">
      <c r="B2826" s="47"/>
      <c r="C2826" s="14"/>
      <c r="D2826" s="14"/>
      <c r="E2826" s="14"/>
      <c r="F2826" s="14"/>
      <c r="G2826" s="18"/>
    </row>
    <row r="2827" spans="2:7" x14ac:dyDescent="0.35">
      <c r="B2827" s="47"/>
      <c r="C2827" s="14"/>
      <c r="D2827" s="14"/>
      <c r="E2827" s="14"/>
      <c r="F2827" s="14"/>
      <c r="G2827" s="18"/>
    </row>
    <row r="2828" spans="2:7" x14ac:dyDescent="0.35">
      <c r="B2828" s="47"/>
      <c r="C2828" s="14"/>
      <c r="D2828" s="14"/>
      <c r="E2828" s="14"/>
      <c r="F2828" s="14"/>
      <c r="G2828" s="18"/>
    </row>
    <row r="2829" spans="2:7" x14ac:dyDescent="0.35">
      <c r="B2829" s="47"/>
      <c r="C2829" s="14"/>
      <c r="D2829" s="14"/>
      <c r="E2829" s="14"/>
      <c r="F2829" s="14"/>
      <c r="G2829" s="18"/>
    </row>
    <row r="2830" spans="2:7" x14ac:dyDescent="0.35">
      <c r="B2830" s="47"/>
      <c r="C2830" s="14"/>
      <c r="D2830" s="14"/>
      <c r="E2830" s="14"/>
      <c r="F2830" s="14"/>
      <c r="G2830" s="18"/>
    </row>
    <row r="2831" spans="2:7" x14ac:dyDescent="0.35">
      <c r="B2831" s="47"/>
      <c r="C2831" s="14"/>
      <c r="D2831" s="14"/>
      <c r="E2831" s="14"/>
      <c r="F2831" s="14"/>
      <c r="G2831" s="18"/>
    </row>
    <row r="2832" spans="2:7" x14ac:dyDescent="0.35">
      <c r="B2832" s="47"/>
      <c r="C2832" s="14"/>
      <c r="D2832" s="14"/>
      <c r="E2832" s="14"/>
      <c r="F2832" s="14"/>
      <c r="G2832" s="18"/>
    </row>
    <row r="2833" spans="2:7" x14ac:dyDescent="0.35">
      <c r="B2833" s="47"/>
      <c r="C2833" s="14"/>
      <c r="D2833" s="14"/>
      <c r="E2833" s="14"/>
      <c r="F2833" s="14"/>
      <c r="G2833" s="18"/>
    </row>
    <row r="2834" spans="2:7" x14ac:dyDescent="0.35">
      <c r="B2834" s="47"/>
      <c r="C2834" s="14"/>
      <c r="D2834" s="14"/>
      <c r="E2834" s="14"/>
      <c r="F2834" s="14"/>
      <c r="G2834" s="18"/>
    </row>
    <row r="2835" spans="2:7" x14ac:dyDescent="0.35">
      <c r="B2835" s="47"/>
      <c r="C2835" s="14"/>
      <c r="D2835" s="14"/>
      <c r="E2835" s="14"/>
      <c r="F2835" s="14"/>
      <c r="G2835" s="18"/>
    </row>
    <row r="2836" spans="2:7" x14ac:dyDescent="0.35">
      <c r="B2836" s="47"/>
      <c r="C2836" s="14"/>
      <c r="D2836" s="14"/>
      <c r="E2836" s="14"/>
      <c r="F2836" s="14"/>
      <c r="G2836" s="18"/>
    </row>
    <row r="2837" spans="2:7" x14ac:dyDescent="0.35">
      <c r="B2837" s="47"/>
      <c r="C2837" s="14"/>
      <c r="D2837" s="14"/>
      <c r="E2837" s="14"/>
      <c r="F2837" s="14"/>
      <c r="G2837" s="18"/>
    </row>
    <row r="2838" spans="2:7" x14ac:dyDescent="0.35">
      <c r="B2838" s="47"/>
      <c r="C2838" s="14"/>
      <c r="D2838" s="14"/>
      <c r="E2838" s="14"/>
      <c r="F2838" s="14"/>
      <c r="G2838" s="18"/>
    </row>
    <row r="2839" spans="2:7" x14ac:dyDescent="0.35">
      <c r="B2839" s="47"/>
      <c r="C2839" s="14"/>
      <c r="D2839" s="14"/>
      <c r="E2839" s="14"/>
      <c r="F2839" s="14"/>
      <c r="G2839" s="18"/>
    </row>
    <row r="2840" spans="2:7" x14ac:dyDescent="0.35">
      <c r="B2840" s="47"/>
      <c r="C2840" s="14"/>
      <c r="D2840" s="14"/>
      <c r="E2840" s="14"/>
      <c r="F2840" s="14"/>
      <c r="G2840" s="18"/>
    </row>
    <row r="2841" spans="2:7" x14ac:dyDescent="0.35">
      <c r="B2841" s="47"/>
      <c r="C2841" s="14"/>
      <c r="D2841" s="14"/>
      <c r="E2841" s="14"/>
      <c r="F2841" s="14"/>
      <c r="G2841" s="18"/>
    </row>
    <row r="2842" spans="2:7" x14ac:dyDescent="0.35">
      <c r="B2842" s="47"/>
      <c r="C2842" s="14"/>
      <c r="D2842" s="14"/>
      <c r="E2842" s="14"/>
      <c r="F2842" s="14"/>
      <c r="G2842" s="18"/>
    </row>
    <row r="2843" spans="2:7" x14ac:dyDescent="0.35">
      <c r="B2843" s="47"/>
      <c r="C2843" s="14"/>
      <c r="D2843" s="14"/>
      <c r="E2843" s="14"/>
      <c r="F2843" s="14"/>
      <c r="G2843" s="18"/>
    </row>
    <row r="2844" spans="2:7" x14ac:dyDescent="0.35">
      <c r="B2844" s="47"/>
      <c r="C2844" s="14"/>
      <c r="D2844" s="14"/>
      <c r="E2844" s="14"/>
      <c r="F2844" s="14"/>
      <c r="G2844" s="18"/>
    </row>
    <row r="2845" spans="2:7" x14ac:dyDescent="0.35">
      <c r="B2845" s="47"/>
      <c r="C2845" s="14"/>
      <c r="D2845" s="14"/>
      <c r="E2845" s="14"/>
      <c r="F2845" s="14"/>
      <c r="G2845" s="18"/>
    </row>
    <row r="2846" spans="2:7" x14ac:dyDescent="0.35">
      <c r="B2846" s="47"/>
      <c r="C2846" s="14"/>
      <c r="D2846" s="14"/>
      <c r="E2846" s="14"/>
      <c r="F2846" s="14"/>
      <c r="G2846" s="18"/>
    </row>
    <row r="2847" spans="2:7" x14ac:dyDescent="0.35">
      <c r="B2847" s="47"/>
      <c r="C2847" s="14"/>
      <c r="D2847" s="14"/>
      <c r="E2847" s="14"/>
      <c r="F2847" s="14"/>
      <c r="G2847" s="18"/>
    </row>
    <row r="2848" spans="2:7" x14ac:dyDescent="0.35">
      <c r="B2848" s="47"/>
      <c r="C2848" s="14"/>
      <c r="D2848" s="14"/>
      <c r="E2848" s="14"/>
      <c r="F2848" s="14"/>
      <c r="G2848" s="18"/>
    </row>
    <row r="2849" spans="2:7" x14ac:dyDescent="0.35">
      <c r="B2849" s="47"/>
      <c r="C2849" s="14"/>
      <c r="D2849" s="14"/>
      <c r="E2849" s="14"/>
      <c r="F2849" s="14"/>
      <c r="G2849" s="18"/>
    </row>
    <row r="2850" spans="2:7" x14ac:dyDescent="0.35">
      <c r="B2850" s="47"/>
      <c r="C2850" s="14"/>
      <c r="D2850" s="14"/>
      <c r="E2850" s="14"/>
      <c r="F2850" s="14"/>
      <c r="G2850" s="18"/>
    </row>
    <row r="2851" spans="2:7" x14ac:dyDescent="0.35">
      <c r="B2851" s="47"/>
      <c r="C2851" s="14"/>
      <c r="D2851" s="14"/>
      <c r="E2851" s="14"/>
      <c r="F2851" s="14"/>
      <c r="G2851" s="18"/>
    </row>
    <row r="2852" spans="2:7" x14ac:dyDescent="0.35">
      <c r="B2852" s="47"/>
      <c r="C2852" s="14"/>
      <c r="D2852" s="14"/>
      <c r="E2852" s="14"/>
      <c r="F2852" s="14"/>
      <c r="G2852" s="18"/>
    </row>
    <row r="2853" spans="2:7" x14ac:dyDescent="0.35">
      <c r="B2853" s="47"/>
      <c r="C2853" s="14"/>
      <c r="D2853" s="14"/>
      <c r="E2853" s="14"/>
      <c r="F2853" s="14"/>
      <c r="G2853" s="18"/>
    </row>
    <row r="2854" spans="2:7" x14ac:dyDescent="0.35">
      <c r="B2854" s="47"/>
      <c r="C2854" s="14"/>
      <c r="D2854" s="14"/>
      <c r="E2854" s="14"/>
      <c r="F2854" s="14"/>
      <c r="G2854" s="18"/>
    </row>
    <row r="2855" spans="2:7" x14ac:dyDescent="0.35">
      <c r="B2855" s="47"/>
      <c r="C2855" s="14"/>
      <c r="D2855" s="14"/>
      <c r="E2855" s="14"/>
      <c r="F2855" s="14"/>
      <c r="G2855" s="18"/>
    </row>
    <row r="2856" spans="2:7" x14ac:dyDescent="0.35">
      <c r="B2856" s="47"/>
      <c r="C2856" s="14"/>
      <c r="D2856" s="14"/>
      <c r="E2856" s="14"/>
      <c r="F2856" s="14"/>
      <c r="G2856" s="18"/>
    </row>
    <row r="2857" spans="2:7" x14ac:dyDescent="0.35">
      <c r="B2857" s="47"/>
      <c r="C2857" s="14"/>
      <c r="D2857" s="14"/>
      <c r="E2857" s="14"/>
      <c r="F2857" s="14"/>
      <c r="G2857" s="18"/>
    </row>
    <row r="2858" spans="2:7" x14ac:dyDescent="0.35">
      <c r="B2858" s="47"/>
      <c r="C2858" s="14"/>
      <c r="D2858" s="14"/>
      <c r="E2858" s="14"/>
      <c r="F2858" s="14"/>
      <c r="G2858" s="18"/>
    </row>
    <row r="2859" spans="2:7" x14ac:dyDescent="0.35">
      <c r="B2859" s="47"/>
      <c r="C2859" s="14"/>
      <c r="D2859" s="14"/>
      <c r="E2859" s="14"/>
      <c r="F2859" s="14"/>
      <c r="G2859" s="18"/>
    </row>
    <row r="2860" spans="2:7" x14ac:dyDescent="0.35">
      <c r="B2860" s="47"/>
      <c r="C2860" s="14"/>
      <c r="D2860" s="14"/>
      <c r="E2860" s="14"/>
      <c r="F2860" s="14"/>
      <c r="G2860" s="18"/>
    </row>
    <row r="2861" spans="2:7" x14ac:dyDescent="0.35">
      <c r="B2861" s="47"/>
      <c r="C2861" s="14"/>
      <c r="D2861" s="14"/>
      <c r="E2861" s="14"/>
      <c r="F2861" s="14"/>
      <c r="G2861" s="18"/>
    </row>
    <row r="2862" spans="2:7" x14ac:dyDescent="0.35">
      <c r="B2862" s="47"/>
      <c r="C2862" s="14"/>
      <c r="D2862" s="14"/>
      <c r="E2862" s="14"/>
      <c r="F2862" s="14"/>
      <c r="G2862" s="18"/>
    </row>
    <row r="2863" spans="2:7" x14ac:dyDescent="0.35">
      <c r="B2863" s="47"/>
      <c r="C2863" s="14"/>
      <c r="D2863" s="14"/>
      <c r="E2863" s="14"/>
      <c r="F2863" s="14"/>
      <c r="G2863" s="18"/>
    </row>
    <row r="2864" spans="2:7" x14ac:dyDescent="0.35">
      <c r="B2864" s="47"/>
      <c r="C2864" s="14"/>
      <c r="D2864" s="14"/>
      <c r="E2864" s="14"/>
      <c r="F2864" s="14"/>
      <c r="G2864" s="18"/>
    </row>
    <row r="2865" spans="2:7" x14ac:dyDescent="0.35">
      <c r="B2865" s="47"/>
      <c r="C2865" s="14"/>
      <c r="D2865" s="14"/>
      <c r="E2865" s="14"/>
      <c r="F2865" s="14"/>
      <c r="G2865" s="18"/>
    </row>
    <row r="2866" spans="2:7" x14ac:dyDescent="0.35">
      <c r="B2866" s="47"/>
      <c r="C2866" s="14"/>
      <c r="D2866" s="14"/>
      <c r="E2866" s="14"/>
      <c r="F2866" s="14"/>
      <c r="G2866" s="18"/>
    </row>
    <row r="2867" spans="2:7" x14ac:dyDescent="0.35">
      <c r="B2867" s="47"/>
      <c r="C2867" s="14"/>
      <c r="D2867" s="14"/>
      <c r="E2867" s="14"/>
      <c r="F2867" s="14"/>
      <c r="G2867" s="18"/>
    </row>
    <row r="2868" spans="2:7" x14ac:dyDescent="0.35">
      <c r="B2868" s="47"/>
      <c r="C2868" s="14"/>
      <c r="D2868" s="14"/>
      <c r="E2868" s="14"/>
      <c r="F2868" s="14"/>
      <c r="G2868" s="18"/>
    </row>
    <row r="2869" spans="2:7" x14ac:dyDescent="0.35">
      <c r="B2869" s="47"/>
      <c r="C2869" s="14"/>
      <c r="D2869" s="14"/>
      <c r="E2869" s="14"/>
      <c r="F2869" s="14"/>
      <c r="G2869" s="18"/>
    </row>
    <row r="2870" spans="2:7" x14ac:dyDescent="0.35">
      <c r="B2870" s="47"/>
      <c r="C2870" s="14"/>
      <c r="D2870" s="14"/>
      <c r="E2870" s="14"/>
      <c r="F2870" s="14"/>
      <c r="G2870" s="18"/>
    </row>
    <row r="2871" spans="2:7" x14ac:dyDescent="0.35">
      <c r="B2871" s="47"/>
      <c r="C2871" s="14"/>
      <c r="D2871" s="14"/>
      <c r="E2871" s="14"/>
      <c r="F2871" s="14"/>
      <c r="G2871" s="18"/>
    </row>
    <row r="2872" spans="2:7" x14ac:dyDescent="0.35">
      <c r="B2872" s="47"/>
      <c r="C2872" s="14"/>
      <c r="D2872" s="14"/>
      <c r="E2872" s="14"/>
      <c r="F2872" s="14"/>
      <c r="G2872" s="18"/>
    </row>
    <row r="2873" spans="2:7" x14ac:dyDescent="0.35">
      <c r="B2873" s="47"/>
      <c r="C2873" s="14"/>
      <c r="D2873" s="14"/>
      <c r="E2873" s="14"/>
      <c r="F2873" s="14"/>
      <c r="G2873" s="18"/>
    </row>
    <row r="2874" spans="2:7" x14ac:dyDescent="0.35">
      <c r="B2874" s="47"/>
      <c r="C2874" s="14"/>
      <c r="D2874" s="14"/>
      <c r="E2874" s="14"/>
      <c r="F2874" s="14"/>
      <c r="G2874" s="18"/>
    </row>
    <row r="2875" spans="2:7" x14ac:dyDescent="0.35">
      <c r="B2875" s="47"/>
      <c r="C2875" s="14"/>
      <c r="D2875" s="14"/>
      <c r="E2875" s="14"/>
      <c r="F2875" s="14"/>
      <c r="G2875" s="18"/>
    </row>
    <row r="2876" spans="2:7" x14ac:dyDescent="0.35">
      <c r="B2876" s="47"/>
      <c r="C2876" s="14"/>
      <c r="D2876" s="14"/>
      <c r="E2876" s="14"/>
      <c r="F2876" s="14"/>
      <c r="G2876" s="18"/>
    </row>
    <row r="2877" spans="2:7" x14ac:dyDescent="0.35">
      <c r="B2877" s="47"/>
      <c r="C2877" s="14"/>
      <c r="D2877" s="14"/>
      <c r="E2877" s="14"/>
      <c r="F2877" s="14"/>
      <c r="G2877" s="18"/>
    </row>
    <row r="2878" spans="2:7" x14ac:dyDescent="0.35">
      <c r="B2878" s="47"/>
      <c r="C2878" s="14"/>
      <c r="D2878" s="14"/>
      <c r="E2878" s="14"/>
      <c r="F2878" s="14"/>
      <c r="G2878" s="18"/>
    </row>
    <row r="2879" spans="2:7" x14ac:dyDescent="0.35">
      <c r="B2879" s="47"/>
      <c r="C2879" s="14"/>
      <c r="D2879" s="14"/>
      <c r="E2879" s="14"/>
      <c r="F2879" s="14"/>
      <c r="G2879" s="18"/>
    </row>
    <row r="2880" spans="2:7" x14ac:dyDescent="0.35">
      <c r="B2880" s="47"/>
      <c r="C2880" s="14"/>
      <c r="D2880" s="14"/>
      <c r="E2880" s="14"/>
      <c r="F2880" s="14"/>
      <c r="G2880" s="18"/>
    </row>
    <row r="2881" spans="2:7" x14ac:dyDescent="0.35">
      <c r="B2881" s="47"/>
      <c r="C2881" s="14"/>
      <c r="D2881" s="14"/>
      <c r="E2881" s="14"/>
      <c r="F2881" s="14"/>
      <c r="G2881" s="18"/>
    </row>
    <row r="2882" spans="2:7" x14ac:dyDescent="0.35">
      <c r="B2882" s="47"/>
      <c r="C2882" s="14"/>
      <c r="D2882" s="14"/>
      <c r="E2882" s="14"/>
      <c r="F2882" s="14"/>
      <c r="G2882" s="18"/>
    </row>
    <row r="2883" spans="2:7" x14ac:dyDescent="0.35">
      <c r="B2883" s="47"/>
      <c r="C2883" s="14"/>
      <c r="D2883" s="14"/>
      <c r="E2883" s="14"/>
      <c r="F2883" s="14"/>
      <c r="G2883" s="18"/>
    </row>
    <row r="2884" spans="2:7" x14ac:dyDescent="0.35">
      <c r="B2884" s="47"/>
      <c r="C2884" s="14"/>
      <c r="D2884" s="14"/>
      <c r="E2884" s="14"/>
      <c r="F2884" s="14"/>
      <c r="G2884" s="18"/>
    </row>
    <row r="2885" spans="2:7" x14ac:dyDescent="0.35">
      <c r="B2885" s="47"/>
      <c r="C2885" s="14"/>
      <c r="D2885" s="14"/>
      <c r="E2885" s="14"/>
      <c r="F2885" s="14"/>
      <c r="G2885" s="18"/>
    </row>
    <row r="2886" spans="2:7" x14ac:dyDescent="0.35">
      <c r="B2886" s="47"/>
      <c r="C2886" s="14"/>
      <c r="D2886" s="14"/>
      <c r="E2886" s="14"/>
      <c r="F2886" s="14"/>
      <c r="G2886" s="18"/>
    </row>
    <row r="2887" spans="2:7" x14ac:dyDescent="0.35">
      <c r="B2887" s="47"/>
      <c r="C2887" s="14"/>
      <c r="D2887" s="14"/>
      <c r="E2887" s="14"/>
      <c r="F2887" s="14"/>
      <c r="G2887" s="18"/>
    </row>
    <row r="2888" spans="2:7" x14ac:dyDescent="0.35">
      <c r="B2888" s="47"/>
      <c r="C2888" s="14"/>
      <c r="D2888" s="14"/>
      <c r="E2888" s="14"/>
      <c r="F2888" s="14"/>
      <c r="G2888" s="18"/>
    </row>
    <row r="2889" spans="2:7" x14ac:dyDescent="0.35">
      <c r="B2889" s="47"/>
      <c r="C2889" s="14"/>
      <c r="D2889" s="14"/>
      <c r="E2889" s="14"/>
      <c r="F2889" s="14"/>
      <c r="G2889" s="18"/>
    </row>
    <row r="2890" spans="2:7" x14ac:dyDescent="0.35">
      <c r="B2890" s="47"/>
      <c r="C2890" s="14"/>
      <c r="D2890" s="14"/>
      <c r="E2890" s="14"/>
      <c r="F2890" s="14"/>
      <c r="G2890" s="18"/>
    </row>
    <row r="2891" spans="2:7" x14ac:dyDescent="0.35">
      <c r="B2891" s="47"/>
      <c r="C2891" s="14"/>
      <c r="D2891" s="14"/>
      <c r="E2891" s="14"/>
      <c r="F2891" s="14"/>
      <c r="G2891" s="18"/>
    </row>
    <row r="2892" spans="2:7" x14ac:dyDescent="0.35">
      <c r="B2892" s="47"/>
      <c r="C2892" s="14"/>
      <c r="D2892" s="14"/>
      <c r="E2892" s="14"/>
      <c r="F2892" s="14"/>
      <c r="G2892" s="18"/>
    </row>
    <row r="2893" spans="2:7" x14ac:dyDescent="0.35">
      <c r="B2893" s="47"/>
      <c r="C2893" s="14"/>
      <c r="D2893" s="14"/>
      <c r="E2893" s="14"/>
      <c r="F2893" s="14"/>
      <c r="G2893" s="18"/>
    </row>
    <row r="2894" spans="2:7" x14ac:dyDescent="0.35">
      <c r="B2894" s="47"/>
      <c r="C2894" s="14"/>
      <c r="D2894" s="14"/>
      <c r="E2894" s="14"/>
      <c r="F2894" s="14"/>
      <c r="G2894" s="18"/>
    </row>
    <row r="2895" spans="2:7" x14ac:dyDescent="0.35">
      <c r="B2895" s="47"/>
      <c r="C2895" s="14"/>
      <c r="D2895" s="14"/>
      <c r="E2895" s="14"/>
      <c r="F2895" s="14"/>
      <c r="G2895" s="18"/>
    </row>
    <row r="2896" spans="2:7" x14ac:dyDescent="0.35">
      <c r="B2896" s="47"/>
      <c r="C2896" s="14"/>
      <c r="D2896" s="14"/>
      <c r="E2896" s="14"/>
      <c r="F2896" s="14"/>
      <c r="G2896" s="18"/>
    </row>
    <row r="2897" spans="2:7" x14ac:dyDescent="0.35">
      <c r="B2897" s="47"/>
      <c r="C2897" s="14"/>
      <c r="D2897" s="14"/>
      <c r="E2897" s="14"/>
      <c r="F2897" s="14"/>
      <c r="G2897" s="18"/>
    </row>
    <row r="2898" spans="2:7" x14ac:dyDescent="0.35">
      <c r="B2898" s="47"/>
      <c r="C2898" s="14"/>
      <c r="D2898" s="14"/>
      <c r="E2898" s="14"/>
      <c r="F2898" s="14"/>
      <c r="G2898" s="18"/>
    </row>
    <row r="2899" spans="2:7" x14ac:dyDescent="0.35">
      <c r="B2899" s="47"/>
      <c r="C2899" s="14"/>
      <c r="D2899" s="14"/>
      <c r="E2899" s="14"/>
      <c r="F2899" s="14"/>
      <c r="G2899" s="18"/>
    </row>
    <row r="2900" spans="2:7" x14ac:dyDescent="0.35">
      <c r="B2900" s="47"/>
      <c r="C2900" s="14"/>
      <c r="D2900" s="14"/>
      <c r="E2900" s="14"/>
      <c r="F2900" s="14"/>
      <c r="G2900" s="18"/>
    </row>
    <row r="2901" spans="2:7" x14ac:dyDescent="0.35">
      <c r="B2901" s="47"/>
      <c r="C2901" s="14"/>
      <c r="D2901" s="14"/>
      <c r="E2901" s="14"/>
      <c r="F2901" s="14"/>
      <c r="G2901" s="18"/>
    </row>
    <row r="2902" spans="2:7" x14ac:dyDescent="0.35">
      <c r="B2902" s="47"/>
      <c r="C2902" s="14"/>
      <c r="D2902" s="14"/>
      <c r="E2902" s="14"/>
      <c r="F2902" s="14"/>
      <c r="G2902" s="18"/>
    </row>
    <row r="2903" spans="2:7" x14ac:dyDescent="0.35">
      <c r="B2903" s="47"/>
      <c r="C2903" s="14"/>
      <c r="D2903" s="14"/>
      <c r="E2903" s="14"/>
      <c r="F2903" s="14"/>
      <c r="G2903" s="18"/>
    </row>
    <row r="2904" spans="2:7" x14ac:dyDescent="0.35">
      <c r="B2904" s="47"/>
      <c r="C2904" s="14"/>
      <c r="D2904" s="14"/>
      <c r="E2904" s="14"/>
      <c r="F2904" s="14"/>
      <c r="G2904" s="18"/>
    </row>
    <row r="2905" spans="2:7" x14ac:dyDescent="0.35">
      <c r="B2905" s="47"/>
      <c r="C2905" s="14"/>
      <c r="D2905" s="14"/>
      <c r="E2905" s="14"/>
      <c r="F2905" s="14"/>
      <c r="G2905" s="18"/>
    </row>
    <row r="2906" spans="2:7" x14ac:dyDescent="0.35">
      <c r="B2906" s="47"/>
      <c r="C2906" s="14"/>
      <c r="D2906" s="14"/>
      <c r="E2906" s="14"/>
      <c r="F2906" s="14"/>
      <c r="G2906" s="18"/>
    </row>
    <row r="2907" spans="2:7" x14ac:dyDescent="0.35">
      <c r="B2907" s="47"/>
      <c r="C2907" s="14"/>
      <c r="D2907" s="14"/>
      <c r="E2907" s="14"/>
      <c r="F2907" s="14"/>
      <c r="G2907" s="18"/>
    </row>
    <row r="2908" spans="2:7" x14ac:dyDescent="0.35">
      <c r="B2908" s="47"/>
      <c r="C2908" s="14"/>
      <c r="D2908" s="14"/>
      <c r="E2908" s="14"/>
      <c r="F2908" s="14"/>
      <c r="G2908" s="18"/>
    </row>
    <row r="2909" spans="2:7" x14ac:dyDescent="0.35">
      <c r="B2909" s="47"/>
      <c r="C2909" s="14"/>
      <c r="D2909" s="14"/>
      <c r="E2909" s="14"/>
      <c r="F2909" s="14"/>
      <c r="G2909" s="18"/>
    </row>
    <row r="2910" spans="2:7" x14ac:dyDescent="0.35">
      <c r="B2910" s="47"/>
      <c r="C2910" s="14"/>
      <c r="D2910" s="14"/>
      <c r="E2910" s="14"/>
      <c r="F2910" s="14"/>
      <c r="G2910" s="18"/>
    </row>
    <row r="2911" spans="2:7" x14ac:dyDescent="0.35">
      <c r="B2911" s="47"/>
      <c r="C2911" s="14"/>
      <c r="D2911" s="14"/>
      <c r="E2911" s="14"/>
      <c r="F2911" s="14"/>
      <c r="G2911" s="18"/>
    </row>
    <row r="2912" spans="2:7" x14ac:dyDescent="0.35">
      <c r="B2912" s="47"/>
      <c r="C2912" s="14"/>
      <c r="D2912" s="14"/>
      <c r="E2912" s="14"/>
      <c r="F2912" s="14"/>
      <c r="G2912" s="18"/>
    </row>
    <row r="2913" spans="2:7" x14ac:dyDescent="0.35">
      <c r="B2913" s="47"/>
      <c r="C2913" s="14"/>
      <c r="D2913" s="14"/>
      <c r="E2913" s="14"/>
      <c r="F2913" s="14"/>
      <c r="G2913" s="18"/>
    </row>
    <row r="2914" spans="2:7" x14ac:dyDescent="0.35">
      <c r="B2914" s="47"/>
      <c r="C2914" s="14"/>
      <c r="D2914" s="14"/>
      <c r="E2914" s="14"/>
      <c r="F2914" s="14"/>
      <c r="G2914" s="18"/>
    </row>
    <row r="2915" spans="2:7" x14ac:dyDescent="0.35">
      <c r="B2915" s="47"/>
      <c r="C2915" s="14"/>
      <c r="D2915" s="14"/>
      <c r="E2915" s="14"/>
      <c r="F2915" s="14"/>
      <c r="G2915" s="18"/>
    </row>
    <row r="2916" spans="2:7" x14ac:dyDescent="0.35">
      <c r="B2916" s="47"/>
      <c r="C2916" s="14"/>
      <c r="D2916" s="14"/>
      <c r="E2916" s="14"/>
      <c r="F2916" s="14"/>
      <c r="G2916" s="18"/>
    </row>
    <row r="2917" spans="2:7" x14ac:dyDescent="0.35">
      <c r="B2917" s="47"/>
      <c r="C2917" s="14"/>
      <c r="D2917" s="14"/>
      <c r="E2917" s="14"/>
      <c r="F2917" s="14"/>
      <c r="G2917" s="18"/>
    </row>
    <row r="2918" spans="2:7" x14ac:dyDescent="0.35">
      <c r="B2918" s="47"/>
      <c r="C2918" s="14"/>
      <c r="D2918" s="14"/>
      <c r="E2918" s="14"/>
      <c r="F2918" s="14"/>
      <c r="G2918" s="18"/>
    </row>
    <row r="2919" spans="2:7" x14ac:dyDescent="0.35">
      <c r="B2919" s="47"/>
      <c r="C2919" s="14"/>
      <c r="D2919" s="14"/>
      <c r="E2919" s="14"/>
      <c r="F2919" s="14"/>
      <c r="G2919" s="18"/>
    </row>
    <row r="2920" spans="2:7" x14ac:dyDescent="0.35">
      <c r="B2920" s="47"/>
      <c r="C2920" s="14"/>
      <c r="D2920" s="14"/>
      <c r="E2920" s="14"/>
      <c r="F2920" s="14"/>
      <c r="G2920" s="18"/>
    </row>
    <row r="2921" spans="2:7" x14ac:dyDescent="0.35">
      <c r="B2921" s="47"/>
      <c r="C2921" s="14"/>
      <c r="D2921" s="14"/>
      <c r="E2921" s="14"/>
      <c r="F2921" s="14"/>
      <c r="G2921" s="18"/>
    </row>
    <row r="2922" spans="2:7" x14ac:dyDescent="0.35">
      <c r="B2922" s="47"/>
      <c r="C2922" s="14"/>
      <c r="D2922" s="14"/>
      <c r="E2922" s="14"/>
      <c r="F2922" s="14"/>
      <c r="G2922" s="18"/>
    </row>
    <row r="2923" spans="2:7" x14ac:dyDescent="0.35">
      <c r="B2923" s="47"/>
      <c r="C2923" s="14"/>
      <c r="D2923" s="14"/>
      <c r="E2923" s="14"/>
      <c r="F2923" s="14"/>
      <c r="G2923" s="18"/>
    </row>
    <row r="2924" spans="2:7" x14ac:dyDescent="0.35">
      <c r="B2924" s="47"/>
      <c r="C2924" s="14"/>
      <c r="D2924" s="14"/>
      <c r="E2924" s="14"/>
      <c r="F2924" s="14"/>
      <c r="G2924" s="18"/>
    </row>
    <row r="2925" spans="2:7" x14ac:dyDescent="0.35">
      <c r="B2925" s="47"/>
      <c r="C2925" s="14"/>
      <c r="D2925" s="14"/>
      <c r="E2925" s="14"/>
      <c r="F2925" s="14"/>
      <c r="G2925" s="18"/>
    </row>
    <row r="2926" spans="2:7" x14ac:dyDescent="0.35">
      <c r="B2926" s="47"/>
      <c r="C2926" s="14"/>
      <c r="D2926" s="14"/>
      <c r="E2926" s="14"/>
      <c r="F2926" s="14"/>
      <c r="G2926" s="18"/>
    </row>
    <row r="2927" spans="2:7" x14ac:dyDescent="0.35">
      <c r="B2927" s="47"/>
      <c r="C2927" s="14"/>
      <c r="D2927" s="14"/>
      <c r="E2927" s="14"/>
      <c r="F2927" s="14"/>
      <c r="G2927" s="18"/>
    </row>
    <row r="2928" spans="2:7" x14ac:dyDescent="0.35">
      <c r="B2928" s="47"/>
      <c r="C2928" s="14"/>
      <c r="D2928" s="14"/>
      <c r="E2928" s="14"/>
      <c r="F2928" s="14"/>
      <c r="G2928" s="18"/>
    </row>
    <row r="2929" spans="2:7" x14ac:dyDescent="0.35">
      <c r="B2929" s="47"/>
      <c r="C2929" s="14"/>
      <c r="D2929" s="14"/>
      <c r="E2929" s="14"/>
      <c r="F2929" s="14"/>
      <c r="G2929" s="18"/>
    </row>
    <row r="2930" spans="2:7" x14ac:dyDescent="0.35">
      <c r="B2930" s="47"/>
      <c r="C2930" s="14"/>
      <c r="D2930" s="14"/>
      <c r="E2930" s="14"/>
      <c r="F2930" s="14"/>
      <c r="G2930" s="18"/>
    </row>
    <row r="2931" spans="2:7" x14ac:dyDescent="0.35">
      <c r="B2931" s="47"/>
      <c r="C2931" s="14"/>
      <c r="D2931" s="14"/>
      <c r="E2931" s="14"/>
      <c r="F2931" s="14"/>
      <c r="G2931" s="18"/>
    </row>
    <row r="2932" spans="2:7" x14ac:dyDescent="0.35">
      <c r="B2932" s="47"/>
      <c r="C2932" s="14"/>
      <c r="D2932" s="14"/>
      <c r="E2932" s="14"/>
      <c r="F2932" s="14"/>
      <c r="G2932" s="18"/>
    </row>
    <row r="2933" spans="2:7" x14ac:dyDescent="0.35">
      <c r="B2933" s="47"/>
      <c r="C2933" s="14"/>
      <c r="D2933" s="14"/>
      <c r="E2933" s="14"/>
      <c r="F2933" s="14"/>
      <c r="G2933" s="18"/>
    </row>
    <row r="2934" spans="2:7" x14ac:dyDescent="0.35">
      <c r="B2934" s="47"/>
      <c r="C2934" s="14"/>
      <c r="D2934" s="14"/>
      <c r="E2934" s="14"/>
      <c r="F2934" s="14"/>
      <c r="G2934" s="18"/>
    </row>
    <row r="2935" spans="2:7" x14ac:dyDescent="0.35">
      <c r="B2935" s="47"/>
      <c r="C2935" s="14"/>
      <c r="D2935" s="14"/>
      <c r="E2935" s="14"/>
      <c r="F2935" s="14"/>
      <c r="G2935" s="18"/>
    </row>
    <row r="2936" spans="2:7" x14ac:dyDescent="0.35">
      <c r="B2936" s="47"/>
      <c r="C2936" s="14"/>
      <c r="D2936" s="14"/>
      <c r="E2936" s="14"/>
      <c r="F2936" s="14"/>
      <c r="G2936" s="18"/>
    </row>
    <row r="2937" spans="2:7" x14ac:dyDescent="0.35">
      <c r="B2937" s="47"/>
      <c r="C2937" s="14"/>
      <c r="D2937" s="14"/>
      <c r="E2937" s="14"/>
      <c r="F2937" s="14"/>
      <c r="G2937" s="18"/>
    </row>
    <row r="2938" spans="2:7" x14ac:dyDescent="0.35">
      <c r="B2938" s="47"/>
      <c r="C2938" s="14"/>
      <c r="D2938" s="14"/>
      <c r="E2938" s="14"/>
      <c r="F2938" s="14"/>
      <c r="G2938" s="18"/>
    </row>
    <row r="2939" spans="2:7" x14ac:dyDescent="0.35">
      <c r="B2939" s="47"/>
      <c r="C2939" s="14"/>
      <c r="D2939" s="14"/>
      <c r="E2939" s="14"/>
      <c r="F2939" s="14"/>
      <c r="G2939" s="18"/>
    </row>
    <row r="2940" spans="2:7" x14ac:dyDescent="0.35">
      <c r="B2940" s="47"/>
      <c r="C2940" s="14"/>
      <c r="D2940" s="14"/>
      <c r="E2940" s="14"/>
      <c r="F2940" s="14"/>
      <c r="G2940" s="18"/>
    </row>
    <row r="2941" spans="2:7" x14ac:dyDescent="0.35">
      <c r="B2941" s="47"/>
      <c r="C2941" s="14"/>
      <c r="D2941" s="14"/>
      <c r="E2941" s="14"/>
      <c r="F2941" s="14"/>
      <c r="G2941" s="18"/>
    </row>
    <row r="2942" spans="2:7" x14ac:dyDescent="0.35">
      <c r="B2942" s="47"/>
      <c r="C2942" s="14"/>
      <c r="D2942" s="14"/>
      <c r="E2942" s="14"/>
      <c r="F2942" s="14"/>
      <c r="G2942" s="18"/>
    </row>
    <row r="2943" spans="2:7" x14ac:dyDescent="0.35">
      <c r="B2943" s="47"/>
      <c r="C2943" s="14"/>
      <c r="D2943" s="14"/>
      <c r="E2943" s="14"/>
      <c r="F2943" s="14"/>
      <c r="G2943" s="18"/>
    </row>
    <row r="2944" spans="2:7" x14ac:dyDescent="0.35">
      <c r="B2944" s="47"/>
      <c r="C2944" s="14"/>
      <c r="D2944" s="14"/>
      <c r="E2944" s="14"/>
      <c r="F2944" s="14"/>
      <c r="G2944" s="18"/>
    </row>
    <row r="2945" spans="2:7" x14ac:dyDescent="0.35">
      <c r="B2945" s="47"/>
      <c r="C2945" s="14"/>
      <c r="D2945" s="14"/>
      <c r="E2945" s="14"/>
      <c r="F2945" s="14"/>
      <c r="G2945" s="18"/>
    </row>
    <row r="2946" spans="2:7" x14ac:dyDescent="0.35">
      <c r="B2946" s="47"/>
      <c r="C2946" s="14"/>
      <c r="D2946" s="14"/>
      <c r="E2946" s="14"/>
      <c r="F2946" s="14"/>
      <c r="G2946" s="18"/>
    </row>
    <row r="2947" spans="2:7" x14ac:dyDescent="0.35">
      <c r="B2947" s="47"/>
      <c r="C2947" s="14"/>
      <c r="D2947" s="14"/>
      <c r="E2947" s="14"/>
      <c r="F2947" s="14"/>
      <c r="G2947" s="18"/>
    </row>
    <row r="2948" spans="2:7" x14ac:dyDescent="0.35">
      <c r="B2948" s="47"/>
      <c r="C2948" s="14"/>
      <c r="D2948" s="14"/>
      <c r="E2948" s="14"/>
      <c r="F2948" s="14"/>
      <c r="G2948" s="18"/>
    </row>
    <row r="2949" spans="2:7" x14ac:dyDescent="0.35">
      <c r="B2949" s="47"/>
      <c r="C2949" s="14"/>
      <c r="D2949" s="14"/>
      <c r="E2949" s="14"/>
      <c r="F2949" s="14"/>
      <c r="G2949" s="18"/>
    </row>
    <row r="2950" spans="2:7" x14ac:dyDescent="0.35">
      <c r="B2950" s="47"/>
      <c r="C2950" s="14"/>
      <c r="D2950" s="14"/>
      <c r="E2950" s="14"/>
      <c r="F2950" s="14"/>
      <c r="G2950" s="18"/>
    </row>
    <row r="2951" spans="2:7" x14ac:dyDescent="0.35">
      <c r="B2951" s="47"/>
      <c r="C2951" s="14"/>
      <c r="D2951" s="14"/>
      <c r="E2951" s="14"/>
      <c r="F2951" s="14"/>
      <c r="G2951" s="18"/>
    </row>
    <row r="2952" spans="2:7" x14ac:dyDescent="0.35">
      <c r="B2952" s="47"/>
      <c r="C2952" s="14"/>
      <c r="D2952" s="14"/>
      <c r="E2952" s="14"/>
      <c r="F2952" s="14"/>
      <c r="G2952" s="18"/>
    </row>
    <row r="2953" spans="2:7" x14ac:dyDescent="0.35">
      <c r="B2953" s="47"/>
      <c r="C2953" s="14"/>
      <c r="D2953" s="14"/>
      <c r="E2953" s="14"/>
      <c r="F2953" s="14"/>
      <c r="G2953" s="18"/>
    </row>
    <row r="2954" spans="2:7" x14ac:dyDescent="0.35">
      <c r="B2954" s="47"/>
      <c r="C2954" s="14"/>
      <c r="D2954" s="14"/>
      <c r="E2954" s="14"/>
      <c r="F2954" s="14"/>
      <c r="G2954" s="18"/>
    </row>
    <row r="2955" spans="2:7" x14ac:dyDescent="0.35">
      <c r="B2955" s="47"/>
      <c r="C2955" s="14"/>
      <c r="D2955" s="14"/>
      <c r="E2955" s="14"/>
      <c r="F2955" s="14"/>
      <c r="G2955" s="18"/>
    </row>
    <row r="2956" spans="2:7" x14ac:dyDescent="0.35">
      <c r="B2956" s="47"/>
      <c r="C2956" s="14"/>
      <c r="D2956" s="14"/>
      <c r="E2956" s="14"/>
      <c r="F2956" s="14"/>
      <c r="G2956" s="18"/>
    </row>
    <row r="2957" spans="2:7" x14ac:dyDescent="0.35">
      <c r="B2957" s="47"/>
      <c r="C2957" s="14"/>
      <c r="D2957" s="14"/>
      <c r="E2957" s="14"/>
      <c r="F2957" s="14"/>
      <c r="G2957" s="18"/>
    </row>
    <row r="2958" spans="2:7" x14ac:dyDescent="0.35">
      <c r="B2958" s="47"/>
      <c r="C2958" s="14"/>
      <c r="D2958" s="14"/>
      <c r="E2958" s="14"/>
      <c r="F2958" s="14"/>
      <c r="G2958" s="18"/>
    </row>
    <row r="2959" spans="2:7" x14ac:dyDescent="0.35">
      <c r="B2959" s="47"/>
      <c r="C2959" s="14"/>
      <c r="D2959" s="14"/>
      <c r="E2959" s="14"/>
      <c r="F2959" s="14"/>
      <c r="G2959" s="18"/>
    </row>
    <row r="2960" spans="2:7" x14ac:dyDescent="0.35">
      <c r="B2960" s="47"/>
      <c r="C2960" s="14"/>
      <c r="D2960" s="14"/>
      <c r="E2960" s="14"/>
      <c r="F2960" s="14"/>
      <c r="G2960" s="18"/>
    </row>
    <row r="2961" spans="2:7" x14ac:dyDescent="0.35">
      <c r="B2961" s="47"/>
      <c r="C2961" s="14"/>
      <c r="D2961" s="14"/>
      <c r="E2961" s="14"/>
      <c r="F2961" s="14"/>
      <c r="G2961" s="18"/>
    </row>
    <row r="2962" spans="2:7" x14ac:dyDescent="0.35">
      <c r="B2962" s="47"/>
      <c r="C2962" s="14"/>
      <c r="D2962" s="14"/>
      <c r="E2962" s="14"/>
      <c r="F2962" s="14"/>
      <c r="G2962" s="18"/>
    </row>
    <row r="2963" spans="2:7" x14ac:dyDescent="0.35">
      <c r="B2963" s="47"/>
      <c r="C2963" s="14"/>
      <c r="D2963" s="14"/>
      <c r="E2963" s="14"/>
      <c r="F2963" s="14"/>
      <c r="G2963" s="18"/>
    </row>
    <row r="2964" spans="2:7" x14ac:dyDescent="0.35">
      <c r="B2964" s="47"/>
      <c r="C2964" s="14"/>
      <c r="D2964" s="14"/>
      <c r="E2964" s="14"/>
      <c r="F2964" s="14"/>
      <c r="G2964" s="18"/>
    </row>
    <row r="2965" spans="2:7" x14ac:dyDescent="0.35">
      <c r="B2965" s="47"/>
      <c r="C2965" s="14"/>
      <c r="D2965" s="14"/>
      <c r="E2965" s="14"/>
      <c r="F2965" s="14"/>
      <c r="G2965" s="18"/>
    </row>
    <row r="2966" spans="2:7" x14ac:dyDescent="0.35">
      <c r="B2966" s="47"/>
      <c r="C2966" s="14"/>
      <c r="D2966" s="14"/>
      <c r="E2966" s="14"/>
      <c r="F2966" s="14"/>
      <c r="G2966" s="18"/>
    </row>
    <row r="2967" spans="2:7" x14ac:dyDescent="0.35">
      <c r="B2967" s="47"/>
      <c r="C2967" s="14"/>
      <c r="D2967" s="14"/>
      <c r="E2967" s="14"/>
      <c r="F2967" s="14"/>
      <c r="G2967" s="18"/>
    </row>
    <row r="2968" spans="2:7" x14ac:dyDescent="0.35">
      <c r="B2968" s="47"/>
      <c r="C2968" s="14"/>
      <c r="D2968" s="14"/>
      <c r="E2968" s="14"/>
      <c r="F2968" s="14"/>
      <c r="G2968" s="18"/>
    </row>
    <row r="2969" spans="2:7" x14ac:dyDescent="0.35">
      <c r="B2969" s="47"/>
      <c r="C2969" s="14"/>
      <c r="D2969" s="14"/>
      <c r="E2969" s="14"/>
      <c r="F2969" s="14"/>
      <c r="G2969" s="18"/>
    </row>
    <row r="2970" spans="2:7" x14ac:dyDescent="0.35">
      <c r="B2970" s="47"/>
      <c r="C2970" s="14"/>
      <c r="D2970" s="14"/>
      <c r="E2970" s="14"/>
      <c r="F2970" s="14"/>
      <c r="G2970" s="18"/>
    </row>
    <row r="2971" spans="2:7" x14ac:dyDescent="0.35">
      <c r="B2971" s="47"/>
      <c r="C2971" s="14"/>
      <c r="D2971" s="14"/>
      <c r="E2971" s="14"/>
      <c r="F2971" s="14"/>
      <c r="G2971" s="18"/>
    </row>
    <row r="2972" spans="2:7" x14ac:dyDescent="0.35">
      <c r="B2972" s="47"/>
      <c r="C2972" s="14"/>
      <c r="D2972" s="14"/>
      <c r="E2972" s="14"/>
      <c r="F2972" s="14"/>
      <c r="G2972" s="18"/>
    </row>
    <row r="2973" spans="2:7" x14ac:dyDescent="0.35">
      <c r="B2973" s="47"/>
      <c r="C2973" s="14"/>
      <c r="D2973" s="14"/>
      <c r="E2973" s="14"/>
      <c r="F2973" s="14"/>
      <c r="G2973" s="18"/>
    </row>
    <row r="2974" spans="2:7" x14ac:dyDescent="0.35">
      <c r="B2974" s="47"/>
      <c r="C2974" s="14"/>
      <c r="D2974" s="14"/>
      <c r="E2974" s="14"/>
      <c r="F2974" s="14"/>
      <c r="G2974" s="18"/>
    </row>
    <row r="2975" spans="2:7" x14ac:dyDescent="0.35">
      <c r="B2975" s="47"/>
      <c r="C2975" s="14"/>
      <c r="D2975" s="14"/>
      <c r="E2975" s="14"/>
      <c r="F2975" s="14"/>
      <c r="G2975" s="18"/>
    </row>
    <row r="2976" spans="2:7" x14ac:dyDescent="0.35">
      <c r="B2976" s="47"/>
      <c r="C2976" s="14"/>
      <c r="D2976" s="14"/>
      <c r="E2976" s="14"/>
      <c r="F2976" s="14"/>
      <c r="G2976" s="18"/>
    </row>
    <row r="2977" spans="2:7" x14ac:dyDescent="0.35">
      <c r="B2977" s="47"/>
      <c r="C2977" s="14"/>
      <c r="D2977" s="14"/>
      <c r="E2977" s="14"/>
      <c r="F2977" s="14"/>
      <c r="G2977" s="18"/>
    </row>
    <row r="2978" spans="2:7" x14ac:dyDescent="0.35">
      <c r="B2978" s="47"/>
      <c r="C2978" s="14"/>
      <c r="D2978" s="14"/>
      <c r="E2978" s="14"/>
      <c r="F2978" s="14"/>
      <c r="G2978" s="18"/>
    </row>
    <row r="2979" spans="2:7" x14ac:dyDescent="0.35">
      <c r="B2979" s="47"/>
      <c r="C2979" s="14"/>
      <c r="D2979" s="14"/>
      <c r="E2979" s="14"/>
      <c r="F2979" s="14"/>
      <c r="G2979" s="18"/>
    </row>
    <row r="2980" spans="2:7" x14ac:dyDescent="0.35">
      <c r="B2980" s="47"/>
      <c r="C2980" s="14"/>
      <c r="D2980" s="14"/>
      <c r="E2980" s="14"/>
      <c r="F2980" s="14"/>
      <c r="G2980" s="18"/>
    </row>
    <row r="2981" spans="2:7" x14ac:dyDescent="0.35">
      <c r="B2981" s="47"/>
      <c r="C2981" s="14"/>
      <c r="D2981" s="14"/>
      <c r="E2981" s="14"/>
      <c r="F2981" s="14"/>
      <c r="G2981" s="18"/>
    </row>
    <row r="2982" spans="2:7" x14ac:dyDescent="0.35">
      <c r="B2982" s="47"/>
      <c r="C2982" s="14"/>
      <c r="D2982" s="14"/>
      <c r="E2982" s="14"/>
      <c r="F2982" s="14"/>
      <c r="G2982" s="18"/>
    </row>
    <row r="2983" spans="2:7" x14ac:dyDescent="0.35">
      <c r="B2983" s="47"/>
      <c r="C2983" s="14"/>
      <c r="D2983" s="14"/>
      <c r="E2983" s="14"/>
      <c r="F2983" s="14"/>
      <c r="G2983" s="18"/>
    </row>
    <row r="2984" spans="2:7" x14ac:dyDescent="0.35">
      <c r="B2984" s="47"/>
      <c r="C2984" s="14"/>
      <c r="D2984" s="14"/>
      <c r="E2984" s="14"/>
      <c r="F2984" s="14"/>
      <c r="G2984" s="18"/>
    </row>
    <row r="2985" spans="2:7" x14ac:dyDescent="0.35">
      <c r="B2985" s="47"/>
      <c r="C2985" s="14"/>
      <c r="D2985" s="14"/>
      <c r="E2985" s="14"/>
      <c r="F2985" s="14"/>
      <c r="G2985" s="18"/>
    </row>
    <row r="2986" spans="2:7" x14ac:dyDescent="0.35">
      <c r="B2986" s="47"/>
      <c r="C2986" s="14"/>
      <c r="D2986" s="14"/>
      <c r="E2986" s="14"/>
      <c r="F2986" s="14"/>
      <c r="G2986" s="18"/>
    </row>
    <row r="2987" spans="2:7" x14ac:dyDescent="0.35">
      <c r="B2987" s="47"/>
      <c r="C2987" s="14"/>
      <c r="D2987" s="14"/>
      <c r="E2987" s="14"/>
      <c r="F2987" s="14"/>
      <c r="G2987" s="18"/>
    </row>
    <row r="2988" spans="2:7" x14ac:dyDescent="0.35">
      <c r="B2988" s="47"/>
      <c r="C2988" s="14"/>
      <c r="D2988" s="14"/>
      <c r="E2988" s="14"/>
      <c r="F2988" s="14"/>
      <c r="G2988" s="18"/>
    </row>
    <row r="2989" spans="2:7" x14ac:dyDescent="0.35">
      <c r="B2989" s="47"/>
      <c r="C2989" s="14"/>
      <c r="D2989" s="14"/>
      <c r="E2989" s="14"/>
      <c r="F2989" s="14"/>
      <c r="G2989" s="18"/>
    </row>
    <row r="2990" spans="2:7" x14ac:dyDescent="0.35">
      <c r="B2990" s="47"/>
      <c r="C2990" s="14"/>
      <c r="D2990" s="14"/>
      <c r="E2990" s="14"/>
      <c r="F2990" s="14"/>
      <c r="G2990" s="18"/>
    </row>
    <row r="2991" spans="2:7" x14ac:dyDescent="0.35">
      <c r="B2991" s="47"/>
      <c r="C2991" s="14"/>
      <c r="D2991" s="14"/>
      <c r="E2991" s="14"/>
      <c r="F2991" s="14"/>
      <c r="G2991" s="18"/>
    </row>
    <row r="2992" spans="2:7" x14ac:dyDescent="0.35">
      <c r="B2992" s="47"/>
      <c r="C2992" s="14"/>
      <c r="D2992" s="14"/>
      <c r="E2992" s="14"/>
      <c r="F2992" s="14"/>
      <c r="G2992" s="18"/>
    </row>
    <row r="2993" spans="2:7" x14ac:dyDescent="0.35">
      <c r="B2993" s="47"/>
      <c r="C2993" s="14"/>
      <c r="D2993" s="14"/>
      <c r="E2993" s="14"/>
      <c r="F2993" s="14"/>
      <c r="G2993" s="18"/>
    </row>
    <row r="2994" spans="2:7" x14ac:dyDescent="0.35">
      <c r="B2994" s="47"/>
      <c r="C2994" s="14"/>
      <c r="D2994" s="14"/>
      <c r="E2994" s="14"/>
      <c r="F2994" s="14"/>
      <c r="G2994" s="18"/>
    </row>
    <row r="2995" spans="2:7" x14ac:dyDescent="0.35">
      <c r="B2995" s="47"/>
      <c r="C2995" s="14"/>
      <c r="D2995" s="14"/>
      <c r="E2995" s="14"/>
      <c r="F2995" s="14"/>
      <c r="G2995" s="18"/>
    </row>
    <row r="2996" spans="2:7" x14ac:dyDescent="0.35">
      <c r="B2996" s="47"/>
      <c r="C2996" s="14"/>
      <c r="D2996" s="14"/>
      <c r="E2996" s="14"/>
      <c r="F2996" s="14"/>
      <c r="G2996" s="18"/>
    </row>
    <row r="2997" spans="2:7" x14ac:dyDescent="0.35">
      <c r="B2997" s="47"/>
      <c r="C2997" s="14"/>
      <c r="D2997" s="14"/>
      <c r="E2997" s="14"/>
      <c r="F2997" s="14"/>
      <c r="G2997" s="18"/>
    </row>
    <row r="2998" spans="2:7" x14ac:dyDescent="0.35">
      <c r="B2998" s="47"/>
      <c r="C2998" s="14"/>
      <c r="D2998" s="14"/>
      <c r="E2998" s="14"/>
      <c r="F2998" s="14"/>
      <c r="G2998" s="18"/>
    </row>
    <row r="2999" spans="2:7" x14ac:dyDescent="0.35">
      <c r="B2999" s="47"/>
      <c r="C2999" s="14"/>
      <c r="D2999" s="14"/>
      <c r="E2999" s="14"/>
      <c r="F2999" s="14"/>
      <c r="G2999" s="18"/>
    </row>
    <row r="3000" spans="2:7" x14ac:dyDescent="0.35">
      <c r="B3000" s="47"/>
      <c r="C3000" s="14"/>
      <c r="D3000" s="14"/>
      <c r="E3000" s="14"/>
      <c r="F3000" s="14"/>
      <c r="G3000" s="18"/>
    </row>
    <row r="3001" spans="2:7" x14ac:dyDescent="0.35">
      <c r="B3001" s="47"/>
      <c r="C3001" s="14"/>
      <c r="D3001" s="14"/>
      <c r="E3001" s="14"/>
      <c r="F3001" s="14"/>
      <c r="G3001" s="18"/>
    </row>
    <row r="3002" spans="2:7" x14ac:dyDescent="0.35">
      <c r="B3002" s="47"/>
      <c r="C3002" s="14"/>
      <c r="D3002" s="14"/>
      <c r="E3002" s="14"/>
      <c r="F3002" s="14"/>
      <c r="G3002" s="18"/>
    </row>
    <row r="3003" spans="2:7" x14ac:dyDescent="0.35">
      <c r="B3003" s="47"/>
      <c r="C3003" s="14"/>
      <c r="D3003" s="14"/>
      <c r="E3003" s="14"/>
      <c r="F3003" s="14"/>
      <c r="G3003" s="18"/>
    </row>
    <row r="3004" spans="2:7" x14ac:dyDescent="0.35">
      <c r="B3004" s="47"/>
      <c r="C3004" s="14"/>
      <c r="D3004" s="14"/>
      <c r="E3004" s="14"/>
      <c r="F3004" s="14"/>
      <c r="G3004" s="18"/>
    </row>
    <row r="3005" spans="2:7" x14ac:dyDescent="0.35">
      <c r="B3005" s="47"/>
      <c r="C3005" s="14"/>
      <c r="D3005" s="14"/>
      <c r="E3005" s="14"/>
      <c r="F3005" s="14"/>
      <c r="G3005" s="18"/>
    </row>
    <row r="3006" spans="2:7" x14ac:dyDescent="0.35">
      <c r="B3006" s="47"/>
      <c r="C3006" s="14"/>
      <c r="D3006" s="14"/>
      <c r="E3006" s="14"/>
      <c r="F3006" s="14"/>
      <c r="G3006" s="18"/>
    </row>
    <row r="3007" spans="2:7" x14ac:dyDescent="0.35">
      <c r="B3007" s="47"/>
      <c r="C3007" s="14"/>
      <c r="D3007" s="14"/>
      <c r="E3007" s="14"/>
      <c r="F3007" s="14"/>
      <c r="G3007" s="18"/>
    </row>
    <row r="3008" spans="2:7" x14ac:dyDescent="0.35">
      <c r="B3008" s="47"/>
      <c r="C3008" s="14"/>
      <c r="D3008" s="14"/>
      <c r="E3008" s="14"/>
      <c r="F3008" s="14"/>
      <c r="G3008" s="18"/>
    </row>
    <row r="3009" spans="2:7" x14ac:dyDescent="0.35">
      <c r="B3009" s="47"/>
      <c r="C3009" s="14"/>
      <c r="D3009" s="14"/>
      <c r="E3009" s="14"/>
      <c r="F3009" s="14"/>
      <c r="G3009" s="18"/>
    </row>
    <row r="3010" spans="2:7" x14ac:dyDescent="0.35">
      <c r="B3010" s="47"/>
      <c r="C3010" s="14"/>
      <c r="D3010" s="14"/>
      <c r="E3010" s="14"/>
      <c r="F3010" s="14"/>
      <c r="G3010" s="18"/>
    </row>
    <row r="3011" spans="2:7" x14ac:dyDescent="0.35">
      <c r="B3011" s="47"/>
      <c r="C3011" s="14"/>
      <c r="D3011" s="14"/>
      <c r="E3011" s="14"/>
      <c r="F3011" s="14"/>
      <c r="G3011" s="18"/>
    </row>
    <row r="3012" spans="2:7" x14ac:dyDescent="0.35">
      <c r="B3012" s="47"/>
      <c r="C3012" s="14"/>
      <c r="D3012" s="14"/>
      <c r="E3012" s="14"/>
      <c r="F3012" s="14"/>
      <c r="G3012" s="18"/>
    </row>
    <row r="3013" spans="2:7" x14ac:dyDescent="0.35">
      <c r="B3013" s="47"/>
      <c r="C3013" s="14"/>
      <c r="D3013" s="14"/>
      <c r="E3013" s="14"/>
      <c r="F3013" s="14"/>
      <c r="G3013" s="18"/>
    </row>
    <row r="3014" spans="2:7" x14ac:dyDescent="0.35">
      <c r="B3014" s="47"/>
      <c r="C3014" s="14"/>
      <c r="D3014" s="14"/>
      <c r="E3014" s="14"/>
      <c r="F3014" s="14"/>
      <c r="G3014" s="18"/>
    </row>
    <row r="3015" spans="2:7" x14ac:dyDescent="0.35">
      <c r="B3015" s="47"/>
      <c r="C3015" s="14"/>
      <c r="D3015" s="14"/>
      <c r="E3015" s="14"/>
      <c r="F3015" s="14"/>
      <c r="G3015" s="18"/>
    </row>
    <row r="3016" spans="2:7" x14ac:dyDescent="0.35">
      <c r="B3016" s="47"/>
      <c r="C3016" s="14"/>
      <c r="D3016" s="14"/>
      <c r="E3016" s="14"/>
      <c r="F3016" s="14"/>
      <c r="G3016" s="18"/>
    </row>
    <row r="3017" spans="2:7" x14ac:dyDescent="0.35">
      <c r="B3017" s="47"/>
      <c r="C3017" s="14"/>
      <c r="D3017" s="14"/>
      <c r="E3017" s="14"/>
      <c r="F3017" s="14"/>
      <c r="G3017" s="18"/>
    </row>
    <row r="3018" spans="2:7" x14ac:dyDescent="0.35">
      <c r="B3018" s="47"/>
      <c r="C3018" s="14"/>
      <c r="D3018" s="14"/>
      <c r="E3018" s="14"/>
      <c r="F3018" s="14"/>
      <c r="G3018" s="18"/>
    </row>
    <row r="3019" spans="2:7" x14ac:dyDescent="0.35">
      <c r="B3019" s="47"/>
      <c r="C3019" s="14"/>
      <c r="D3019" s="14"/>
      <c r="E3019" s="14"/>
      <c r="F3019" s="14"/>
      <c r="G3019" s="18"/>
    </row>
    <row r="3020" spans="2:7" x14ac:dyDescent="0.35">
      <c r="B3020" s="47"/>
      <c r="C3020" s="14"/>
      <c r="D3020" s="14"/>
      <c r="E3020" s="14"/>
      <c r="F3020" s="14"/>
      <c r="G3020" s="18"/>
    </row>
    <row r="3021" spans="2:7" x14ac:dyDescent="0.35">
      <c r="B3021" s="47"/>
      <c r="C3021" s="14"/>
      <c r="D3021" s="14"/>
      <c r="E3021" s="14"/>
      <c r="F3021" s="14"/>
      <c r="G3021" s="18"/>
    </row>
    <row r="3022" spans="2:7" x14ac:dyDescent="0.35">
      <c r="B3022" s="47"/>
      <c r="C3022" s="14"/>
      <c r="D3022" s="14"/>
      <c r="E3022" s="14"/>
      <c r="F3022" s="14"/>
      <c r="G3022" s="18"/>
    </row>
    <row r="3023" spans="2:7" x14ac:dyDescent="0.35">
      <c r="B3023" s="47"/>
      <c r="C3023" s="14"/>
      <c r="D3023" s="14"/>
      <c r="E3023" s="14"/>
      <c r="F3023" s="14"/>
      <c r="G3023" s="18"/>
    </row>
    <row r="3024" spans="2:7" x14ac:dyDescent="0.35">
      <c r="B3024" s="47"/>
      <c r="C3024" s="14"/>
      <c r="D3024" s="14"/>
      <c r="E3024" s="14"/>
      <c r="F3024" s="14"/>
      <c r="G3024" s="18"/>
    </row>
    <row r="3025" spans="2:7" x14ac:dyDescent="0.35">
      <c r="B3025" s="47"/>
      <c r="C3025" s="14"/>
      <c r="D3025" s="14"/>
      <c r="E3025" s="14"/>
      <c r="F3025" s="14"/>
      <c r="G3025" s="18"/>
    </row>
    <row r="3026" spans="2:7" x14ac:dyDescent="0.35">
      <c r="B3026" s="47"/>
      <c r="C3026" s="14"/>
      <c r="D3026" s="14"/>
      <c r="E3026" s="14"/>
      <c r="F3026" s="14"/>
      <c r="G3026" s="18"/>
    </row>
    <row r="3027" spans="2:7" x14ac:dyDescent="0.35">
      <c r="B3027" s="47"/>
      <c r="C3027" s="14"/>
      <c r="D3027" s="14"/>
      <c r="E3027" s="14"/>
      <c r="F3027" s="14"/>
      <c r="G3027" s="18"/>
    </row>
    <row r="3028" spans="2:7" x14ac:dyDescent="0.35">
      <c r="B3028" s="47"/>
      <c r="C3028" s="14"/>
      <c r="D3028" s="14"/>
      <c r="E3028" s="14"/>
      <c r="F3028" s="14"/>
      <c r="G3028" s="18"/>
    </row>
    <row r="3029" spans="2:7" x14ac:dyDescent="0.35">
      <c r="B3029" s="47"/>
      <c r="C3029" s="14"/>
      <c r="D3029" s="14"/>
      <c r="E3029" s="14"/>
      <c r="F3029" s="14"/>
      <c r="G3029" s="18"/>
    </row>
    <row r="3030" spans="2:7" x14ac:dyDescent="0.35">
      <c r="B3030" s="47"/>
      <c r="C3030" s="14"/>
      <c r="D3030" s="14"/>
      <c r="E3030" s="14"/>
      <c r="F3030" s="14"/>
      <c r="G3030" s="18"/>
    </row>
    <row r="3031" spans="2:7" x14ac:dyDescent="0.35">
      <c r="B3031" s="47"/>
      <c r="C3031" s="14"/>
      <c r="D3031" s="14"/>
      <c r="E3031" s="14"/>
      <c r="F3031" s="14"/>
      <c r="G3031" s="18"/>
    </row>
    <row r="3032" spans="2:7" x14ac:dyDescent="0.35">
      <c r="B3032" s="47"/>
      <c r="C3032" s="14"/>
      <c r="D3032" s="14"/>
      <c r="E3032" s="14"/>
      <c r="F3032" s="14"/>
      <c r="G3032" s="18"/>
    </row>
    <row r="3033" spans="2:7" x14ac:dyDescent="0.35">
      <c r="B3033" s="47"/>
      <c r="C3033" s="14"/>
      <c r="D3033" s="14"/>
      <c r="E3033" s="14"/>
      <c r="F3033" s="14"/>
      <c r="G3033" s="18"/>
    </row>
    <row r="3034" spans="2:7" x14ac:dyDescent="0.35">
      <c r="B3034" s="47"/>
      <c r="C3034" s="14"/>
      <c r="D3034" s="14"/>
      <c r="E3034" s="14"/>
      <c r="F3034" s="14"/>
      <c r="G3034" s="18"/>
    </row>
    <row r="3035" spans="2:7" x14ac:dyDescent="0.35">
      <c r="B3035" s="47"/>
      <c r="C3035" s="14"/>
      <c r="D3035" s="14"/>
      <c r="E3035" s="14"/>
      <c r="F3035" s="14"/>
      <c r="G3035" s="18"/>
    </row>
    <row r="3036" spans="2:7" x14ac:dyDescent="0.35">
      <c r="B3036" s="47"/>
      <c r="C3036" s="14"/>
      <c r="D3036" s="14"/>
      <c r="E3036" s="14"/>
      <c r="F3036" s="14"/>
      <c r="G3036" s="18"/>
    </row>
    <row r="3037" spans="2:7" x14ac:dyDescent="0.35">
      <c r="B3037" s="47"/>
      <c r="C3037" s="14"/>
      <c r="D3037" s="14"/>
      <c r="E3037" s="14"/>
      <c r="F3037" s="14"/>
      <c r="G3037" s="18"/>
    </row>
    <row r="3038" spans="2:7" x14ac:dyDescent="0.35">
      <c r="B3038" s="47"/>
      <c r="C3038" s="14"/>
      <c r="D3038" s="14"/>
      <c r="E3038" s="14"/>
      <c r="F3038" s="14"/>
      <c r="G3038" s="18"/>
    </row>
    <row r="3039" spans="2:7" x14ac:dyDescent="0.35">
      <c r="B3039" s="47"/>
      <c r="C3039" s="14"/>
      <c r="D3039" s="14"/>
      <c r="E3039" s="14"/>
      <c r="F3039" s="14"/>
      <c r="G3039" s="18"/>
    </row>
    <row r="3040" spans="2:7" x14ac:dyDescent="0.35">
      <c r="B3040" s="47"/>
      <c r="C3040" s="14"/>
      <c r="D3040" s="14"/>
      <c r="E3040" s="14"/>
      <c r="F3040" s="14"/>
      <c r="G3040" s="18"/>
    </row>
    <row r="3041" spans="2:7" x14ac:dyDescent="0.35">
      <c r="B3041" s="47"/>
      <c r="C3041" s="14"/>
      <c r="D3041" s="14"/>
      <c r="E3041" s="14"/>
      <c r="F3041" s="14"/>
      <c r="G3041" s="18"/>
    </row>
    <row r="3042" spans="2:7" x14ac:dyDescent="0.35">
      <c r="B3042" s="47"/>
      <c r="C3042" s="14"/>
      <c r="D3042" s="14"/>
      <c r="E3042" s="14"/>
      <c r="F3042" s="14"/>
      <c r="G3042" s="18"/>
    </row>
    <row r="3043" spans="2:7" x14ac:dyDescent="0.35">
      <c r="B3043" s="47"/>
      <c r="C3043" s="14"/>
      <c r="D3043" s="14"/>
      <c r="E3043" s="14"/>
      <c r="F3043" s="14"/>
      <c r="G3043" s="18"/>
    </row>
    <row r="3044" spans="2:7" x14ac:dyDescent="0.35">
      <c r="B3044" s="47"/>
      <c r="C3044" s="14"/>
      <c r="D3044" s="14"/>
      <c r="E3044" s="14"/>
      <c r="F3044" s="14"/>
      <c r="G3044" s="18"/>
    </row>
    <row r="3045" spans="2:7" x14ac:dyDescent="0.35">
      <c r="B3045" s="47"/>
      <c r="C3045" s="14"/>
      <c r="D3045" s="14"/>
      <c r="E3045" s="14"/>
      <c r="F3045" s="14"/>
      <c r="G3045" s="18"/>
    </row>
    <row r="3046" spans="2:7" x14ac:dyDescent="0.35">
      <c r="B3046" s="47"/>
      <c r="C3046" s="14"/>
      <c r="D3046" s="14"/>
      <c r="E3046" s="14"/>
      <c r="F3046" s="14"/>
      <c r="G3046" s="18"/>
    </row>
    <row r="3047" spans="2:7" x14ac:dyDescent="0.35">
      <c r="B3047" s="47"/>
      <c r="C3047" s="14"/>
      <c r="D3047" s="14"/>
      <c r="E3047" s="14"/>
      <c r="F3047" s="14"/>
      <c r="G3047" s="18"/>
    </row>
    <row r="3048" spans="2:7" x14ac:dyDescent="0.35">
      <c r="B3048" s="47"/>
      <c r="C3048" s="14"/>
      <c r="D3048" s="14"/>
      <c r="E3048" s="14"/>
      <c r="F3048" s="14"/>
      <c r="G3048" s="18"/>
    </row>
    <row r="3049" spans="2:7" x14ac:dyDescent="0.35">
      <c r="B3049" s="47"/>
      <c r="C3049" s="14"/>
      <c r="D3049" s="14"/>
      <c r="E3049" s="14"/>
      <c r="F3049" s="14"/>
      <c r="G3049" s="18"/>
    </row>
    <row r="3050" spans="2:7" x14ac:dyDescent="0.35">
      <c r="B3050" s="47"/>
      <c r="C3050" s="14"/>
      <c r="D3050" s="14"/>
      <c r="E3050" s="14"/>
      <c r="F3050" s="14"/>
      <c r="G3050" s="18"/>
    </row>
    <row r="3051" spans="2:7" x14ac:dyDescent="0.35">
      <c r="B3051" s="47"/>
      <c r="C3051" s="14"/>
      <c r="D3051" s="14"/>
      <c r="E3051" s="14"/>
      <c r="F3051" s="14"/>
      <c r="G3051" s="18"/>
    </row>
    <row r="3052" spans="2:7" x14ac:dyDescent="0.35">
      <c r="B3052" s="47"/>
      <c r="C3052" s="14"/>
      <c r="D3052" s="14"/>
      <c r="E3052" s="14"/>
      <c r="F3052" s="14"/>
      <c r="G3052" s="18"/>
    </row>
    <row r="3053" spans="2:7" x14ac:dyDescent="0.35">
      <c r="B3053" s="47"/>
      <c r="C3053" s="14"/>
      <c r="D3053" s="14"/>
      <c r="E3053" s="14"/>
      <c r="F3053" s="14"/>
      <c r="G3053" s="18"/>
    </row>
    <row r="3054" spans="2:7" x14ac:dyDescent="0.35">
      <c r="B3054" s="47"/>
      <c r="C3054" s="14"/>
      <c r="D3054" s="14"/>
      <c r="E3054" s="14"/>
      <c r="F3054" s="14"/>
      <c r="G3054" s="18"/>
    </row>
    <row r="3055" spans="2:7" x14ac:dyDescent="0.35">
      <c r="B3055" s="47"/>
      <c r="C3055" s="14"/>
      <c r="D3055" s="14"/>
      <c r="E3055" s="14"/>
      <c r="F3055" s="14"/>
      <c r="G3055" s="18"/>
    </row>
    <row r="3056" spans="2:7" x14ac:dyDescent="0.35">
      <c r="B3056" s="47"/>
      <c r="C3056" s="14"/>
      <c r="D3056" s="14"/>
      <c r="E3056" s="14"/>
      <c r="F3056" s="14"/>
      <c r="G3056" s="18"/>
    </row>
    <row r="3057" spans="2:7" x14ac:dyDescent="0.35">
      <c r="B3057" s="47"/>
      <c r="C3057" s="14"/>
      <c r="D3057" s="14"/>
      <c r="E3057" s="14"/>
      <c r="F3057" s="14"/>
      <c r="G3057" s="18"/>
    </row>
    <row r="3058" spans="2:7" x14ac:dyDescent="0.35">
      <c r="B3058" s="47"/>
      <c r="C3058" s="14"/>
      <c r="D3058" s="14"/>
      <c r="E3058" s="14"/>
      <c r="F3058" s="14"/>
      <c r="G3058" s="18"/>
    </row>
    <row r="3059" spans="2:7" x14ac:dyDescent="0.35">
      <c r="B3059" s="47"/>
      <c r="C3059" s="14"/>
      <c r="D3059" s="14"/>
      <c r="E3059" s="14"/>
      <c r="F3059" s="14"/>
      <c r="G3059" s="18"/>
    </row>
    <row r="3060" spans="2:7" x14ac:dyDescent="0.35">
      <c r="B3060" s="47"/>
      <c r="C3060" s="14"/>
      <c r="D3060" s="14"/>
      <c r="E3060" s="14"/>
      <c r="F3060" s="14"/>
      <c r="G3060" s="18"/>
    </row>
    <row r="3061" spans="2:7" x14ac:dyDescent="0.35">
      <c r="B3061" s="47"/>
      <c r="C3061" s="14"/>
      <c r="D3061" s="14"/>
      <c r="E3061" s="14"/>
      <c r="F3061" s="14"/>
      <c r="G3061" s="18"/>
    </row>
    <row r="3062" spans="2:7" x14ac:dyDescent="0.35">
      <c r="B3062" s="47"/>
      <c r="C3062" s="14"/>
      <c r="D3062" s="14"/>
      <c r="E3062" s="14"/>
      <c r="F3062" s="14"/>
      <c r="G3062" s="18"/>
    </row>
    <row r="3063" spans="2:7" x14ac:dyDescent="0.35">
      <c r="B3063" s="47"/>
      <c r="C3063" s="14"/>
      <c r="D3063" s="14"/>
      <c r="E3063" s="14"/>
      <c r="F3063" s="14"/>
      <c r="G3063" s="18"/>
    </row>
    <row r="3064" spans="2:7" x14ac:dyDescent="0.35">
      <c r="B3064" s="47"/>
      <c r="C3064" s="14"/>
      <c r="D3064" s="14"/>
      <c r="E3064" s="14"/>
      <c r="F3064" s="14"/>
      <c r="G3064" s="18"/>
    </row>
    <row r="3065" spans="2:7" x14ac:dyDescent="0.35">
      <c r="B3065" s="47"/>
      <c r="C3065" s="14"/>
      <c r="D3065" s="14"/>
      <c r="E3065" s="14"/>
      <c r="F3065" s="14"/>
      <c r="G3065" s="18"/>
    </row>
    <row r="3066" spans="2:7" x14ac:dyDescent="0.35">
      <c r="B3066" s="47"/>
      <c r="C3066" s="14"/>
      <c r="D3066" s="14"/>
      <c r="E3066" s="14"/>
      <c r="F3066" s="14"/>
      <c r="G3066" s="18"/>
    </row>
    <row r="3067" spans="2:7" x14ac:dyDescent="0.35">
      <c r="B3067" s="47"/>
      <c r="C3067" s="14"/>
      <c r="D3067" s="14"/>
      <c r="E3067" s="14"/>
      <c r="F3067" s="14"/>
      <c r="G3067" s="18"/>
    </row>
    <row r="3068" spans="2:7" x14ac:dyDescent="0.35">
      <c r="B3068" s="47"/>
      <c r="C3068" s="14"/>
      <c r="D3068" s="14"/>
      <c r="E3068" s="14"/>
      <c r="F3068" s="14"/>
      <c r="G3068" s="18"/>
    </row>
    <row r="3069" spans="2:7" x14ac:dyDescent="0.35">
      <c r="B3069" s="47"/>
      <c r="C3069" s="14"/>
      <c r="D3069" s="14"/>
      <c r="E3069" s="14"/>
      <c r="F3069" s="14"/>
      <c r="G3069" s="18"/>
    </row>
    <row r="3070" spans="2:7" x14ac:dyDescent="0.35">
      <c r="B3070" s="47"/>
      <c r="C3070" s="14"/>
      <c r="D3070" s="14"/>
      <c r="E3070" s="14"/>
      <c r="F3070" s="14"/>
      <c r="G3070" s="18"/>
    </row>
    <row r="3071" spans="2:7" x14ac:dyDescent="0.35">
      <c r="B3071" s="47"/>
      <c r="C3071" s="14"/>
      <c r="D3071" s="14"/>
      <c r="E3071" s="14"/>
      <c r="F3071" s="14"/>
      <c r="G3071" s="18"/>
    </row>
    <row r="3072" spans="2:7" x14ac:dyDescent="0.35">
      <c r="B3072" s="47"/>
      <c r="C3072" s="14"/>
      <c r="D3072" s="14"/>
      <c r="E3072" s="14"/>
      <c r="F3072" s="14"/>
      <c r="G3072" s="18"/>
    </row>
    <row r="3073" spans="2:7" x14ac:dyDescent="0.35">
      <c r="B3073" s="47"/>
      <c r="C3073" s="14"/>
      <c r="D3073" s="14"/>
      <c r="E3073" s="14"/>
      <c r="F3073" s="14"/>
      <c r="G3073" s="18"/>
    </row>
    <row r="3074" spans="2:7" x14ac:dyDescent="0.35">
      <c r="B3074" s="47"/>
      <c r="C3074" s="14"/>
      <c r="D3074" s="14"/>
      <c r="E3074" s="14"/>
      <c r="F3074" s="14"/>
      <c r="G3074" s="18"/>
    </row>
    <row r="3075" spans="2:7" x14ac:dyDescent="0.35">
      <c r="B3075" s="47"/>
      <c r="C3075" s="14"/>
      <c r="D3075" s="14"/>
      <c r="E3075" s="14"/>
      <c r="F3075" s="14"/>
      <c r="G3075" s="18"/>
    </row>
    <row r="3076" spans="2:7" x14ac:dyDescent="0.35">
      <c r="B3076" s="47"/>
      <c r="C3076" s="14"/>
      <c r="D3076" s="14"/>
      <c r="E3076" s="14"/>
      <c r="F3076" s="14"/>
      <c r="G3076" s="18"/>
    </row>
    <row r="3077" spans="2:7" x14ac:dyDescent="0.35">
      <c r="B3077" s="47"/>
      <c r="C3077" s="14"/>
      <c r="D3077" s="14"/>
      <c r="E3077" s="14"/>
      <c r="F3077" s="14"/>
      <c r="G3077" s="18"/>
    </row>
    <row r="3078" spans="2:7" x14ac:dyDescent="0.35">
      <c r="B3078" s="47"/>
      <c r="C3078" s="14"/>
      <c r="D3078" s="14"/>
      <c r="E3078" s="14"/>
      <c r="F3078" s="14"/>
      <c r="G3078" s="18"/>
    </row>
    <row r="3079" spans="2:7" x14ac:dyDescent="0.35">
      <c r="B3079" s="47"/>
      <c r="C3079" s="14"/>
      <c r="D3079" s="14"/>
      <c r="E3079" s="14"/>
      <c r="F3079" s="14"/>
      <c r="G3079" s="18"/>
    </row>
    <row r="3080" spans="2:7" x14ac:dyDescent="0.35">
      <c r="B3080" s="47"/>
      <c r="C3080" s="14"/>
      <c r="D3080" s="14"/>
      <c r="E3080" s="14"/>
      <c r="F3080" s="14"/>
      <c r="G3080" s="18"/>
    </row>
    <row r="3081" spans="2:7" x14ac:dyDescent="0.35">
      <c r="B3081" s="47"/>
      <c r="C3081" s="14"/>
      <c r="D3081" s="14"/>
      <c r="E3081" s="14"/>
      <c r="F3081" s="14"/>
      <c r="G3081" s="18"/>
    </row>
    <row r="3082" spans="2:7" x14ac:dyDescent="0.35">
      <c r="B3082" s="47"/>
      <c r="C3082" s="14"/>
      <c r="D3082" s="14"/>
      <c r="E3082" s="14"/>
      <c r="F3082" s="14"/>
      <c r="G3082" s="18"/>
    </row>
    <row r="3083" spans="2:7" x14ac:dyDescent="0.35">
      <c r="B3083" s="47"/>
      <c r="C3083" s="14"/>
      <c r="D3083" s="14"/>
      <c r="E3083" s="14"/>
      <c r="F3083" s="14"/>
      <c r="G3083" s="18"/>
    </row>
    <row r="3084" spans="2:7" x14ac:dyDescent="0.35">
      <c r="B3084" s="47"/>
      <c r="C3084" s="14"/>
      <c r="D3084" s="14"/>
      <c r="E3084" s="14"/>
      <c r="F3084" s="14"/>
      <c r="G3084" s="18"/>
    </row>
    <row r="3085" spans="2:7" x14ac:dyDescent="0.35">
      <c r="B3085" s="47"/>
      <c r="C3085" s="14"/>
      <c r="D3085" s="14"/>
      <c r="E3085" s="14"/>
      <c r="F3085" s="14"/>
      <c r="G3085" s="18"/>
    </row>
    <row r="3086" spans="2:7" x14ac:dyDescent="0.35">
      <c r="B3086" s="47"/>
      <c r="C3086" s="14"/>
      <c r="D3086" s="14"/>
      <c r="E3086" s="14"/>
      <c r="F3086" s="14"/>
      <c r="G3086" s="18"/>
    </row>
    <row r="3087" spans="2:7" x14ac:dyDescent="0.35">
      <c r="B3087" s="47"/>
      <c r="C3087" s="14"/>
      <c r="D3087" s="14"/>
      <c r="E3087" s="14"/>
      <c r="F3087" s="14"/>
      <c r="G3087" s="18"/>
    </row>
    <row r="3088" spans="2:7" x14ac:dyDescent="0.35">
      <c r="B3088" s="47"/>
      <c r="C3088" s="14"/>
      <c r="D3088" s="14"/>
      <c r="E3088" s="14"/>
      <c r="F3088" s="14"/>
      <c r="G3088" s="18"/>
    </row>
    <row r="3089" spans="2:7" x14ac:dyDescent="0.35">
      <c r="B3089" s="47"/>
      <c r="C3089" s="14"/>
      <c r="D3089" s="14"/>
      <c r="E3089" s="14"/>
      <c r="F3089" s="14"/>
      <c r="G3089" s="18"/>
    </row>
    <row r="3090" spans="2:7" x14ac:dyDescent="0.35">
      <c r="B3090" s="47"/>
      <c r="C3090" s="14"/>
      <c r="D3090" s="14"/>
      <c r="E3090" s="14"/>
      <c r="F3090" s="14"/>
      <c r="G3090" s="18"/>
    </row>
    <row r="3091" spans="2:7" x14ac:dyDescent="0.35">
      <c r="B3091" s="47"/>
      <c r="C3091" s="14"/>
      <c r="D3091" s="14"/>
      <c r="E3091" s="14"/>
      <c r="F3091" s="14"/>
      <c r="G3091" s="18"/>
    </row>
    <row r="3092" spans="2:7" x14ac:dyDescent="0.35">
      <c r="B3092" s="47"/>
      <c r="C3092" s="14"/>
      <c r="D3092" s="14"/>
      <c r="E3092" s="14"/>
      <c r="F3092" s="14"/>
      <c r="G3092" s="18"/>
    </row>
    <row r="3093" spans="2:7" x14ac:dyDescent="0.35">
      <c r="B3093" s="47"/>
      <c r="C3093" s="14"/>
      <c r="D3093" s="14"/>
      <c r="E3093" s="14"/>
      <c r="F3093" s="14"/>
      <c r="G3093" s="18"/>
    </row>
    <row r="3094" spans="2:7" x14ac:dyDescent="0.35">
      <c r="B3094" s="47"/>
      <c r="C3094" s="14"/>
      <c r="D3094" s="14"/>
      <c r="E3094" s="14"/>
      <c r="F3094" s="14"/>
      <c r="G3094" s="18"/>
    </row>
    <row r="3095" spans="2:7" x14ac:dyDescent="0.35">
      <c r="B3095" s="47"/>
      <c r="C3095" s="14"/>
      <c r="D3095" s="14"/>
      <c r="E3095" s="14"/>
      <c r="F3095" s="14"/>
      <c r="G3095" s="18"/>
    </row>
    <row r="3096" spans="2:7" x14ac:dyDescent="0.35">
      <c r="B3096" s="47"/>
      <c r="C3096" s="14"/>
      <c r="D3096" s="14"/>
      <c r="E3096" s="14"/>
      <c r="F3096" s="14"/>
      <c r="G3096" s="18"/>
    </row>
    <row r="3097" spans="2:7" x14ac:dyDescent="0.35">
      <c r="B3097" s="47"/>
      <c r="C3097" s="14"/>
      <c r="D3097" s="14"/>
      <c r="E3097" s="14"/>
      <c r="F3097" s="14"/>
      <c r="G3097" s="18"/>
    </row>
    <row r="3098" spans="2:7" x14ac:dyDescent="0.35">
      <c r="B3098" s="47"/>
      <c r="C3098" s="14"/>
      <c r="D3098" s="14"/>
      <c r="E3098" s="14"/>
      <c r="F3098" s="14"/>
      <c r="G3098" s="18"/>
    </row>
    <row r="3099" spans="2:7" x14ac:dyDescent="0.35">
      <c r="B3099" s="47"/>
      <c r="C3099" s="14"/>
      <c r="D3099" s="14"/>
      <c r="E3099" s="14"/>
      <c r="F3099" s="14"/>
      <c r="G3099" s="18"/>
    </row>
    <row r="3100" spans="2:7" x14ac:dyDescent="0.35">
      <c r="B3100" s="47"/>
      <c r="C3100" s="14"/>
      <c r="D3100" s="14"/>
      <c r="E3100" s="14"/>
      <c r="F3100" s="14"/>
      <c r="G3100" s="18"/>
    </row>
    <row r="3101" spans="2:7" x14ac:dyDescent="0.35">
      <c r="B3101" s="47"/>
      <c r="C3101" s="14"/>
      <c r="D3101" s="14"/>
      <c r="E3101" s="14"/>
      <c r="F3101" s="14"/>
      <c r="G3101" s="18"/>
    </row>
    <row r="3102" spans="2:7" x14ac:dyDescent="0.35">
      <c r="B3102" s="47"/>
      <c r="C3102" s="14"/>
      <c r="D3102" s="14"/>
      <c r="E3102" s="14"/>
      <c r="F3102" s="14"/>
      <c r="G3102" s="18"/>
    </row>
    <row r="3103" spans="2:7" x14ac:dyDescent="0.35">
      <c r="B3103" s="47"/>
      <c r="C3103" s="14"/>
      <c r="D3103" s="14"/>
      <c r="E3103" s="14"/>
      <c r="F3103" s="14"/>
      <c r="G3103" s="18"/>
    </row>
    <row r="3104" spans="2:7" x14ac:dyDescent="0.35">
      <c r="B3104" s="47"/>
      <c r="C3104" s="14"/>
      <c r="D3104" s="14"/>
      <c r="E3104" s="14"/>
      <c r="F3104" s="14"/>
      <c r="G3104" s="18"/>
    </row>
    <row r="3105" spans="2:7" x14ac:dyDescent="0.35">
      <c r="B3105" s="47"/>
      <c r="C3105" s="14"/>
      <c r="D3105" s="14"/>
      <c r="E3105" s="14"/>
      <c r="F3105" s="14"/>
      <c r="G3105" s="18"/>
    </row>
    <row r="3106" spans="2:7" x14ac:dyDescent="0.35">
      <c r="B3106" s="47"/>
      <c r="C3106" s="14"/>
      <c r="D3106" s="14"/>
      <c r="E3106" s="14"/>
      <c r="F3106" s="14"/>
      <c r="G3106" s="18"/>
    </row>
    <row r="3107" spans="2:7" x14ac:dyDescent="0.35">
      <c r="B3107" s="47"/>
      <c r="C3107" s="14"/>
      <c r="D3107" s="14"/>
      <c r="E3107" s="14"/>
      <c r="F3107" s="14"/>
      <c r="G3107" s="18"/>
    </row>
    <row r="3108" spans="2:7" x14ac:dyDescent="0.35">
      <c r="B3108" s="47"/>
      <c r="C3108" s="14"/>
      <c r="D3108" s="14"/>
      <c r="E3108" s="14"/>
      <c r="F3108" s="14"/>
      <c r="G3108" s="18"/>
    </row>
    <row r="3109" spans="2:7" x14ac:dyDescent="0.35">
      <c r="B3109" s="47"/>
      <c r="C3109" s="14"/>
      <c r="D3109" s="14"/>
      <c r="E3109" s="14"/>
      <c r="F3109" s="14"/>
      <c r="G3109" s="18"/>
    </row>
    <row r="3110" spans="2:7" x14ac:dyDescent="0.35">
      <c r="B3110" s="47"/>
      <c r="C3110" s="14"/>
      <c r="D3110" s="14"/>
      <c r="E3110" s="14"/>
      <c r="F3110" s="14"/>
      <c r="G3110" s="18"/>
    </row>
    <row r="3111" spans="2:7" x14ac:dyDescent="0.35">
      <c r="B3111" s="47"/>
      <c r="C3111" s="14"/>
      <c r="D3111" s="14"/>
      <c r="E3111" s="14"/>
      <c r="F3111" s="14"/>
      <c r="G3111" s="18"/>
    </row>
    <row r="3112" spans="2:7" x14ac:dyDescent="0.35">
      <c r="B3112" s="47"/>
      <c r="C3112" s="14"/>
      <c r="D3112" s="14"/>
      <c r="E3112" s="14"/>
      <c r="F3112" s="14"/>
      <c r="G3112" s="18"/>
    </row>
    <row r="3113" spans="2:7" x14ac:dyDescent="0.35">
      <c r="B3113" s="47"/>
      <c r="C3113" s="14"/>
      <c r="D3113" s="14"/>
      <c r="E3113" s="14"/>
      <c r="F3113" s="14"/>
      <c r="G3113" s="18"/>
    </row>
    <row r="3114" spans="2:7" x14ac:dyDescent="0.35">
      <c r="B3114" s="47"/>
      <c r="C3114" s="14"/>
      <c r="D3114" s="14"/>
      <c r="E3114" s="14"/>
      <c r="F3114" s="14"/>
      <c r="G3114" s="18"/>
    </row>
    <row r="3115" spans="2:7" x14ac:dyDescent="0.35">
      <c r="B3115" s="47"/>
      <c r="C3115" s="14"/>
      <c r="D3115" s="14"/>
      <c r="E3115" s="14"/>
      <c r="F3115" s="14"/>
      <c r="G3115" s="18"/>
    </row>
    <row r="3116" spans="2:7" x14ac:dyDescent="0.35">
      <c r="B3116" s="47"/>
      <c r="C3116" s="14"/>
      <c r="D3116" s="14"/>
      <c r="E3116" s="14"/>
      <c r="F3116" s="14"/>
      <c r="G3116" s="18"/>
    </row>
    <row r="3117" spans="2:7" x14ac:dyDescent="0.35">
      <c r="B3117" s="47"/>
      <c r="C3117" s="14"/>
      <c r="D3117" s="14"/>
      <c r="E3117" s="14"/>
      <c r="F3117" s="14"/>
      <c r="G3117" s="18"/>
    </row>
    <row r="3118" spans="2:7" x14ac:dyDescent="0.35">
      <c r="B3118" s="47"/>
      <c r="C3118" s="14"/>
      <c r="D3118" s="14"/>
      <c r="E3118" s="14"/>
      <c r="F3118" s="14"/>
      <c r="G3118" s="18"/>
    </row>
    <row r="3119" spans="2:7" x14ac:dyDescent="0.35">
      <c r="B3119" s="47"/>
      <c r="C3119" s="14"/>
      <c r="D3119" s="14"/>
      <c r="E3119" s="14"/>
      <c r="F3119" s="14"/>
      <c r="G3119" s="18"/>
    </row>
    <row r="3120" spans="2:7" x14ac:dyDescent="0.35">
      <c r="B3120" s="47"/>
      <c r="C3120" s="14"/>
      <c r="D3120" s="14"/>
      <c r="E3120" s="14"/>
      <c r="F3120" s="14"/>
      <c r="G3120" s="18"/>
    </row>
    <row r="3121" spans="2:7" x14ac:dyDescent="0.35">
      <c r="B3121" s="47"/>
      <c r="C3121" s="14"/>
      <c r="D3121" s="14"/>
      <c r="E3121" s="14"/>
      <c r="F3121" s="14"/>
      <c r="G3121" s="18"/>
    </row>
    <row r="3122" spans="2:7" x14ac:dyDescent="0.35">
      <c r="B3122" s="47"/>
      <c r="C3122" s="14"/>
      <c r="D3122" s="14"/>
      <c r="E3122" s="14"/>
      <c r="F3122" s="14"/>
      <c r="G3122" s="18"/>
    </row>
    <row r="3123" spans="2:7" x14ac:dyDescent="0.35">
      <c r="B3123" s="47"/>
      <c r="C3123" s="14"/>
      <c r="D3123" s="14"/>
      <c r="E3123" s="14"/>
      <c r="F3123" s="14"/>
      <c r="G3123" s="18"/>
    </row>
    <row r="3124" spans="2:7" x14ac:dyDescent="0.35">
      <c r="B3124" s="47"/>
      <c r="C3124" s="14"/>
      <c r="D3124" s="14"/>
      <c r="E3124" s="14"/>
      <c r="F3124" s="14"/>
      <c r="G3124" s="18"/>
    </row>
    <row r="3125" spans="2:7" x14ac:dyDescent="0.35">
      <c r="B3125" s="47"/>
      <c r="C3125" s="14"/>
      <c r="D3125" s="14"/>
      <c r="E3125" s="14"/>
      <c r="F3125" s="14"/>
      <c r="G3125" s="18"/>
    </row>
    <row r="3126" spans="2:7" x14ac:dyDescent="0.35">
      <c r="B3126" s="47"/>
      <c r="C3126" s="14"/>
      <c r="D3126" s="14"/>
      <c r="E3126" s="14"/>
      <c r="F3126" s="14"/>
      <c r="G3126" s="18"/>
    </row>
    <row r="3127" spans="2:7" x14ac:dyDescent="0.35">
      <c r="B3127" s="47"/>
      <c r="C3127" s="14"/>
      <c r="D3127" s="14"/>
      <c r="E3127" s="14"/>
      <c r="F3127" s="14"/>
      <c r="G3127" s="18"/>
    </row>
    <row r="3128" spans="2:7" x14ac:dyDescent="0.35">
      <c r="B3128" s="47"/>
      <c r="C3128" s="14"/>
      <c r="D3128" s="14"/>
      <c r="E3128" s="14"/>
      <c r="F3128" s="14"/>
      <c r="G3128" s="18"/>
    </row>
    <row r="3129" spans="2:7" x14ac:dyDescent="0.35">
      <c r="B3129" s="47"/>
      <c r="C3129" s="14"/>
      <c r="D3129" s="14"/>
      <c r="E3129" s="14"/>
      <c r="F3129" s="14"/>
      <c r="G3129" s="18"/>
    </row>
    <row r="3130" spans="2:7" x14ac:dyDescent="0.35">
      <c r="B3130" s="47"/>
      <c r="C3130" s="14"/>
      <c r="D3130" s="14"/>
      <c r="E3130" s="14"/>
      <c r="F3130" s="14"/>
      <c r="G3130" s="18"/>
    </row>
    <row r="3131" spans="2:7" x14ac:dyDescent="0.35">
      <c r="B3131" s="47"/>
      <c r="C3131" s="14"/>
      <c r="D3131" s="14"/>
      <c r="E3131" s="14"/>
      <c r="F3131" s="14"/>
      <c r="G3131" s="18"/>
    </row>
    <row r="3132" spans="2:7" x14ac:dyDescent="0.35">
      <c r="B3132" s="47"/>
      <c r="C3132" s="14"/>
      <c r="D3132" s="14"/>
      <c r="E3132" s="14"/>
      <c r="F3132" s="14"/>
      <c r="G3132" s="18"/>
    </row>
    <row r="3133" spans="2:7" x14ac:dyDescent="0.35">
      <c r="B3133" s="47"/>
      <c r="C3133" s="14"/>
      <c r="D3133" s="14"/>
      <c r="E3133" s="14"/>
      <c r="F3133" s="14"/>
      <c r="G3133" s="18"/>
    </row>
    <row r="3134" spans="2:7" x14ac:dyDescent="0.35">
      <c r="B3134" s="47"/>
      <c r="C3134" s="14"/>
      <c r="D3134" s="14"/>
      <c r="E3134" s="14"/>
      <c r="F3134" s="14"/>
      <c r="G3134" s="18"/>
    </row>
    <row r="3135" spans="2:7" x14ac:dyDescent="0.35">
      <c r="B3135" s="47"/>
      <c r="C3135" s="14"/>
      <c r="D3135" s="14"/>
      <c r="E3135" s="14"/>
      <c r="F3135" s="14"/>
      <c r="G3135" s="18"/>
    </row>
    <row r="3136" spans="2:7" x14ac:dyDescent="0.35">
      <c r="B3136" s="47"/>
      <c r="C3136" s="14"/>
      <c r="D3136" s="14"/>
      <c r="E3136" s="14"/>
      <c r="F3136" s="14"/>
      <c r="G3136" s="18"/>
    </row>
    <row r="3137" spans="2:7" x14ac:dyDescent="0.35">
      <c r="B3137" s="47"/>
      <c r="C3137" s="14"/>
      <c r="D3137" s="14"/>
      <c r="E3137" s="14"/>
      <c r="F3137" s="14"/>
      <c r="G3137" s="18"/>
    </row>
    <row r="3138" spans="2:7" x14ac:dyDescent="0.35">
      <c r="B3138" s="47"/>
      <c r="C3138" s="14"/>
      <c r="D3138" s="14"/>
      <c r="E3138" s="14"/>
      <c r="F3138" s="14"/>
      <c r="G3138" s="18"/>
    </row>
    <row r="3139" spans="2:7" x14ac:dyDescent="0.35">
      <c r="B3139" s="47"/>
      <c r="C3139" s="14"/>
      <c r="D3139" s="14"/>
      <c r="E3139" s="14"/>
      <c r="F3139" s="14"/>
      <c r="G3139" s="18"/>
    </row>
    <row r="3140" spans="2:7" x14ac:dyDescent="0.35">
      <c r="B3140" s="47"/>
      <c r="C3140" s="14"/>
      <c r="D3140" s="14"/>
      <c r="E3140" s="14"/>
      <c r="F3140" s="14"/>
      <c r="G3140" s="18"/>
    </row>
    <row r="3141" spans="2:7" x14ac:dyDescent="0.35">
      <c r="B3141" s="47"/>
      <c r="C3141" s="14"/>
      <c r="D3141" s="14"/>
      <c r="E3141" s="14"/>
      <c r="F3141" s="14"/>
      <c r="G3141" s="18"/>
    </row>
    <row r="3142" spans="2:7" x14ac:dyDescent="0.35">
      <c r="B3142" s="47"/>
      <c r="C3142" s="14"/>
      <c r="D3142" s="14"/>
      <c r="E3142" s="14"/>
      <c r="F3142" s="14"/>
      <c r="G3142" s="18"/>
    </row>
    <row r="3143" spans="2:7" x14ac:dyDescent="0.35">
      <c r="B3143" s="47"/>
      <c r="C3143" s="14"/>
      <c r="D3143" s="14"/>
      <c r="E3143" s="14"/>
      <c r="F3143" s="14"/>
      <c r="G3143" s="18"/>
    </row>
    <row r="3144" spans="2:7" x14ac:dyDescent="0.35">
      <c r="B3144" s="47"/>
      <c r="C3144" s="14"/>
      <c r="D3144" s="14"/>
      <c r="E3144" s="14"/>
      <c r="F3144" s="14"/>
      <c r="G3144" s="18"/>
    </row>
    <row r="3145" spans="2:7" x14ac:dyDescent="0.35">
      <c r="B3145" s="47"/>
      <c r="C3145" s="14"/>
      <c r="D3145" s="14"/>
      <c r="E3145" s="14"/>
      <c r="F3145" s="14"/>
      <c r="G3145" s="18"/>
    </row>
    <row r="3146" spans="2:7" x14ac:dyDescent="0.35">
      <c r="B3146" s="47"/>
      <c r="C3146" s="14"/>
      <c r="D3146" s="14"/>
      <c r="E3146" s="14"/>
      <c r="F3146" s="14"/>
      <c r="G3146" s="18"/>
    </row>
    <row r="3147" spans="2:7" x14ac:dyDescent="0.35">
      <c r="B3147" s="47"/>
      <c r="C3147" s="14"/>
      <c r="D3147" s="14"/>
      <c r="E3147" s="14"/>
      <c r="F3147" s="14"/>
      <c r="G3147" s="18"/>
    </row>
    <row r="3148" spans="2:7" x14ac:dyDescent="0.35">
      <c r="B3148" s="47"/>
      <c r="C3148" s="14"/>
      <c r="D3148" s="14"/>
      <c r="E3148" s="14"/>
      <c r="F3148" s="14"/>
      <c r="G3148" s="18"/>
    </row>
    <row r="3149" spans="2:7" x14ac:dyDescent="0.35">
      <c r="B3149" s="47"/>
      <c r="C3149" s="14"/>
      <c r="D3149" s="14"/>
      <c r="E3149" s="14"/>
      <c r="F3149" s="14"/>
      <c r="G3149" s="18"/>
    </row>
    <row r="3150" spans="2:7" x14ac:dyDescent="0.35">
      <c r="B3150" s="47"/>
      <c r="C3150" s="14"/>
      <c r="D3150" s="14"/>
      <c r="E3150" s="14"/>
      <c r="F3150" s="14"/>
      <c r="G3150" s="18"/>
    </row>
    <row r="3151" spans="2:7" x14ac:dyDescent="0.35">
      <c r="B3151" s="47"/>
      <c r="C3151" s="14"/>
      <c r="D3151" s="14"/>
      <c r="E3151" s="14"/>
      <c r="F3151" s="14"/>
      <c r="G3151" s="18"/>
    </row>
    <row r="3152" spans="2:7" x14ac:dyDescent="0.35">
      <c r="B3152" s="47"/>
      <c r="C3152" s="14"/>
      <c r="D3152" s="14"/>
      <c r="E3152" s="14"/>
      <c r="F3152" s="14"/>
      <c r="G3152" s="18"/>
    </row>
    <row r="3153" spans="2:7" x14ac:dyDescent="0.35">
      <c r="B3153" s="47"/>
      <c r="C3153" s="14"/>
      <c r="D3153" s="14"/>
      <c r="E3153" s="14"/>
      <c r="F3153" s="14"/>
      <c r="G3153" s="18"/>
    </row>
    <row r="3154" spans="2:7" x14ac:dyDescent="0.35">
      <c r="B3154" s="47"/>
      <c r="C3154" s="14"/>
      <c r="D3154" s="14"/>
      <c r="E3154" s="14"/>
      <c r="F3154" s="14"/>
      <c r="G3154" s="18"/>
    </row>
    <row r="3155" spans="2:7" x14ac:dyDescent="0.35">
      <c r="B3155" s="47"/>
      <c r="C3155" s="14"/>
      <c r="D3155" s="14"/>
      <c r="E3155" s="14"/>
      <c r="F3155" s="14"/>
      <c r="G3155" s="18"/>
    </row>
    <row r="3156" spans="2:7" x14ac:dyDescent="0.35">
      <c r="B3156" s="47"/>
      <c r="C3156" s="14"/>
      <c r="D3156" s="14"/>
      <c r="E3156" s="14"/>
      <c r="F3156" s="14"/>
      <c r="G3156" s="18"/>
    </row>
    <row r="3157" spans="2:7" x14ac:dyDescent="0.35">
      <c r="B3157" s="47"/>
      <c r="C3157" s="14"/>
      <c r="D3157" s="14"/>
      <c r="E3157" s="14"/>
      <c r="F3157" s="14"/>
      <c r="G3157" s="18"/>
    </row>
    <row r="3158" spans="2:7" x14ac:dyDescent="0.35">
      <c r="B3158" s="47"/>
      <c r="C3158" s="14"/>
      <c r="D3158" s="14"/>
      <c r="E3158" s="14"/>
      <c r="F3158" s="14"/>
      <c r="G3158" s="18"/>
    </row>
    <row r="3159" spans="2:7" x14ac:dyDescent="0.35">
      <c r="B3159" s="47"/>
      <c r="C3159" s="14"/>
      <c r="D3159" s="14"/>
      <c r="E3159" s="14"/>
      <c r="F3159" s="14"/>
      <c r="G3159" s="18"/>
    </row>
    <row r="3160" spans="2:7" x14ac:dyDescent="0.35">
      <c r="B3160" s="47"/>
      <c r="C3160" s="14"/>
      <c r="D3160" s="14"/>
      <c r="E3160" s="14"/>
      <c r="F3160" s="14"/>
      <c r="G3160" s="18"/>
    </row>
    <row r="3161" spans="2:7" x14ac:dyDescent="0.35">
      <c r="B3161" s="47"/>
      <c r="C3161" s="14"/>
      <c r="D3161" s="14"/>
      <c r="E3161" s="14"/>
      <c r="F3161" s="14"/>
      <c r="G3161" s="18"/>
    </row>
    <row r="3162" spans="2:7" x14ac:dyDescent="0.35">
      <c r="B3162" s="47"/>
      <c r="C3162" s="14"/>
      <c r="D3162" s="14"/>
      <c r="E3162" s="14"/>
      <c r="F3162" s="14"/>
      <c r="G3162" s="18"/>
    </row>
    <row r="3163" spans="2:7" x14ac:dyDescent="0.35">
      <c r="B3163" s="47"/>
      <c r="C3163" s="14"/>
      <c r="D3163" s="14"/>
      <c r="E3163" s="14"/>
      <c r="F3163" s="14"/>
      <c r="G3163" s="18"/>
    </row>
    <row r="3164" spans="2:7" x14ac:dyDescent="0.35">
      <c r="B3164" s="47"/>
      <c r="C3164" s="14"/>
      <c r="D3164" s="14"/>
      <c r="E3164" s="14"/>
      <c r="F3164" s="14"/>
      <c r="G3164" s="18"/>
    </row>
    <row r="3165" spans="2:7" x14ac:dyDescent="0.35">
      <c r="B3165" s="47"/>
      <c r="C3165" s="14"/>
      <c r="D3165" s="14"/>
      <c r="E3165" s="14"/>
      <c r="F3165" s="14"/>
      <c r="G3165" s="18"/>
    </row>
    <row r="3166" spans="2:7" x14ac:dyDescent="0.35">
      <c r="B3166" s="47"/>
      <c r="C3166" s="14"/>
      <c r="D3166" s="14"/>
      <c r="E3166" s="14"/>
      <c r="F3166" s="14"/>
      <c r="G3166" s="18"/>
    </row>
    <row r="3167" spans="2:7" x14ac:dyDescent="0.35">
      <c r="B3167" s="47"/>
      <c r="C3167" s="14"/>
      <c r="D3167" s="14"/>
      <c r="E3167" s="14"/>
      <c r="F3167" s="14"/>
      <c r="G3167" s="18"/>
    </row>
    <row r="3168" spans="2:7" x14ac:dyDescent="0.35">
      <c r="B3168" s="47"/>
      <c r="C3168" s="14"/>
      <c r="D3168" s="14"/>
      <c r="E3168" s="14"/>
      <c r="F3168" s="14"/>
      <c r="G3168" s="18"/>
    </row>
    <row r="3169" spans="2:7" x14ac:dyDescent="0.35">
      <c r="B3169" s="47"/>
      <c r="C3169" s="14"/>
      <c r="D3169" s="14"/>
      <c r="E3169" s="14"/>
      <c r="F3169" s="14"/>
      <c r="G3169" s="18"/>
    </row>
    <row r="3170" spans="2:7" x14ac:dyDescent="0.35">
      <c r="B3170" s="47"/>
      <c r="C3170" s="14"/>
      <c r="D3170" s="14"/>
      <c r="E3170" s="14"/>
      <c r="F3170" s="14"/>
      <c r="G3170" s="18"/>
    </row>
    <row r="3171" spans="2:7" x14ac:dyDescent="0.35">
      <c r="B3171" s="47"/>
      <c r="C3171" s="14"/>
      <c r="D3171" s="14"/>
      <c r="E3171" s="14"/>
      <c r="F3171" s="14"/>
      <c r="G3171" s="18"/>
    </row>
    <row r="3172" spans="2:7" x14ac:dyDescent="0.35">
      <c r="B3172" s="47"/>
      <c r="C3172" s="14"/>
      <c r="D3172" s="14"/>
      <c r="E3172" s="14"/>
      <c r="F3172" s="14"/>
      <c r="G3172" s="18"/>
    </row>
    <row r="3173" spans="2:7" x14ac:dyDescent="0.35">
      <c r="B3173" s="47"/>
      <c r="C3173" s="14"/>
      <c r="D3173" s="14"/>
      <c r="E3173" s="14"/>
      <c r="F3173" s="14"/>
      <c r="G3173" s="18"/>
    </row>
    <row r="3174" spans="2:7" x14ac:dyDescent="0.35">
      <c r="B3174" s="47"/>
      <c r="C3174" s="14"/>
      <c r="D3174" s="14"/>
      <c r="E3174" s="14"/>
      <c r="F3174" s="14"/>
      <c r="G3174" s="18"/>
    </row>
    <row r="3175" spans="2:7" x14ac:dyDescent="0.35">
      <c r="B3175" s="47"/>
      <c r="C3175" s="14"/>
      <c r="D3175" s="14"/>
      <c r="E3175" s="14"/>
      <c r="F3175" s="14"/>
      <c r="G3175" s="18"/>
    </row>
    <row r="3176" spans="2:7" x14ac:dyDescent="0.35">
      <c r="B3176" s="47"/>
      <c r="C3176" s="14"/>
      <c r="D3176" s="14"/>
      <c r="E3176" s="14"/>
      <c r="F3176" s="14"/>
      <c r="G3176" s="18"/>
    </row>
    <row r="3177" spans="2:7" x14ac:dyDescent="0.35">
      <c r="B3177" s="47"/>
      <c r="C3177" s="14"/>
      <c r="D3177" s="14"/>
      <c r="E3177" s="14"/>
      <c r="F3177" s="14"/>
      <c r="G3177" s="18"/>
    </row>
    <row r="3178" spans="2:7" x14ac:dyDescent="0.35">
      <c r="B3178" s="47"/>
      <c r="C3178" s="14"/>
      <c r="D3178" s="14"/>
      <c r="E3178" s="14"/>
      <c r="F3178" s="14"/>
      <c r="G3178" s="18"/>
    </row>
    <row r="3179" spans="2:7" x14ac:dyDescent="0.35">
      <c r="B3179" s="47"/>
      <c r="C3179" s="14"/>
      <c r="D3179" s="14"/>
      <c r="E3179" s="14"/>
      <c r="F3179" s="14"/>
      <c r="G3179" s="18"/>
    </row>
    <row r="3180" spans="2:7" x14ac:dyDescent="0.35">
      <c r="B3180" s="47"/>
      <c r="C3180" s="14"/>
      <c r="D3180" s="14"/>
      <c r="E3180" s="14"/>
      <c r="F3180" s="14"/>
      <c r="G3180" s="18"/>
    </row>
    <row r="3181" spans="2:7" x14ac:dyDescent="0.35">
      <c r="B3181" s="47"/>
      <c r="C3181" s="14"/>
      <c r="D3181" s="14"/>
      <c r="E3181" s="14"/>
      <c r="F3181" s="14"/>
      <c r="G3181" s="18"/>
    </row>
    <row r="3182" spans="2:7" x14ac:dyDescent="0.35">
      <c r="B3182" s="47"/>
      <c r="C3182" s="14"/>
      <c r="D3182" s="14"/>
      <c r="E3182" s="14"/>
      <c r="F3182" s="14"/>
      <c r="G3182" s="18"/>
    </row>
    <row r="3183" spans="2:7" x14ac:dyDescent="0.35">
      <c r="B3183" s="47"/>
      <c r="C3183" s="14"/>
      <c r="D3183" s="14"/>
      <c r="E3183" s="14"/>
      <c r="F3183" s="14"/>
      <c r="G3183" s="18"/>
    </row>
    <row r="3184" spans="2:7" x14ac:dyDescent="0.35">
      <c r="B3184" s="47"/>
      <c r="C3184" s="14"/>
      <c r="D3184" s="14"/>
      <c r="E3184" s="14"/>
      <c r="F3184" s="14"/>
      <c r="G3184" s="18"/>
    </row>
    <row r="3185" spans="2:7" x14ac:dyDescent="0.35">
      <c r="B3185" s="47"/>
      <c r="C3185" s="14"/>
      <c r="D3185" s="14"/>
      <c r="E3185" s="14"/>
      <c r="F3185" s="14"/>
      <c r="G3185" s="18"/>
    </row>
    <row r="3186" spans="2:7" x14ac:dyDescent="0.35">
      <c r="B3186" s="47"/>
      <c r="C3186" s="14"/>
      <c r="D3186" s="14"/>
      <c r="E3186" s="14"/>
      <c r="F3186" s="14"/>
      <c r="G3186" s="18"/>
    </row>
    <row r="3187" spans="2:7" x14ac:dyDescent="0.35">
      <c r="B3187" s="47"/>
      <c r="C3187" s="14"/>
      <c r="D3187" s="14"/>
      <c r="E3187" s="14"/>
      <c r="F3187" s="14"/>
      <c r="G3187" s="18"/>
    </row>
    <row r="3188" spans="2:7" x14ac:dyDescent="0.35">
      <c r="B3188" s="47"/>
      <c r="C3188" s="14"/>
      <c r="D3188" s="14"/>
      <c r="E3188" s="14"/>
      <c r="F3188" s="14"/>
      <c r="G3188" s="18"/>
    </row>
    <row r="3189" spans="2:7" x14ac:dyDescent="0.35">
      <c r="B3189" s="47"/>
      <c r="C3189" s="14"/>
      <c r="D3189" s="14"/>
      <c r="E3189" s="14"/>
      <c r="F3189" s="14"/>
      <c r="G3189" s="18"/>
    </row>
    <row r="3190" spans="2:7" x14ac:dyDescent="0.35">
      <c r="B3190" s="47"/>
      <c r="C3190" s="14"/>
      <c r="D3190" s="14"/>
      <c r="E3190" s="14"/>
      <c r="F3190" s="14"/>
      <c r="G3190" s="18"/>
    </row>
    <row r="3191" spans="2:7" x14ac:dyDescent="0.35">
      <c r="B3191" s="47"/>
      <c r="C3191" s="14"/>
      <c r="D3191" s="14"/>
      <c r="E3191" s="14"/>
      <c r="F3191" s="14"/>
      <c r="G3191" s="18"/>
    </row>
    <row r="3192" spans="2:7" x14ac:dyDescent="0.35">
      <c r="B3192" s="47"/>
      <c r="C3192" s="14"/>
      <c r="D3192" s="14"/>
      <c r="E3192" s="14"/>
      <c r="F3192" s="14"/>
      <c r="G3192" s="18"/>
    </row>
    <row r="3193" spans="2:7" x14ac:dyDescent="0.35">
      <c r="B3193" s="47"/>
      <c r="C3193" s="14"/>
      <c r="D3193" s="14"/>
      <c r="E3193" s="14"/>
      <c r="F3193" s="14"/>
      <c r="G3193" s="18"/>
    </row>
    <row r="3194" spans="2:7" x14ac:dyDescent="0.35">
      <c r="B3194" s="47"/>
      <c r="C3194" s="14"/>
      <c r="D3194" s="14"/>
      <c r="E3194" s="14"/>
      <c r="F3194" s="14"/>
      <c r="G3194" s="18"/>
    </row>
    <row r="3195" spans="2:7" x14ac:dyDescent="0.35">
      <c r="B3195" s="47"/>
      <c r="C3195" s="14"/>
      <c r="D3195" s="14"/>
      <c r="E3195" s="14"/>
      <c r="F3195" s="14"/>
      <c r="G3195" s="18"/>
    </row>
    <row r="3196" spans="2:7" x14ac:dyDescent="0.35">
      <c r="B3196" s="47"/>
      <c r="C3196" s="14"/>
      <c r="D3196" s="14"/>
      <c r="E3196" s="14"/>
      <c r="F3196" s="14"/>
      <c r="G3196" s="18"/>
    </row>
    <row r="3197" spans="2:7" x14ac:dyDescent="0.35">
      <c r="B3197" s="47"/>
      <c r="C3197" s="14"/>
      <c r="D3197" s="14"/>
      <c r="E3197" s="14"/>
      <c r="F3197" s="14"/>
      <c r="G3197" s="18"/>
    </row>
    <row r="3198" spans="2:7" x14ac:dyDescent="0.35">
      <c r="B3198" s="47"/>
      <c r="C3198" s="14"/>
      <c r="D3198" s="14"/>
      <c r="E3198" s="14"/>
      <c r="F3198" s="14"/>
      <c r="G3198" s="18"/>
    </row>
    <row r="3199" spans="2:7" x14ac:dyDescent="0.35">
      <c r="B3199" s="47"/>
      <c r="C3199" s="14"/>
      <c r="D3199" s="14"/>
      <c r="E3199" s="14"/>
      <c r="F3199" s="14"/>
      <c r="G3199" s="18"/>
    </row>
    <row r="3200" spans="2:7" x14ac:dyDescent="0.35">
      <c r="B3200" s="47"/>
      <c r="C3200" s="14"/>
      <c r="D3200" s="14"/>
      <c r="E3200" s="14"/>
      <c r="F3200" s="14"/>
      <c r="G3200" s="18"/>
    </row>
    <row r="3201" spans="2:7" x14ac:dyDescent="0.35">
      <c r="B3201" s="47"/>
      <c r="C3201" s="14"/>
      <c r="D3201" s="14"/>
      <c r="E3201" s="14"/>
      <c r="F3201" s="14"/>
      <c r="G3201" s="18"/>
    </row>
    <row r="3202" spans="2:7" x14ac:dyDescent="0.35">
      <c r="B3202" s="47"/>
      <c r="C3202" s="14"/>
      <c r="D3202" s="14"/>
      <c r="E3202" s="14"/>
      <c r="F3202" s="14"/>
      <c r="G3202" s="18"/>
    </row>
    <row r="3203" spans="2:7" x14ac:dyDescent="0.35">
      <c r="B3203" s="47"/>
      <c r="C3203" s="14"/>
      <c r="D3203" s="14"/>
      <c r="E3203" s="14"/>
      <c r="F3203" s="14"/>
      <c r="G3203" s="18"/>
    </row>
    <row r="3204" spans="2:7" x14ac:dyDescent="0.35">
      <c r="B3204" s="47"/>
      <c r="C3204" s="14"/>
      <c r="D3204" s="14"/>
      <c r="E3204" s="14"/>
      <c r="F3204" s="14"/>
      <c r="G3204" s="18"/>
    </row>
    <row r="3205" spans="2:7" x14ac:dyDescent="0.35">
      <c r="B3205" s="47"/>
      <c r="C3205" s="14"/>
      <c r="D3205" s="14"/>
      <c r="E3205" s="14"/>
      <c r="F3205" s="14"/>
      <c r="G3205" s="18"/>
    </row>
    <row r="3206" spans="2:7" x14ac:dyDescent="0.35">
      <c r="B3206" s="47"/>
      <c r="C3206" s="14"/>
      <c r="D3206" s="14"/>
      <c r="E3206" s="14"/>
      <c r="F3206" s="14"/>
      <c r="G3206" s="18"/>
    </row>
    <row r="3207" spans="2:7" x14ac:dyDescent="0.35">
      <c r="B3207" s="47"/>
      <c r="C3207" s="14"/>
      <c r="D3207" s="14"/>
      <c r="E3207" s="14"/>
      <c r="F3207" s="14"/>
      <c r="G3207" s="18"/>
    </row>
    <row r="3208" spans="2:7" x14ac:dyDescent="0.35">
      <c r="B3208" s="47"/>
      <c r="C3208" s="14"/>
      <c r="D3208" s="14"/>
      <c r="E3208" s="14"/>
      <c r="F3208" s="14"/>
      <c r="G3208" s="18"/>
    </row>
    <row r="3209" spans="2:7" x14ac:dyDescent="0.35">
      <c r="B3209" s="47"/>
      <c r="C3209" s="14"/>
      <c r="D3209" s="14"/>
      <c r="E3209" s="14"/>
      <c r="F3209" s="14"/>
      <c r="G3209" s="18"/>
    </row>
    <row r="3210" spans="2:7" x14ac:dyDescent="0.35">
      <c r="B3210" s="47"/>
      <c r="C3210" s="14"/>
      <c r="D3210" s="14"/>
      <c r="E3210" s="14"/>
      <c r="F3210" s="14"/>
      <c r="G3210" s="18"/>
    </row>
    <row r="3211" spans="2:7" x14ac:dyDescent="0.35">
      <c r="B3211" s="47"/>
      <c r="C3211" s="14"/>
      <c r="D3211" s="14"/>
      <c r="E3211" s="14"/>
      <c r="F3211" s="14"/>
      <c r="G3211" s="18"/>
    </row>
    <row r="3212" spans="2:7" x14ac:dyDescent="0.35">
      <c r="B3212" s="47"/>
      <c r="C3212" s="14"/>
      <c r="D3212" s="14"/>
      <c r="E3212" s="14"/>
      <c r="F3212" s="14"/>
      <c r="G3212" s="18"/>
    </row>
    <row r="3213" spans="2:7" x14ac:dyDescent="0.35">
      <c r="B3213" s="47"/>
      <c r="C3213" s="14"/>
      <c r="D3213" s="14"/>
      <c r="E3213" s="14"/>
      <c r="F3213" s="14"/>
      <c r="G3213" s="18"/>
    </row>
    <row r="3214" spans="2:7" x14ac:dyDescent="0.35">
      <c r="B3214" s="47"/>
      <c r="C3214" s="14"/>
      <c r="D3214" s="14"/>
      <c r="E3214" s="14"/>
      <c r="F3214" s="14"/>
      <c r="G3214" s="18"/>
    </row>
    <row r="3215" spans="2:7" x14ac:dyDescent="0.35">
      <c r="B3215" s="47"/>
      <c r="C3215" s="14"/>
      <c r="D3215" s="14"/>
      <c r="E3215" s="14"/>
      <c r="F3215" s="14"/>
      <c r="G3215" s="18"/>
    </row>
    <row r="3216" spans="2:7" x14ac:dyDescent="0.35">
      <c r="B3216" s="47"/>
      <c r="C3216" s="14"/>
      <c r="D3216" s="14"/>
      <c r="E3216" s="14"/>
      <c r="F3216" s="14"/>
      <c r="G3216" s="18"/>
    </row>
    <row r="3217" spans="2:7" x14ac:dyDescent="0.35">
      <c r="B3217" s="47"/>
      <c r="C3217" s="14"/>
      <c r="D3217" s="14"/>
      <c r="E3217" s="14"/>
      <c r="F3217" s="14"/>
      <c r="G3217" s="18"/>
    </row>
    <row r="3218" spans="2:7" x14ac:dyDescent="0.35">
      <c r="B3218" s="47"/>
      <c r="C3218" s="14"/>
      <c r="D3218" s="14"/>
      <c r="E3218" s="14"/>
      <c r="F3218" s="14"/>
      <c r="G3218" s="18"/>
    </row>
    <row r="3219" spans="2:7" x14ac:dyDescent="0.35">
      <c r="B3219" s="47"/>
      <c r="C3219" s="14"/>
      <c r="D3219" s="14"/>
      <c r="E3219" s="14"/>
      <c r="F3219" s="14"/>
      <c r="G3219" s="18"/>
    </row>
    <row r="3220" spans="2:7" x14ac:dyDescent="0.35">
      <c r="B3220" s="47"/>
      <c r="C3220" s="14"/>
      <c r="D3220" s="14"/>
      <c r="E3220" s="14"/>
      <c r="F3220" s="14"/>
      <c r="G3220" s="18"/>
    </row>
    <row r="3221" spans="2:7" x14ac:dyDescent="0.35">
      <c r="B3221" s="47"/>
      <c r="C3221" s="14"/>
      <c r="D3221" s="14"/>
      <c r="E3221" s="14"/>
      <c r="F3221" s="14"/>
      <c r="G3221" s="18"/>
    </row>
    <row r="3222" spans="2:7" x14ac:dyDescent="0.35">
      <c r="B3222" s="47"/>
      <c r="C3222" s="14"/>
      <c r="D3222" s="14"/>
      <c r="E3222" s="14"/>
      <c r="F3222" s="14"/>
      <c r="G3222" s="18"/>
    </row>
    <row r="3223" spans="2:7" x14ac:dyDescent="0.35">
      <c r="B3223" s="47"/>
      <c r="C3223" s="14"/>
      <c r="D3223" s="14"/>
      <c r="E3223" s="14"/>
      <c r="F3223" s="14"/>
      <c r="G3223" s="18"/>
    </row>
    <row r="3224" spans="2:7" x14ac:dyDescent="0.35">
      <c r="B3224" s="47"/>
      <c r="C3224" s="14"/>
      <c r="D3224" s="14"/>
      <c r="E3224" s="14"/>
      <c r="F3224" s="14"/>
      <c r="G3224" s="18"/>
    </row>
    <row r="3225" spans="2:7" x14ac:dyDescent="0.35">
      <c r="B3225" s="47"/>
      <c r="C3225" s="14"/>
      <c r="D3225" s="14"/>
      <c r="E3225" s="14"/>
      <c r="F3225" s="14"/>
      <c r="G3225" s="18"/>
    </row>
    <row r="3226" spans="2:7" x14ac:dyDescent="0.35">
      <c r="B3226" s="47"/>
      <c r="C3226" s="14"/>
      <c r="D3226" s="14"/>
      <c r="E3226" s="14"/>
      <c r="F3226" s="14"/>
      <c r="G3226" s="18"/>
    </row>
    <row r="3227" spans="2:7" x14ac:dyDescent="0.35">
      <c r="B3227" s="47"/>
      <c r="C3227" s="14"/>
      <c r="D3227" s="14"/>
      <c r="E3227" s="14"/>
      <c r="F3227" s="14"/>
      <c r="G3227" s="18"/>
    </row>
    <row r="3228" spans="2:7" x14ac:dyDescent="0.35">
      <c r="B3228" s="47"/>
      <c r="C3228" s="14"/>
      <c r="D3228" s="14"/>
      <c r="E3228" s="14"/>
      <c r="F3228" s="14"/>
      <c r="G3228" s="18"/>
    </row>
    <row r="3229" spans="2:7" x14ac:dyDescent="0.35">
      <c r="B3229" s="47"/>
      <c r="C3229" s="14"/>
      <c r="D3229" s="14"/>
      <c r="E3229" s="14"/>
      <c r="F3229" s="14"/>
      <c r="G3229" s="18"/>
    </row>
    <row r="3230" spans="2:7" x14ac:dyDescent="0.35">
      <c r="B3230" s="47"/>
      <c r="C3230" s="14"/>
      <c r="D3230" s="14"/>
      <c r="E3230" s="14"/>
      <c r="F3230" s="14"/>
      <c r="G3230" s="18"/>
    </row>
    <row r="3231" spans="2:7" x14ac:dyDescent="0.35">
      <c r="B3231" s="47"/>
      <c r="C3231" s="14"/>
      <c r="D3231" s="14"/>
      <c r="E3231" s="14"/>
      <c r="F3231" s="14"/>
      <c r="G3231" s="18"/>
    </row>
    <row r="3232" spans="2:7" x14ac:dyDescent="0.35">
      <c r="B3232" s="47"/>
      <c r="C3232" s="14"/>
      <c r="D3232" s="14"/>
      <c r="E3232" s="14"/>
      <c r="F3232" s="14"/>
      <c r="G3232" s="18"/>
    </row>
    <row r="3233" spans="2:7" x14ac:dyDescent="0.35">
      <c r="B3233" s="47"/>
      <c r="C3233" s="14"/>
      <c r="D3233" s="14"/>
      <c r="E3233" s="14"/>
      <c r="F3233" s="14"/>
      <c r="G3233" s="18"/>
    </row>
    <row r="3234" spans="2:7" x14ac:dyDescent="0.35">
      <c r="B3234" s="47"/>
      <c r="C3234" s="14"/>
      <c r="D3234" s="14"/>
      <c r="E3234" s="14"/>
      <c r="F3234" s="14"/>
      <c r="G3234" s="18"/>
    </row>
    <row r="3235" spans="2:7" x14ac:dyDescent="0.35">
      <c r="B3235" s="47"/>
      <c r="C3235" s="14"/>
      <c r="D3235" s="14"/>
      <c r="E3235" s="14"/>
      <c r="F3235" s="14"/>
      <c r="G3235" s="18"/>
    </row>
    <row r="3236" spans="2:7" x14ac:dyDescent="0.35">
      <c r="B3236" s="47"/>
      <c r="C3236" s="14"/>
      <c r="D3236" s="14"/>
      <c r="E3236" s="14"/>
      <c r="F3236" s="14"/>
      <c r="G3236" s="18"/>
    </row>
    <row r="3237" spans="2:7" x14ac:dyDescent="0.35">
      <c r="B3237" s="47"/>
      <c r="C3237" s="14"/>
      <c r="D3237" s="14"/>
      <c r="E3237" s="14"/>
      <c r="F3237" s="14"/>
      <c r="G3237" s="18"/>
    </row>
    <row r="3238" spans="2:7" x14ac:dyDescent="0.35">
      <c r="B3238" s="47"/>
      <c r="C3238" s="14"/>
      <c r="D3238" s="14"/>
      <c r="E3238" s="14"/>
      <c r="F3238" s="14"/>
      <c r="G3238" s="18"/>
    </row>
    <row r="3239" spans="2:7" x14ac:dyDescent="0.35">
      <c r="B3239" s="47"/>
      <c r="C3239" s="14"/>
      <c r="D3239" s="14"/>
      <c r="E3239" s="14"/>
      <c r="F3239" s="14"/>
      <c r="G3239" s="18"/>
    </row>
    <row r="3240" spans="2:7" x14ac:dyDescent="0.35">
      <c r="B3240" s="47"/>
      <c r="C3240" s="14"/>
      <c r="D3240" s="14"/>
      <c r="E3240" s="14"/>
      <c r="F3240" s="14"/>
      <c r="G3240" s="18"/>
    </row>
    <row r="3241" spans="2:7" x14ac:dyDescent="0.35">
      <c r="B3241" s="47"/>
      <c r="C3241" s="14"/>
      <c r="D3241" s="14"/>
      <c r="E3241" s="14"/>
      <c r="F3241" s="14"/>
      <c r="G3241" s="18"/>
    </row>
    <row r="3242" spans="2:7" x14ac:dyDescent="0.35">
      <c r="B3242" s="47"/>
      <c r="C3242" s="14"/>
      <c r="D3242" s="14"/>
      <c r="E3242" s="14"/>
      <c r="F3242" s="14"/>
      <c r="G3242" s="18"/>
    </row>
    <row r="3243" spans="2:7" x14ac:dyDescent="0.35">
      <c r="B3243" s="47"/>
      <c r="C3243" s="14"/>
      <c r="D3243" s="14"/>
      <c r="E3243" s="14"/>
      <c r="F3243" s="14"/>
      <c r="G3243" s="18"/>
    </row>
    <row r="3244" spans="2:7" x14ac:dyDescent="0.35">
      <c r="B3244" s="47"/>
      <c r="C3244" s="14"/>
      <c r="D3244" s="14"/>
      <c r="E3244" s="14"/>
      <c r="F3244" s="14"/>
      <c r="G3244" s="18"/>
    </row>
    <row r="3245" spans="2:7" x14ac:dyDescent="0.35">
      <c r="B3245" s="47"/>
      <c r="C3245" s="14"/>
      <c r="D3245" s="14"/>
      <c r="E3245" s="14"/>
      <c r="F3245" s="14"/>
      <c r="G3245" s="18"/>
    </row>
    <row r="3246" spans="2:7" x14ac:dyDescent="0.35">
      <c r="B3246" s="47"/>
      <c r="C3246" s="14"/>
      <c r="D3246" s="14"/>
      <c r="E3246" s="14"/>
      <c r="F3246" s="14"/>
      <c r="G3246" s="18"/>
    </row>
    <row r="3247" spans="2:7" x14ac:dyDescent="0.35">
      <c r="B3247" s="47"/>
      <c r="C3247" s="14"/>
      <c r="D3247" s="14"/>
      <c r="E3247" s="14"/>
      <c r="F3247" s="14"/>
      <c r="G3247" s="18"/>
    </row>
    <row r="3248" spans="2:7" x14ac:dyDescent="0.35">
      <c r="B3248" s="47"/>
      <c r="C3248" s="14"/>
      <c r="D3248" s="14"/>
      <c r="E3248" s="14"/>
      <c r="F3248" s="14"/>
      <c r="G3248" s="18"/>
    </row>
    <row r="3249" spans="2:7" x14ac:dyDescent="0.35">
      <c r="B3249" s="47"/>
      <c r="C3249" s="14"/>
      <c r="D3249" s="14"/>
      <c r="E3249" s="14"/>
      <c r="F3249" s="14"/>
      <c r="G3249" s="18"/>
    </row>
    <row r="3250" spans="2:7" x14ac:dyDescent="0.35">
      <c r="B3250" s="47"/>
      <c r="C3250" s="14"/>
      <c r="D3250" s="14"/>
      <c r="E3250" s="14"/>
      <c r="F3250" s="14"/>
      <c r="G3250" s="18"/>
    </row>
    <row r="3251" spans="2:7" x14ac:dyDescent="0.35">
      <c r="B3251" s="47"/>
      <c r="C3251" s="14"/>
      <c r="D3251" s="14"/>
      <c r="E3251" s="14"/>
      <c r="F3251" s="14"/>
      <c r="G3251" s="18"/>
    </row>
    <row r="3252" spans="2:7" x14ac:dyDescent="0.35">
      <c r="B3252" s="47"/>
      <c r="C3252" s="14"/>
      <c r="D3252" s="14"/>
      <c r="E3252" s="14"/>
      <c r="F3252" s="14"/>
      <c r="G3252" s="18"/>
    </row>
    <row r="3253" spans="2:7" x14ac:dyDescent="0.35">
      <c r="B3253" s="47"/>
      <c r="C3253" s="14"/>
      <c r="D3253" s="14"/>
      <c r="E3253" s="14"/>
      <c r="F3253" s="14"/>
      <c r="G3253" s="18"/>
    </row>
    <row r="3254" spans="2:7" x14ac:dyDescent="0.35">
      <c r="B3254" s="47"/>
      <c r="C3254" s="14"/>
      <c r="D3254" s="14"/>
      <c r="E3254" s="14"/>
      <c r="F3254" s="14"/>
      <c r="G3254" s="18"/>
    </row>
    <row r="3255" spans="2:7" x14ac:dyDescent="0.35">
      <c r="B3255" s="47"/>
      <c r="C3255" s="14"/>
      <c r="D3255" s="14"/>
      <c r="E3255" s="14"/>
      <c r="F3255" s="14"/>
      <c r="G3255" s="18"/>
    </row>
    <row r="3256" spans="2:7" x14ac:dyDescent="0.35">
      <c r="B3256" s="47"/>
      <c r="C3256" s="14"/>
      <c r="D3256" s="14"/>
      <c r="E3256" s="14"/>
      <c r="F3256" s="14"/>
      <c r="G3256" s="18"/>
    </row>
    <row r="3257" spans="2:7" x14ac:dyDescent="0.35">
      <c r="B3257" s="47"/>
      <c r="C3257" s="14"/>
      <c r="D3257" s="14"/>
      <c r="E3257" s="14"/>
      <c r="F3257" s="14"/>
      <c r="G3257" s="18"/>
    </row>
    <row r="3258" spans="2:7" x14ac:dyDescent="0.35">
      <c r="B3258" s="47"/>
      <c r="C3258" s="14"/>
      <c r="D3258" s="14"/>
      <c r="E3258" s="14"/>
      <c r="F3258" s="14"/>
      <c r="G3258" s="18"/>
    </row>
    <row r="3259" spans="2:7" x14ac:dyDescent="0.35">
      <c r="B3259" s="47"/>
      <c r="C3259" s="14"/>
      <c r="D3259" s="14"/>
      <c r="E3259" s="14"/>
      <c r="F3259" s="14"/>
      <c r="G3259" s="18"/>
    </row>
    <row r="3260" spans="2:7" x14ac:dyDescent="0.35">
      <c r="B3260" s="47"/>
      <c r="C3260" s="14"/>
      <c r="D3260" s="14"/>
      <c r="E3260" s="14"/>
      <c r="F3260" s="14"/>
      <c r="G3260" s="18"/>
    </row>
    <row r="3261" spans="2:7" x14ac:dyDescent="0.35">
      <c r="B3261" s="47"/>
      <c r="C3261" s="14"/>
      <c r="D3261" s="14"/>
      <c r="E3261" s="14"/>
      <c r="F3261" s="14"/>
      <c r="G3261" s="18"/>
    </row>
    <row r="3262" spans="2:7" x14ac:dyDescent="0.35">
      <c r="B3262" s="47"/>
      <c r="C3262" s="14"/>
      <c r="D3262" s="14"/>
      <c r="E3262" s="14"/>
      <c r="F3262" s="14"/>
      <c r="G3262" s="18"/>
    </row>
    <row r="3263" spans="2:7" x14ac:dyDescent="0.35">
      <c r="B3263" s="47"/>
      <c r="C3263" s="14"/>
      <c r="D3263" s="14"/>
      <c r="E3263" s="14"/>
      <c r="F3263" s="14"/>
      <c r="G3263" s="18"/>
    </row>
    <row r="3264" spans="2:7" x14ac:dyDescent="0.35">
      <c r="B3264" s="47"/>
      <c r="C3264" s="14"/>
      <c r="D3264" s="14"/>
      <c r="E3264" s="14"/>
      <c r="F3264" s="14"/>
      <c r="G3264" s="18"/>
    </row>
    <row r="3265" spans="2:7" x14ac:dyDescent="0.35">
      <c r="B3265" s="47"/>
      <c r="C3265" s="14"/>
      <c r="D3265" s="14"/>
      <c r="E3265" s="14"/>
      <c r="F3265" s="14"/>
      <c r="G3265" s="18"/>
    </row>
    <row r="3266" spans="2:7" x14ac:dyDescent="0.35">
      <c r="B3266" s="47"/>
      <c r="C3266" s="14"/>
      <c r="D3266" s="14"/>
      <c r="E3266" s="14"/>
      <c r="F3266" s="14"/>
      <c r="G3266" s="18"/>
    </row>
    <row r="3267" spans="2:7" x14ac:dyDescent="0.35">
      <c r="B3267" s="47"/>
      <c r="C3267" s="14"/>
      <c r="D3267" s="14"/>
      <c r="E3267" s="14"/>
      <c r="F3267" s="14"/>
      <c r="G3267" s="18"/>
    </row>
    <row r="3268" spans="2:7" x14ac:dyDescent="0.35">
      <c r="B3268" s="47"/>
      <c r="C3268" s="14"/>
      <c r="D3268" s="14"/>
      <c r="E3268" s="14"/>
      <c r="F3268" s="14"/>
      <c r="G3268" s="18"/>
    </row>
    <row r="3269" spans="2:7" x14ac:dyDescent="0.35">
      <c r="B3269" s="47"/>
      <c r="C3269" s="14"/>
      <c r="D3269" s="14"/>
      <c r="E3269" s="14"/>
      <c r="F3269" s="14"/>
      <c r="G3269" s="18"/>
    </row>
    <row r="3270" spans="2:7" x14ac:dyDescent="0.35">
      <c r="B3270" s="47"/>
      <c r="C3270" s="14"/>
      <c r="D3270" s="14"/>
      <c r="E3270" s="14"/>
      <c r="F3270" s="14"/>
      <c r="G3270" s="18"/>
    </row>
    <row r="3271" spans="2:7" x14ac:dyDescent="0.35">
      <c r="B3271" s="47"/>
      <c r="C3271" s="14"/>
      <c r="D3271" s="14"/>
      <c r="E3271" s="14"/>
      <c r="F3271" s="14"/>
      <c r="G3271" s="18"/>
    </row>
    <row r="3272" spans="2:7" x14ac:dyDescent="0.35">
      <c r="B3272" s="47"/>
      <c r="C3272" s="14"/>
      <c r="D3272" s="14"/>
      <c r="E3272" s="14"/>
      <c r="F3272" s="14"/>
      <c r="G3272" s="18"/>
    </row>
    <row r="3273" spans="2:7" x14ac:dyDescent="0.35">
      <c r="B3273" s="47"/>
      <c r="C3273" s="14"/>
      <c r="D3273" s="14"/>
      <c r="E3273" s="14"/>
      <c r="F3273" s="14"/>
      <c r="G3273" s="18"/>
    </row>
    <row r="3274" spans="2:7" x14ac:dyDescent="0.35">
      <c r="B3274" s="47"/>
      <c r="C3274" s="14"/>
      <c r="D3274" s="14"/>
      <c r="E3274" s="14"/>
      <c r="F3274" s="14"/>
      <c r="G3274" s="18"/>
    </row>
    <row r="3275" spans="2:7" x14ac:dyDescent="0.35">
      <c r="B3275" s="47"/>
      <c r="C3275" s="14"/>
      <c r="D3275" s="14"/>
      <c r="E3275" s="14"/>
      <c r="F3275" s="14"/>
      <c r="G3275" s="18"/>
    </row>
    <row r="3276" spans="2:7" x14ac:dyDescent="0.35">
      <c r="B3276" s="47"/>
      <c r="C3276" s="14"/>
      <c r="D3276" s="14"/>
      <c r="E3276" s="14"/>
      <c r="F3276" s="14"/>
      <c r="G3276" s="18"/>
    </row>
    <row r="3277" spans="2:7" x14ac:dyDescent="0.35">
      <c r="B3277" s="47"/>
      <c r="C3277" s="14"/>
      <c r="D3277" s="14"/>
      <c r="E3277" s="14"/>
      <c r="F3277" s="14"/>
      <c r="G3277" s="18"/>
    </row>
    <row r="3278" spans="2:7" x14ac:dyDescent="0.35">
      <c r="B3278" s="47"/>
      <c r="C3278" s="14"/>
      <c r="D3278" s="14"/>
      <c r="E3278" s="14"/>
      <c r="F3278" s="14"/>
      <c r="G3278" s="18"/>
    </row>
    <row r="3279" spans="2:7" x14ac:dyDescent="0.35">
      <c r="B3279" s="47"/>
      <c r="C3279" s="14"/>
      <c r="D3279" s="14"/>
      <c r="E3279" s="14"/>
      <c r="F3279" s="14"/>
      <c r="G3279" s="18"/>
    </row>
    <row r="3280" spans="2:7" x14ac:dyDescent="0.35">
      <c r="B3280" s="47"/>
      <c r="C3280" s="14"/>
      <c r="D3280" s="14"/>
      <c r="E3280" s="14"/>
      <c r="F3280" s="14"/>
      <c r="G3280" s="18"/>
    </row>
    <row r="3281" spans="2:7" x14ac:dyDescent="0.35">
      <c r="B3281" s="47"/>
      <c r="C3281" s="14"/>
      <c r="D3281" s="14"/>
      <c r="E3281" s="14"/>
      <c r="F3281" s="14"/>
      <c r="G3281" s="18"/>
    </row>
    <row r="3282" spans="2:7" x14ac:dyDescent="0.35">
      <c r="B3282" s="47"/>
      <c r="C3282" s="14"/>
      <c r="D3282" s="14"/>
      <c r="E3282" s="14"/>
      <c r="F3282" s="14"/>
      <c r="G3282" s="18"/>
    </row>
    <row r="3283" spans="2:7" x14ac:dyDescent="0.35">
      <c r="B3283" s="47"/>
      <c r="C3283" s="14"/>
      <c r="D3283" s="14"/>
      <c r="E3283" s="14"/>
      <c r="F3283" s="14"/>
      <c r="G3283" s="18"/>
    </row>
    <row r="3284" spans="2:7" x14ac:dyDescent="0.35">
      <c r="B3284" s="47"/>
      <c r="C3284" s="14"/>
      <c r="D3284" s="14"/>
      <c r="E3284" s="14"/>
      <c r="F3284" s="14"/>
      <c r="G3284" s="18"/>
    </row>
    <row r="3285" spans="2:7" x14ac:dyDescent="0.35">
      <c r="B3285" s="47"/>
      <c r="C3285" s="14"/>
      <c r="D3285" s="14"/>
      <c r="E3285" s="14"/>
      <c r="F3285" s="14"/>
      <c r="G3285" s="18"/>
    </row>
    <row r="3286" spans="2:7" x14ac:dyDescent="0.35">
      <c r="B3286" s="47"/>
      <c r="C3286" s="14"/>
      <c r="D3286" s="14"/>
      <c r="E3286" s="14"/>
      <c r="F3286" s="14"/>
      <c r="G3286" s="18"/>
    </row>
    <row r="3287" spans="2:7" x14ac:dyDescent="0.35">
      <c r="B3287" s="47"/>
      <c r="C3287" s="14"/>
      <c r="D3287" s="14"/>
      <c r="E3287" s="14"/>
      <c r="F3287" s="14"/>
      <c r="G3287" s="18"/>
    </row>
    <row r="3288" spans="2:7" x14ac:dyDescent="0.35">
      <c r="B3288" s="47"/>
      <c r="C3288" s="14"/>
      <c r="D3288" s="14"/>
      <c r="E3288" s="14"/>
      <c r="F3288" s="14"/>
      <c r="G3288" s="18"/>
    </row>
    <row r="3289" spans="2:7" x14ac:dyDescent="0.35">
      <c r="B3289" s="47"/>
      <c r="C3289" s="14"/>
      <c r="D3289" s="14"/>
      <c r="E3289" s="14"/>
      <c r="F3289" s="14"/>
      <c r="G3289" s="18"/>
    </row>
    <row r="3290" spans="2:7" x14ac:dyDescent="0.35">
      <c r="B3290" s="47"/>
      <c r="C3290" s="14"/>
      <c r="D3290" s="14"/>
      <c r="E3290" s="14"/>
      <c r="F3290" s="14"/>
      <c r="G3290" s="18"/>
    </row>
    <row r="3291" spans="2:7" x14ac:dyDescent="0.35">
      <c r="B3291" s="47"/>
      <c r="C3291" s="14"/>
      <c r="D3291" s="14"/>
      <c r="E3291" s="14"/>
      <c r="F3291" s="14"/>
      <c r="G3291" s="18"/>
    </row>
    <row r="3292" spans="2:7" x14ac:dyDescent="0.35">
      <c r="B3292" s="47"/>
      <c r="C3292" s="14"/>
      <c r="D3292" s="14"/>
      <c r="E3292" s="14"/>
      <c r="F3292" s="14"/>
      <c r="G3292" s="18"/>
    </row>
    <row r="3293" spans="2:7" x14ac:dyDescent="0.35">
      <c r="B3293" s="47"/>
      <c r="C3293" s="14"/>
      <c r="D3293" s="14"/>
      <c r="E3293" s="14"/>
      <c r="F3293" s="14"/>
      <c r="G3293" s="18"/>
    </row>
    <row r="3294" spans="2:7" x14ac:dyDescent="0.35">
      <c r="B3294" s="47"/>
      <c r="C3294" s="14"/>
      <c r="D3294" s="14"/>
      <c r="E3294" s="14"/>
      <c r="F3294" s="14"/>
      <c r="G3294" s="18"/>
    </row>
    <row r="3295" spans="2:7" x14ac:dyDescent="0.35">
      <c r="B3295" s="47"/>
      <c r="C3295" s="14"/>
      <c r="D3295" s="14"/>
      <c r="E3295" s="14"/>
      <c r="F3295" s="14"/>
      <c r="G3295" s="18"/>
    </row>
    <row r="3296" spans="2:7" x14ac:dyDescent="0.35">
      <c r="B3296" s="47"/>
      <c r="C3296" s="14"/>
      <c r="D3296" s="14"/>
      <c r="E3296" s="14"/>
      <c r="F3296" s="14"/>
      <c r="G3296" s="18"/>
    </row>
    <row r="3297" spans="2:7" x14ac:dyDescent="0.35">
      <c r="B3297" s="47"/>
      <c r="C3297" s="14"/>
      <c r="D3297" s="14"/>
      <c r="E3297" s="14"/>
      <c r="F3297" s="14"/>
      <c r="G3297" s="18"/>
    </row>
    <row r="3298" spans="2:7" x14ac:dyDescent="0.35">
      <c r="B3298" s="47"/>
      <c r="C3298" s="14"/>
      <c r="D3298" s="14"/>
      <c r="E3298" s="14"/>
      <c r="F3298" s="14"/>
      <c r="G3298" s="18"/>
    </row>
    <row r="3299" spans="2:7" x14ac:dyDescent="0.35">
      <c r="B3299" s="47"/>
      <c r="C3299" s="14"/>
      <c r="D3299" s="14"/>
      <c r="E3299" s="14"/>
      <c r="F3299" s="14"/>
      <c r="G3299" s="18"/>
    </row>
    <row r="3300" spans="2:7" x14ac:dyDescent="0.35">
      <c r="B3300" s="47"/>
      <c r="C3300" s="14"/>
      <c r="D3300" s="14"/>
      <c r="E3300" s="14"/>
      <c r="F3300" s="14"/>
      <c r="G3300" s="18"/>
    </row>
    <row r="3301" spans="2:7" x14ac:dyDescent="0.35">
      <c r="B3301" s="47"/>
      <c r="C3301" s="14"/>
      <c r="D3301" s="14"/>
      <c r="E3301" s="14"/>
      <c r="F3301" s="14"/>
      <c r="G3301" s="18"/>
    </row>
    <row r="3302" spans="2:7" x14ac:dyDescent="0.35">
      <c r="B3302" s="47"/>
      <c r="C3302" s="14"/>
      <c r="D3302" s="14"/>
      <c r="E3302" s="14"/>
      <c r="F3302" s="14"/>
      <c r="G3302" s="18"/>
    </row>
    <row r="3303" spans="2:7" x14ac:dyDescent="0.35">
      <c r="B3303" s="47"/>
      <c r="C3303" s="14"/>
      <c r="D3303" s="14"/>
      <c r="E3303" s="14"/>
      <c r="F3303" s="14"/>
      <c r="G3303" s="18"/>
    </row>
    <row r="3304" spans="2:7" x14ac:dyDescent="0.35">
      <c r="B3304" s="47"/>
      <c r="C3304" s="14"/>
      <c r="D3304" s="14"/>
      <c r="E3304" s="14"/>
      <c r="F3304" s="14"/>
      <c r="G3304" s="18"/>
    </row>
    <row r="3305" spans="2:7" x14ac:dyDescent="0.35">
      <c r="B3305" s="47"/>
      <c r="C3305" s="14"/>
      <c r="D3305" s="14"/>
      <c r="E3305" s="14"/>
      <c r="F3305" s="14"/>
      <c r="G3305" s="18"/>
    </row>
    <row r="3306" spans="2:7" x14ac:dyDescent="0.35">
      <c r="B3306" s="47"/>
      <c r="C3306" s="14"/>
      <c r="D3306" s="14"/>
      <c r="E3306" s="14"/>
      <c r="F3306" s="14"/>
      <c r="G3306" s="18"/>
    </row>
    <row r="3307" spans="2:7" x14ac:dyDescent="0.35">
      <c r="B3307" s="47"/>
      <c r="C3307" s="14"/>
      <c r="D3307" s="14"/>
      <c r="E3307" s="14"/>
      <c r="F3307" s="14"/>
      <c r="G3307" s="18"/>
    </row>
    <row r="3308" spans="2:7" x14ac:dyDescent="0.35">
      <c r="B3308" s="47"/>
      <c r="C3308" s="14"/>
      <c r="D3308" s="14"/>
      <c r="E3308" s="14"/>
      <c r="F3308" s="14"/>
      <c r="G3308" s="18"/>
    </row>
    <row r="3309" spans="2:7" x14ac:dyDescent="0.35">
      <c r="B3309" s="47"/>
      <c r="C3309" s="14"/>
      <c r="D3309" s="14"/>
      <c r="E3309" s="14"/>
      <c r="F3309" s="14"/>
      <c r="G3309" s="18"/>
    </row>
    <row r="3310" spans="2:7" x14ac:dyDescent="0.35">
      <c r="B3310" s="47"/>
      <c r="C3310" s="14"/>
      <c r="D3310" s="14"/>
      <c r="E3310" s="14"/>
      <c r="F3310" s="14"/>
      <c r="G3310" s="18"/>
    </row>
    <row r="3311" spans="2:7" x14ac:dyDescent="0.35">
      <c r="B3311" s="47"/>
      <c r="C3311" s="14"/>
      <c r="D3311" s="14"/>
      <c r="E3311" s="14"/>
      <c r="F3311" s="14"/>
      <c r="G3311" s="18"/>
    </row>
    <row r="3312" spans="2:7" x14ac:dyDescent="0.35">
      <c r="B3312" s="47"/>
      <c r="C3312" s="14"/>
      <c r="D3312" s="14"/>
      <c r="E3312" s="14"/>
      <c r="F3312" s="14"/>
      <c r="G3312" s="18"/>
    </row>
    <row r="3313" spans="2:7" x14ac:dyDescent="0.35">
      <c r="B3313" s="47"/>
      <c r="C3313" s="14"/>
      <c r="D3313" s="14"/>
      <c r="E3313" s="14"/>
      <c r="F3313" s="14"/>
      <c r="G3313" s="18"/>
    </row>
    <row r="3314" spans="2:7" x14ac:dyDescent="0.35">
      <c r="B3314" s="47"/>
      <c r="C3314" s="14"/>
      <c r="D3314" s="14"/>
      <c r="E3314" s="14"/>
      <c r="F3314" s="14"/>
      <c r="G3314" s="18"/>
    </row>
    <row r="3315" spans="2:7" x14ac:dyDescent="0.35">
      <c r="B3315" s="47"/>
      <c r="C3315" s="14"/>
      <c r="D3315" s="14"/>
      <c r="E3315" s="14"/>
      <c r="F3315" s="14"/>
      <c r="G3315" s="18"/>
    </row>
    <row r="3316" spans="2:7" x14ac:dyDescent="0.35">
      <c r="B3316" s="47"/>
      <c r="C3316" s="14"/>
      <c r="D3316" s="14"/>
      <c r="E3316" s="14"/>
      <c r="F3316" s="14"/>
      <c r="G3316" s="18"/>
    </row>
    <row r="3317" spans="2:7" x14ac:dyDescent="0.35">
      <c r="B3317" s="47"/>
      <c r="C3317" s="14"/>
      <c r="D3317" s="14"/>
      <c r="E3317" s="14"/>
      <c r="F3317" s="14"/>
      <c r="G3317" s="18"/>
    </row>
    <row r="3318" spans="2:7" x14ac:dyDescent="0.35">
      <c r="B3318" s="47"/>
      <c r="C3318" s="14"/>
      <c r="D3318" s="14"/>
      <c r="E3318" s="14"/>
      <c r="F3318" s="14"/>
      <c r="G3318" s="18"/>
    </row>
    <row r="3319" spans="2:7" x14ac:dyDescent="0.35">
      <c r="B3319" s="47"/>
      <c r="C3319" s="14"/>
      <c r="D3319" s="14"/>
      <c r="E3319" s="14"/>
      <c r="F3319" s="14"/>
      <c r="G3319" s="18"/>
    </row>
    <row r="3320" spans="2:7" x14ac:dyDescent="0.35">
      <c r="B3320" s="47"/>
      <c r="C3320" s="14"/>
      <c r="D3320" s="14"/>
      <c r="E3320" s="14"/>
      <c r="F3320" s="14"/>
      <c r="G3320" s="18"/>
    </row>
    <row r="3321" spans="2:7" x14ac:dyDescent="0.35">
      <c r="B3321" s="47"/>
      <c r="C3321" s="14"/>
      <c r="D3321" s="14"/>
      <c r="E3321" s="14"/>
      <c r="F3321" s="14"/>
      <c r="G3321" s="18"/>
    </row>
    <row r="3322" spans="2:7" x14ac:dyDescent="0.35">
      <c r="B3322" s="47"/>
      <c r="C3322" s="14"/>
      <c r="D3322" s="14"/>
      <c r="E3322" s="14"/>
      <c r="F3322" s="14"/>
      <c r="G3322" s="18"/>
    </row>
    <row r="3323" spans="2:7" x14ac:dyDescent="0.35">
      <c r="B3323" s="47"/>
      <c r="C3323" s="14"/>
      <c r="D3323" s="14"/>
      <c r="E3323" s="14"/>
      <c r="F3323" s="14"/>
      <c r="G3323" s="18"/>
    </row>
    <row r="3324" spans="2:7" x14ac:dyDescent="0.35">
      <c r="B3324" s="47"/>
      <c r="C3324" s="14"/>
      <c r="D3324" s="14"/>
      <c r="E3324" s="14"/>
      <c r="F3324" s="14"/>
      <c r="G3324" s="18"/>
    </row>
    <row r="3325" spans="2:7" x14ac:dyDescent="0.35">
      <c r="B3325" s="47"/>
      <c r="C3325" s="14"/>
      <c r="D3325" s="14"/>
      <c r="E3325" s="14"/>
      <c r="F3325" s="14"/>
      <c r="G3325" s="18"/>
    </row>
    <row r="3326" spans="2:7" x14ac:dyDescent="0.35">
      <c r="B3326" s="47"/>
      <c r="C3326" s="14"/>
      <c r="D3326" s="14"/>
      <c r="E3326" s="14"/>
      <c r="F3326" s="14"/>
      <c r="G3326" s="18"/>
    </row>
    <row r="3327" spans="2:7" x14ac:dyDescent="0.35">
      <c r="B3327" s="47"/>
      <c r="C3327" s="14"/>
      <c r="D3327" s="14"/>
      <c r="E3327" s="14"/>
      <c r="F3327" s="14"/>
      <c r="G3327" s="18"/>
    </row>
    <row r="3328" spans="2:7" x14ac:dyDescent="0.35">
      <c r="B3328" s="47"/>
      <c r="C3328" s="14"/>
      <c r="D3328" s="14"/>
      <c r="E3328" s="14"/>
      <c r="F3328" s="14"/>
      <c r="G3328" s="18"/>
    </row>
    <row r="3329" spans="2:7" x14ac:dyDescent="0.35">
      <c r="B3329" s="47"/>
      <c r="C3329" s="14"/>
      <c r="D3329" s="14"/>
      <c r="E3329" s="14"/>
      <c r="F3329" s="14"/>
      <c r="G3329" s="18"/>
    </row>
    <row r="3330" spans="2:7" x14ac:dyDescent="0.35">
      <c r="B3330" s="47"/>
      <c r="C3330" s="14"/>
      <c r="D3330" s="14"/>
      <c r="E3330" s="14"/>
      <c r="F3330" s="14"/>
      <c r="G3330" s="18"/>
    </row>
    <row r="3331" spans="2:7" x14ac:dyDescent="0.35">
      <c r="B3331" s="47"/>
      <c r="C3331" s="14"/>
      <c r="D3331" s="14"/>
      <c r="E3331" s="14"/>
      <c r="F3331" s="14"/>
      <c r="G3331" s="18"/>
    </row>
    <row r="3332" spans="2:7" x14ac:dyDescent="0.35">
      <c r="B3332" s="47"/>
      <c r="C3332" s="14"/>
      <c r="D3332" s="14"/>
      <c r="E3332" s="14"/>
      <c r="F3332" s="14"/>
      <c r="G3332" s="18"/>
    </row>
    <row r="3333" spans="2:7" x14ac:dyDescent="0.35">
      <c r="B3333" s="47"/>
      <c r="C3333" s="14"/>
      <c r="D3333" s="14"/>
      <c r="E3333" s="14"/>
      <c r="F3333" s="14"/>
      <c r="G3333" s="18"/>
    </row>
    <row r="3334" spans="2:7" x14ac:dyDescent="0.35">
      <c r="B3334" s="47"/>
      <c r="C3334" s="14"/>
      <c r="D3334" s="14"/>
      <c r="E3334" s="14"/>
      <c r="F3334" s="14"/>
      <c r="G3334" s="18"/>
    </row>
    <row r="3335" spans="2:7" x14ac:dyDescent="0.35">
      <c r="B3335" s="47"/>
      <c r="C3335" s="14"/>
      <c r="D3335" s="14"/>
      <c r="E3335" s="14"/>
      <c r="F3335" s="14"/>
      <c r="G3335" s="18"/>
    </row>
    <row r="3336" spans="2:7" x14ac:dyDescent="0.35">
      <c r="B3336" s="47"/>
      <c r="C3336" s="14"/>
      <c r="D3336" s="14"/>
      <c r="E3336" s="14"/>
      <c r="F3336" s="14"/>
      <c r="G3336" s="18"/>
    </row>
    <row r="3337" spans="2:7" x14ac:dyDescent="0.35">
      <c r="B3337" s="47"/>
      <c r="C3337" s="14"/>
      <c r="D3337" s="14"/>
      <c r="E3337" s="14"/>
      <c r="F3337" s="14"/>
      <c r="G3337" s="18"/>
    </row>
    <row r="3338" spans="2:7" x14ac:dyDescent="0.35">
      <c r="B3338" s="47"/>
      <c r="C3338" s="14"/>
      <c r="D3338" s="14"/>
      <c r="E3338" s="14"/>
      <c r="F3338" s="14"/>
      <c r="G3338" s="18"/>
    </row>
    <row r="3339" spans="2:7" x14ac:dyDescent="0.35">
      <c r="B3339" s="47"/>
      <c r="C3339" s="14"/>
      <c r="D3339" s="14"/>
      <c r="E3339" s="14"/>
      <c r="F3339" s="14"/>
      <c r="G3339" s="18"/>
    </row>
    <row r="3340" spans="2:7" x14ac:dyDescent="0.35">
      <c r="B3340" s="47"/>
      <c r="C3340" s="14"/>
      <c r="D3340" s="14"/>
      <c r="E3340" s="14"/>
      <c r="F3340" s="14"/>
      <c r="G3340" s="18"/>
    </row>
    <row r="3341" spans="2:7" x14ac:dyDescent="0.35">
      <c r="B3341" s="47"/>
      <c r="C3341" s="14"/>
      <c r="D3341" s="14"/>
      <c r="E3341" s="14"/>
      <c r="F3341" s="14"/>
      <c r="G3341" s="18"/>
    </row>
    <row r="3342" spans="2:7" x14ac:dyDescent="0.35">
      <c r="B3342" s="47"/>
      <c r="C3342" s="14"/>
      <c r="D3342" s="14"/>
      <c r="E3342" s="14"/>
      <c r="F3342" s="14"/>
      <c r="G3342" s="18"/>
    </row>
    <row r="3343" spans="2:7" x14ac:dyDescent="0.35">
      <c r="B3343" s="47"/>
      <c r="C3343" s="14"/>
      <c r="D3343" s="14"/>
      <c r="E3343" s="14"/>
      <c r="F3343" s="14"/>
      <c r="G3343" s="18"/>
    </row>
    <row r="3344" spans="2:7" x14ac:dyDescent="0.35">
      <c r="B3344" s="47"/>
      <c r="C3344" s="14"/>
      <c r="D3344" s="14"/>
      <c r="E3344" s="14"/>
      <c r="F3344" s="14"/>
      <c r="G3344" s="18"/>
    </row>
    <row r="3345" spans="2:7" x14ac:dyDescent="0.35">
      <c r="B3345" s="47"/>
      <c r="C3345" s="14"/>
      <c r="D3345" s="14"/>
      <c r="E3345" s="14"/>
      <c r="F3345" s="14"/>
      <c r="G3345" s="18"/>
    </row>
    <row r="3346" spans="2:7" x14ac:dyDescent="0.35">
      <c r="B3346" s="47"/>
      <c r="C3346" s="14"/>
      <c r="D3346" s="14"/>
      <c r="E3346" s="14"/>
      <c r="F3346" s="14"/>
      <c r="G3346" s="18"/>
    </row>
    <row r="3347" spans="2:7" x14ac:dyDescent="0.35">
      <c r="B3347" s="47"/>
      <c r="C3347" s="14"/>
      <c r="D3347" s="14"/>
      <c r="E3347" s="14"/>
      <c r="F3347" s="14"/>
      <c r="G3347" s="18"/>
    </row>
    <row r="3348" spans="2:7" x14ac:dyDescent="0.35">
      <c r="B3348" s="47"/>
      <c r="C3348" s="14"/>
      <c r="D3348" s="14"/>
      <c r="E3348" s="14"/>
      <c r="F3348" s="14"/>
      <c r="G3348" s="18"/>
    </row>
    <row r="3349" spans="2:7" x14ac:dyDescent="0.35">
      <c r="B3349" s="47"/>
      <c r="C3349" s="14"/>
      <c r="D3349" s="14"/>
      <c r="E3349" s="14"/>
      <c r="F3349" s="14"/>
      <c r="G3349" s="18"/>
    </row>
    <row r="3350" spans="2:7" x14ac:dyDescent="0.35">
      <c r="B3350" s="47"/>
      <c r="C3350" s="14"/>
      <c r="D3350" s="14"/>
      <c r="E3350" s="14"/>
      <c r="F3350" s="14"/>
      <c r="G3350" s="18"/>
    </row>
    <row r="3351" spans="2:7" x14ac:dyDescent="0.35">
      <c r="B3351" s="47"/>
      <c r="C3351" s="14"/>
      <c r="D3351" s="14"/>
      <c r="E3351" s="14"/>
      <c r="F3351" s="14"/>
      <c r="G3351" s="18"/>
    </row>
    <row r="3352" spans="2:7" x14ac:dyDescent="0.35">
      <c r="B3352" s="47"/>
      <c r="C3352" s="14"/>
      <c r="D3352" s="14"/>
      <c r="E3352" s="14"/>
      <c r="F3352" s="14"/>
      <c r="G3352" s="18"/>
    </row>
    <row r="3353" spans="2:7" x14ac:dyDescent="0.35">
      <c r="B3353" s="47"/>
      <c r="C3353" s="14"/>
      <c r="D3353" s="14"/>
      <c r="E3353" s="14"/>
      <c r="F3353" s="14"/>
      <c r="G3353" s="18"/>
    </row>
    <row r="3354" spans="2:7" x14ac:dyDescent="0.35">
      <c r="B3354" s="47"/>
      <c r="C3354" s="14"/>
      <c r="D3354" s="14"/>
      <c r="E3354" s="14"/>
      <c r="F3354" s="14"/>
      <c r="G3354" s="18"/>
    </row>
    <row r="3355" spans="2:7" x14ac:dyDescent="0.35">
      <c r="B3355" s="47"/>
      <c r="C3355" s="14"/>
      <c r="D3355" s="14"/>
      <c r="E3355" s="14"/>
      <c r="F3355" s="14"/>
      <c r="G3355" s="18"/>
    </row>
    <row r="3356" spans="2:7" x14ac:dyDescent="0.35">
      <c r="B3356" s="47"/>
      <c r="C3356" s="14"/>
      <c r="D3356" s="14"/>
      <c r="E3356" s="14"/>
      <c r="F3356" s="14"/>
      <c r="G3356" s="18"/>
    </row>
    <row r="3357" spans="2:7" x14ac:dyDescent="0.35">
      <c r="B3357" s="47"/>
      <c r="C3357" s="14"/>
      <c r="D3357" s="14"/>
      <c r="E3357" s="14"/>
      <c r="F3357" s="14"/>
      <c r="G3357" s="18"/>
    </row>
    <row r="3358" spans="2:7" x14ac:dyDescent="0.35">
      <c r="B3358" s="47"/>
      <c r="C3358" s="14"/>
      <c r="D3358" s="14"/>
      <c r="E3358" s="14"/>
      <c r="F3358" s="14"/>
      <c r="G3358" s="18"/>
    </row>
    <row r="3359" spans="2:7" x14ac:dyDescent="0.35">
      <c r="B3359" s="47"/>
      <c r="C3359" s="14"/>
      <c r="D3359" s="14"/>
      <c r="E3359" s="14"/>
      <c r="F3359" s="14"/>
      <c r="G3359" s="18"/>
    </row>
    <row r="3360" spans="2:7" x14ac:dyDescent="0.35">
      <c r="B3360" s="47"/>
      <c r="C3360" s="14"/>
      <c r="D3360" s="14"/>
      <c r="E3360" s="14"/>
      <c r="F3360" s="14"/>
      <c r="G3360" s="18"/>
    </row>
    <row r="3361" spans="2:7" x14ac:dyDescent="0.35">
      <c r="B3361" s="47"/>
      <c r="C3361" s="14"/>
      <c r="D3361" s="14"/>
      <c r="E3361" s="14"/>
      <c r="F3361" s="14"/>
      <c r="G3361" s="18"/>
    </row>
    <row r="3362" spans="2:7" x14ac:dyDescent="0.35">
      <c r="B3362" s="47"/>
      <c r="C3362" s="14"/>
      <c r="D3362" s="14"/>
      <c r="E3362" s="14"/>
      <c r="F3362" s="14"/>
      <c r="G3362" s="18"/>
    </row>
    <row r="3363" spans="2:7" x14ac:dyDescent="0.35">
      <c r="B3363" s="47"/>
      <c r="C3363" s="14"/>
      <c r="D3363" s="14"/>
      <c r="E3363" s="14"/>
      <c r="F3363" s="14"/>
      <c r="G3363" s="18"/>
    </row>
    <row r="3364" spans="2:7" x14ac:dyDescent="0.35">
      <c r="B3364" s="47"/>
      <c r="C3364" s="14"/>
      <c r="D3364" s="14"/>
      <c r="E3364" s="14"/>
      <c r="F3364" s="14"/>
      <c r="G3364" s="18"/>
    </row>
    <row r="3365" spans="2:7" x14ac:dyDescent="0.35">
      <c r="B3365" s="47"/>
      <c r="C3365" s="14"/>
      <c r="D3365" s="14"/>
      <c r="E3365" s="14"/>
      <c r="F3365" s="14"/>
      <c r="G3365" s="18"/>
    </row>
    <row r="3366" spans="2:7" x14ac:dyDescent="0.35">
      <c r="B3366" s="47"/>
      <c r="C3366" s="14"/>
      <c r="D3366" s="14"/>
      <c r="E3366" s="14"/>
      <c r="F3366" s="14"/>
      <c r="G3366" s="18"/>
    </row>
    <row r="3367" spans="2:7" x14ac:dyDescent="0.35">
      <c r="B3367" s="47"/>
      <c r="C3367" s="14"/>
      <c r="D3367" s="14"/>
      <c r="E3367" s="14"/>
      <c r="F3367" s="14"/>
      <c r="G3367" s="18"/>
    </row>
    <row r="3368" spans="2:7" x14ac:dyDescent="0.35">
      <c r="B3368" s="47"/>
      <c r="C3368" s="14"/>
      <c r="D3368" s="14"/>
      <c r="E3368" s="14"/>
      <c r="F3368" s="14"/>
      <c r="G3368" s="18"/>
    </row>
    <row r="3369" spans="2:7" x14ac:dyDescent="0.35">
      <c r="B3369" s="47"/>
      <c r="C3369" s="14"/>
      <c r="D3369" s="14"/>
      <c r="E3369" s="14"/>
      <c r="F3369" s="14"/>
      <c r="G3369" s="18"/>
    </row>
    <row r="3370" spans="2:7" x14ac:dyDescent="0.35">
      <c r="B3370" s="47"/>
      <c r="C3370" s="14"/>
      <c r="D3370" s="14"/>
      <c r="E3370" s="14"/>
      <c r="F3370" s="14"/>
      <c r="G3370" s="18"/>
    </row>
    <row r="3371" spans="2:7" x14ac:dyDescent="0.35">
      <c r="B3371" s="47"/>
      <c r="C3371" s="14"/>
      <c r="D3371" s="14"/>
      <c r="E3371" s="14"/>
      <c r="F3371" s="14"/>
      <c r="G3371" s="18"/>
    </row>
    <row r="3372" spans="2:7" x14ac:dyDescent="0.35">
      <c r="B3372" s="47"/>
      <c r="C3372" s="14"/>
      <c r="D3372" s="14"/>
      <c r="E3372" s="14"/>
      <c r="F3372" s="14"/>
      <c r="G3372" s="18"/>
    </row>
    <row r="3373" spans="2:7" x14ac:dyDescent="0.35">
      <c r="B3373" s="47"/>
      <c r="C3373" s="14"/>
      <c r="D3373" s="14"/>
      <c r="E3373" s="14"/>
      <c r="F3373" s="14"/>
      <c r="G3373" s="18"/>
    </row>
    <row r="3374" spans="2:7" x14ac:dyDescent="0.35">
      <c r="B3374" s="47"/>
      <c r="C3374" s="14"/>
      <c r="D3374" s="14"/>
      <c r="E3374" s="14"/>
      <c r="F3374" s="14"/>
      <c r="G3374" s="18"/>
    </row>
    <row r="3375" spans="2:7" x14ac:dyDescent="0.35">
      <c r="B3375" s="47"/>
      <c r="C3375" s="14"/>
      <c r="D3375" s="14"/>
      <c r="E3375" s="14"/>
      <c r="F3375" s="14"/>
      <c r="G3375" s="18"/>
    </row>
    <row r="3376" spans="2:7" x14ac:dyDescent="0.35">
      <c r="B3376" s="47"/>
      <c r="C3376" s="14"/>
      <c r="D3376" s="14"/>
      <c r="E3376" s="14"/>
      <c r="F3376" s="14"/>
      <c r="G3376" s="18"/>
    </row>
    <row r="3377" spans="2:7" x14ac:dyDescent="0.35">
      <c r="B3377" s="47"/>
      <c r="C3377" s="14"/>
      <c r="D3377" s="14"/>
      <c r="E3377" s="14"/>
      <c r="F3377" s="14"/>
      <c r="G3377" s="18"/>
    </row>
    <row r="3378" spans="2:7" x14ac:dyDescent="0.35">
      <c r="B3378" s="47"/>
      <c r="C3378" s="14"/>
      <c r="D3378" s="14"/>
      <c r="E3378" s="14"/>
      <c r="F3378" s="14"/>
      <c r="G3378" s="18"/>
    </row>
    <row r="3379" spans="2:7" x14ac:dyDescent="0.35">
      <c r="B3379" s="47"/>
      <c r="C3379" s="14"/>
      <c r="D3379" s="14"/>
      <c r="E3379" s="14"/>
      <c r="F3379" s="14"/>
      <c r="G3379" s="18"/>
    </row>
    <row r="3380" spans="2:7" x14ac:dyDescent="0.35">
      <c r="B3380" s="47"/>
      <c r="C3380" s="14"/>
      <c r="D3380" s="14"/>
      <c r="E3380" s="14"/>
      <c r="F3380" s="14"/>
      <c r="G3380" s="18"/>
    </row>
    <row r="3381" spans="2:7" x14ac:dyDescent="0.35">
      <c r="B3381" s="47"/>
      <c r="C3381" s="14"/>
      <c r="D3381" s="14"/>
      <c r="E3381" s="14"/>
      <c r="F3381" s="14"/>
      <c r="G3381" s="18"/>
    </row>
    <row r="3382" spans="2:7" x14ac:dyDescent="0.35">
      <c r="B3382" s="47"/>
      <c r="C3382" s="14"/>
      <c r="D3382" s="14"/>
      <c r="E3382" s="14"/>
      <c r="F3382" s="14"/>
      <c r="G3382" s="18"/>
    </row>
    <row r="3383" spans="2:7" x14ac:dyDescent="0.35">
      <c r="B3383" s="47"/>
      <c r="C3383" s="14"/>
      <c r="D3383" s="14"/>
      <c r="E3383" s="14"/>
      <c r="F3383" s="14"/>
      <c r="G3383" s="18"/>
    </row>
    <row r="3384" spans="2:7" x14ac:dyDescent="0.35">
      <c r="B3384" s="47"/>
      <c r="C3384" s="14"/>
      <c r="D3384" s="14"/>
      <c r="E3384" s="14"/>
      <c r="F3384" s="14"/>
      <c r="G3384" s="18"/>
    </row>
    <row r="3385" spans="2:7" x14ac:dyDescent="0.35">
      <c r="B3385" s="47"/>
      <c r="C3385" s="14"/>
      <c r="D3385" s="14"/>
      <c r="E3385" s="14"/>
      <c r="F3385" s="14"/>
      <c r="G3385" s="18"/>
    </row>
    <row r="3386" spans="2:7" x14ac:dyDescent="0.35">
      <c r="B3386" s="47"/>
      <c r="C3386" s="14"/>
      <c r="D3386" s="14"/>
      <c r="E3386" s="14"/>
      <c r="F3386" s="14"/>
      <c r="G3386" s="18"/>
    </row>
    <row r="3387" spans="2:7" x14ac:dyDescent="0.35">
      <c r="B3387" s="47"/>
      <c r="C3387" s="14"/>
      <c r="D3387" s="14"/>
      <c r="E3387" s="14"/>
      <c r="F3387" s="14"/>
      <c r="G3387" s="18"/>
    </row>
    <row r="3388" spans="2:7" x14ac:dyDescent="0.35">
      <c r="B3388" s="47"/>
      <c r="C3388" s="14"/>
      <c r="D3388" s="14"/>
      <c r="E3388" s="14"/>
      <c r="F3388" s="14"/>
      <c r="G3388" s="18"/>
    </row>
    <row r="3389" spans="2:7" x14ac:dyDescent="0.35">
      <c r="B3389" s="47"/>
      <c r="C3389" s="14"/>
      <c r="D3389" s="14"/>
      <c r="E3389" s="14"/>
      <c r="F3389" s="14"/>
      <c r="G3389" s="18"/>
    </row>
    <row r="3390" spans="2:7" x14ac:dyDescent="0.35">
      <c r="B3390" s="47"/>
      <c r="C3390" s="14"/>
      <c r="D3390" s="14"/>
      <c r="E3390" s="14"/>
      <c r="F3390" s="14"/>
      <c r="G3390" s="18"/>
    </row>
    <row r="3391" spans="2:7" x14ac:dyDescent="0.35">
      <c r="B3391" s="47"/>
      <c r="C3391" s="14"/>
      <c r="D3391" s="14"/>
      <c r="E3391" s="14"/>
      <c r="F3391" s="14"/>
      <c r="G3391" s="18"/>
    </row>
    <row r="3392" spans="2:7" x14ac:dyDescent="0.35">
      <c r="B3392" s="47"/>
      <c r="C3392" s="14"/>
      <c r="D3392" s="14"/>
      <c r="E3392" s="14"/>
      <c r="F3392" s="14"/>
      <c r="G3392" s="18"/>
    </row>
    <row r="3393" spans="2:7" x14ac:dyDescent="0.35">
      <c r="B3393" s="47"/>
      <c r="C3393" s="14"/>
      <c r="D3393" s="14"/>
      <c r="E3393" s="14"/>
      <c r="F3393" s="14"/>
      <c r="G3393" s="18"/>
    </row>
    <row r="3394" spans="2:7" x14ac:dyDescent="0.35">
      <c r="B3394" s="47"/>
      <c r="C3394" s="14"/>
      <c r="D3394" s="14"/>
      <c r="E3394" s="14"/>
      <c r="F3394" s="14"/>
      <c r="G3394" s="18"/>
    </row>
    <row r="3395" spans="2:7" x14ac:dyDescent="0.35">
      <c r="B3395" s="47"/>
      <c r="C3395" s="14"/>
      <c r="D3395" s="14"/>
      <c r="E3395" s="14"/>
      <c r="F3395" s="14"/>
      <c r="G3395" s="18"/>
    </row>
    <row r="3396" spans="2:7" x14ac:dyDescent="0.35">
      <c r="B3396" s="47"/>
      <c r="C3396" s="14"/>
      <c r="D3396" s="14"/>
      <c r="E3396" s="14"/>
      <c r="F3396" s="14"/>
      <c r="G3396" s="18"/>
    </row>
    <row r="3397" spans="2:7" x14ac:dyDescent="0.35">
      <c r="B3397" s="47"/>
      <c r="C3397" s="14"/>
      <c r="D3397" s="14"/>
      <c r="E3397" s="14"/>
      <c r="F3397" s="14"/>
      <c r="G3397" s="18"/>
    </row>
    <row r="3398" spans="2:7" x14ac:dyDescent="0.35">
      <c r="B3398" s="47"/>
      <c r="C3398" s="14"/>
      <c r="D3398" s="14"/>
      <c r="E3398" s="14"/>
      <c r="F3398" s="14"/>
      <c r="G3398" s="18"/>
    </row>
    <row r="3399" spans="2:7" x14ac:dyDescent="0.35">
      <c r="B3399" s="47"/>
      <c r="C3399" s="14"/>
      <c r="D3399" s="14"/>
      <c r="E3399" s="14"/>
      <c r="F3399" s="14"/>
      <c r="G3399" s="18"/>
    </row>
    <row r="3400" spans="2:7" x14ac:dyDescent="0.35">
      <c r="B3400" s="47"/>
      <c r="C3400" s="14"/>
      <c r="D3400" s="14"/>
      <c r="E3400" s="14"/>
      <c r="F3400" s="14"/>
      <c r="G3400" s="18"/>
    </row>
    <row r="3401" spans="2:7" x14ac:dyDescent="0.35">
      <c r="B3401" s="47"/>
      <c r="C3401" s="14"/>
      <c r="D3401" s="14"/>
      <c r="E3401" s="14"/>
      <c r="F3401" s="14"/>
      <c r="G3401" s="18"/>
    </row>
    <row r="3402" spans="2:7" x14ac:dyDescent="0.35">
      <c r="B3402" s="47"/>
      <c r="C3402" s="14"/>
      <c r="D3402" s="14"/>
      <c r="E3402" s="14"/>
      <c r="F3402" s="14"/>
      <c r="G3402" s="18"/>
    </row>
    <row r="3403" spans="2:7" x14ac:dyDescent="0.35">
      <c r="B3403" s="47"/>
      <c r="C3403" s="14"/>
      <c r="D3403" s="14"/>
      <c r="E3403" s="14"/>
      <c r="F3403" s="14"/>
      <c r="G3403" s="18"/>
    </row>
    <row r="3404" spans="2:7" x14ac:dyDescent="0.35">
      <c r="B3404" s="47"/>
      <c r="C3404" s="14"/>
      <c r="D3404" s="14"/>
      <c r="E3404" s="14"/>
      <c r="F3404" s="14"/>
      <c r="G3404" s="18"/>
    </row>
    <row r="3405" spans="2:7" x14ac:dyDescent="0.35">
      <c r="B3405" s="47"/>
      <c r="C3405" s="14"/>
      <c r="D3405" s="14"/>
      <c r="E3405" s="14"/>
      <c r="F3405" s="14"/>
      <c r="G3405" s="18"/>
    </row>
    <row r="3406" spans="2:7" x14ac:dyDescent="0.35">
      <c r="B3406" s="47"/>
      <c r="C3406" s="14"/>
      <c r="D3406" s="14"/>
      <c r="E3406" s="14"/>
      <c r="F3406" s="14"/>
      <c r="G3406" s="18"/>
    </row>
    <row r="3407" spans="2:7" x14ac:dyDescent="0.35">
      <c r="B3407" s="47"/>
      <c r="C3407" s="14"/>
      <c r="D3407" s="14"/>
      <c r="E3407" s="14"/>
      <c r="F3407" s="14"/>
      <c r="G3407" s="18"/>
    </row>
    <row r="3408" spans="2:7" x14ac:dyDescent="0.35">
      <c r="B3408" s="47"/>
      <c r="C3408" s="14"/>
      <c r="D3408" s="14"/>
      <c r="E3408" s="14"/>
      <c r="F3408" s="14"/>
      <c r="G3408" s="18"/>
    </row>
    <row r="3409" spans="2:7" x14ac:dyDescent="0.35">
      <c r="B3409" s="47"/>
      <c r="C3409" s="14"/>
      <c r="D3409" s="14"/>
      <c r="E3409" s="14"/>
      <c r="F3409" s="14"/>
      <c r="G3409" s="18"/>
    </row>
    <row r="3410" spans="2:7" x14ac:dyDescent="0.35">
      <c r="B3410" s="47"/>
      <c r="C3410" s="14"/>
      <c r="D3410" s="14"/>
      <c r="E3410" s="14"/>
      <c r="F3410" s="14"/>
      <c r="G3410" s="18"/>
    </row>
    <row r="3411" spans="2:7" x14ac:dyDescent="0.35">
      <c r="B3411" s="47"/>
      <c r="C3411" s="14"/>
      <c r="D3411" s="14"/>
      <c r="E3411" s="14"/>
      <c r="F3411" s="14"/>
      <c r="G3411" s="18"/>
    </row>
    <row r="3412" spans="2:7" x14ac:dyDescent="0.35">
      <c r="B3412" s="47"/>
      <c r="C3412" s="14"/>
      <c r="D3412" s="14"/>
      <c r="E3412" s="14"/>
      <c r="F3412" s="14"/>
      <c r="G3412" s="18"/>
    </row>
    <row r="3413" spans="2:7" x14ac:dyDescent="0.35">
      <c r="B3413" s="47"/>
      <c r="C3413" s="14"/>
      <c r="D3413" s="14"/>
      <c r="E3413" s="14"/>
      <c r="F3413" s="14"/>
      <c r="G3413" s="18"/>
    </row>
    <row r="3414" spans="2:7" x14ac:dyDescent="0.35">
      <c r="B3414" s="47"/>
      <c r="C3414" s="14"/>
      <c r="D3414" s="14"/>
      <c r="E3414" s="14"/>
      <c r="F3414" s="14"/>
      <c r="G3414" s="18"/>
    </row>
    <row r="3415" spans="2:7" x14ac:dyDescent="0.35">
      <c r="B3415" s="47"/>
      <c r="C3415" s="14"/>
      <c r="D3415" s="14"/>
      <c r="E3415" s="14"/>
      <c r="F3415" s="14"/>
      <c r="G3415" s="18"/>
    </row>
    <row r="3416" spans="2:7" x14ac:dyDescent="0.35">
      <c r="B3416" s="47"/>
      <c r="C3416" s="14"/>
      <c r="D3416" s="14"/>
      <c r="E3416" s="14"/>
      <c r="F3416" s="14"/>
      <c r="G3416" s="18"/>
    </row>
    <row r="3417" spans="2:7" x14ac:dyDescent="0.35">
      <c r="B3417" s="47"/>
      <c r="C3417" s="14"/>
      <c r="D3417" s="14"/>
      <c r="E3417" s="14"/>
      <c r="F3417" s="14"/>
      <c r="G3417" s="18"/>
    </row>
    <row r="3418" spans="2:7" x14ac:dyDescent="0.35">
      <c r="B3418" s="47"/>
      <c r="C3418" s="14"/>
      <c r="D3418" s="14"/>
      <c r="E3418" s="14"/>
      <c r="F3418" s="14"/>
      <c r="G3418" s="18"/>
    </row>
    <row r="3419" spans="2:7" x14ac:dyDescent="0.35">
      <c r="B3419" s="47"/>
      <c r="C3419" s="14"/>
      <c r="D3419" s="14"/>
      <c r="E3419" s="14"/>
      <c r="F3419" s="14"/>
      <c r="G3419" s="18"/>
    </row>
    <row r="3420" spans="2:7" x14ac:dyDescent="0.35">
      <c r="B3420" s="47"/>
      <c r="C3420" s="14"/>
      <c r="D3420" s="14"/>
      <c r="E3420" s="14"/>
      <c r="F3420" s="14"/>
      <c r="G3420" s="18"/>
    </row>
    <row r="3421" spans="2:7" x14ac:dyDescent="0.35">
      <c r="B3421" s="47"/>
      <c r="C3421" s="14"/>
      <c r="D3421" s="14"/>
      <c r="E3421" s="14"/>
      <c r="F3421" s="14"/>
      <c r="G3421" s="18"/>
    </row>
    <row r="3422" spans="2:7" x14ac:dyDescent="0.35">
      <c r="B3422" s="47"/>
      <c r="C3422" s="14"/>
      <c r="D3422" s="14"/>
      <c r="E3422" s="14"/>
      <c r="F3422" s="14"/>
      <c r="G3422" s="18"/>
    </row>
    <row r="3423" spans="2:7" x14ac:dyDescent="0.35">
      <c r="B3423" s="47"/>
      <c r="C3423" s="14"/>
      <c r="D3423" s="14"/>
      <c r="E3423" s="14"/>
      <c r="F3423" s="14"/>
      <c r="G3423" s="18"/>
    </row>
    <row r="3424" spans="2:7" x14ac:dyDescent="0.35">
      <c r="B3424" s="47"/>
      <c r="C3424" s="14"/>
      <c r="D3424" s="14"/>
      <c r="E3424" s="14"/>
      <c r="F3424" s="14"/>
      <c r="G3424" s="18"/>
    </row>
    <row r="3425" spans="2:7" x14ac:dyDescent="0.35">
      <c r="B3425" s="47"/>
      <c r="C3425" s="14"/>
      <c r="D3425" s="14"/>
      <c r="E3425" s="14"/>
      <c r="F3425" s="14"/>
      <c r="G3425" s="18"/>
    </row>
    <row r="3426" spans="2:7" x14ac:dyDescent="0.35">
      <c r="B3426" s="47"/>
      <c r="C3426" s="14"/>
      <c r="D3426" s="14"/>
      <c r="E3426" s="14"/>
      <c r="F3426" s="14"/>
      <c r="G3426" s="18"/>
    </row>
    <row r="3427" spans="2:7" x14ac:dyDescent="0.35">
      <c r="B3427" s="47"/>
      <c r="C3427" s="14"/>
      <c r="D3427" s="14"/>
      <c r="E3427" s="14"/>
      <c r="F3427" s="14"/>
      <c r="G3427" s="18"/>
    </row>
    <row r="3428" spans="2:7" x14ac:dyDescent="0.35">
      <c r="B3428" s="47"/>
      <c r="C3428" s="14"/>
      <c r="D3428" s="14"/>
      <c r="E3428" s="14"/>
      <c r="F3428" s="14"/>
      <c r="G3428" s="18"/>
    </row>
    <row r="3429" spans="2:7" x14ac:dyDescent="0.35">
      <c r="B3429" s="47"/>
      <c r="C3429" s="14"/>
      <c r="D3429" s="14"/>
      <c r="E3429" s="14"/>
      <c r="F3429" s="14"/>
      <c r="G3429" s="18"/>
    </row>
    <row r="3430" spans="2:7" x14ac:dyDescent="0.35">
      <c r="B3430" s="47"/>
      <c r="C3430" s="14"/>
      <c r="D3430" s="14"/>
      <c r="E3430" s="14"/>
      <c r="F3430" s="14"/>
      <c r="G3430" s="18"/>
    </row>
    <row r="3431" spans="2:7" x14ac:dyDescent="0.35">
      <c r="B3431" s="47"/>
      <c r="C3431" s="14"/>
      <c r="D3431" s="14"/>
      <c r="E3431" s="14"/>
      <c r="F3431" s="14"/>
      <c r="G3431" s="18"/>
    </row>
    <row r="3432" spans="2:7" x14ac:dyDescent="0.35">
      <c r="B3432" s="47"/>
      <c r="C3432" s="14"/>
      <c r="D3432" s="14"/>
      <c r="E3432" s="14"/>
      <c r="F3432" s="14"/>
      <c r="G3432" s="18"/>
    </row>
    <row r="3433" spans="2:7" x14ac:dyDescent="0.35">
      <c r="B3433" s="47"/>
      <c r="C3433" s="14"/>
      <c r="D3433" s="14"/>
      <c r="E3433" s="14"/>
      <c r="F3433" s="14"/>
      <c r="G3433" s="18"/>
    </row>
    <row r="3434" spans="2:7" x14ac:dyDescent="0.35">
      <c r="B3434" s="47"/>
      <c r="C3434" s="14"/>
      <c r="D3434" s="14"/>
      <c r="E3434" s="14"/>
      <c r="F3434" s="14"/>
      <c r="G3434" s="18"/>
    </row>
    <row r="3435" spans="2:7" x14ac:dyDescent="0.35">
      <c r="B3435" s="47"/>
      <c r="C3435" s="14"/>
      <c r="D3435" s="14"/>
      <c r="E3435" s="14"/>
      <c r="F3435" s="14"/>
      <c r="G3435" s="18"/>
    </row>
    <row r="3436" spans="2:7" x14ac:dyDescent="0.35">
      <c r="B3436" s="47"/>
      <c r="C3436" s="14"/>
      <c r="D3436" s="14"/>
      <c r="E3436" s="14"/>
      <c r="F3436" s="14"/>
      <c r="G3436" s="18"/>
    </row>
    <row r="3437" spans="2:7" x14ac:dyDescent="0.35">
      <c r="B3437" s="47"/>
      <c r="C3437" s="14"/>
      <c r="D3437" s="14"/>
      <c r="E3437" s="14"/>
      <c r="F3437" s="14"/>
      <c r="G3437" s="18"/>
    </row>
    <row r="3438" spans="2:7" x14ac:dyDescent="0.35">
      <c r="B3438" s="47"/>
      <c r="C3438" s="14"/>
      <c r="D3438" s="14"/>
      <c r="E3438" s="14"/>
      <c r="F3438" s="14"/>
      <c r="G3438" s="18"/>
    </row>
    <row r="3439" spans="2:7" x14ac:dyDescent="0.35">
      <c r="B3439" s="47"/>
      <c r="C3439" s="14"/>
      <c r="D3439" s="14"/>
      <c r="E3439" s="14"/>
      <c r="F3439" s="14"/>
      <c r="G3439" s="18"/>
    </row>
    <row r="3440" spans="2:7" x14ac:dyDescent="0.35">
      <c r="B3440" s="47"/>
      <c r="C3440" s="14"/>
      <c r="D3440" s="14"/>
      <c r="E3440" s="14"/>
      <c r="F3440" s="14"/>
      <c r="G3440" s="18"/>
    </row>
    <row r="3441" spans="2:7" x14ac:dyDescent="0.35">
      <c r="B3441" s="47"/>
      <c r="C3441" s="14"/>
      <c r="D3441" s="14"/>
      <c r="E3441" s="14"/>
      <c r="F3441" s="14"/>
      <c r="G3441" s="18"/>
    </row>
    <row r="3442" spans="2:7" x14ac:dyDescent="0.35">
      <c r="B3442" s="47"/>
      <c r="C3442" s="14"/>
      <c r="D3442" s="14"/>
      <c r="E3442" s="14"/>
      <c r="F3442" s="14"/>
      <c r="G3442" s="18"/>
    </row>
    <row r="3443" spans="2:7" x14ac:dyDescent="0.35">
      <c r="B3443" s="47"/>
      <c r="C3443" s="14"/>
      <c r="D3443" s="14"/>
      <c r="E3443" s="14"/>
      <c r="F3443" s="14"/>
      <c r="G3443" s="18"/>
    </row>
    <row r="3444" spans="2:7" x14ac:dyDescent="0.35">
      <c r="B3444" s="47"/>
      <c r="C3444" s="14"/>
      <c r="D3444" s="14"/>
      <c r="E3444" s="14"/>
      <c r="F3444" s="14"/>
      <c r="G3444" s="18"/>
    </row>
    <row r="3445" spans="2:7" x14ac:dyDescent="0.35">
      <c r="B3445" s="47"/>
      <c r="C3445" s="14"/>
      <c r="D3445" s="14"/>
      <c r="E3445" s="14"/>
      <c r="F3445" s="14"/>
      <c r="G3445" s="18"/>
    </row>
    <row r="3446" spans="2:7" x14ac:dyDescent="0.35">
      <c r="B3446" s="47"/>
      <c r="C3446" s="14"/>
      <c r="D3446" s="14"/>
      <c r="E3446" s="14"/>
      <c r="F3446" s="14"/>
      <c r="G3446" s="18"/>
    </row>
    <row r="3447" spans="2:7" x14ac:dyDescent="0.35">
      <c r="B3447" s="47"/>
      <c r="C3447" s="14"/>
      <c r="D3447" s="14"/>
      <c r="E3447" s="14"/>
      <c r="F3447" s="14"/>
      <c r="G3447" s="18"/>
    </row>
    <row r="3448" spans="2:7" x14ac:dyDescent="0.35">
      <c r="B3448" s="47"/>
      <c r="C3448" s="14"/>
      <c r="D3448" s="14"/>
      <c r="E3448" s="14"/>
      <c r="F3448" s="14"/>
      <c r="G3448" s="18"/>
    </row>
    <row r="3449" spans="2:7" x14ac:dyDescent="0.35">
      <c r="B3449" s="47"/>
      <c r="C3449" s="14"/>
      <c r="D3449" s="14"/>
      <c r="E3449" s="14"/>
      <c r="F3449" s="14"/>
      <c r="G3449" s="18"/>
    </row>
    <row r="3450" spans="2:7" x14ac:dyDescent="0.35">
      <c r="B3450" s="47"/>
      <c r="C3450" s="14"/>
      <c r="D3450" s="14"/>
      <c r="E3450" s="14"/>
      <c r="F3450" s="14"/>
      <c r="G3450" s="18"/>
    </row>
    <row r="3451" spans="2:7" x14ac:dyDescent="0.35">
      <c r="B3451" s="47"/>
      <c r="C3451" s="14"/>
      <c r="D3451" s="14"/>
      <c r="E3451" s="14"/>
      <c r="F3451" s="14"/>
      <c r="G3451" s="18"/>
    </row>
    <row r="3452" spans="2:7" x14ac:dyDescent="0.35">
      <c r="B3452" s="47"/>
      <c r="C3452" s="14"/>
      <c r="D3452" s="14"/>
      <c r="E3452" s="14"/>
      <c r="F3452" s="14"/>
      <c r="G3452" s="18"/>
    </row>
    <row r="3453" spans="2:7" x14ac:dyDescent="0.35">
      <c r="B3453" s="47"/>
      <c r="C3453" s="14"/>
      <c r="D3453" s="14"/>
      <c r="E3453" s="14"/>
      <c r="F3453" s="14"/>
      <c r="G3453" s="18"/>
    </row>
    <row r="3454" spans="2:7" x14ac:dyDescent="0.35">
      <c r="B3454" s="47"/>
      <c r="C3454" s="14"/>
      <c r="D3454" s="14"/>
      <c r="E3454" s="14"/>
      <c r="F3454" s="14"/>
      <c r="G3454" s="18"/>
    </row>
    <row r="3455" spans="2:7" x14ac:dyDescent="0.35">
      <c r="B3455" s="47"/>
      <c r="C3455" s="14"/>
      <c r="D3455" s="14"/>
      <c r="E3455" s="14"/>
      <c r="F3455" s="14"/>
      <c r="G3455" s="18"/>
    </row>
    <row r="3456" spans="2:7" x14ac:dyDescent="0.35">
      <c r="B3456" s="47"/>
      <c r="C3456" s="14"/>
      <c r="D3456" s="14"/>
      <c r="E3456" s="14"/>
      <c r="F3456" s="14"/>
      <c r="G3456" s="18"/>
    </row>
    <row r="3457" spans="2:7" x14ac:dyDescent="0.35">
      <c r="B3457" s="47"/>
      <c r="C3457" s="14"/>
      <c r="D3457" s="14"/>
      <c r="E3457" s="14"/>
      <c r="F3457" s="14"/>
      <c r="G3457" s="18"/>
    </row>
    <row r="3458" spans="2:7" x14ac:dyDescent="0.35">
      <c r="B3458" s="47"/>
      <c r="C3458" s="14"/>
      <c r="D3458" s="14"/>
      <c r="E3458" s="14"/>
      <c r="F3458" s="14"/>
      <c r="G3458" s="18"/>
    </row>
    <row r="3459" spans="2:7" x14ac:dyDescent="0.35">
      <c r="B3459" s="47"/>
      <c r="C3459" s="14"/>
      <c r="D3459" s="14"/>
      <c r="E3459" s="14"/>
      <c r="F3459" s="14"/>
      <c r="G3459" s="18"/>
    </row>
    <row r="3460" spans="2:7" x14ac:dyDescent="0.35">
      <c r="B3460" s="47"/>
      <c r="C3460" s="14"/>
      <c r="D3460" s="14"/>
      <c r="E3460" s="14"/>
      <c r="F3460" s="14"/>
      <c r="G3460" s="18"/>
    </row>
    <row r="3461" spans="2:7" x14ac:dyDescent="0.35">
      <c r="B3461" s="47"/>
      <c r="C3461" s="14"/>
      <c r="D3461" s="14"/>
      <c r="E3461" s="14"/>
      <c r="F3461" s="14"/>
      <c r="G3461" s="18"/>
    </row>
    <row r="3462" spans="2:7" x14ac:dyDescent="0.35">
      <c r="B3462" s="47"/>
      <c r="C3462" s="14"/>
      <c r="D3462" s="14"/>
      <c r="E3462" s="14"/>
      <c r="F3462" s="14"/>
      <c r="G3462" s="18"/>
    </row>
    <row r="3463" spans="2:7" x14ac:dyDescent="0.35">
      <c r="B3463" s="47"/>
      <c r="C3463" s="14"/>
      <c r="D3463" s="14"/>
      <c r="E3463" s="14"/>
      <c r="F3463" s="14"/>
      <c r="G3463" s="18"/>
    </row>
    <row r="3464" spans="2:7" x14ac:dyDescent="0.35">
      <c r="B3464" s="47"/>
      <c r="C3464" s="14"/>
      <c r="D3464" s="14"/>
      <c r="E3464" s="14"/>
      <c r="F3464" s="14"/>
      <c r="G3464" s="18"/>
    </row>
    <row r="3465" spans="2:7" x14ac:dyDescent="0.35">
      <c r="B3465" s="47"/>
      <c r="C3465" s="14"/>
      <c r="D3465" s="14"/>
      <c r="E3465" s="14"/>
      <c r="F3465" s="14"/>
      <c r="G3465" s="18"/>
    </row>
    <row r="3466" spans="2:7" x14ac:dyDescent="0.35">
      <c r="B3466" s="47"/>
      <c r="C3466" s="14"/>
      <c r="D3466" s="14"/>
      <c r="E3466" s="14"/>
      <c r="F3466" s="14"/>
      <c r="G3466" s="18"/>
    </row>
    <row r="3467" spans="2:7" x14ac:dyDescent="0.35">
      <c r="B3467" s="47"/>
      <c r="C3467" s="14"/>
      <c r="D3467" s="14"/>
      <c r="E3467" s="14"/>
      <c r="F3467" s="14"/>
      <c r="G3467" s="18"/>
    </row>
    <row r="3468" spans="2:7" x14ac:dyDescent="0.35">
      <c r="B3468" s="47"/>
      <c r="C3468" s="14"/>
      <c r="D3468" s="14"/>
      <c r="E3468" s="14"/>
      <c r="F3468" s="14"/>
      <c r="G3468" s="18"/>
    </row>
    <row r="3469" spans="2:7" x14ac:dyDescent="0.35">
      <c r="B3469" s="47"/>
      <c r="C3469" s="14"/>
      <c r="D3469" s="14"/>
      <c r="E3469" s="14"/>
      <c r="F3469" s="14"/>
      <c r="G3469" s="18"/>
    </row>
    <row r="3470" spans="2:7" x14ac:dyDescent="0.35">
      <c r="B3470" s="47"/>
      <c r="C3470" s="14"/>
      <c r="D3470" s="14"/>
      <c r="E3470" s="14"/>
      <c r="F3470" s="14"/>
      <c r="G3470" s="18"/>
    </row>
    <row r="3471" spans="2:7" x14ac:dyDescent="0.35">
      <c r="B3471" s="47"/>
      <c r="C3471" s="14"/>
      <c r="D3471" s="14"/>
      <c r="E3471" s="14"/>
      <c r="F3471" s="14"/>
      <c r="G3471" s="18"/>
    </row>
    <row r="3472" spans="2:7" x14ac:dyDescent="0.35">
      <c r="B3472" s="47"/>
      <c r="C3472" s="14"/>
      <c r="D3472" s="14"/>
      <c r="E3472" s="14"/>
      <c r="F3472" s="14"/>
      <c r="G3472" s="18"/>
    </row>
    <row r="3473" spans="2:7" x14ac:dyDescent="0.35">
      <c r="B3473" s="47"/>
      <c r="C3473" s="14"/>
      <c r="D3473" s="14"/>
      <c r="E3473" s="14"/>
      <c r="F3473" s="14"/>
      <c r="G3473" s="18"/>
    </row>
    <row r="3474" spans="2:7" x14ac:dyDescent="0.35">
      <c r="B3474" s="47"/>
      <c r="C3474" s="14"/>
      <c r="D3474" s="14"/>
      <c r="E3474" s="14"/>
      <c r="F3474" s="14"/>
      <c r="G3474" s="18"/>
    </row>
    <row r="3475" spans="2:7" x14ac:dyDescent="0.35">
      <c r="B3475" s="47"/>
      <c r="C3475" s="14"/>
      <c r="D3475" s="14"/>
      <c r="E3475" s="14"/>
      <c r="F3475" s="14"/>
      <c r="G3475" s="18"/>
    </row>
    <row r="3476" spans="2:7" x14ac:dyDescent="0.35">
      <c r="B3476" s="47"/>
      <c r="C3476" s="14"/>
      <c r="D3476" s="14"/>
      <c r="E3476" s="14"/>
      <c r="F3476" s="14"/>
      <c r="G3476" s="18"/>
    </row>
    <row r="3477" spans="2:7" x14ac:dyDescent="0.35">
      <c r="B3477" s="47"/>
      <c r="C3477" s="14"/>
      <c r="D3477" s="14"/>
      <c r="E3477" s="14"/>
      <c r="F3477" s="14"/>
      <c r="G3477" s="18"/>
    </row>
    <row r="3478" spans="2:7" x14ac:dyDescent="0.35">
      <c r="B3478" s="47"/>
      <c r="C3478" s="14"/>
      <c r="D3478" s="14"/>
      <c r="E3478" s="14"/>
      <c r="F3478" s="14"/>
      <c r="G3478" s="18"/>
    </row>
    <row r="3479" spans="2:7" x14ac:dyDescent="0.35">
      <c r="B3479" s="47"/>
      <c r="C3479" s="14"/>
      <c r="D3479" s="14"/>
      <c r="E3479" s="14"/>
      <c r="F3479" s="14"/>
      <c r="G3479" s="18"/>
    </row>
    <row r="3480" spans="2:7" x14ac:dyDescent="0.35">
      <c r="B3480" s="47"/>
      <c r="C3480" s="14"/>
      <c r="D3480" s="14"/>
      <c r="E3480" s="14"/>
      <c r="F3480" s="14"/>
      <c r="G3480" s="18"/>
    </row>
    <row r="3481" spans="2:7" x14ac:dyDescent="0.35">
      <c r="B3481" s="47"/>
      <c r="C3481" s="14"/>
      <c r="D3481" s="14"/>
      <c r="E3481" s="14"/>
      <c r="F3481" s="14"/>
      <c r="G3481" s="18"/>
    </row>
    <row r="3482" spans="2:7" x14ac:dyDescent="0.35">
      <c r="B3482" s="47"/>
      <c r="C3482" s="14"/>
      <c r="D3482" s="14"/>
      <c r="E3482" s="14"/>
      <c r="F3482" s="14"/>
      <c r="G3482" s="18"/>
    </row>
    <row r="3483" spans="2:7" x14ac:dyDescent="0.35">
      <c r="B3483" s="47"/>
      <c r="C3483" s="14"/>
      <c r="D3483" s="14"/>
      <c r="E3483" s="14"/>
      <c r="F3483" s="14"/>
      <c r="G3483" s="18"/>
    </row>
    <row r="3484" spans="2:7" x14ac:dyDescent="0.35">
      <c r="B3484" s="47"/>
      <c r="C3484" s="14"/>
      <c r="D3484" s="14"/>
      <c r="E3484" s="14"/>
      <c r="F3484" s="14"/>
      <c r="G3484" s="18"/>
    </row>
    <row r="3485" spans="2:7" x14ac:dyDescent="0.35">
      <c r="B3485" s="47"/>
      <c r="C3485" s="14"/>
      <c r="D3485" s="14"/>
      <c r="E3485" s="14"/>
      <c r="F3485" s="14"/>
      <c r="G3485" s="18"/>
    </row>
    <row r="3486" spans="2:7" x14ac:dyDescent="0.35">
      <c r="B3486" s="47"/>
      <c r="C3486" s="14"/>
      <c r="D3486" s="14"/>
      <c r="E3486" s="14"/>
      <c r="F3486" s="14"/>
      <c r="G3486" s="18"/>
    </row>
    <row r="3487" spans="2:7" x14ac:dyDescent="0.35">
      <c r="B3487" s="47"/>
      <c r="C3487" s="14"/>
      <c r="D3487" s="14"/>
      <c r="E3487" s="14"/>
      <c r="F3487" s="14"/>
      <c r="G3487" s="18"/>
    </row>
    <row r="3488" spans="2:7" x14ac:dyDescent="0.35">
      <c r="B3488" s="47"/>
      <c r="C3488" s="14"/>
      <c r="D3488" s="14"/>
      <c r="E3488" s="14"/>
      <c r="F3488" s="14"/>
      <c r="G3488" s="18"/>
    </row>
    <row r="3489" spans="2:7" x14ac:dyDescent="0.35">
      <c r="B3489" s="47"/>
      <c r="C3489" s="14"/>
      <c r="D3489" s="14"/>
      <c r="E3489" s="14"/>
      <c r="F3489" s="14"/>
      <c r="G3489" s="18"/>
    </row>
    <row r="3490" spans="2:7" x14ac:dyDescent="0.35">
      <c r="B3490" s="47"/>
      <c r="C3490" s="14"/>
      <c r="D3490" s="14"/>
      <c r="E3490" s="14"/>
      <c r="F3490" s="14"/>
      <c r="G3490" s="18"/>
    </row>
    <row r="3491" spans="2:7" x14ac:dyDescent="0.35">
      <c r="B3491" s="47"/>
      <c r="C3491" s="14"/>
      <c r="D3491" s="14"/>
      <c r="E3491" s="14"/>
      <c r="F3491" s="14"/>
      <c r="G3491" s="18"/>
    </row>
    <row r="3492" spans="2:7" x14ac:dyDescent="0.35">
      <c r="B3492" s="47"/>
      <c r="C3492" s="14"/>
      <c r="D3492" s="14"/>
      <c r="E3492" s="14"/>
      <c r="F3492" s="14"/>
      <c r="G3492" s="18"/>
    </row>
    <row r="3493" spans="2:7" x14ac:dyDescent="0.35">
      <c r="B3493" s="47"/>
      <c r="C3493" s="14"/>
      <c r="D3493" s="14"/>
      <c r="E3493" s="14"/>
      <c r="F3493" s="14"/>
      <c r="G3493" s="18"/>
    </row>
    <row r="3494" spans="2:7" x14ac:dyDescent="0.35">
      <c r="B3494" s="47"/>
      <c r="C3494" s="14"/>
      <c r="D3494" s="14"/>
      <c r="E3494" s="14"/>
      <c r="F3494" s="14"/>
      <c r="G3494" s="18"/>
    </row>
    <row r="3495" spans="2:7" x14ac:dyDescent="0.35">
      <c r="B3495" s="47"/>
      <c r="C3495" s="14"/>
      <c r="D3495" s="14"/>
      <c r="E3495" s="14"/>
      <c r="F3495" s="14"/>
      <c r="G3495" s="18"/>
    </row>
    <row r="3496" spans="2:7" x14ac:dyDescent="0.35">
      <c r="B3496" s="47"/>
      <c r="C3496" s="14"/>
      <c r="D3496" s="14"/>
      <c r="E3496" s="14"/>
      <c r="F3496" s="14"/>
      <c r="G3496" s="18"/>
    </row>
    <row r="3497" spans="2:7" x14ac:dyDescent="0.35">
      <c r="B3497" s="47"/>
      <c r="C3497" s="14"/>
      <c r="D3497" s="14"/>
      <c r="E3497" s="14"/>
      <c r="F3497" s="14"/>
      <c r="G3497" s="18"/>
    </row>
    <row r="3498" spans="2:7" x14ac:dyDescent="0.35">
      <c r="B3498" s="47"/>
      <c r="C3498" s="14"/>
      <c r="D3498" s="14"/>
      <c r="E3498" s="14"/>
      <c r="F3498" s="14"/>
      <c r="G3498" s="18"/>
    </row>
    <row r="3499" spans="2:7" x14ac:dyDescent="0.35">
      <c r="B3499" s="47"/>
      <c r="C3499" s="14"/>
      <c r="D3499" s="14"/>
      <c r="E3499" s="14"/>
      <c r="F3499" s="14"/>
      <c r="G3499" s="18"/>
    </row>
    <row r="3500" spans="2:7" x14ac:dyDescent="0.35">
      <c r="B3500" s="47"/>
      <c r="C3500" s="14"/>
      <c r="D3500" s="14"/>
      <c r="E3500" s="14"/>
      <c r="F3500" s="14"/>
      <c r="G3500" s="18"/>
    </row>
    <row r="3501" spans="2:7" x14ac:dyDescent="0.35">
      <c r="B3501" s="47"/>
      <c r="C3501" s="14"/>
      <c r="D3501" s="14"/>
      <c r="E3501" s="14"/>
      <c r="F3501" s="14"/>
      <c r="G3501" s="18"/>
    </row>
    <row r="3502" spans="2:7" x14ac:dyDescent="0.35">
      <c r="B3502" s="47"/>
      <c r="C3502" s="14"/>
      <c r="D3502" s="14"/>
      <c r="E3502" s="14"/>
      <c r="F3502" s="14"/>
      <c r="G3502" s="18"/>
    </row>
    <row r="3503" spans="2:7" x14ac:dyDescent="0.35">
      <c r="B3503" s="47"/>
      <c r="C3503" s="14"/>
      <c r="D3503" s="14"/>
      <c r="E3503" s="14"/>
      <c r="F3503" s="14"/>
      <c r="G3503" s="18"/>
    </row>
    <row r="3504" spans="2:7" x14ac:dyDescent="0.35">
      <c r="B3504" s="47"/>
      <c r="C3504" s="14"/>
      <c r="D3504" s="14"/>
      <c r="E3504" s="14"/>
      <c r="F3504" s="14"/>
      <c r="G3504" s="18"/>
    </row>
    <row r="3505" spans="2:7" x14ac:dyDescent="0.35">
      <c r="B3505" s="47"/>
      <c r="C3505" s="14"/>
      <c r="D3505" s="14"/>
      <c r="E3505" s="14"/>
      <c r="F3505" s="14"/>
      <c r="G3505" s="18"/>
    </row>
    <row r="3506" spans="2:7" x14ac:dyDescent="0.35">
      <c r="B3506" s="47"/>
      <c r="C3506" s="14"/>
      <c r="D3506" s="14"/>
      <c r="E3506" s="14"/>
      <c r="F3506" s="14"/>
      <c r="G3506" s="18"/>
    </row>
    <row r="3507" spans="2:7" x14ac:dyDescent="0.35">
      <c r="B3507" s="47"/>
      <c r="C3507" s="14"/>
      <c r="D3507" s="14"/>
      <c r="E3507" s="14"/>
      <c r="F3507" s="14"/>
      <c r="G3507" s="18"/>
    </row>
    <row r="3508" spans="2:7" x14ac:dyDescent="0.35">
      <c r="B3508" s="47"/>
      <c r="C3508" s="14"/>
      <c r="D3508" s="14"/>
      <c r="E3508" s="14"/>
      <c r="F3508" s="14"/>
      <c r="G3508" s="18"/>
    </row>
    <row r="3509" spans="2:7" x14ac:dyDescent="0.35">
      <c r="B3509" s="47"/>
      <c r="C3509" s="14"/>
      <c r="D3509" s="14"/>
      <c r="E3509" s="14"/>
      <c r="F3509" s="14"/>
      <c r="G3509" s="18"/>
    </row>
    <row r="3510" spans="2:7" x14ac:dyDescent="0.35">
      <c r="B3510" s="47"/>
      <c r="C3510" s="14"/>
      <c r="D3510" s="14"/>
      <c r="E3510" s="14"/>
      <c r="F3510" s="14"/>
      <c r="G3510" s="18"/>
    </row>
    <row r="3511" spans="2:7" x14ac:dyDescent="0.35">
      <c r="B3511" s="47"/>
      <c r="C3511" s="14"/>
      <c r="D3511" s="14"/>
      <c r="E3511" s="14"/>
      <c r="F3511" s="14"/>
      <c r="G3511" s="18"/>
    </row>
    <row r="3512" spans="2:7" x14ac:dyDescent="0.35">
      <c r="B3512" s="47"/>
      <c r="C3512" s="14"/>
      <c r="D3512" s="14"/>
      <c r="E3512" s="14"/>
      <c r="F3512" s="14"/>
      <c r="G3512" s="18"/>
    </row>
    <row r="3513" spans="2:7" x14ac:dyDescent="0.35">
      <c r="B3513" s="47"/>
      <c r="C3513" s="14"/>
      <c r="D3513" s="14"/>
      <c r="E3513" s="14"/>
      <c r="F3513" s="14"/>
      <c r="G3513" s="18"/>
    </row>
    <row r="3514" spans="2:7" x14ac:dyDescent="0.35">
      <c r="B3514" s="47"/>
      <c r="C3514" s="14"/>
      <c r="D3514" s="14"/>
      <c r="E3514" s="14"/>
      <c r="F3514" s="14"/>
      <c r="G3514" s="18"/>
    </row>
    <row r="3515" spans="2:7" x14ac:dyDescent="0.35">
      <c r="B3515" s="47"/>
      <c r="C3515" s="14"/>
      <c r="D3515" s="14"/>
      <c r="E3515" s="14"/>
      <c r="F3515" s="14"/>
      <c r="G3515" s="18"/>
    </row>
    <row r="3516" spans="2:7" x14ac:dyDescent="0.35">
      <c r="B3516" s="47"/>
      <c r="C3516" s="14"/>
      <c r="D3516" s="14"/>
      <c r="E3516" s="14"/>
      <c r="F3516" s="14"/>
      <c r="G3516" s="18"/>
    </row>
    <row r="3517" spans="2:7" x14ac:dyDescent="0.35">
      <c r="B3517" s="47"/>
      <c r="C3517" s="14"/>
      <c r="D3517" s="14"/>
      <c r="E3517" s="14"/>
      <c r="F3517" s="14"/>
      <c r="G3517" s="18"/>
    </row>
    <row r="3518" spans="2:7" x14ac:dyDescent="0.35">
      <c r="B3518" s="47"/>
      <c r="C3518" s="14"/>
      <c r="D3518" s="14"/>
      <c r="E3518" s="14"/>
      <c r="F3518" s="14"/>
      <c r="G3518" s="18"/>
    </row>
    <row r="3519" spans="2:7" x14ac:dyDescent="0.35">
      <c r="B3519" s="47"/>
      <c r="C3519" s="14"/>
      <c r="D3519" s="14"/>
      <c r="E3519" s="14"/>
      <c r="F3519" s="14"/>
      <c r="G3519" s="18"/>
    </row>
    <row r="3520" spans="2:7" x14ac:dyDescent="0.35">
      <c r="B3520" s="47"/>
      <c r="C3520" s="14"/>
      <c r="D3520" s="14"/>
      <c r="E3520" s="14"/>
      <c r="F3520" s="14"/>
      <c r="G3520" s="18"/>
    </row>
    <row r="3521" spans="2:7" x14ac:dyDescent="0.35">
      <c r="B3521" s="47"/>
      <c r="C3521" s="14"/>
      <c r="D3521" s="14"/>
      <c r="E3521" s="14"/>
      <c r="F3521" s="14"/>
      <c r="G3521" s="18"/>
    </row>
    <row r="3522" spans="2:7" x14ac:dyDescent="0.35">
      <c r="B3522" s="47"/>
      <c r="C3522" s="14"/>
      <c r="D3522" s="14"/>
      <c r="E3522" s="14"/>
      <c r="F3522" s="14"/>
      <c r="G3522" s="18"/>
    </row>
    <row r="3523" spans="2:7" x14ac:dyDescent="0.35">
      <c r="B3523" s="47"/>
      <c r="C3523" s="14"/>
      <c r="D3523" s="14"/>
      <c r="E3523" s="14"/>
      <c r="F3523" s="14"/>
      <c r="G3523" s="18"/>
    </row>
    <row r="3524" spans="2:7" x14ac:dyDescent="0.35">
      <c r="B3524" s="47"/>
      <c r="C3524" s="14"/>
      <c r="D3524" s="14"/>
      <c r="E3524" s="14"/>
      <c r="F3524" s="14"/>
      <c r="G3524" s="18"/>
    </row>
    <row r="3525" spans="2:7" x14ac:dyDescent="0.35">
      <c r="B3525" s="47"/>
      <c r="C3525" s="14"/>
      <c r="D3525" s="14"/>
      <c r="E3525" s="14"/>
      <c r="F3525" s="14"/>
      <c r="G3525" s="18"/>
    </row>
    <row r="3526" spans="2:7" x14ac:dyDescent="0.35">
      <c r="B3526" s="47"/>
      <c r="C3526" s="14"/>
      <c r="D3526" s="14"/>
      <c r="E3526" s="14"/>
      <c r="F3526" s="14"/>
      <c r="G3526" s="18"/>
    </row>
    <row r="3527" spans="2:7" x14ac:dyDescent="0.35">
      <c r="B3527" s="47"/>
      <c r="C3527" s="14"/>
      <c r="D3527" s="14"/>
      <c r="E3527" s="14"/>
      <c r="F3527" s="14"/>
      <c r="G3527" s="18"/>
    </row>
    <row r="3528" spans="2:7" x14ac:dyDescent="0.35">
      <c r="B3528" s="47"/>
      <c r="C3528" s="14"/>
      <c r="D3528" s="14"/>
      <c r="E3528" s="14"/>
      <c r="F3528" s="14"/>
      <c r="G3528" s="18"/>
    </row>
    <row r="3529" spans="2:7" x14ac:dyDescent="0.35">
      <c r="B3529" s="47"/>
      <c r="C3529" s="14"/>
      <c r="D3529" s="14"/>
      <c r="E3529" s="14"/>
      <c r="F3529" s="14"/>
      <c r="G3529" s="18"/>
    </row>
    <row r="3530" spans="2:7" x14ac:dyDescent="0.35">
      <c r="B3530" s="47"/>
      <c r="C3530" s="14"/>
      <c r="D3530" s="14"/>
      <c r="E3530" s="14"/>
      <c r="F3530" s="14"/>
      <c r="G3530" s="18"/>
    </row>
    <row r="3531" spans="2:7" x14ac:dyDescent="0.35">
      <c r="B3531" s="47"/>
      <c r="C3531" s="14"/>
      <c r="D3531" s="14"/>
      <c r="E3531" s="14"/>
      <c r="F3531" s="14"/>
      <c r="G3531" s="18"/>
    </row>
    <row r="3532" spans="2:7" x14ac:dyDescent="0.35">
      <c r="B3532" s="47"/>
      <c r="C3532" s="14"/>
      <c r="D3532" s="14"/>
      <c r="E3532" s="14"/>
      <c r="F3532" s="14"/>
      <c r="G3532" s="18"/>
    </row>
    <row r="3533" spans="2:7" x14ac:dyDescent="0.35">
      <c r="B3533" s="47"/>
      <c r="C3533" s="14"/>
      <c r="D3533" s="14"/>
      <c r="E3533" s="14"/>
      <c r="F3533" s="14"/>
      <c r="G3533" s="18"/>
    </row>
    <row r="3534" spans="2:7" x14ac:dyDescent="0.35">
      <c r="B3534" s="47"/>
      <c r="C3534" s="14"/>
      <c r="D3534" s="14"/>
      <c r="E3534" s="14"/>
      <c r="F3534" s="14"/>
      <c r="G3534" s="18"/>
    </row>
    <row r="3535" spans="2:7" x14ac:dyDescent="0.35">
      <c r="B3535" s="47"/>
      <c r="C3535" s="14"/>
      <c r="D3535" s="14"/>
      <c r="E3535" s="14"/>
      <c r="F3535" s="14"/>
      <c r="G3535" s="18"/>
    </row>
    <row r="3536" spans="2:7" x14ac:dyDescent="0.35">
      <c r="B3536" s="47"/>
      <c r="C3536" s="14"/>
      <c r="D3536" s="14"/>
      <c r="E3536" s="14"/>
      <c r="F3536" s="14"/>
      <c r="G3536" s="18"/>
    </row>
    <row r="3537" spans="2:7" x14ac:dyDescent="0.35">
      <c r="B3537" s="47"/>
      <c r="C3537" s="14"/>
      <c r="D3537" s="14"/>
      <c r="E3537" s="14"/>
      <c r="F3537" s="14"/>
      <c r="G3537" s="18"/>
    </row>
    <row r="3538" spans="2:7" x14ac:dyDescent="0.35">
      <c r="B3538" s="47"/>
      <c r="C3538" s="14"/>
      <c r="D3538" s="14"/>
      <c r="E3538" s="14"/>
      <c r="F3538" s="14"/>
      <c r="G3538" s="18"/>
    </row>
    <row r="3539" spans="2:7" x14ac:dyDescent="0.35">
      <c r="B3539" s="47"/>
      <c r="C3539" s="14"/>
      <c r="D3539" s="14"/>
      <c r="E3539" s="14"/>
      <c r="F3539" s="14"/>
      <c r="G3539" s="18"/>
    </row>
    <row r="3540" spans="2:7" x14ac:dyDescent="0.35">
      <c r="B3540" s="47"/>
      <c r="C3540" s="14"/>
      <c r="D3540" s="14"/>
      <c r="E3540" s="14"/>
      <c r="F3540" s="14"/>
      <c r="G3540" s="18"/>
    </row>
    <row r="3541" spans="2:7" x14ac:dyDescent="0.35">
      <c r="B3541" s="47"/>
      <c r="C3541" s="14"/>
      <c r="D3541" s="14"/>
      <c r="E3541" s="14"/>
      <c r="F3541" s="14"/>
      <c r="G3541" s="18"/>
    </row>
    <row r="3542" spans="2:7" x14ac:dyDescent="0.35">
      <c r="B3542" s="47"/>
      <c r="C3542" s="14"/>
      <c r="D3542" s="14"/>
      <c r="E3542" s="14"/>
      <c r="F3542" s="14"/>
      <c r="G3542" s="18"/>
    </row>
    <row r="3543" spans="2:7" x14ac:dyDescent="0.35">
      <c r="B3543" s="47"/>
      <c r="C3543" s="14"/>
      <c r="D3543" s="14"/>
      <c r="E3543" s="14"/>
      <c r="F3543" s="14"/>
      <c r="G3543" s="18"/>
    </row>
    <row r="3544" spans="2:7" x14ac:dyDescent="0.35">
      <c r="B3544" s="47"/>
      <c r="C3544" s="14"/>
      <c r="D3544" s="14"/>
      <c r="E3544" s="14"/>
      <c r="F3544" s="14"/>
      <c r="G3544" s="18"/>
    </row>
    <row r="3545" spans="2:7" x14ac:dyDescent="0.35">
      <c r="B3545" s="47"/>
      <c r="C3545" s="14"/>
      <c r="D3545" s="14"/>
      <c r="E3545" s="14"/>
      <c r="F3545" s="14"/>
      <c r="G3545" s="18"/>
    </row>
    <row r="3546" spans="2:7" x14ac:dyDescent="0.35">
      <c r="B3546" s="47"/>
      <c r="C3546" s="14"/>
      <c r="D3546" s="14"/>
      <c r="E3546" s="14"/>
      <c r="F3546" s="14"/>
      <c r="G3546" s="18"/>
    </row>
    <row r="3547" spans="2:7" x14ac:dyDescent="0.35">
      <c r="B3547" s="47"/>
      <c r="C3547" s="14"/>
      <c r="D3547" s="14"/>
      <c r="E3547" s="14"/>
      <c r="F3547" s="14"/>
      <c r="G3547" s="18"/>
    </row>
    <row r="3548" spans="2:7" x14ac:dyDescent="0.35">
      <c r="B3548" s="47"/>
      <c r="C3548" s="14"/>
      <c r="D3548" s="14"/>
      <c r="E3548" s="14"/>
      <c r="F3548" s="14"/>
      <c r="G3548" s="18"/>
    </row>
    <row r="3549" spans="2:7" x14ac:dyDescent="0.35">
      <c r="B3549" s="47"/>
      <c r="C3549" s="14"/>
      <c r="D3549" s="14"/>
      <c r="E3549" s="14"/>
      <c r="F3549" s="14"/>
      <c r="G3549" s="18"/>
    </row>
    <row r="3550" spans="2:7" x14ac:dyDescent="0.35">
      <c r="B3550" s="47"/>
      <c r="C3550" s="14"/>
      <c r="D3550" s="14"/>
      <c r="E3550" s="14"/>
      <c r="F3550" s="14"/>
      <c r="G3550" s="18"/>
    </row>
    <row r="3551" spans="2:7" x14ac:dyDescent="0.35">
      <c r="B3551" s="47"/>
      <c r="C3551" s="14"/>
      <c r="D3551" s="14"/>
      <c r="E3551" s="14"/>
      <c r="F3551" s="14"/>
      <c r="G3551" s="18"/>
    </row>
    <row r="3552" spans="2:7" x14ac:dyDescent="0.35">
      <c r="B3552" s="47"/>
      <c r="C3552" s="14"/>
      <c r="D3552" s="14"/>
      <c r="E3552" s="14"/>
      <c r="F3552" s="14"/>
      <c r="G3552" s="18"/>
    </row>
    <row r="3553" spans="2:7" x14ac:dyDescent="0.35">
      <c r="B3553" s="47"/>
      <c r="C3553" s="14"/>
      <c r="D3553" s="14"/>
      <c r="E3553" s="14"/>
      <c r="F3553" s="14"/>
      <c r="G3553" s="18"/>
    </row>
    <row r="3554" spans="2:7" x14ac:dyDescent="0.35">
      <c r="B3554" s="47"/>
      <c r="C3554" s="14"/>
      <c r="D3554" s="14"/>
      <c r="E3554" s="14"/>
      <c r="F3554" s="14"/>
      <c r="G3554" s="18"/>
    </row>
    <row r="3555" spans="2:7" x14ac:dyDescent="0.35">
      <c r="B3555" s="47"/>
      <c r="C3555" s="14"/>
      <c r="D3555" s="14"/>
      <c r="E3555" s="14"/>
      <c r="F3555" s="14"/>
      <c r="G3555" s="18"/>
    </row>
    <row r="3556" spans="2:7" x14ac:dyDescent="0.35">
      <c r="B3556" s="47"/>
      <c r="C3556" s="14"/>
      <c r="D3556" s="14"/>
      <c r="E3556" s="14"/>
      <c r="F3556" s="14"/>
      <c r="G3556" s="18"/>
    </row>
    <row r="3557" spans="2:7" x14ac:dyDescent="0.35">
      <c r="B3557" s="47"/>
      <c r="C3557" s="14"/>
      <c r="D3557" s="14"/>
      <c r="E3557" s="14"/>
      <c r="F3557" s="14"/>
      <c r="G3557" s="18"/>
    </row>
    <row r="3558" spans="2:7" x14ac:dyDescent="0.35">
      <c r="B3558" s="47"/>
      <c r="C3558" s="14"/>
      <c r="D3558" s="14"/>
      <c r="E3558" s="14"/>
      <c r="F3558" s="14"/>
      <c r="G3558" s="18"/>
    </row>
    <row r="3559" spans="2:7" x14ac:dyDescent="0.35">
      <c r="B3559" s="47"/>
      <c r="C3559" s="14"/>
      <c r="D3559" s="14"/>
      <c r="E3559" s="14"/>
      <c r="F3559" s="14"/>
      <c r="G3559" s="18"/>
    </row>
    <row r="3560" spans="2:7" x14ac:dyDescent="0.35">
      <c r="B3560" s="47"/>
      <c r="C3560" s="14"/>
      <c r="D3560" s="14"/>
      <c r="E3560" s="14"/>
      <c r="F3560" s="14"/>
      <c r="G3560" s="18"/>
    </row>
    <row r="3561" spans="2:7" x14ac:dyDescent="0.35">
      <c r="B3561" s="47"/>
      <c r="C3561" s="14"/>
      <c r="D3561" s="14"/>
      <c r="E3561" s="14"/>
      <c r="F3561" s="14"/>
      <c r="G3561" s="18"/>
    </row>
    <row r="3562" spans="2:7" x14ac:dyDescent="0.35">
      <c r="B3562" s="47"/>
      <c r="C3562" s="14"/>
      <c r="D3562" s="14"/>
      <c r="E3562" s="14"/>
      <c r="F3562" s="14"/>
      <c r="G3562" s="18"/>
    </row>
    <row r="3563" spans="2:7" x14ac:dyDescent="0.35">
      <c r="B3563" s="47"/>
      <c r="C3563" s="14"/>
      <c r="D3563" s="14"/>
      <c r="E3563" s="14"/>
      <c r="F3563" s="14"/>
      <c r="G3563" s="18"/>
    </row>
    <row r="3564" spans="2:7" x14ac:dyDescent="0.35">
      <c r="B3564" s="47"/>
      <c r="C3564" s="14"/>
      <c r="D3564" s="14"/>
      <c r="E3564" s="14"/>
      <c r="F3564" s="14"/>
      <c r="G3564" s="18"/>
    </row>
    <row r="3565" spans="2:7" x14ac:dyDescent="0.35">
      <c r="B3565" s="47"/>
      <c r="C3565" s="14"/>
      <c r="D3565" s="14"/>
      <c r="E3565" s="14"/>
      <c r="F3565" s="14"/>
      <c r="G3565" s="18"/>
    </row>
    <row r="3566" spans="2:7" x14ac:dyDescent="0.35">
      <c r="B3566" s="47"/>
      <c r="C3566" s="14"/>
      <c r="D3566" s="14"/>
      <c r="E3566" s="14"/>
      <c r="F3566" s="14"/>
      <c r="G3566" s="18"/>
    </row>
    <row r="3567" spans="2:7" x14ac:dyDescent="0.35">
      <c r="B3567" s="47"/>
      <c r="C3567" s="14"/>
      <c r="D3567" s="14"/>
      <c r="E3567" s="14"/>
      <c r="F3567" s="14"/>
      <c r="G3567" s="18"/>
    </row>
    <row r="3568" spans="2:7" x14ac:dyDescent="0.35">
      <c r="B3568" s="47"/>
      <c r="C3568" s="14"/>
      <c r="D3568" s="14"/>
      <c r="E3568" s="14"/>
      <c r="F3568" s="14"/>
      <c r="G3568" s="18"/>
    </row>
    <row r="3569" spans="2:7" x14ac:dyDescent="0.35">
      <c r="B3569" s="47"/>
      <c r="C3569" s="14"/>
      <c r="D3569" s="14"/>
      <c r="E3569" s="14"/>
      <c r="F3569" s="14"/>
      <c r="G3569" s="18"/>
    </row>
    <row r="3570" spans="2:7" x14ac:dyDescent="0.35">
      <c r="B3570" s="47"/>
      <c r="C3570" s="14"/>
      <c r="D3570" s="14"/>
      <c r="E3570" s="14"/>
      <c r="F3570" s="14"/>
      <c r="G3570" s="18"/>
    </row>
    <row r="3571" spans="2:7" x14ac:dyDescent="0.35">
      <c r="B3571" s="47"/>
      <c r="C3571" s="14"/>
      <c r="D3571" s="14"/>
      <c r="E3571" s="14"/>
      <c r="F3571" s="14"/>
      <c r="G3571" s="18"/>
    </row>
    <row r="3572" spans="2:7" x14ac:dyDescent="0.35">
      <c r="B3572" s="47"/>
      <c r="C3572" s="14"/>
      <c r="D3572" s="14"/>
      <c r="E3572" s="14"/>
      <c r="F3572" s="14"/>
      <c r="G3572" s="18"/>
    </row>
    <row r="3573" spans="2:7" x14ac:dyDescent="0.35">
      <c r="B3573" s="47"/>
      <c r="C3573" s="14"/>
      <c r="D3573" s="14"/>
      <c r="E3573" s="14"/>
      <c r="F3573" s="14"/>
      <c r="G3573" s="18"/>
    </row>
    <row r="3574" spans="2:7" x14ac:dyDescent="0.35">
      <c r="B3574" s="47"/>
      <c r="C3574" s="14"/>
      <c r="D3574" s="14"/>
      <c r="E3574" s="14"/>
      <c r="F3574" s="14"/>
      <c r="G3574" s="18"/>
    </row>
    <row r="3575" spans="2:7" x14ac:dyDescent="0.35">
      <c r="B3575" s="47"/>
      <c r="C3575" s="14"/>
      <c r="D3575" s="14"/>
      <c r="E3575" s="14"/>
      <c r="F3575" s="14"/>
      <c r="G3575" s="18"/>
    </row>
    <row r="3576" spans="2:7" x14ac:dyDescent="0.35">
      <c r="B3576" s="47"/>
      <c r="C3576" s="14"/>
      <c r="D3576" s="14"/>
      <c r="E3576" s="14"/>
      <c r="F3576" s="14"/>
      <c r="G3576" s="18"/>
    </row>
    <row r="3577" spans="2:7" x14ac:dyDescent="0.35">
      <c r="B3577" s="47"/>
      <c r="C3577" s="14"/>
      <c r="D3577" s="14"/>
      <c r="E3577" s="14"/>
      <c r="F3577" s="14"/>
      <c r="G3577" s="18"/>
    </row>
    <row r="3578" spans="2:7" x14ac:dyDescent="0.35">
      <c r="B3578" s="47"/>
      <c r="C3578" s="14"/>
      <c r="D3578" s="14"/>
      <c r="E3578" s="14"/>
      <c r="F3578" s="14"/>
      <c r="G3578" s="18"/>
    </row>
    <row r="3579" spans="2:7" x14ac:dyDescent="0.35">
      <c r="B3579" s="47"/>
      <c r="C3579" s="14"/>
      <c r="D3579" s="14"/>
      <c r="E3579" s="14"/>
      <c r="F3579" s="14"/>
      <c r="G3579" s="18"/>
    </row>
    <row r="3580" spans="2:7" x14ac:dyDescent="0.35">
      <c r="B3580" s="47"/>
      <c r="C3580" s="14"/>
      <c r="D3580" s="14"/>
      <c r="E3580" s="14"/>
      <c r="F3580" s="14"/>
      <c r="G3580" s="18"/>
    </row>
    <row r="3581" spans="2:7" x14ac:dyDescent="0.35">
      <c r="B3581" s="47"/>
      <c r="C3581" s="14"/>
      <c r="D3581" s="14"/>
      <c r="E3581" s="14"/>
      <c r="F3581" s="14"/>
      <c r="G3581" s="18"/>
    </row>
    <row r="3582" spans="2:7" x14ac:dyDescent="0.35">
      <c r="B3582" s="47"/>
      <c r="C3582" s="14"/>
      <c r="D3582" s="14"/>
      <c r="E3582" s="14"/>
      <c r="F3582" s="14"/>
      <c r="G3582" s="18"/>
    </row>
    <row r="3583" spans="2:7" x14ac:dyDescent="0.35">
      <c r="B3583" s="47"/>
      <c r="C3583" s="14"/>
      <c r="D3583" s="14"/>
      <c r="E3583" s="14"/>
      <c r="F3583" s="14"/>
      <c r="G3583" s="18"/>
    </row>
    <row r="3584" spans="2:7" x14ac:dyDescent="0.35">
      <c r="B3584" s="47"/>
      <c r="C3584" s="14"/>
      <c r="D3584" s="14"/>
      <c r="E3584" s="14"/>
      <c r="F3584" s="14"/>
      <c r="G3584" s="18"/>
    </row>
    <row r="3585" spans="2:7" x14ac:dyDescent="0.35">
      <c r="B3585" s="47"/>
      <c r="C3585" s="14"/>
      <c r="D3585" s="14"/>
      <c r="E3585" s="14"/>
      <c r="F3585" s="14"/>
      <c r="G3585" s="18"/>
    </row>
    <row r="3586" spans="2:7" x14ac:dyDescent="0.35">
      <c r="B3586" s="47"/>
      <c r="C3586" s="14"/>
      <c r="D3586" s="14"/>
      <c r="E3586" s="14"/>
      <c r="F3586" s="14"/>
      <c r="G3586" s="18"/>
    </row>
    <row r="3587" spans="2:7" x14ac:dyDescent="0.35">
      <c r="B3587" s="47"/>
      <c r="C3587" s="14"/>
      <c r="D3587" s="14"/>
      <c r="E3587" s="14"/>
      <c r="F3587" s="14"/>
      <c r="G3587" s="18"/>
    </row>
    <row r="3588" spans="2:7" x14ac:dyDescent="0.35">
      <c r="B3588" s="47"/>
      <c r="C3588" s="14"/>
      <c r="D3588" s="14"/>
      <c r="E3588" s="14"/>
      <c r="F3588" s="14"/>
      <c r="G3588" s="18"/>
    </row>
    <row r="3589" spans="2:7" x14ac:dyDescent="0.35">
      <c r="B3589" s="47"/>
      <c r="C3589" s="14"/>
      <c r="D3589" s="14"/>
      <c r="E3589" s="14"/>
      <c r="F3589" s="14"/>
      <c r="G3589" s="18"/>
    </row>
    <row r="3590" spans="2:7" x14ac:dyDescent="0.35">
      <c r="B3590" s="47"/>
      <c r="C3590" s="14"/>
      <c r="D3590" s="14"/>
      <c r="E3590" s="14"/>
      <c r="F3590" s="14"/>
      <c r="G3590" s="18"/>
    </row>
    <row r="3591" spans="2:7" x14ac:dyDescent="0.35">
      <c r="B3591" s="47"/>
      <c r="C3591" s="14"/>
      <c r="D3591" s="14"/>
      <c r="E3591" s="14"/>
      <c r="F3591" s="14"/>
      <c r="G3591" s="18"/>
    </row>
    <row r="3592" spans="2:7" x14ac:dyDescent="0.35">
      <c r="B3592" s="47"/>
      <c r="C3592" s="14"/>
      <c r="D3592" s="14"/>
      <c r="E3592" s="14"/>
      <c r="F3592" s="14"/>
      <c r="G3592" s="18"/>
    </row>
    <row r="3593" spans="2:7" x14ac:dyDescent="0.35">
      <c r="B3593" s="47"/>
      <c r="C3593" s="14"/>
      <c r="D3593" s="14"/>
      <c r="E3593" s="14"/>
      <c r="F3593" s="14"/>
      <c r="G3593" s="18"/>
    </row>
    <row r="3594" spans="2:7" x14ac:dyDescent="0.35">
      <c r="B3594" s="47"/>
      <c r="C3594" s="14"/>
      <c r="D3594" s="14"/>
      <c r="E3594" s="14"/>
      <c r="F3594" s="14"/>
      <c r="G3594" s="18"/>
    </row>
    <row r="3595" spans="2:7" x14ac:dyDescent="0.35">
      <c r="B3595" s="47"/>
      <c r="C3595" s="14"/>
      <c r="D3595" s="14"/>
      <c r="E3595" s="14"/>
      <c r="F3595" s="14"/>
      <c r="G3595" s="18"/>
    </row>
    <row r="3596" spans="2:7" x14ac:dyDescent="0.35">
      <c r="B3596" s="47"/>
      <c r="C3596" s="14"/>
      <c r="D3596" s="14"/>
      <c r="E3596" s="14"/>
      <c r="F3596" s="14"/>
      <c r="G3596" s="18"/>
    </row>
    <row r="3597" spans="2:7" x14ac:dyDescent="0.35">
      <c r="B3597" s="47"/>
      <c r="C3597" s="14"/>
      <c r="D3597" s="14"/>
      <c r="E3597" s="14"/>
      <c r="F3597" s="14"/>
      <c r="G3597" s="18"/>
    </row>
    <row r="3598" spans="2:7" x14ac:dyDescent="0.35">
      <c r="B3598" s="47"/>
      <c r="C3598" s="14"/>
      <c r="D3598" s="14"/>
      <c r="E3598" s="14"/>
      <c r="F3598" s="14"/>
      <c r="G3598" s="18"/>
    </row>
    <row r="3599" spans="2:7" x14ac:dyDescent="0.35">
      <c r="B3599" s="47"/>
      <c r="C3599" s="14"/>
      <c r="D3599" s="14"/>
      <c r="E3599" s="14"/>
      <c r="F3599" s="14"/>
      <c r="G3599" s="18"/>
    </row>
    <row r="3600" spans="2:7" x14ac:dyDescent="0.35">
      <c r="B3600" s="47"/>
      <c r="C3600" s="14"/>
      <c r="D3600" s="14"/>
      <c r="E3600" s="14"/>
      <c r="F3600" s="14"/>
      <c r="G3600" s="18"/>
    </row>
    <row r="3601" spans="2:7" x14ac:dyDescent="0.35">
      <c r="B3601" s="47"/>
      <c r="C3601" s="14"/>
      <c r="D3601" s="14"/>
      <c r="E3601" s="14"/>
      <c r="F3601" s="14"/>
      <c r="G3601" s="18"/>
    </row>
    <row r="3602" spans="2:7" x14ac:dyDescent="0.35">
      <c r="B3602" s="47"/>
      <c r="C3602" s="14"/>
      <c r="D3602" s="14"/>
      <c r="E3602" s="14"/>
      <c r="F3602" s="14"/>
      <c r="G3602" s="18"/>
    </row>
    <row r="3603" spans="2:7" x14ac:dyDescent="0.35">
      <c r="B3603" s="47"/>
      <c r="C3603" s="14"/>
      <c r="D3603" s="14"/>
      <c r="E3603" s="14"/>
      <c r="F3603" s="14"/>
      <c r="G3603" s="18"/>
    </row>
    <row r="3604" spans="2:7" x14ac:dyDescent="0.35">
      <c r="B3604" s="47"/>
      <c r="C3604" s="14"/>
      <c r="D3604" s="14"/>
      <c r="E3604" s="14"/>
      <c r="F3604" s="14"/>
      <c r="G3604" s="18"/>
    </row>
    <row r="3605" spans="2:7" x14ac:dyDescent="0.35">
      <c r="B3605" s="47"/>
      <c r="C3605" s="14"/>
      <c r="D3605" s="14"/>
      <c r="E3605" s="14"/>
      <c r="F3605" s="14"/>
      <c r="G3605" s="18"/>
    </row>
    <row r="3606" spans="2:7" x14ac:dyDescent="0.35">
      <c r="B3606" s="47"/>
      <c r="C3606" s="14"/>
      <c r="D3606" s="14"/>
      <c r="E3606" s="14"/>
      <c r="F3606" s="14"/>
      <c r="G3606" s="18"/>
    </row>
    <row r="3607" spans="2:7" x14ac:dyDescent="0.35">
      <c r="B3607" s="47"/>
      <c r="C3607" s="14"/>
      <c r="D3607" s="14"/>
      <c r="E3607" s="14"/>
      <c r="F3607" s="14"/>
      <c r="G3607" s="18"/>
    </row>
    <row r="3608" spans="2:7" x14ac:dyDescent="0.35">
      <c r="B3608" s="47"/>
      <c r="C3608" s="14"/>
      <c r="D3608" s="14"/>
      <c r="E3608" s="14"/>
      <c r="F3608" s="14"/>
      <c r="G3608" s="18"/>
    </row>
    <row r="3609" spans="2:7" x14ac:dyDescent="0.35">
      <c r="B3609" s="47"/>
      <c r="C3609" s="14"/>
      <c r="D3609" s="14"/>
      <c r="E3609" s="14"/>
      <c r="F3609" s="14"/>
      <c r="G3609" s="18"/>
    </row>
    <row r="3610" spans="2:7" x14ac:dyDescent="0.35">
      <c r="B3610" s="47"/>
      <c r="C3610" s="14"/>
      <c r="D3610" s="14"/>
      <c r="E3610" s="14"/>
      <c r="F3610" s="14"/>
      <c r="G3610" s="18"/>
    </row>
    <row r="3611" spans="2:7" x14ac:dyDescent="0.35">
      <c r="B3611" s="47"/>
      <c r="C3611" s="14"/>
      <c r="D3611" s="14"/>
      <c r="E3611" s="14"/>
      <c r="F3611" s="14"/>
      <c r="G3611" s="18"/>
    </row>
    <row r="3612" spans="2:7" x14ac:dyDescent="0.35">
      <c r="B3612" s="47"/>
      <c r="C3612" s="14"/>
      <c r="D3612" s="14"/>
      <c r="E3612" s="14"/>
      <c r="F3612" s="14"/>
      <c r="G3612" s="18"/>
    </row>
    <row r="3613" spans="2:7" x14ac:dyDescent="0.35">
      <c r="B3613" s="47"/>
      <c r="C3613" s="14"/>
      <c r="D3613" s="14"/>
      <c r="E3613" s="14"/>
      <c r="F3613" s="14"/>
      <c r="G3613" s="18"/>
    </row>
    <row r="3614" spans="2:7" x14ac:dyDescent="0.35">
      <c r="B3614" s="47"/>
      <c r="C3614" s="14"/>
      <c r="D3614" s="14"/>
      <c r="E3614" s="14"/>
      <c r="F3614" s="14"/>
      <c r="G3614" s="18"/>
    </row>
    <row r="3615" spans="2:7" x14ac:dyDescent="0.35">
      <c r="B3615" s="47"/>
      <c r="C3615" s="14"/>
      <c r="D3615" s="14"/>
      <c r="E3615" s="14"/>
      <c r="F3615" s="14"/>
      <c r="G3615" s="18"/>
    </row>
    <row r="3616" spans="2:7" x14ac:dyDescent="0.35">
      <c r="B3616" s="47"/>
      <c r="C3616" s="14"/>
      <c r="D3616" s="14"/>
      <c r="E3616" s="14"/>
      <c r="F3616" s="14"/>
      <c r="G3616" s="18"/>
    </row>
    <row r="3617" spans="2:7" x14ac:dyDescent="0.35">
      <c r="B3617" s="47"/>
      <c r="C3617" s="14"/>
      <c r="D3617" s="14"/>
      <c r="E3617" s="14"/>
      <c r="F3617" s="14"/>
      <c r="G3617" s="18"/>
    </row>
    <row r="3618" spans="2:7" x14ac:dyDescent="0.35">
      <c r="B3618" s="47"/>
      <c r="C3618" s="14"/>
      <c r="D3618" s="14"/>
      <c r="E3618" s="14"/>
      <c r="F3618" s="14"/>
      <c r="G3618" s="18"/>
    </row>
    <row r="3619" spans="2:7" x14ac:dyDescent="0.35">
      <c r="B3619" s="47"/>
      <c r="C3619" s="14"/>
      <c r="D3619" s="14"/>
      <c r="E3619" s="14"/>
      <c r="F3619" s="14"/>
      <c r="G3619" s="18"/>
    </row>
    <row r="3620" spans="2:7" x14ac:dyDescent="0.35">
      <c r="B3620" s="47"/>
      <c r="C3620" s="14"/>
      <c r="D3620" s="14"/>
      <c r="E3620" s="14"/>
      <c r="F3620" s="14"/>
      <c r="G3620" s="18"/>
    </row>
    <row r="3621" spans="2:7" x14ac:dyDescent="0.35">
      <c r="B3621" s="47"/>
      <c r="C3621" s="14"/>
      <c r="D3621" s="14"/>
      <c r="E3621" s="14"/>
      <c r="F3621" s="14"/>
      <c r="G3621" s="18"/>
    </row>
    <row r="3622" spans="2:7" x14ac:dyDescent="0.35">
      <c r="B3622" s="47"/>
      <c r="C3622" s="14"/>
      <c r="D3622" s="14"/>
      <c r="E3622" s="14"/>
      <c r="F3622" s="14"/>
      <c r="G3622" s="18"/>
    </row>
    <row r="3623" spans="2:7" x14ac:dyDescent="0.35">
      <c r="B3623" s="47"/>
      <c r="C3623" s="14"/>
      <c r="D3623" s="14"/>
      <c r="E3623" s="14"/>
      <c r="F3623" s="14"/>
      <c r="G3623" s="18"/>
    </row>
    <row r="3624" spans="2:7" x14ac:dyDescent="0.35">
      <c r="B3624" s="47"/>
      <c r="C3624" s="14"/>
      <c r="D3624" s="14"/>
      <c r="E3624" s="14"/>
      <c r="F3624" s="14"/>
      <c r="G3624" s="18"/>
    </row>
    <row r="3625" spans="2:7" x14ac:dyDescent="0.35">
      <c r="B3625" s="47"/>
      <c r="C3625" s="14"/>
      <c r="D3625" s="14"/>
      <c r="E3625" s="14"/>
      <c r="F3625" s="14"/>
      <c r="G3625" s="18"/>
    </row>
    <row r="3626" spans="2:7" x14ac:dyDescent="0.35">
      <c r="B3626" s="47"/>
      <c r="C3626" s="14"/>
      <c r="D3626" s="14"/>
      <c r="E3626" s="14"/>
      <c r="F3626" s="14"/>
      <c r="G3626" s="18"/>
    </row>
    <row r="3627" spans="2:7" x14ac:dyDescent="0.35">
      <c r="B3627" s="47"/>
      <c r="C3627" s="14"/>
      <c r="D3627" s="14"/>
      <c r="E3627" s="14"/>
      <c r="F3627" s="14"/>
      <c r="G3627" s="18"/>
    </row>
    <row r="3628" spans="2:7" x14ac:dyDescent="0.35">
      <c r="B3628" s="47"/>
      <c r="C3628" s="14"/>
      <c r="D3628" s="14"/>
      <c r="E3628" s="14"/>
      <c r="F3628" s="14"/>
      <c r="G3628" s="18"/>
    </row>
    <row r="3629" spans="2:7" x14ac:dyDescent="0.35">
      <c r="B3629" s="47"/>
      <c r="C3629" s="14"/>
      <c r="D3629" s="14"/>
      <c r="E3629" s="14"/>
      <c r="F3629" s="14"/>
      <c r="G3629" s="18"/>
    </row>
    <row r="3630" spans="2:7" x14ac:dyDescent="0.35">
      <c r="B3630" s="47"/>
      <c r="C3630" s="14"/>
      <c r="D3630" s="14"/>
      <c r="E3630" s="14"/>
      <c r="F3630" s="14"/>
      <c r="G3630" s="18"/>
    </row>
    <row r="3631" spans="2:7" x14ac:dyDescent="0.35">
      <c r="B3631" s="47"/>
      <c r="C3631" s="14"/>
      <c r="D3631" s="14"/>
      <c r="E3631" s="14"/>
      <c r="F3631" s="14"/>
      <c r="G3631" s="18"/>
    </row>
    <row r="3632" spans="2:7" x14ac:dyDescent="0.35">
      <c r="B3632" s="47"/>
      <c r="C3632" s="14"/>
      <c r="D3632" s="14"/>
      <c r="E3632" s="14"/>
      <c r="F3632" s="14"/>
      <c r="G3632" s="18"/>
    </row>
    <row r="3633" spans="2:7" x14ac:dyDescent="0.35">
      <c r="B3633" s="47"/>
      <c r="C3633" s="14"/>
      <c r="D3633" s="14"/>
      <c r="E3633" s="14"/>
      <c r="F3633" s="14"/>
      <c r="G3633" s="18"/>
    </row>
    <row r="3634" spans="2:7" x14ac:dyDescent="0.35">
      <c r="B3634" s="47"/>
      <c r="C3634" s="14"/>
      <c r="D3634" s="14"/>
      <c r="E3634" s="14"/>
      <c r="F3634" s="14"/>
      <c r="G3634" s="18"/>
    </row>
    <row r="3635" spans="2:7" x14ac:dyDescent="0.35">
      <c r="B3635" s="47"/>
      <c r="C3635" s="14"/>
      <c r="D3635" s="14"/>
      <c r="E3635" s="14"/>
      <c r="F3635" s="14"/>
      <c r="G3635" s="18"/>
    </row>
    <row r="3636" spans="2:7" x14ac:dyDescent="0.35">
      <c r="B3636" s="47"/>
      <c r="C3636" s="14"/>
      <c r="D3636" s="14"/>
      <c r="E3636" s="14"/>
      <c r="F3636" s="14"/>
      <c r="G3636" s="18"/>
    </row>
    <row r="3637" spans="2:7" x14ac:dyDescent="0.35">
      <c r="B3637" s="47"/>
      <c r="C3637" s="14"/>
      <c r="D3637" s="14"/>
      <c r="E3637" s="14"/>
      <c r="F3637" s="14"/>
      <c r="G3637" s="18"/>
    </row>
    <row r="3638" spans="2:7" x14ac:dyDescent="0.35">
      <c r="B3638" s="47"/>
      <c r="C3638" s="14"/>
      <c r="D3638" s="14"/>
      <c r="E3638" s="14"/>
      <c r="F3638" s="14"/>
      <c r="G3638" s="18"/>
    </row>
    <row r="3639" spans="2:7" x14ac:dyDescent="0.35">
      <c r="B3639" s="47"/>
      <c r="C3639" s="14"/>
      <c r="D3639" s="14"/>
      <c r="E3639" s="14"/>
      <c r="F3639" s="14"/>
      <c r="G3639" s="18"/>
    </row>
    <row r="3640" spans="2:7" x14ac:dyDescent="0.35">
      <c r="B3640" s="47"/>
      <c r="C3640" s="14"/>
      <c r="D3640" s="14"/>
      <c r="E3640" s="14"/>
      <c r="F3640" s="14"/>
      <c r="G3640" s="18"/>
    </row>
    <row r="3641" spans="2:7" x14ac:dyDescent="0.35">
      <c r="B3641" s="47"/>
      <c r="C3641" s="14"/>
      <c r="D3641" s="14"/>
      <c r="E3641" s="14"/>
      <c r="F3641" s="14"/>
      <c r="G3641" s="18"/>
    </row>
    <row r="3642" spans="2:7" x14ac:dyDescent="0.35">
      <c r="B3642" s="47"/>
      <c r="C3642" s="14"/>
      <c r="D3642" s="14"/>
      <c r="E3642" s="14"/>
      <c r="F3642" s="14"/>
      <c r="G3642" s="18"/>
    </row>
    <row r="3643" spans="2:7" x14ac:dyDescent="0.35">
      <c r="B3643" s="47"/>
      <c r="C3643" s="14"/>
      <c r="D3643" s="14"/>
      <c r="E3643" s="14"/>
      <c r="F3643" s="14"/>
      <c r="G3643" s="18"/>
    </row>
    <row r="3644" spans="2:7" x14ac:dyDescent="0.35">
      <c r="B3644" s="47"/>
      <c r="C3644" s="14"/>
      <c r="D3644" s="14"/>
      <c r="E3644" s="14"/>
      <c r="F3644" s="14"/>
      <c r="G3644" s="18"/>
    </row>
    <row r="3645" spans="2:7" x14ac:dyDescent="0.35">
      <c r="B3645" s="47"/>
      <c r="C3645" s="14"/>
      <c r="D3645" s="14"/>
      <c r="E3645" s="14"/>
      <c r="F3645" s="14"/>
      <c r="G3645" s="18"/>
    </row>
    <row r="3646" spans="2:7" x14ac:dyDescent="0.35">
      <c r="B3646" s="47"/>
      <c r="C3646" s="14"/>
      <c r="D3646" s="14"/>
      <c r="E3646" s="14"/>
      <c r="F3646" s="14"/>
      <c r="G3646" s="18"/>
    </row>
    <row r="3647" spans="2:7" x14ac:dyDescent="0.35">
      <c r="B3647" s="47"/>
      <c r="C3647" s="14"/>
      <c r="D3647" s="14"/>
      <c r="E3647" s="14"/>
      <c r="F3647" s="14"/>
      <c r="G3647" s="18"/>
    </row>
    <row r="3648" spans="2:7" x14ac:dyDescent="0.35">
      <c r="B3648" s="47"/>
      <c r="C3648" s="14"/>
      <c r="D3648" s="14"/>
      <c r="E3648" s="14"/>
      <c r="F3648" s="14"/>
      <c r="G3648" s="18"/>
    </row>
    <row r="3649" spans="2:7" x14ac:dyDescent="0.35">
      <c r="B3649" s="47"/>
      <c r="C3649" s="14"/>
      <c r="D3649" s="14"/>
      <c r="E3649" s="14"/>
      <c r="F3649" s="14"/>
      <c r="G3649" s="18"/>
    </row>
    <row r="3650" spans="2:7" x14ac:dyDescent="0.35">
      <c r="B3650" s="47"/>
      <c r="C3650" s="14"/>
      <c r="D3650" s="14"/>
      <c r="E3650" s="14"/>
      <c r="F3650" s="14"/>
      <c r="G3650" s="18"/>
    </row>
    <row r="3651" spans="2:7" x14ac:dyDescent="0.35">
      <c r="B3651" s="47"/>
      <c r="C3651" s="14"/>
      <c r="D3651" s="14"/>
      <c r="E3651" s="14"/>
      <c r="F3651" s="14"/>
      <c r="G3651" s="18"/>
    </row>
    <row r="3652" spans="2:7" x14ac:dyDescent="0.35">
      <c r="B3652" s="47"/>
      <c r="C3652" s="14"/>
      <c r="D3652" s="14"/>
      <c r="E3652" s="14"/>
      <c r="F3652" s="14"/>
      <c r="G3652" s="18"/>
    </row>
    <row r="3653" spans="2:7" x14ac:dyDescent="0.35">
      <c r="B3653" s="47"/>
      <c r="C3653" s="14"/>
      <c r="D3653" s="14"/>
      <c r="E3653" s="14"/>
      <c r="F3653" s="14"/>
      <c r="G3653" s="18"/>
    </row>
    <row r="3654" spans="2:7" x14ac:dyDescent="0.35">
      <c r="B3654" s="47"/>
      <c r="C3654" s="14"/>
      <c r="D3654" s="14"/>
      <c r="E3654" s="14"/>
      <c r="F3654" s="14"/>
      <c r="G3654" s="18"/>
    </row>
    <row r="3655" spans="2:7" x14ac:dyDescent="0.35">
      <c r="B3655" s="47"/>
      <c r="C3655" s="14"/>
      <c r="D3655" s="14"/>
      <c r="E3655" s="14"/>
      <c r="F3655" s="14"/>
      <c r="G3655" s="18"/>
    </row>
    <row r="3656" spans="2:7" x14ac:dyDescent="0.35">
      <c r="B3656" s="47"/>
      <c r="C3656" s="14"/>
      <c r="D3656" s="14"/>
      <c r="E3656" s="14"/>
      <c r="F3656" s="14"/>
      <c r="G3656" s="18"/>
    </row>
    <row r="3657" spans="2:7" x14ac:dyDescent="0.35">
      <c r="B3657" s="47"/>
      <c r="C3657" s="14"/>
      <c r="D3657" s="14"/>
      <c r="E3657" s="14"/>
      <c r="F3657" s="14"/>
      <c r="G3657" s="18"/>
    </row>
    <row r="3658" spans="2:7" x14ac:dyDescent="0.35">
      <c r="B3658" s="47"/>
      <c r="C3658" s="14"/>
      <c r="D3658" s="14"/>
      <c r="E3658" s="14"/>
      <c r="F3658" s="14"/>
      <c r="G3658" s="18"/>
    </row>
    <row r="3659" spans="2:7" x14ac:dyDescent="0.35">
      <c r="B3659" s="47"/>
      <c r="C3659" s="14"/>
      <c r="D3659" s="14"/>
      <c r="E3659" s="14"/>
      <c r="F3659" s="14"/>
      <c r="G3659" s="18"/>
    </row>
    <row r="3660" spans="2:7" x14ac:dyDescent="0.35">
      <c r="B3660" s="47"/>
      <c r="C3660" s="14"/>
      <c r="D3660" s="14"/>
      <c r="E3660" s="14"/>
      <c r="F3660" s="14"/>
      <c r="G3660" s="18"/>
    </row>
    <row r="3661" spans="2:7" x14ac:dyDescent="0.35">
      <c r="B3661" s="47"/>
      <c r="C3661" s="14"/>
      <c r="D3661" s="14"/>
      <c r="E3661" s="14"/>
      <c r="F3661" s="14"/>
      <c r="G3661" s="18"/>
    </row>
    <row r="3662" spans="2:7" x14ac:dyDescent="0.35">
      <c r="B3662" s="47"/>
      <c r="C3662" s="14"/>
      <c r="D3662" s="14"/>
      <c r="E3662" s="14"/>
      <c r="F3662" s="14"/>
      <c r="G3662" s="18"/>
    </row>
    <row r="3663" spans="2:7" x14ac:dyDescent="0.35">
      <c r="B3663" s="47"/>
      <c r="C3663" s="14"/>
      <c r="D3663" s="14"/>
      <c r="E3663" s="14"/>
      <c r="F3663" s="14"/>
      <c r="G3663" s="18"/>
    </row>
    <row r="3664" spans="2:7" x14ac:dyDescent="0.35">
      <c r="B3664" s="47"/>
      <c r="C3664" s="14"/>
      <c r="D3664" s="14"/>
      <c r="E3664" s="14"/>
      <c r="F3664" s="14"/>
      <c r="G3664" s="18"/>
    </row>
    <row r="3665" spans="2:7" x14ac:dyDescent="0.35">
      <c r="B3665" s="47"/>
      <c r="C3665" s="14"/>
      <c r="D3665" s="14"/>
      <c r="E3665" s="14"/>
      <c r="F3665" s="14"/>
      <c r="G3665" s="18"/>
    </row>
    <row r="3666" spans="2:7" x14ac:dyDescent="0.35">
      <c r="B3666" s="47"/>
      <c r="C3666" s="14"/>
      <c r="D3666" s="14"/>
      <c r="E3666" s="14"/>
      <c r="F3666" s="14"/>
      <c r="G3666" s="18"/>
    </row>
    <row r="3667" spans="2:7" x14ac:dyDescent="0.35">
      <c r="B3667" s="47"/>
      <c r="C3667" s="14"/>
      <c r="D3667" s="14"/>
      <c r="E3667" s="14"/>
      <c r="F3667" s="14"/>
      <c r="G3667" s="18"/>
    </row>
    <row r="3668" spans="2:7" x14ac:dyDescent="0.35">
      <c r="B3668" s="47"/>
      <c r="C3668" s="14"/>
      <c r="D3668" s="14"/>
      <c r="E3668" s="14"/>
      <c r="F3668" s="14"/>
      <c r="G3668" s="18"/>
    </row>
    <row r="3669" spans="2:7" x14ac:dyDescent="0.35">
      <c r="B3669" s="47"/>
      <c r="C3669" s="14"/>
      <c r="D3669" s="14"/>
      <c r="E3669" s="14"/>
      <c r="F3669" s="14"/>
      <c r="G3669" s="18"/>
    </row>
    <row r="3670" spans="2:7" x14ac:dyDescent="0.35">
      <c r="B3670" s="47"/>
      <c r="C3670" s="14"/>
      <c r="D3670" s="14"/>
      <c r="E3670" s="14"/>
      <c r="F3670" s="14"/>
      <c r="G3670" s="18"/>
    </row>
    <row r="3671" spans="2:7" x14ac:dyDescent="0.35">
      <c r="B3671" s="47"/>
      <c r="C3671" s="14"/>
      <c r="D3671" s="14"/>
      <c r="E3671" s="14"/>
      <c r="F3671" s="14"/>
      <c r="G3671" s="18"/>
    </row>
    <row r="3672" spans="2:7" x14ac:dyDescent="0.35">
      <c r="B3672" s="47"/>
      <c r="C3672" s="14"/>
      <c r="D3672" s="14"/>
      <c r="E3672" s="14"/>
      <c r="F3672" s="14"/>
      <c r="G3672" s="18"/>
    </row>
    <row r="3673" spans="2:7" x14ac:dyDescent="0.35">
      <c r="B3673" s="47"/>
      <c r="C3673" s="14"/>
      <c r="D3673" s="14"/>
      <c r="E3673" s="14"/>
      <c r="F3673" s="14"/>
      <c r="G3673" s="18"/>
    </row>
    <row r="3674" spans="2:7" x14ac:dyDescent="0.35">
      <c r="B3674" s="47"/>
      <c r="C3674" s="14"/>
      <c r="D3674" s="14"/>
      <c r="E3674" s="14"/>
      <c r="F3674" s="14"/>
      <c r="G3674" s="18"/>
    </row>
    <row r="3675" spans="2:7" x14ac:dyDescent="0.35">
      <c r="B3675" s="47"/>
      <c r="C3675" s="14"/>
      <c r="D3675" s="14"/>
      <c r="E3675" s="14"/>
      <c r="F3675" s="14"/>
      <c r="G3675" s="18"/>
    </row>
    <row r="3676" spans="2:7" x14ac:dyDescent="0.35">
      <c r="B3676" s="47"/>
      <c r="C3676" s="14"/>
      <c r="D3676" s="14"/>
      <c r="E3676" s="14"/>
      <c r="F3676" s="14"/>
      <c r="G3676" s="18"/>
    </row>
    <row r="3677" spans="2:7" x14ac:dyDescent="0.35">
      <c r="B3677" s="47"/>
      <c r="C3677" s="14"/>
      <c r="D3677" s="14"/>
      <c r="E3677" s="14"/>
      <c r="F3677" s="14"/>
      <c r="G3677" s="18"/>
    </row>
    <row r="3678" spans="2:7" x14ac:dyDescent="0.35">
      <c r="B3678" s="47"/>
      <c r="C3678" s="14"/>
      <c r="D3678" s="14"/>
      <c r="E3678" s="14"/>
      <c r="F3678" s="14"/>
      <c r="G3678" s="18"/>
    </row>
    <row r="3679" spans="2:7" x14ac:dyDescent="0.35">
      <c r="B3679" s="47"/>
      <c r="C3679" s="14"/>
      <c r="D3679" s="14"/>
      <c r="E3679" s="14"/>
      <c r="F3679" s="14"/>
      <c r="G3679" s="18"/>
    </row>
    <row r="3680" spans="2:7" x14ac:dyDescent="0.35">
      <c r="B3680" s="47"/>
      <c r="C3680" s="14"/>
      <c r="D3680" s="14"/>
      <c r="E3680" s="14"/>
      <c r="F3680" s="14"/>
      <c r="G3680" s="18"/>
    </row>
    <row r="3681" spans="2:7" x14ac:dyDescent="0.35">
      <c r="B3681" s="47"/>
      <c r="C3681" s="14"/>
      <c r="D3681" s="14"/>
      <c r="E3681" s="14"/>
      <c r="F3681" s="14"/>
      <c r="G3681" s="18"/>
    </row>
    <row r="3682" spans="2:7" x14ac:dyDescent="0.35">
      <c r="B3682" s="47"/>
      <c r="C3682" s="14"/>
      <c r="D3682" s="14"/>
      <c r="E3682" s="14"/>
      <c r="F3682" s="14"/>
      <c r="G3682" s="18"/>
    </row>
    <row r="3683" spans="2:7" x14ac:dyDescent="0.35">
      <c r="B3683" s="47"/>
      <c r="C3683" s="14"/>
      <c r="D3683" s="14"/>
      <c r="E3683" s="14"/>
      <c r="F3683" s="14"/>
      <c r="G3683" s="18"/>
    </row>
    <row r="3684" spans="2:7" x14ac:dyDescent="0.35">
      <c r="B3684" s="47"/>
      <c r="C3684" s="14"/>
      <c r="D3684" s="14"/>
      <c r="E3684" s="14"/>
      <c r="F3684" s="14"/>
      <c r="G3684" s="18"/>
    </row>
    <row r="3685" spans="2:7" x14ac:dyDescent="0.35">
      <c r="B3685" s="47"/>
      <c r="C3685" s="14"/>
      <c r="D3685" s="14"/>
      <c r="E3685" s="14"/>
      <c r="F3685" s="14"/>
      <c r="G3685" s="18"/>
    </row>
    <row r="3686" spans="2:7" x14ac:dyDescent="0.35">
      <c r="B3686" s="47"/>
      <c r="C3686" s="14"/>
      <c r="D3686" s="14"/>
      <c r="E3686" s="14"/>
      <c r="F3686" s="14"/>
      <c r="G3686" s="18"/>
    </row>
    <row r="3687" spans="2:7" x14ac:dyDescent="0.35">
      <c r="B3687" s="47"/>
      <c r="C3687" s="14"/>
      <c r="D3687" s="14"/>
      <c r="E3687" s="14"/>
      <c r="F3687" s="14"/>
      <c r="G3687" s="18"/>
    </row>
    <row r="3688" spans="2:7" x14ac:dyDescent="0.35">
      <c r="B3688" s="47"/>
      <c r="C3688" s="14"/>
      <c r="D3688" s="14"/>
      <c r="E3688" s="14"/>
      <c r="F3688" s="14"/>
      <c r="G3688" s="18"/>
    </row>
    <row r="3689" spans="2:7" x14ac:dyDescent="0.35">
      <c r="B3689" s="47"/>
      <c r="C3689" s="14"/>
      <c r="D3689" s="14"/>
      <c r="E3689" s="14"/>
      <c r="F3689" s="14"/>
      <c r="G3689" s="18"/>
    </row>
    <row r="3690" spans="2:7" x14ac:dyDescent="0.35">
      <c r="B3690" s="47"/>
      <c r="C3690" s="14"/>
      <c r="D3690" s="14"/>
      <c r="E3690" s="14"/>
      <c r="F3690" s="14"/>
      <c r="G3690" s="18"/>
    </row>
    <row r="3691" spans="2:7" x14ac:dyDescent="0.35">
      <c r="B3691" s="47"/>
      <c r="C3691" s="14"/>
      <c r="D3691" s="14"/>
      <c r="E3691" s="14"/>
      <c r="F3691" s="14"/>
      <c r="G3691" s="18"/>
    </row>
    <row r="3692" spans="2:7" x14ac:dyDescent="0.35">
      <c r="B3692" s="47"/>
      <c r="C3692" s="14"/>
      <c r="D3692" s="14"/>
      <c r="E3692" s="14"/>
      <c r="F3692" s="14"/>
      <c r="G3692" s="18"/>
    </row>
    <row r="3693" spans="2:7" x14ac:dyDescent="0.35">
      <c r="B3693" s="47"/>
      <c r="C3693" s="14"/>
      <c r="D3693" s="14"/>
      <c r="E3693" s="14"/>
      <c r="F3693" s="14"/>
      <c r="G3693" s="18"/>
    </row>
    <row r="3694" spans="2:7" x14ac:dyDescent="0.35">
      <c r="B3694" s="47"/>
      <c r="C3694" s="14"/>
      <c r="D3694" s="14"/>
      <c r="E3694" s="14"/>
      <c r="F3694" s="14"/>
      <c r="G3694" s="18"/>
    </row>
    <row r="3695" spans="2:7" x14ac:dyDescent="0.35">
      <c r="B3695" s="47"/>
      <c r="C3695" s="14"/>
      <c r="D3695" s="14"/>
      <c r="E3695" s="14"/>
      <c r="F3695" s="14"/>
      <c r="G3695" s="18"/>
    </row>
    <row r="3696" spans="2:7" x14ac:dyDescent="0.35">
      <c r="B3696" s="47"/>
      <c r="C3696" s="14"/>
      <c r="D3696" s="14"/>
      <c r="E3696" s="14"/>
      <c r="F3696" s="14"/>
      <c r="G3696" s="18"/>
    </row>
    <row r="3697" spans="2:7" x14ac:dyDescent="0.35">
      <c r="B3697" s="47"/>
      <c r="C3697" s="14"/>
      <c r="D3697" s="14"/>
      <c r="E3697" s="14"/>
      <c r="F3697" s="14"/>
      <c r="G3697" s="18"/>
    </row>
    <row r="3698" spans="2:7" x14ac:dyDescent="0.35">
      <c r="B3698" s="47"/>
      <c r="C3698" s="14"/>
      <c r="D3698" s="14"/>
      <c r="E3698" s="14"/>
      <c r="F3698" s="14"/>
      <c r="G3698" s="18"/>
    </row>
    <row r="3699" spans="2:7" x14ac:dyDescent="0.35">
      <c r="B3699" s="47"/>
      <c r="C3699" s="14"/>
      <c r="D3699" s="14"/>
      <c r="E3699" s="14"/>
      <c r="F3699" s="14"/>
      <c r="G3699" s="18"/>
    </row>
    <row r="3700" spans="2:7" x14ac:dyDescent="0.35">
      <c r="B3700" s="47"/>
      <c r="C3700" s="14"/>
      <c r="D3700" s="14"/>
      <c r="E3700" s="14"/>
      <c r="F3700" s="14"/>
      <c r="G3700" s="18"/>
    </row>
    <row r="3701" spans="2:7" x14ac:dyDescent="0.35">
      <c r="B3701" s="47"/>
      <c r="C3701" s="14"/>
      <c r="D3701" s="14"/>
      <c r="E3701" s="14"/>
      <c r="F3701" s="14"/>
      <c r="G3701" s="18"/>
    </row>
    <row r="3702" spans="2:7" x14ac:dyDescent="0.35">
      <c r="B3702" s="47"/>
      <c r="C3702" s="14"/>
      <c r="D3702" s="14"/>
      <c r="E3702" s="14"/>
      <c r="F3702" s="14"/>
      <c r="G3702" s="18"/>
    </row>
    <row r="3703" spans="2:7" x14ac:dyDescent="0.35">
      <c r="B3703" s="47"/>
      <c r="C3703" s="14"/>
      <c r="D3703" s="14"/>
      <c r="E3703" s="14"/>
      <c r="F3703" s="14"/>
      <c r="G3703" s="18"/>
    </row>
    <row r="3704" spans="2:7" x14ac:dyDescent="0.35">
      <c r="B3704" s="47"/>
      <c r="C3704" s="14"/>
      <c r="D3704" s="14"/>
      <c r="E3704" s="14"/>
      <c r="F3704" s="14"/>
      <c r="G3704" s="18"/>
    </row>
    <row r="3705" spans="2:7" x14ac:dyDescent="0.35">
      <c r="B3705" s="47"/>
      <c r="C3705" s="14"/>
      <c r="D3705" s="14"/>
      <c r="E3705" s="14"/>
      <c r="F3705" s="14"/>
      <c r="G3705" s="18"/>
    </row>
    <row r="3706" spans="2:7" x14ac:dyDescent="0.35">
      <c r="B3706" s="47"/>
      <c r="C3706" s="14"/>
      <c r="D3706" s="14"/>
      <c r="E3706" s="14"/>
      <c r="F3706" s="14"/>
      <c r="G3706" s="18"/>
    </row>
    <row r="3707" spans="2:7" x14ac:dyDescent="0.35">
      <c r="B3707" s="47"/>
      <c r="C3707" s="14"/>
      <c r="D3707" s="14"/>
      <c r="E3707" s="14"/>
      <c r="F3707" s="14"/>
      <c r="G3707" s="18"/>
    </row>
    <row r="3708" spans="2:7" x14ac:dyDescent="0.35">
      <c r="B3708" s="47"/>
      <c r="C3708" s="14"/>
      <c r="D3708" s="14"/>
      <c r="E3708" s="14"/>
      <c r="F3708" s="14"/>
      <c r="G3708" s="18"/>
    </row>
    <row r="3709" spans="2:7" x14ac:dyDescent="0.35">
      <c r="B3709" s="47"/>
      <c r="C3709" s="14"/>
      <c r="D3709" s="14"/>
      <c r="E3709" s="14"/>
      <c r="F3709" s="14"/>
      <c r="G3709" s="18"/>
    </row>
    <row r="3710" spans="2:7" x14ac:dyDescent="0.35">
      <c r="B3710" s="47"/>
      <c r="C3710" s="14"/>
      <c r="D3710" s="14"/>
      <c r="E3710" s="14"/>
      <c r="F3710" s="14"/>
      <c r="G3710" s="18"/>
    </row>
    <row r="3711" spans="2:7" x14ac:dyDescent="0.35">
      <c r="B3711" s="47"/>
      <c r="C3711" s="14"/>
      <c r="D3711" s="14"/>
      <c r="E3711" s="14"/>
      <c r="F3711" s="14"/>
      <c r="G3711" s="18"/>
    </row>
    <row r="3712" spans="2:7" x14ac:dyDescent="0.35">
      <c r="B3712" s="47"/>
      <c r="C3712" s="14"/>
      <c r="D3712" s="14"/>
      <c r="E3712" s="14"/>
      <c r="F3712" s="14"/>
      <c r="G3712" s="18"/>
    </row>
    <row r="3713" spans="2:7" x14ac:dyDescent="0.35">
      <c r="B3713" s="47"/>
      <c r="C3713" s="14"/>
      <c r="D3713" s="14"/>
      <c r="E3713" s="14"/>
      <c r="F3713" s="14"/>
      <c r="G3713" s="18"/>
    </row>
    <row r="3714" spans="2:7" x14ac:dyDescent="0.35">
      <c r="B3714" s="47"/>
      <c r="C3714" s="14"/>
      <c r="D3714" s="14"/>
      <c r="E3714" s="14"/>
      <c r="F3714" s="14"/>
      <c r="G3714" s="18"/>
    </row>
    <row r="3715" spans="2:7" x14ac:dyDescent="0.35">
      <c r="B3715" s="47"/>
      <c r="C3715" s="14"/>
      <c r="D3715" s="14"/>
      <c r="E3715" s="14"/>
      <c r="F3715" s="14"/>
      <c r="G3715" s="18"/>
    </row>
    <row r="3716" spans="2:7" x14ac:dyDescent="0.35">
      <c r="B3716" s="47"/>
      <c r="C3716" s="14"/>
      <c r="D3716" s="14"/>
      <c r="E3716" s="14"/>
      <c r="F3716" s="14"/>
      <c r="G3716" s="18"/>
    </row>
    <row r="3717" spans="2:7" x14ac:dyDescent="0.35">
      <c r="B3717" s="47"/>
      <c r="C3717" s="14"/>
      <c r="D3717" s="14"/>
      <c r="E3717" s="14"/>
      <c r="F3717" s="14"/>
      <c r="G3717" s="18"/>
    </row>
    <row r="3718" spans="2:7" x14ac:dyDescent="0.35">
      <c r="B3718" s="47"/>
      <c r="C3718" s="14"/>
      <c r="D3718" s="14"/>
      <c r="E3718" s="14"/>
      <c r="F3718" s="14"/>
      <c r="G3718" s="18"/>
    </row>
    <row r="3719" spans="2:7" x14ac:dyDescent="0.35">
      <c r="B3719" s="47"/>
      <c r="C3719" s="14"/>
      <c r="D3719" s="14"/>
      <c r="E3719" s="14"/>
      <c r="F3719" s="14"/>
      <c r="G3719" s="18"/>
    </row>
    <row r="3720" spans="2:7" x14ac:dyDescent="0.35">
      <c r="B3720" s="47"/>
      <c r="C3720" s="14"/>
      <c r="D3720" s="14"/>
      <c r="E3720" s="14"/>
      <c r="F3720" s="14"/>
      <c r="G3720" s="18"/>
    </row>
    <row r="3721" spans="2:7" x14ac:dyDescent="0.35">
      <c r="B3721" s="47"/>
      <c r="C3721" s="14"/>
      <c r="D3721" s="14"/>
      <c r="E3721" s="14"/>
      <c r="F3721" s="14"/>
      <c r="G3721" s="18"/>
    </row>
    <row r="3722" spans="2:7" x14ac:dyDescent="0.35">
      <c r="B3722" s="47"/>
      <c r="C3722" s="14"/>
      <c r="D3722" s="14"/>
      <c r="E3722" s="14"/>
      <c r="F3722" s="14"/>
      <c r="G3722" s="18"/>
    </row>
    <row r="3723" spans="2:7" x14ac:dyDescent="0.35">
      <c r="B3723" s="47"/>
      <c r="C3723" s="14"/>
      <c r="D3723" s="14"/>
      <c r="E3723" s="14"/>
      <c r="F3723" s="14"/>
      <c r="G3723" s="18"/>
    </row>
    <row r="3724" spans="2:7" x14ac:dyDescent="0.35">
      <c r="B3724" s="47"/>
      <c r="C3724" s="14"/>
      <c r="D3724" s="14"/>
      <c r="E3724" s="14"/>
      <c r="F3724" s="14"/>
      <c r="G3724" s="18"/>
    </row>
    <row r="3725" spans="2:7" x14ac:dyDescent="0.35">
      <c r="B3725" s="47"/>
      <c r="C3725" s="14"/>
      <c r="D3725" s="14"/>
      <c r="E3725" s="14"/>
      <c r="F3725" s="14"/>
      <c r="G3725" s="18"/>
    </row>
    <row r="3726" spans="2:7" x14ac:dyDescent="0.35">
      <c r="B3726" s="47"/>
      <c r="C3726" s="14"/>
      <c r="D3726" s="14"/>
      <c r="E3726" s="14"/>
      <c r="F3726" s="14"/>
      <c r="G3726" s="18"/>
    </row>
    <row r="3727" spans="2:7" x14ac:dyDescent="0.35">
      <c r="B3727" s="47"/>
      <c r="C3727" s="14"/>
      <c r="D3727" s="14"/>
      <c r="E3727" s="14"/>
      <c r="F3727" s="14"/>
      <c r="G3727" s="18"/>
    </row>
    <row r="3728" spans="2:7" x14ac:dyDescent="0.35">
      <c r="B3728" s="47"/>
      <c r="C3728" s="14"/>
      <c r="D3728" s="14"/>
      <c r="E3728" s="14"/>
      <c r="F3728" s="14"/>
      <c r="G3728" s="18"/>
    </row>
    <row r="3729" spans="2:7" x14ac:dyDescent="0.35">
      <c r="B3729" s="47"/>
      <c r="C3729" s="14"/>
      <c r="D3729" s="14"/>
      <c r="E3729" s="14"/>
      <c r="F3729" s="14"/>
      <c r="G3729" s="18"/>
    </row>
    <row r="3730" spans="2:7" x14ac:dyDescent="0.35">
      <c r="B3730" s="47"/>
      <c r="C3730" s="14"/>
      <c r="D3730" s="14"/>
      <c r="E3730" s="14"/>
      <c r="F3730" s="14"/>
      <c r="G3730" s="18"/>
    </row>
    <row r="3731" spans="2:7" x14ac:dyDescent="0.35">
      <c r="B3731" s="47"/>
      <c r="C3731" s="14"/>
      <c r="D3731" s="14"/>
      <c r="E3731" s="14"/>
      <c r="F3731" s="14"/>
      <c r="G3731" s="18"/>
    </row>
    <row r="3732" spans="2:7" x14ac:dyDescent="0.35">
      <c r="B3732" s="47"/>
      <c r="C3732" s="14"/>
      <c r="D3732" s="14"/>
      <c r="E3732" s="14"/>
      <c r="F3732" s="14"/>
      <c r="G3732" s="18"/>
    </row>
    <row r="3733" spans="2:7" x14ac:dyDescent="0.35">
      <c r="B3733" s="47"/>
      <c r="C3733" s="14"/>
      <c r="D3733" s="14"/>
      <c r="E3733" s="14"/>
      <c r="F3733" s="14"/>
      <c r="G3733" s="18"/>
    </row>
    <row r="3734" spans="2:7" x14ac:dyDescent="0.35">
      <c r="B3734" s="47"/>
      <c r="C3734" s="14"/>
      <c r="D3734" s="14"/>
      <c r="E3734" s="14"/>
      <c r="F3734" s="14"/>
      <c r="G3734" s="18"/>
    </row>
    <row r="3735" spans="2:7" x14ac:dyDescent="0.35">
      <c r="B3735" s="47"/>
      <c r="C3735" s="14"/>
      <c r="D3735" s="14"/>
      <c r="E3735" s="14"/>
      <c r="F3735" s="14"/>
      <c r="G3735" s="18"/>
    </row>
    <row r="3736" spans="2:7" x14ac:dyDescent="0.35">
      <c r="B3736" s="47"/>
      <c r="C3736" s="14"/>
      <c r="D3736" s="14"/>
      <c r="E3736" s="14"/>
      <c r="F3736" s="14"/>
      <c r="G3736" s="18"/>
    </row>
    <row r="3737" spans="2:7" x14ac:dyDescent="0.35">
      <c r="B3737" s="47"/>
      <c r="C3737" s="14"/>
      <c r="D3737" s="14"/>
      <c r="E3737" s="14"/>
      <c r="F3737" s="14"/>
      <c r="G3737" s="18"/>
    </row>
    <row r="3738" spans="2:7" x14ac:dyDescent="0.35">
      <c r="B3738" s="47"/>
      <c r="C3738" s="14"/>
      <c r="D3738" s="14"/>
      <c r="E3738" s="14"/>
      <c r="F3738" s="14"/>
      <c r="G3738" s="18"/>
    </row>
    <row r="3739" spans="2:7" x14ac:dyDescent="0.35">
      <c r="B3739" s="47"/>
      <c r="C3739" s="14"/>
      <c r="D3739" s="14"/>
      <c r="E3739" s="14"/>
      <c r="F3739" s="14"/>
      <c r="G3739" s="18"/>
    </row>
    <row r="3740" spans="2:7" x14ac:dyDescent="0.35">
      <c r="B3740" s="47"/>
      <c r="C3740" s="14"/>
      <c r="D3740" s="14"/>
      <c r="E3740" s="14"/>
      <c r="F3740" s="14"/>
      <c r="G3740" s="18"/>
    </row>
    <row r="3741" spans="2:7" x14ac:dyDescent="0.35">
      <c r="B3741" s="47"/>
      <c r="C3741" s="14"/>
      <c r="D3741" s="14"/>
      <c r="E3741" s="14"/>
      <c r="F3741" s="14"/>
      <c r="G3741" s="18"/>
    </row>
    <row r="3742" spans="2:7" x14ac:dyDescent="0.35">
      <c r="B3742" s="47"/>
      <c r="C3742" s="14"/>
      <c r="D3742" s="14"/>
      <c r="E3742" s="14"/>
      <c r="F3742" s="14"/>
      <c r="G3742" s="18"/>
    </row>
    <row r="3743" spans="2:7" x14ac:dyDescent="0.35">
      <c r="B3743" s="47"/>
      <c r="C3743" s="14"/>
      <c r="D3743" s="14"/>
      <c r="E3743" s="14"/>
      <c r="F3743" s="14"/>
      <c r="G3743" s="18"/>
    </row>
    <row r="3744" spans="2:7" x14ac:dyDescent="0.35">
      <c r="B3744" s="47"/>
      <c r="C3744" s="14"/>
      <c r="D3744" s="14"/>
      <c r="E3744" s="14"/>
      <c r="F3744" s="14"/>
      <c r="G3744" s="18"/>
    </row>
    <row r="3745" spans="2:7" x14ac:dyDescent="0.35">
      <c r="B3745" s="47"/>
      <c r="C3745" s="14"/>
      <c r="D3745" s="14"/>
      <c r="E3745" s="14"/>
      <c r="F3745" s="14"/>
      <c r="G3745" s="18"/>
    </row>
    <row r="3746" spans="2:7" x14ac:dyDescent="0.35">
      <c r="B3746" s="47"/>
      <c r="C3746" s="14"/>
      <c r="D3746" s="14"/>
      <c r="E3746" s="14"/>
      <c r="F3746" s="14"/>
      <c r="G3746" s="18"/>
    </row>
    <row r="3747" spans="2:7" x14ac:dyDescent="0.35">
      <c r="B3747" s="47"/>
      <c r="C3747" s="14"/>
      <c r="D3747" s="14"/>
      <c r="E3747" s="14"/>
      <c r="F3747" s="14"/>
      <c r="G3747" s="18"/>
    </row>
    <row r="3748" spans="2:7" x14ac:dyDescent="0.35">
      <c r="B3748" s="47"/>
      <c r="C3748" s="14"/>
      <c r="D3748" s="14"/>
      <c r="E3748" s="14"/>
      <c r="F3748" s="14"/>
      <c r="G3748" s="18"/>
    </row>
    <row r="3749" spans="2:7" x14ac:dyDescent="0.35">
      <c r="B3749" s="47"/>
      <c r="C3749" s="14"/>
      <c r="D3749" s="14"/>
      <c r="E3749" s="14"/>
      <c r="F3749" s="14"/>
      <c r="G3749" s="18"/>
    </row>
    <row r="3750" spans="2:7" x14ac:dyDescent="0.35">
      <c r="B3750" s="47"/>
      <c r="C3750" s="14"/>
      <c r="D3750" s="14"/>
      <c r="E3750" s="14"/>
      <c r="F3750" s="14"/>
      <c r="G3750" s="18"/>
    </row>
    <row r="3751" spans="2:7" x14ac:dyDescent="0.35">
      <c r="B3751" s="47"/>
      <c r="C3751" s="14"/>
      <c r="D3751" s="14"/>
      <c r="E3751" s="14"/>
      <c r="F3751" s="14"/>
      <c r="G3751" s="18"/>
    </row>
    <row r="3752" spans="2:7" x14ac:dyDescent="0.35">
      <c r="B3752" s="47"/>
      <c r="C3752" s="14"/>
      <c r="D3752" s="14"/>
      <c r="E3752" s="14"/>
      <c r="F3752" s="14"/>
      <c r="G3752" s="18"/>
    </row>
    <row r="3753" spans="2:7" x14ac:dyDescent="0.35">
      <c r="B3753" s="47"/>
      <c r="C3753" s="14"/>
      <c r="D3753" s="14"/>
      <c r="E3753" s="14"/>
      <c r="F3753" s="14"/>
      <c r="G3753" s="18"/>
    </row>
    <row r="3754" spans="2:7" x14ac:dyDescent="0.35">
      <c r="B3754" s="47"/>
      <c r="C3754" s="14"/>
      <c r="D3754" s="14"/>
      <c r="E3754" s="14"/>
      <c r="F3754" s="14"/>
      <c r="G3754" s="18"/>
    </row>
    <row r="3755" spans="2:7" x14ac:dyDescent="0.35">
      <c r="B3755" s="47"/>
      <c r="C3755" s="14"/>
      <c r="D3755" s="14"/>
      <c r="E3755" s="14"/>
      <c r="F3755" s="14"/>
      <c r="G3755" s="18"/>
    </row>
    <row r="3756" spans="2:7" x14ac:dyDescent="0.35">
      <c r="B3756" s="47"/>
      <c r="C3756" s="14"/>
      <c r="D3756" s="14"/>
      <c r="E3756" s="14"/>
      <c r="F3756" s="14"/>
      <c r="G3756" s="18"/>
    </row>
    <row r="3757" spans="2:7" x14ac:dyDescent="0.35">
      <c r="B3757" s="47"/>
      <c r="C3757" s="14"/>
      <c r="D3757" s="14"/>
      <c r="E3757" s="14"/>
      <c r="F3757" s="14"/>
      <c r="G3757" s="18"/>
    </row>
    <row r="3758" spans="2:7" x14ac:dyDescent="0.35">
      <c r="B3758" s="47"/>
      <c r="C3758" s="14"/>
      <c r="D3758" s="14"/>
      <c r="E3758" s="14"/>
      <c r="F3758" s="14"/>
      <c r="G3758" s="18"/>
    </row>
    <row r="3759" spans="2:7" x14ac:dyDescent="0.35">
      <c r="B3759" s="47"/>
      <c r="C3759" s="14"/>
      <c r="D3759" s="14"/>
      <c r="E3759" s="14"/>
      <c r="F3759" s="14"/>
      <c r="G3759" s="18"/>
    </row>
    <row r="3760" spans="2:7" x14ac:dyDescent="0.35">
      <c r="B3760" s="47"/>
      <c r="C3760" s="14"/>
      <c r="D3760" s="14"/>
      <c r="E3760" s="14"/>
      <c r="F3760" s="14"/>
      <c r="G3760" s="18"/>
    </row>
    <row r="3761" spans="2:7" x14ac:dyDescent="0.35">
      <c r="B3761" s="47"/>
      <c r="C3761" s="14"/>
      <c r="D3761" s="14"/>
      <c r="E3761" s="14"/>
      <c r="F3761" s="14"/>
      <c r="G3761" s="18"/>
    </row>
    <row r="3762" spans="2:7" x14ac:dyDescent="0.35">
      <c r="B3762" s="47"/>
      <c r="C3762" s="14"/>
      <c r="D3762" s="14"/>
      <c r="E3762" s="14"/>
      <c r="F3762" s="14"/>
      <c r="G3762" s="18"/>
    </row>
    <row r="3763" spans="2:7" x14ac:dyDescent="0.35">
      <c r="B3763" s="47"/>
      <c r="C3763" s="14"/>
      <c r="D3763" s="14"/>
      <c r="E3763" s="14"/>
      <c r="F3763" s="14"/>
      <c r="G3763" s="18"/>
    </row>
    <row r="3764" spans="2:7" x14ac:dyDescent="0.35">
      <c r="B3764" s="47"/>
      <c r="C3764" s="14"/>
      <c r="D3764" s="14"/>
      <c r="E3764" s="14"/>
      <c r="F3764" s="14"/>
      <c r="G3764" s="18"/>
    </row>
    <row r="3765" spans="2:7" x14ac:dyDescent="0.35">
      <c r="B3765" s="47"/>
      <c r="C3765" s="14"/>
      <c r="D3765" s="14"/>
      <c r="E3765" s="14"/>
      <c r="F3765" s="14"/>
      <c r="G3765" s="18"/>
    </row>
    <row r="3766" spans="2:7" x14ac:dyDescent="0.35">
      <c r="B3766" s="47"/>
      <c r="C3766" s="14"/>
      <c r="D3766" s="14"/>
      <c r="E3766" s="14"/>
      <c r="F3766" s="14"/>
      <c r="G3766" s="18"/>
    </row>
    <row r="3767" spans="2:7" x14ac:dyDescent="0.35">
      <c r="B3767" s="47"/>
      <c r="C3767" s="14"/>
      <c r="D3767" s="14"/>
      <c r="E3767" s="14"/>
      <c r="F3767" s="14"/>
      <c r="G3767" s="18"/>
    </row>
    <row r="3768" spans="2:7" x14ac:dyDescent="0.35">
      <c r="B3768" s="47"/>
      <c r="C3768" s="14"/>
      <c r="D3768" s="14"/>
      <c r="E3768" s="14"/>
      <c r="F3768" s="14"/>
      <c r="G3768" s="18"/>
    </row>
    <row r="3769" spans="2:7" x14ac:dyDescent="0.35">
      <c r="B3769" s="47"/>
      <c r="C3769" s="14"/>
      <c r="D3769" s="14"/>
      <c r="E3769" s="14"/>
      <c r="F3769" s="14"/>
      <c r="G3769" s="18"/>
    </row>
    <row r="3770" spans="2:7" x14ac:dyDescent="0.35">
      <c r="B3770" s="47"/>
      <c r="C3770" s="14"/>
      <c r="D3770" s="14"/>
      <c r="E3770" s="14"/>
      <c r="F3770" s="14"/>
      <c r="G3770" s="18"/>
    </row>
    <row r="3771" spans="2:7" x14ac:dyDescent="0.35">
      <c r="B3771" s="47"/>
      <c r="C3771" s="14"/>
      <c r="D3771" s="14"/>
      <c r="E3771" s="14"/>
      <c r="F3771" s="14"/>
      <c r="G3771" s="18"/>
    </row>
    <row r="3772" spans="2:7" x14ac:dyDescent="0.35">
      <c r="B3772" s="47"/>
      <c r="C3772" s="14"/>
      <c r="D3772" s="14"/>
      <c r="E3772" s="14"/>
      <c r="F3772" s="14"/>
      <c r="G3772" s="18"/>
    </row>
    <row r="3773" spans="2:7" x14ac:dyDescent="0.35">
      <c r="B3773" s="47"/>
      <c r="C3773" s="14"/>
      <c r="D3773" s="14"/>
      <c r="E3773" s="14"/>
      <c r="F3773" s="14"/>
      <c r="G3773" s="18"/>
    </row>
    <row r="3774" spans="2:7" x14ac:dyDescent="0.35">
      <c r="B3774" s="47"/>
      <c r="C3774" s="14"/>
      <c r="D3774" s="14"/>
      <c r="E3774" s="14"/>
      <c r="F3774" s="14"/>
      <c r="G3774" s="18"/>
    </row>
    <row r="3775" spans="2:7" x14ac:dyDescent="0.35">
      <c r="B3775" s="47"/>
      <c r="C3775" s="14"/>
      <c r="D3775" s="14"/>
      <c r="E3775" s="14"/>
      <c r="F3775" s="14"/>
      <c r="G3775" s="18"/>
    </row>
    <row r="3776" spans="2:7" x14ac:dyDescent="0.35">
      <c r="B3776" s="47"/>
      <c r="C3776" s="14"/>
      <c r="D3776" s="14"/>
      <c r="E3776" s="14"/>
      <c r="F3776" s="14"/>
      <c r="G3776" s="18"/>
    </row>
    <row r="3777" spans="2:7" x14ac:dyDescent="0.35">
      <c r="B3777" s="47"/>
      <c r="C3777" s="14"/>
      <c r="D3777" s="14"/>
      <c r="E3777" s="14"/>
      <c r="F3777" s="14"/>
      <c r="G3777" s="18"/>
    </row>
    <row r="3778" spans="2:7" x14ac:dyDescent="0.35">
      <c r="B3778" s="47"/>
      <c r="C3778" s="14"/>
      <c r="D3778" s="14"/>
      <c r="E3778" s="14"/>
      <c r="F3778" s="14"/>
      <c r="G3778" s="18"/>
    </row>
    <row r="3779" spans="2:7" x14ac:dyDescent="0.35">
      <c r="B3779" s="47"/>
      <c r="C3779" s="14"/>
      <c r="D3779" s="14"/>
      <c r="E3779" s="14"/>
      <c r="F3779" s="14"/>
      <c r="G3779" s="18"/>
    </row>
    <row r="3780" spans="2:7" x14ac:dyDescent="0.35">
      <c r="B3780" s="47"/>
      <c r="C3780" s="14"/>
      <c r="D3780" s="14"/>
      <c r="E3780" s="14"/>
      <c r="F3780" s="14"/>
      <c r="G3780" s="18"/>
    </row>
    <row r="3781" spans="2:7" x14ac:dyDescent="0.35">
      <c r="B3781" s="47"/>
      <c r="C3781" s="14"/>
      <c r="D3781" s="14"/>
      <c r="E3781" s="14"/>
      <c r="F3781" s="14"/>
      <c r="G3781" s="18"/>
    </row>
    <row r="3782" spans="2:7" x14ac:dyDescent="0.35">
      <c r="B3782" s="47"/>
      <c r="C3782" s="14"/>
      <c r="D3782" s="14"/>
      <c r="E3782" s="14"/>
      <c r="F3782" s="14"/>
      <c r="G3782" s="18"/>
    </row>
    <row r="3783" spans="2:7" x14ac:dyDescent="0.35">
      <c r="B3783" s="47"/>
      <c r="C3783" s="14"/>
      <c r="D3783" s="14"/>
      <c r="E3783" s="14"/>
      <c r="F3783" s="14"/>
      <c r="G3783" s="18"/>
    </row>
    <row r="3784" spans="2:7" x14ac:dyDescent="0.35">
      <c r="B3784" s="47"/>
      <c r="C3784" s="14"/>
      <c r="D3784" s="14"/>
      <c r="E3784" s="14"/>
      <c r="F3784" s="14"/>
      <c r="G3784" s="18"/>
    </row>
    <row r="3785" spans="2:7" x14ac:dyDescent="0.35">
      <c r="B3785" s="47"/>
      <c r="C3785" s="14"/>
      <c r="D3785" s="14"/>
      <c r="E3785" s="14"/>
      <c r="F3785" s="14"/>
      <c r="G3785" s="18"/>
    </row>
    <row r="3786" spans="2:7" x14ac:dyDescent="0.35">
      <c r="B3786" s="47"/>
      <c r="C3786" s="14"/>
      <c r="D3786" s="14"/>
      <c r="E3786" s="14"/>
      <c r="F3786" s="14"/>
      <c r="G3786" s="18"/>
    </row>
    <row r="3787" spans="2:7" x14ac:dyDescent="0.35">
      <c r="B3787" s="47"/>
      <c r="C3787" s="14"/>
      <c r="D3787" s="14"/>
      <c r="E3787" s="14"/>
      <c r="F3787" s="14"/>
      <c r="G3787" s="18"/>
    </row>
    <row r="3788" spans="2:7" x14ac:dyDescent="0.35">
      <c r="B3788" s="47"/>
      <c r="C3788" s="14"/>
      <c r="D3788" s="14"/>
      <c r="E3788" s="14"/>
      <c r="F3788" s="14"/>
      <c r="G3788" s="18"/>
    </row>
    <row r="3789" spans="2:7" x14ac:dyDescent="0.35">
      <c r="B3789" s="47"/>
      <c r="C3789" s="14"/>
      <c r="D3789" s="14"/>
      <c r="E3789" s="14"/>
      <c r="F3789" s="14"/>
      <c r="G3789" s="18"/>
    </row>
    <row r="3790" spans="2:7" x14ac:dyDescent="0.35">
      <c r="B3790" s="47"/>
      <c r="C3790" s="14"/>
      <c r="D3790" s="14"/>
      <c r="E3790" s="14"/>
      <c r="F3790" s="14"/>
      <c r="G3790" s="18"/>
    </row>
    <row r="3791" spans="2:7" x14ac:dyDescent="0.35">
      <c r="B3791" s="47"/>
      <c r="C3791" s="14"/>
      <c r="D3791" s="14"/>
      <c r="E3791" s="14"/>
      <c r="F3791" s="14"/>
      <c r="G3791" s="18"/>
    </row>
    <row r="3792" spans="2:7" x14ac:dyDescent="0.35">
      <c r="B3792" s="47"/>
      <c r="C3792" s="14"/>
      <c r="D3792" s="14"/>
      <c r="E3792" s="14"/>
      <c r="F3792" s="14"/>
      <c r="G3792" s="18"/>
    </row>
    <row r="3793" spans="2:7" x14ac:dyDescent="0.35">
      <c r="B3793" s="47"/>
      <c r="C3793" s="14"/>
      <c r="D3793" s="14"/>
      <c r="E3793" s="14"/>
      <c r="F3793" s="14"/>
      <c r="G3793" s="18"/>
    </row>
    <row r="3794" spans="2:7" x14ac:dyDescent="0.35">
      <c r="B3794" s="47"/>
      <c r="C3794" s="14"/>
      <c r="D3794" s="14"/>
      <c r="E3794" s="14"/>
      <c r="F3794" s="14"/>
      <c r="G3794" s="18"/>
    </row>
    <row r="3795" spans="2:7" x14ac:dyDescent="0.35">
      <c r="B3795" s="47"/>
      <c r="C3795" s="14"/>
      <c r="D3795" s="14"/>
      <c r="E3795" s="14"/>
      <c r="F3795" s="14"/>
      <c r="G3795" s="18"/>
    </row>
    <row r="3796" spans="2:7" x14ac:dyDescent="0.35">
      <c r="B3796" s="47"/>
      <c r="C3796" s="14"/>
      <c r="D3796" s="14"/>
      <c r="E3796" s="14"/>
      <c r="F3796" s="14"/>
      <c r="G3796" s="18"/>
    </row>
    <row r="3797" spans="2:7" x14ac:dyDescent="0.35">
      <c r="B3797" s="47"/>
      <c r="C3797" s="14"/>
      <c r="D3797" s="14"/>
      <c r="E3797" s="14"/>
      <c r="F3797" s="14"/>
      <c r="G3797" s="18"/>
    </row>
    <row r="3798" spans="2:7" x14ac:dyDescent="0.35">
      <c r="B3798" s="47"/>
      <c r="C3798" s="14"/>
      <c r="D3798" s="14"/>
      <c r="E3798" s="14"/>
      <c r="F3798" s="14"/>
      <c r="G3798" s="18"/>
    </row>
    <row r="3799" spans="2:7" x14ac:dyDescent="0.35">
      <c r="B3799" s="47"/>
      <c r="C3799" s="14"/>
      <c r="D3799" s="14"/>
      <c r="E3799" s="14"/>
      <c r="F3799" s="14"/>
      <c r="G3799" s="18"/>
    </row>
    <row r="3800" spans="2:7" x14ac:dyDescent="0.35">
      <c r="B3800" s="47"/>
      <c r="C3800" s="14"/>
      <c r="D3800" s="14"/>
      <c r="E3800" s="14"/>
      <c r="F3800" s="14"/>
      <c r="G3800" s="18"/>
    </row>
    <row r="3801" spans="2:7" x14ac:dyDescent="0.35">
      <c r="B3801" s="47"/>
      <c r="C3801" s="14"/>
      <c r="D3801" s="14"/>
      <c r="E3801" s="14"/>
      <c r="F3801" s="14"/>
      <c r="G3801" s="18"/>
    </row>
    <row r="3802" spans="2:7" x14ac:dyDescent="0.35">
      <c r="B3802" s="47"/>
      <c r="C3802" s="14"/>
      <c r="D3802" s="14"/>
      <c r="E3802" s="14"/>
      <c r="F3802" s="14"/>
      <c r="G3802" s="18"/>
    </row>
    <row r="3803" spans="2:7" x14ac:dyDescent="0.35">
      <c r="B3803" s="47"/>
      <c r="C3803" s="14"/>
      <c r="D3803" s="14"/>
      <c r="E3803" s="14"/>
      <c r="F3803" s="14"/>
      <c r="G3803" s="18"/>
    </row>
    <row r="3804" spans="2:7" x14ac:dyDescent="0.35">
      <c r="B3804" s="47"/>
      <c r="C3804" s="14"/>
      <c r="D3804" s="14"/>
      <c r="E3804" s="14"/>
      <c r="F3804" s="14"/>
      <c r="G3804" s="18"/>
    </row>
    <row r="3805" spans="2:7" x14ac:dyDescent="0.35">
      <c r="B3805" s="47"/>
      <c r="C3805" s="14"/>
      <c r="D3805" s="14"/>
      <c r="E3805" s="14"/>
      <c r="F3805" s="14"/>
      <c r="G3805" s="18"/>
    </row>
    <row r="3806" spans="2:7" x14ac:dyDescent="0.35">
      <c r="B3806" s="47"/>
      <c r="C3806" s="14"/>
      <c r="D3806" s="14"/>
      <c r="E3806" s="14"/>
      <c r="F3806" s="14"/>
      <c r="G3806" s="18"/>
    </row>
    <row r="3807" spans="2:7" x14ac:dyDescent="0.35">
      <c r="B3807" s="47"/>
      <c r="C3807" s="14"/>
      <c r="D3807" s="14"/>
      <c r="E3807" s="14"/>
      <c r="F3807" s="14"/>
      <c r="G3807" s="18"/>
    </row>
    <row r="3808" spans="2:7" x14ac:dyDescent="0.35">
      <c r="B3808" s="47"/>
      <c r="C3808" s="14"/>
      <c r="D3808" s="14"/>
      <c r="E3808" s="14"/>
      <c r="F3808" s="14"/>
      <c r="G3808" s="18"/>
    </row>
    <row r="3809" spans="2:7" x14ac:dyDescent="0.35">
      <c r="B3809" s="47"/>
      <c r="C3809" s="14"/>
      <c r="D3809" s="14"/>
      <c r="E3809" s="14"/>
      <c r="F3809" s="14"/>
      <c r="G3809" s="18"/>
    </row>
    <row r="3810" spans="2:7" x14ac:dyDescent="0.35">
      <c r="B3810" s="47"/>
      <c r="C3810" s="14"/>
      <c r="D3810" s="14"/>
      <c r="E3810" s="14"/>
      <c r="F3810" s="14"/>
      <c r="G3810" s="18"/>
    </row>
    <row r="3811" spans="2:7" x14ac:dyDescent="0.35">
      <c r="B3811" s="47"/>
      <c r="C3811" s="14"/>
      <c r="D3811" s="14"/>
      <c r="E3811" s="14"/>
      <c r="F3811" s="14"/>
      <c r="G3811" s="18"/>
    </row>
    <row r="3812" spans="2:7" x14ac:dyDescent="0.35">
      <c r="B3812" s="47"/>
      <c r="C3812" s="14"/>
      <c r="D3812" s="14"/>
      <c r="E3812" s="14"/>
      <c r="F3812" s="14"/>
      <c r="G3812" s="18"/>
    </row>
    <row r="3813" spans="2:7" x14ac:dyDescent="0.35">
      <c r="B3813" s="47"/>
      <c r="C3813" s="14"/>
      <c r="D3813" s="14"/>
      <c r="E3813" s="14"/>
      <c r="F3813" s="14"/>
      <c r="G3813" s="18"/>
    </row>
    <row r="3814" spans="2:7" x14ac:dyDescent="0.35">
      <c r="B3814" s="47"/>
      <c r="C3814" s="14"/>
      <c r="D3814" s="14"/>
      <c r="E3814" s="14"/>
      <c r="F3814" s="14"/>
      <c r="G3814" s="18"/>
    </row>
    <row r="3815" spans="2:7" x14ac:dyDescent="0.35">
      <c r="B3815" s="47"/>
      <c r="C3815" s="14"/>
      <c r="D3815" s="14"/>
      <c r="E3815" s="14"/>
      <c r="F3815" s="14"/>
      <c r="G3815" s="18"/>
    </row>
    <row r="3816" spans="2:7" x14ac:dyDescent="0.35">
      <c r="B3816" s="47"/>
      <c r="C3816" s="14"/>
      <c r="D3816" s="14"/>
      <c r="E3816" s="14"/>
      <c r="F3816" s="14"/>
      <c r="G3816" s="18"/>
    </row>
    <row r="3817" spans="2:7" x14ac:dyDescent="0.35">
      <c r="B3817" s="47"/>
      <c r="C3817" s="14"/>
      <c r="D3817" s="14"/>
      <c r="E3817" s="14"/>
      <c r="F3817" s="14"/>
      <c r="G3817" s="18"/>
    </row>
    <row r="3818" spans="2:7" x14ac:dyDescent="0.35">
      <c r="B3818" s="47"/>
      <c r="C3818" s="14"/>
      <c r="D3818" s="14"/>
      <c r="E3818" s="14"/>
      <c r="F3818" s="14"/>
      <c r="G3818" s="18"/>
    </row>
    <row r="3819" spans="2:7" x14ac:dyDescent="0.35">
      <c r="B3819" s="47"/>
      <c r="C3819" s="14"/>
      <c r="D3819" s="14"/>
      <c r="E3819" s="14"/>
      <c r="F3819" s="14"/>
      <c r="G3819" s="18"/>
    </row>
    <row r="3820" spans="2:7" x14ac:dyDescent="0.35">
      <c r="B3820" s="47"/>
      <c r="C3820" s="14"/>
      <c r="D3820" s="14"/>
      <c r="E3820" s="14"/>
      <c r="F3820" s="14"/>
      <c r="G3820" s="18"/>
    </row>
    <row r="3821" spans="2:7" x14ac:dyDescent="0.35">
      <c r="B3821" s="47"/>
      <c r="C3821" s="14"/>
      <c r="D3821" s="14"/>
      <c r="E3821" s="14"/>
      <c r="F3821" s="14"/>
      <c r="G3821" s="18"/>
    </row>
    <row r="3822" spans="2:7" x14ac:dyDescent="0.35">
      <c r="B3822" s="47"/>
      <c r="C3822" s="14"/>
      <c r="D3822" s="14"/>
      <c r="E3822" s="14"/>
      <c r="F3822" s="14"/>
      <c r="G3822" s="18"/>
    </row>
    <row r="3823" spans="2:7" x14ac:dyDescent="0.35">
      <c r="B3823" s="47"/>
      <c r="C3823" s="14"/>
      <c r="D3823" s="14"/>
      <c r="E3823" s="14"/>
      <c r="F3823" s="14"/>
      <c r="G3823" s="18"/>
    </row>
    <row r="3824" spans="2:7" x14ac:dyDescent="0.35">
      <c r="B3824" s="47"/>
      <c r="C3824" s="14"/>
      <c r="D3824" s="14"/>
      <c r="E3824" s="14"/>
      <c r="F3824" s="14"/>
      <c r="G3824" s="18"/>
    </row>
    <row r="3825" spans="2:7" x14ac:dyDescent="0.35">
      <c r="B3825" s="47"/>
      <c r="C3825" s="14"/>
      <c r="D3825" s="14"/>
      <c r="E3825" s="14"/>
      <c r="F3825" s="14"/>
      <c r="G3825" s="18"/>
    </row>
    <row r="3826" spans="2:7" x14ac:dyDescent="0.35">
      <c r="B3826" s="47"/>
      <c r="C3826" s="14"/>
      <c r="D3826" s="14"/>
      <c r="E3826" s="14"/>
      <c r="F3826" s="14"/>
      <c r="G3826" s="18"/>
    </row>
    <row r="3827" spans="2:7" x14ac:dyDescent="0.35">
      <c r="B3827" s="47"/>
      <c r="C3827" s="14"/>
      <c r="D3827" s="14"/>
      <c r="E3827" s="14"/>
      <c r="F3827" s="14"/>
      <c r="G3827" s="18"/>
    </row>
    <row r="3828" spans="2:7" x14ac:dyDescent="0.35">
      <c r="B3828" s="47"/>
      <c r="C3828" s="14"/>
      <c r="D3828" s="14"/>
      <c r="E3828" s="14"/>
      <c r="F3828" s="14"/>
      <c r="G3828" s="18"/>
    </row>
    <row r="3829" spans="2:7" x14ac:dyDescent="0.35">
      <c r="B3829" s="47"/>
      <c r="C3829" s="14"/>
      <c r="D3829" s="14"/>
      <c r="E3829" s="14"/>
      <c r="F3829" s="14"/>
      <c r="G3829" s="18"/>
    </row>
    <row r="3830" spans="2:7" x14ac:dyDescent="0.35">
      <c r="B3830" s="47"/>
      <c r="C3830" s="14"/>
      <c r="D3830" s="14"/>
      <c r="E3830" s="14"/>
      <c r="F3830" s="14"/>
      <c r="G3830" s="18"/>
    </row>
    <row r="3831" spans="2:7" x14ac:dyDescent="0.35">
      <c r="B3831" s="47"/>
      <c r="C3831" s="14"/>
      <c r="D3831" s="14"/>
      <c r="E3831" s="14"/>
      <c r="F3831" s="14"/>
      <c r="G3831" s="18"/>
    </row>
    <row r="3832" spans="2:7" x14ac:dyDescent="0.35">
      <c r="B3832" s="47"/>
      <c r="C3832" s="14"/>
      <c r="D3832" s="14"/>
      <c r="E3832" s="14"/>
      <c r="F3832" s="14"/>
      <c r="G3832" s="18"/>
    </row>
    <row r="3833" spans="2:7" x14ac:dyDescent="0.35">
      <c r="B3833" s="47"/>
      <c r="C3833" s="14"/>
      <c r="D3833" s="14"/>
      <c r="E3833" s="14"/>
      <c r="F3833" s="14"/>
      <c r="G3833" s="18"/>
    </row>
    <row r="3834" spans="2:7" x14ac:dyDescent="0.35">
      <c r="B3834" s="47"/>
      <c r="C3834" s="14"/>
      <c r="D3834" s="14"/>
      <c r="E3834" s="14"/>
      <c r="F3834" s="14"/>
      <c r="G3834" s="18"/>
    </row>
    <row r="3835" spans="2:7" x14ac:dyDescent="0.35">
      <c r="B3835" s="47"/>
      <c r="C3835" s="14"/>
      <c r="D3835" s="14"/>
      <c r="E3835" s="14"/>
      <c r="F3835" s="14"/>
      <c r="G3835" s="18"/>
    </row>
    <row r="3836" spans="2:7" x14ac:dyDescent="0.35">
      <c r="B3836" s="47"/>
      <c r="C3836" s="14"/>
      <c r="D3836" s="14"/>
      <c r="E3836" s="14"/>
      <c r="F3836" s="14"/>
      <c r="G3836" s="18"/>
    </row>
    <row r="3837" spans="2:7" x14ac:dyDescent="0.35">
      <c r="B3837" s="47"/>
      <c r="C3837" s="14"/>
      <c r="D3837" s="14"/>
      <c r="E3837" s="14"/>
      <c r="F3837" s="14"/>
      <c r="G3837" s="18"/>
    </row>
    <row r="3838" spans="2:7" x14ac:dyDescent="0.35">
      <c r="B3838" s="47"/>
      <c r="C3838" s="14"/>
      <c r="D3838" s="14"/>
      <c r="E3838" s="14"/>
      <c r="F3838" s="14"/>
      <c r="G3838" s="18"/>
    </row>
    <row r="3839" spans="2:7" x14ac:dyDescent="0.35">
      <c r="B3839" s="47"/>
      <c r="C3839" s="14"/>
      <c r="D3839" s="14"/>
      <c r="E3839" s="14"/>
      <c r="F3839" s="14"/>
      <c r="G3839" s="18"/>
    </row>
    <row r="3840" spans="2:7" x14ac:dyDescent="0.35">
      <c r="B3840" s="47"/>
      <c r="C3840" s="14"/>
      <c r="D3840" s="14"/>
      <c r="E3840" s="14"/>
      <c r="F3840" s="14"/>
      <c r="G3840" s="18"/>
    </row>
    <row r="3841" spans="2:7" x14ac:dyDescent="0.35">
      <c r="B3841" s="47"/>
      <c r="C3841" s="14"/>
      <c r="D3841" s="14"/>
      <c r="E3841" s="14"/>
      <c r="F3841" s="14"/>
      <c r="G3841" s="18"/>
    </row>
    <row r="3842" spans="2:7" x14ac:dyDescent="0.35">
      <c r="B3842" s="47"/>
      <c r="C3842" s="14"/>
      <c r="D3842" s="14"/>
      <c r="E3842" s="14"/>
      <c r="F3842" s="14"/>
      <c r="G3842" s="18"/>
    </row>
    <row r="3843" spans="2:7" x14ac:dyDescent="0.35">
      <c r="B3843" s="47"/>
      <c r="C3843" s="14"/>
      <c r="D3843" s="14"/>
      <c r="E3843" s="14"/>
      <c r="F3843" s="14"/>
      <c r="G3843" s="18"/>
    </row>
    <row r="3844" spans="2:7" x14ac:dyDescent="0.35">
      <c r="B3844" s="47"/>
      <c r="C3844" s="14"/>
      <c r="D3844" s="14"/>
      <c r="E3844" s="14"/>
      <c r="F3844" s="14"/>
      <c r="G3844" s="18"/>
    </row>
    <row r="3845" spans="2:7" x14ac:dyDescent="0.35">
      <c r="B3845" s="47"/>
      <c r="C3845" s="14"/>
      <c r="D3845" s="14"/>
      <c r="E3845" s="14"/>
      <c r="F3845" s="14"/>
      <c r="G3845" s="18"/>
    </row>
    <row r="3846" spans="2:7" x14ac:dyDescent="0.35">
      <c r="B3846" s="47"/>
      <c r="C3846" s="14"/>
      <c r="D3846" s="14"/>
      <c r="E3846" s="14"/>
      <c r="F3846" s="14"/>
      <c r="G3846" s="18"/>
    </row>
    <row r="3847" spans="2:7" x14ac:dyDescent="0.35">
      <c r="B3847" s="47"/>
      <c r="C3847" s="14"/>
      <c r="D3847" s="14"/>
      <c r="E3847" s="14"/>
      <c r="F3847" s="14"/>
      <c r="G3847" s="18"/>
    </row>
    <row r="3848" spans="2:7" x14ac:dyDescent="0.35">
      <c r="B3848" s="47"/>
      <c r="C3848" s="14"/>
      <c r="D3848" s="14"/>
      <c r="E3848" s="14"/>
      <c r="F3848" s="14"/>
      <c r="G3848" s="18"/>
    </row>
    <row r="3849" spans="2:7" x14ac:dyDescent="0.35">
      <c r="B3849" s="47"/>
      <c r="C3849" s="14"/>
      <c r="D3849" s="14"/>
      <c r="E3849" s="14"/>
      <c r="F3849" s="14"/>
      <c r="G3849" s="18"/>
    </row>
    <row r="3850" spans="2:7" x14ac:dyDescent="0.35">
      <c r="B3850" s="47"/>
      <c r="C3850" s="14"/>
      <c r="D3850" s="14"/>
      <c r="E3850" s="14"/>
      <c r="F3850" s="14"/>
      <c r="G3850" s="18"/>
    </row>
    <row r="3851" spans="2:7" x14ac:dyDescent="0.35">
      <c r="B3851" s="47"/>
      <c r="C3851" s="14"/>
      <c r="D3851" s="14"/>
      <c r="E3851" s="14"/>
      <c r="F3851" s="14"/>
      <c r="G3851" s="18"/>
    </row>
    <row r="3852" spans="2:7" x14ac:dyDescent="0.35">
      <c r="B3852" s="47"/>
      <c r="C3852" s="14"/>
      <c r="D3852" s="14"/>
      <c r="E3852" s="14"/>
      <c r="F3852" s="14"/>
      <c r="G3852" s="18"/>
    </row>
    <row r="3853" spans="2:7" x14ac:dyDescent="0.35">
      <c r="B3853" s="47"/>
      <c r="C3853" s="14"/>
      <c r="D3853" s="14"/>
      <c r="E3853" s="14"/>
      <c r="F3853" s="14"/>
      <c r="G3853" s="18"/>
    </row>
    <row r="3854" spans="2:7" x14ac:dyDescent="0.35">
      <c r="B3854" s="47"/>
      <c r="C3854" s="14"/>
      <c r="D3854" s="14"/>
      <c r="E3854" s="14"/>
      <c r="F3854" s="14"/>
      <c r="G3854" s="18"/>
    </row>
    <row r="3855" spans="2:7" x14ac:dyDescent="0.35">
      <c r="B3855" s="47"/>
      <c r="C3855" s="14"/>
      <c r="D3855" s="14"/>
      <c r="E3855" s="14"/>
      <c r="F3855" s="14"/>
      <c r="G3855" s="18"/>
    </row>
    <row r="3856" spans="2:7" x14ac:dyDescent="0.35">
      <c r="B3856" s="47"/>
      <c r="C3856" s="14"/>
      <c r="D3856" s="14"/>
      <c r="E3856" s="14"/>
      <c r="F3856" s="14"/>
      <c r="G3856" s="18"/>
    </row>
    <row r="3857" spans="2:7" x14ac:dyDescent="0.35">
      <c r="B3857" s="47"/>
      <c r="C3857" s="14"/>
      <c r="D3857" s="14"/>
      <c r="E3857" s="14"/>
      <c r="F3857" s="14"/>
      <c r="G3857" s="18"/>
    </row>
    <row r="3858" spans="2:7" x14ac:dyDescent="0.35">
      <c r="B3858" s="47"/>
      <c r="C3858" s="14"/>
      <c r="D3858" s="14"/>
      <c r="E3858" s="14"/>
      <c r="F3858" s="14"/>
      <c r="G3858" s="18"/>
    </row>
    <row r="3859" spans="2:7" x14ac:dyDescent="0.35">
      <c r="B3859" s="47"/>
      <c r="C3859" s="14"/>
      <c r="D3859" s="14"/>
      <c r="E3859" s="14"/>
      <c r="F3859" s="14"/>
      <c r="G3859" s="18"/>
    </row>
    <row r="3860" spans="2:7" x14ac:dyDescent="0.35">
      <c r="B3860" s="47"/>
      <c r="C3860" s="14"/>
      <c r="D3860" s="14"/>
      <c r="E3860" s="14"/>
      <c r="F3860" s="14"/>
      <c r="G3860" s="18"/>
    </row>
    <row r="3861" spans="2:7" x14ac:dyDescent="0.35">
      <c r="B3861" s="47"/>
      <c r="C3861" s="14"/>
      <c r="D3861" s="14"/>
      <c r="E3861" s="14"/>
      <c r="F3861" s="14"/>
      <c r="G3861" s="18"/>
    </row>
    <row r="3862" spans="2:7" x14ac:dyDescent="0.35">
      <c r="B3862" s="47"/>
      <c r="C3862" s="14"/>
      <c r="D3862" s="14"/>
      <c r="E3862" s="14"/>
      <c r="F3862" s="14"/>
      <c r="G3862" s="18"/>
    </row>
    <row r="3863" spans="2:7" x14ac:dyDescent="0.35">
      <c r="B3863" s="47"/>
      <c r="C3863" s="14"/>
      <c r="D3863" s="14"/>
      <c r="E3863" s="14"/>
      <c r="F3863" s="14"/>
      <c r="G3863" s="18"/>
    </row>
    <row r="3864" spans="2:7" x14ac:dyDescent="0.35">
      <c r="B3864" s="47"/>
      <c r="C3864" s="14"/>
      <c r="D3864" s="14"/>
      <c r="E3864" s="14"/>
      <c r="F3864" s="14"/>
      <c r="G3864" s="18"/>
    </row>
    <row r="3865" spans="2:7" x14ac:dyDescent="0.35">
      <c r="B3865" s="47"/>
      <c r="C3865" s="14"/>
      <c r="D3865" s="14"/>
      <c r="E3865" s="14"/>
      <c r="F3865" s="14"/>
      <c r="G3865" s="18"/>
    </row>
    <row r="3866" spans="2:7" x14ac:dyDescent="0.35">
      <c r="B3866" s="47"/>
      <c r="C3866" s="14"/>
      <c r="D3866" s="14"/>
      <c r="E3866" s="14"/>
      <c r="F3866" s="14"/>
      <c r="G3866" s="18"/>
    </row>
    <row r="3867" spans="2:7" x14ac:dyDescent="0.35">
      <c r="B3867" s="47"/>
      <c r="C3867" s="14"/>
      <c r="D3867" s="14"/>
      <c r="E3867" s="14"/>
      <c r="F3867" s="14"/>
      <c r="G3867" s="18"/>
    </row>
    <row r="3868" spans="2:7" x14ac:dyDescent="0.35">
      <c r="B3868" s="47"/>
      <c r="C3868" s="14"/>
      <c r="D3868" s="14"/>
      <c r="E3868" s="14"/>
      <c r="F3868" s="14"/>
      <c r="G3868" s="18"/>
    </row>
    <row r="3869" spans="2:7" x14ac:dyDescent="0.35">
      <c r="B3869" s="47"/>
      <c r="C3869" s="14"/>
      <c r="D3869" s="14"/>
      <c r="E3869" s="14"/>
      <c r="F3869" s="14"/>
      <c r="G3869" s="18"/>
    </row>
    <row r="3870" spans="2:7" x14ac:dyDescent="0.35">
      <c r="B3870" s="47"/>
      <c r="C3870" s="14"/>
      <c r="D3870" s="14"/>
      <c r="E3870" s="14"/>
      <c r="F3870" s="14"/>
      <c r="G3870" s="18"/>
    </row>
    <row r="3871" spans="2:7" x14ac:dyDescent="0.35">
      <c r="B3871" s="47"/>
      <c r="C3871" s="14"/>
      <c r="D3871" s="14"/>
      <c r="E3871" s="14"/>
      <c r="F3871" s="14"/>
      <c r="G3871" s="18"/>
    </row>
    <row r="3872" spans="2:7" x14ac:dyDescent="0.35">
      <c r="B3872" s="47"/>
      <c r="C3872" s="14"/>
      <c r="D3872" s="14"/>
      <c r="E3872" s="14"/>
      <c r="F3872" s="14"/>
      <c r="G3872" s="18"/>
    </row>
    <row r="3873" spans="2:7" x14ac:dyDescent="0.35">
      <c r="B3873" s="47"/>
      <c r="C3873" s="14"/>
      <c r="D3873" s="14"/>
      <c r="E3873" s="14"/>
      <c r="F3873" s="14"/>
      <c r="G3873" s="18"/>
    </row>
    <row r="3874" spans="2:7" x14ac:dyDescent="0.35">
      <c r="B3874" s="47"/>
      <c r="C3874" s="14"/>
      <c r="D3874" s="14"/>
      <c r="E3874" s="14"/>
      <c r="F3874" s="14"/>
      <c r="G3874" s="18"/>
    </row>
    <row r="3875" spans="2:7" x14ac:dyDescent="0.35">
      <c r="B3875" s="47"/>
      <c r="C3875" s="14"/>
      <c r="D3875" s="14"/>
      <c r="E3875" s="14"/>
      <c r="F3875" s="14"/>
      <c r="G3875" s="18"/>
    </row>
    <row r="3876" spans="2:7" x14ac:dyDescent="0.35">
      <c r="B3876" s="47"/>
      <c r="C3876" s="14"/>
      <c r="D3876" s="14"/>
      <c r="E3876" s="14"/>
      <c r="F3876" s="14"/>
      <c r="G3876" s="18"/>
    </row>
    <row r="3877" spans="2:7" x14ac:dyDescent="0.35">
      <c r="B3877" s="47"/>
      <c r="C3877" s="14"/>
      <c r="D3877" s="14"/>
      <c r="E3877" s="14"/>
      <c r="F3877" s="14"/>
      <c r="G3877" s="18"/>
    </row>
    <row r="3878" spans="2:7" x14ac:dyDescent="0.35">
      <c r="B3878" s="47"/>
      <c r="C3878" s="14"/>
      <c r="D3878" s="14"/>
      <c r="E3878" s="14"/>
      <c r="F3878" s="14"/>
      <c r="G3878" s="18"/>
    </row>
    <row r="3879" spans="2:7" x14ac:dyDescent="0.35">
      <c r="B3879" s="47"/>
      <c r="C3879" s="14"/>
      <c r="D3879" s="14"/>
      <c r="E3879" s="14"/>
      <c r="F3879" s="14"/>
      <c r="G3879" s="18"/>
    </row>
    <row r="3880" spans="2:7" x14ac:dyDescent="0.35">
      <c r="B3880" s="47"/>
      <c r="C3880" s="14"/>
      <c r="D3880" s="14"/>
      <c r="E3880" s="14"/>
      <c r="F3880" s="14"/>
      <c r="G3880" s="18"/>
    </row>
    <row r="3881" spans="2:7" x14ac:dyDescent="0.35">
      <c r="B3881" s="47"/>
      <c r="C3881" s="14"/>
      <c r="D3881" s="14"/>
      <c r="E3881" s="14"/>
      <c r="F3881" s="14"/>
      <c r="G3881" s="18"/>
    </row>
    <row r="3882" spans="2:7" x14ac:dyDescent="0.35">
      <c r="B3882" s="47"/>
      <c r="C3882" s="14"/>
      <c r="D3882" s="14"/>
      <c r="E3882" s="14"/>
      <c r="F3882" s="14"/>
      <c r="G3882" s="18"/>
    </row>
    <row r="3883" spans="2:7" x14ac:dyDescent="0.35">
      <c r="B3883" s="47"/>
      <c r="C3883" s="14"/>
      <c r="D3883" s="14"/>
      <c r="E3883" s="14"/>
      <c r="F3883" s="14"/>
      <c r="G3883" s="18"/>
    </row>
    <row r="3884" spans="2:7" x14ac:dyDescent="0.35">
      <c r="B3884" s="47"/>
      <c r="C3884" s="14"/>
      <c r="D3884" s="14"/>
      <c r="E3884" s="14"/>
      <c r="F3884" s="14"/>
      <c r="G3884" s="18"/>
    </row>
    <row r="3885" spans="2:7" x14ac:dyDescent="0.35">
      <c r="B3885" s="47"/>
      <c r="C3885" s="14"/>
      <c r="D3885" s="14"/>
      <c r="E3885" s="14"/>
      <c r="F3885" s="14"/>
      <c r="G3885" s="18"/>
    </row>
    <row r="3886" spans="2:7" x14ac:dyDescent="0.35">
      <c r="B3886" s="47"/>
      <c r="C3886" s="14"/>
      <c r="D3886" s="14"/>
      <c r="E3886" s="14"/>
      <c r="F3886" s="14"/>
      <c r="G3886" s="18"/>
    </row>
    <row r="3887" spans="2:7" x14ac:dyDescent="0.35">
      <c r="B3887" s="47"/>
      <c r="C3887" s="14"/>
      <c r="D3887" s="14"/>
      <c r="E3887" s="14"/>
      <c r="F3887" s="14"/>
      <c r="G3887" s="18"/>
    </row>
    <row r="3888" spans="2:7" x14ac:dyDescent="0.35">
      <c r="B3888" s="47"/>
      <c r="C3888" s="14"/>
      <c r="D3888" s="14"/>
      <c r="E3888" s="14"/>
      <c r="F3888" s="14"/>
      <c r="G3888" s="18"/>
    </row>
    <row r="3889" spans="2:7" x14ac:dyDescent="0.35">
      <c r="B3889" s="47"/>
      <c r="C3889" s="14"/>
      <c r="D3889" s="14"/>
      <c r="E3889" s="14"/>
      <c r="F3889" s="14"/>
      <c r="G3889" s="18"/>
    </row>
    <row r="3890" spans="2:7" x14ac:dyDescent="0.35">
      <c r="B3890" s="47"/>
      <c r="C3890" s="14"/>
      <c r="D3890" s="14"/>
      <c r="E3890" s="14"/>
      <c r="F3890" s="14"/>
      <c r="G3890" s="18"/>
    </row>
    <row r="3891" spans="2:7" x14ac:dyDescent="0.35">
      <c r="B3891" s="47"/>
      <c r="C3891" s="14"/>
      <c r="D3891" s="14"/>
      <c r="E3891" s="14"/>
      <c r="F3891" s="14"/>
      <c r="G3891" s="18"/>
    </row>
    <row r="3892" spans="2:7" x14ac:dyDescent="0.35">
      <c r="B3892" s="47"/>
      <c r="C3892" s="14"/>
      <c r="D3892" s="14"/>
      <c r="E3892" s="14"/>
      <c r="F3892" s="14"/>
      <c r="G3892" s="18"/>
    </row>
    <row r="3893" spans="2:7" x14ac:dyDescent="0.35">
      <c r="B3893" s="47"/>
      <c r="C3893" s="14"/>
      <c r="D3893" s="14"/>
      <c r="E3893" s="14"/>
      <c r="F3893" s="14"/>
      <c r="G3893" s="18"/>
    </row>
    <row r="3894" spans="2:7" x14ac:dyDescent="0.35">
      <c r="B3894" s="47"/>
      <c r="C3894" s="14"/>
      <c r="D3894" s="14"/>
      <c r="E3894" s="14"/>
      <c r="F3894" s="14"/>
      <c r="G3894" s="18"/>
    </row>
    <row r="3895" spans="2:7" x14ac:dyDescent="0.35">
      <c r="B3895" s="47"/>
      <c r="C3895" s="14"/>
      <c r="D3895" s="14"/>
      <c r="E3895" s="14"/>
      <c r="F3895" s="14"/>
      <c r="G3895" s="18"/>
    </row>
    <row r="3896" spans="2:7" x14ac:dyDescent="0.35">
      <c r="B3896" s="47"/>
      <c r="C3896" s="14"/>
      <c r="D3896" s="14"/>
      <c r="E3896" s="14"/>
      <c r="F3896" s="14"/>
      <c r="G3896" s="18"/>
    </row>
    <row r="3897" spans="2:7" x14ac:dyDescent="0.35">
      <c r="B3897" s="47"/>
      <c r="C3897" s="14"/>
      <c r="D3897" s="14"/>
      <c r="E3897" s="14"/>
      <c r="F3897" s="14"/>
      <c r="G3897" s="18"/>
    </row>
    <row r="3898" spans="2:7" x14ac:dyDescent="0.35">
      <c r="B3898" s="47"/>
      <c r="C3898" s="14"/>
      <c r="D3898" s="14"/>
      <c r="E3898" s="14"/>
      <c r="F3898" s="14"/>
      <c r="G3898" s="18"/>
    </row>
    <row r="3899" spans="2:7" x14ac:dyDescent="0.35">
      <c r="B3899" s="47"/>
      <c r="C3899" s="14"/>
      <c r="D3899" s="14"/>
      <c r="E3899" s="14"/>
      <c r="F3899" s="14"/>
      <c r="G3899" s="18"/>
    </row>
    <row r="3900" spans="2:7" x14ac:dyDescent="0.35">
      <c r="B3900" s="47"/>
      <c r="C3900" s="14"/>
      <c r="D3900" s="14"/>
      <c r="E3900" s="14"/>
      <c r="F3900" s="14"/>
      <c r="G3900" s="18"/>
    </row>
    <row r="3901" spans="2:7" x14ac:dyDescent="0.35">
      <c r="B3901" s="47"/>
      <c r="C3901" s="14"/>
      <c r="D3901" s="14"/>
      <c r="E3901" s="14"/>
      <c r="F3901" s="14"/>
      <c r="G3901" s="18"/>
    </row>
    <row r="3902" spans="2:7" x14ac:dyDescent="0.35">
      <c r="B3902" s="47"/>
      <c r="C3902" s="14"/>
      <c r="D3902" s="14"/>
      <c r="E3902" s="14"/>
      <c r="F3902" s="14"/>
      <c r="G3902" s="18"/>
    </row>
    <row r="3903" spans="2:7" x14ac:dyDescent="0.35">
      <c r="B3903" s="47"/>
      <c r="C3903" s="14"/>
      <c r="D3903" s="14"/>
      <c r="E3903" s="14"/>
      <c r="F3903" s="14"/>
      <c r="G3903" s="18"/>
    </row>
    <row r="3904" spans="2:7" x14ac:dyDescent="0.35">
      <c r="B3904" s="47"/>
      <c r="C3904" s="14"/>
      <c r="D3904" s="14"/>
      <c r="E3904" s="14"/>
      <c r="F3904" s="14"/>
      <c r="G3904" s="18"/>
    </row>
    <row r="3905" spans="2:7" x14ac:dyDescent="0.35">
      <c r="B3905" s="47"/>
      <c r="C3905" s="14"/>
      <c r="D3905" s="14"/>
      <c r="E3905" s="14"/>
      <c r="F3905" s="14"/>
      <c r="G3905" s="18"/>
    </row>
    <row r="3906" spans="2:7" x14ac:dyDescent="0.35">
      <c r="B3906" s="47"/>
      <c r="C3906" s="14"/>
      <c r="D3906" s="14"/>
      <c r="E3906" s="14"/>
      <c r="F3906" s="14"/>
      <c r="G3906" s="18"/>
    </row>
    <row r="3907" spans="2:7" x14ac:dyDescent="0.35">
      <c r="B3907" s="47"/>
      <c r="C3907" s="14"/>
      <c r="D3907" s="14"/>
      <c r="E3907" s="14"/>
      <c r="F3907" s="14"/>
      <c r="G3907" s="18"/>
    </row>
    <row r="3908" spans="2:7" x14ac:dyDescent="0.35">
      <c r="B3908" s="47"/>
      <c r="C3908" s="14"/>
      <c r="D3908" s="14"/>
      <c r="E3908" s="14"/>
      <c r="F3908" s="14"/>
      <c r="G3908" s="18"/>
    </row>
    <row r="3909" spans="2:7" x14ac:dyDescent="0.35">
      <c r="B3909" s="47"/>
      <c r="C3909" s="14"/>
      <c r="D3909" s="14"/>
      <c r="E3909" s="14"/>
      <c r="F3909" s="14"/>
      <c r="G3909" s="18"/>
    </row>
    <row r="3910" spans="2:7" x14ac:dyDescent="0.35">
      <c r="B3910" s="47"/>
      <c r="C3910" s="14"/>
      <c r="D3910" s="14"/>
      <c r="E3910" s="14"/>
      <c r="F3910" s="14"/>
      <c r="G3910" s="18"/>
    </row>
    <row r="3911" spans="2:7" x14ac:dyDescent="0.35">
      <c r="B3911" s="47"/>
      <c r="C3911" s="14"/>
      <c r="D3911" s="14"/>
      <c r="E3911" s="14"/>
      <c r="F3911" s="14"/>
      <c r="G3911" s="18"/>
    </row>
    <row r="3912" spans="2:7" x14ac:dyDescent="0.35">
      <c r="B3912" s="47"/>
      <c r="C3912" s="14"/>
      <c r="D3912" s="14"/>
      <c r="E3912" s="14"/>
      <c r="F3912" s="14"/>
      <c r="G3912" s="18"/>
    </row>
    <row r="3913" spans="2:7" x14ac:dyDescent="0.35">
      <c r="B3913" s="47"/>
      <c r="C3913" s="14"/>
      <c r="D3913" s="14"/>
      <c r="E3913" s="14"/>
      <c r="F3913" s="14"/>
      <c r="G3913" s="18"/>
    </row>
    <row r="3914" spans="2:7" x14ac:dyDescent="0.35">
      <c r="B3914" s="47"/>
      <c r="C3914" s="14"/>
      <c r="D3914" s="14"/>
      <c r="E3914" s="14"/>
      <c r="F3914" s="14"/>
      <c r="G3914" s="18"/>
    </row>
    <row r="3915" spans="2:7" x14ac:dyDescent="0.35">
      <c r="B3915" s="47"/>
      <c r="C3915" s="14"/>
      <c r="D3915" s="14"/>
      <c r="E3915" s="14"/>
      <c r="F3915" s="14"/>
      <c r="G3915" s="18"/>
    </row>
    <row r="3916" spans="2:7" x14ac:dyDescent="0.35">
      <c r="B3916" s="47"/>
      <c r="C3916" s="14"/>
      <c r="D3916" s="14"/>
      <c r="E3916" s="14"/>
      <c r="F3916" s="14"/>
      <c r="G3916" s="18"/>
    </row>
    <row r="3917" spans="2:7" x14ac:dyDescent="0.35">
      <c r="B3917" s="47"/>
      <c r="C3917" s="14"/>
      <c r="D3917" s="14"/>
      <c r="E3917" s="14"/>
      <c r="F3917" s="14"/>
      <c r="G3917" s="18"/>
    </row>
    <row r="3918" spans="2:7" x14ac:dyDescent="0.35">
      <c r="B3918" s="47"/>
      <c r="C3918" s="14"/>
      <c r="D3918" s="14"/>
      <c r="E3918" s="14"/>
      <c r="F3918" s="14"/>
      <c r="G3918" s="18"/>
    </row>
    <row r="3919" spans="2:7" x14ac:dyDescent="0.35">
      <c r="B3919" s="47"/>
      <c r="C3919" s="14"/>
      <c r="D3919" s="14"/>
      <c r="E3919" s="14"/>
      <c r="F3919" s="14"/>
      <c r="G3919" s="18"/>
    </row>
    <row r="3920" spans="2:7" x14ac:dyDescent="0.35">
      <c r="B3920" s="47"/>
      <c r="C3920" s="14"/>
      <c r="D3920" s="14"/>
      <c r="E3920" s="14"/>
      <c r="F3920" s="14"/>
      <c r="G3920" s="18"/>
    </row>
    <row r="3921" spans="2:7" x14ac:dyDescent="0.35">
      <c r="B3921" s="47"/>
      <c r="C3921" s="14"/>
      <c r="D3921" s="14"/>
      <c r="E3921" s="14"/>
      <c r="F3921" s="14"/>
      <c r="G3921" s="18"/>
    </row>
    <row r="3922" spans="2:7" x14ac:dyDescent="0.35">
      <c r="B3922" s="47"/>
      <c r="C3922" s="14"/>
      <c r="D3922" s="14"/>
      <c r="E3922" s="14"/>
      <c r="F3922" s="14"/>
      <c r="G3922" s="18"/>
    </row>
    <row r="3923" spans="2:7" x14ac:dyDescent="0.35">
      <c r="B3923" s="47"/>
      <c r="C3923" s="14"/>
      <c r="D3923" s="14"/>
      <c r="E3923" s="14"/>
      <c r="F3923" s="14"/>
      <c r="G3923" s="18"/>
    </row>
    <row r="3924" spans="2:7" x14ac:dyDescent="0.35">
      <c r="B3924" s="47"/>
      <c r="C3924" s="14"/>
      <c r="D3924" s="14"/>
      <c r="E3924" s="14"/>
      <c r="F3924" s="14"/>
      <c r="G3924" s="18"/>
    </row>
    <row r="3925" spans="2:7" x14ac:dyDescent="0.35">
      <c r="B3925" s="47"/>
      <c r="C3925" s="14"/>
      <c r="D3925" s="14"/>
      <c r="E3925" s="14"/>
      <c r="F3925" s="14"/>
      <c r="G3925" s="18"/>
    </row>
    <row r="3926" spans="2:7" x14ac:dyDescent="0.35">
      <c r="B3926" s="47"/>
      <c r="C3926" s="14"/>
      <c r="D3926" s="14"/>
      <c r="E3926" s="14"/>
      <c r="F3926" s="14"/>
      <c r="G3926" s="18"/>
    </row>
    <row r="3927" spans="2:7" x14ac:dyDescent="0.35">
      <c r="B3927" s="47"/>
      <c r="C3927" s="14"/>
      <c r="D3927" s="14"/>
      <c r="E3927" s="14"/>
      <c r="F3927" s="14"/>
      <c r="G3927" s="18"/>
    </row>
    <row r="3928" spans="2:7" x14ac:dyDescent="0.35">
      <c r="B3928" s="47"/>
      <c r="C3928" s="14"/>
      <c r="D3928" s="14"/>
      <c r="E3928" s="14"/>
      <c r="F3928" s="14"/>
      <c r="G3928" s="18"/>
    </row>
    <row r="3929" spans="2:7" x14ac:dyDescent="0.35">
      <c r="B3929" s="47"/>
      <c r="C3929" s="14"/>
      <c r="D3929" s="14"/>
      <c r="E3929" s="14"/>
      <c r="F3929" s="14"/>
      <c r="G3929" s="18"/>
    </row>
    <row r="3930" spans="2:7" x14ac:dyDescent="0.35">
      <c r="B3930" s="47"/>
      <c r="C3930" s="14"/>
      <c r="D3930" s="14"/>
      <c r="E3930" s="14"/>
      <c r="F3930" s="14"/>
      <c r="G3930" s="18"/>
    </row>
    <row r="3931" spans="2:7" x14ac:dyDescent="0.35">
      <c r="B3931" s="47"/>
      <c r="C3931" s="14"/>
      <c r="D3931" s="14"/>
      <c r="E3931" s="14"/>
      <c r="F3931" s="14"/>
      <c r="G3931" s="18"/>
    </row>
    <row r="3932" spans="2:7" x14ac:dyDescent="0.35">
      <c r="B3932" s="47"/>
      <c r="C3932" s="14"/>
      <c r="D3932" s="14"/>
      <c r="E3932" s="14"/>
      <c r="F3932" s="14"/>
      <c r="G3932" s="18"/>
    </row>
    <row r="3933" spans="2:7" x14ac:dyDescent="0.35">
      <c r="B3933" s="47"/>
      <c r="C3933" s="14"/>
      <c r="D3933" s="14"/>
      <c r="E3933" s="14"/>
      <c r="F3933" s="14"/>
      <c r="G3933" s="18"/>
    </row>
    <row r="3934" spans="2:7" x14ac:dyDescent="0.35">
      <c r="B3934" s="47"/>
      <c r="C3934" s="14"/>
      <c r="D3934" s="14"/>
      <c r="E3934" s="14"/>
      <c r="F3934" s="14"/>
      <c r="G3934" s="18"/>
    </row>
    <row r="3935" spans="2:7" x14ac:dyDescent="0.35">
      <c r="B3935" s="47"/>
      <c r="C3935" s="14"/>
      <c r="D3935" s="14"/>
      <c r="E3935" s="14"/>
      <c r="F3935" s="14"/>
      <c r="G3935" s="18"/>
    </row>
    <row r="3936" spans="2:7" x14ac:dyDescent="0.35">
      <c r="B3936" s="47"/>
      <c r="C3936" s="14"/>
      <c r="D3936" s="14"/>
      <c r="E3936" s="14"/>
      <c r="F3936" s="14"/>
      <c r="G3936" s="18"/>
    </row>
    <row r="3937" spans="2:7" x14ac:dyDescent="0.35">
      <c r="B3937" s="47"/>
      <c r="C3937" s="14"/>
      <c r="D3937" s="14"/>
      <c r="E3937" s="14"/>
      <c r="F3937" s="14"/>
      <c r="G3937" s="18"/>
    </row>
    <row r="3938" spans="2:7" x14ac:dyDescent="0.35">
      <c r="B3938" s="47"/>
      <c r="C3938" s="14"/>
      <c r="D3938" s="14"/>
      <c r="E3938" s="14"/>
      <c r="F3938" s="14"/>
      <c r="G3938" s="18"/>
    </row>
    <row r="3939" spans="2:7" x14ac:dyDescent="0.35">
      <c r="B3939" s="47"/>
      <c r="C3939" s="14"/>
      <c r="D3939" s="14"/>
      <c r="E3939" s="14"/>
      <c r="F3939" s="14"/>
      <c r="G3939" s="18"/>
    </row>
    <row r="3940" spans="2:7" x14ac:dyDescent="0.35">
      <c r="B3940" s="47"/>
      <c r="C3940" s="14"/>
      <c r="D3940" s="14"/>
      <c r="E3940" s="14"/>
      <c r="F3940" s="14"/>
      <c r="G3940" s="18"/>
    </row>
    <row r="3941" spans="2:7" x14ac:dyDescent="0.35">
      <c r="B3941" s="47"/>
      <c r="C3941" s="14"/>
      <c r="D3941" s="14"/>
      <c r="E3941" s="14"/>
      <c r="F3941" s="14"/>
      <c r="G3941" s="18"/>
    </row>
    <row r="3942" spans="2:7" x14ac:dyDescent="0.35">
      <c r="B3942" s="47"/>
      <c r="C3942" s="14"/>
      <c r="D3942" s="14"/>
      <c r="E3942" s="14"/>
      <c r="F3942" s="14"/>
      <c r="G3942" s="18"/>
    </row>
    <row r="3943" spans="2:7" x14ac:dyDescent="0.35">
      <c r="B3943" s="47"/>
      <c r="C3943" s="14"/>
      <c r="D3943" s="14"/>
      <c r="E3943" s="14"/>
      <c r="F3943" s="14"/>
      <c r="G3943" s="18"/>
    </row>
    <row r="3944" spans="2:7" x14ac:dyDescent="0.35">
      <c r="B3944" s="47"/>
      <c r="C3944" s="14"/>
      <c r="D3944" s="14"/>
      <c r="E3944" s="14"/>
      <c r="F3944" s="14"/>
      <c r="G3944" s="18"/>
    </row>
    <row r="3945" spans="2:7" x14ac:dyDescent="0.35">
      <c r="B3945" s="47"/>
      <c r="C3945" s="14"/>
      <c r="D3945" s="14"/>
      <c r="E3945" s="14"/>
      <c r="F3945" s="14"/>
      <c r="G3945" s="18"/>
    </row>
    <row r="3946" spans="2:7" x14ac:dyDescent="0.35">
      <c r="B3946" s="47"/>
      <c r="C3946" s="14"/>
      <c r="D3946" s="14"/>
      <c r="E3946" s="14"/>
      <c r="F3946" s="14"/>
      <c r="G3946" s="18"/>
    </row>
    <row r="3947" spans="2:7" x14ac:dyDescent="0.35">
      <c r="B3947" s="47"/>
      <c r="C3947" s="14"/>
      <c r="D3947" s="14"/>
      <c r="E3947" s="14"/>
      <c r="F3947" s="14"/>
      <c r="G3947" s="18"/>
    </row>
    <row r="3948" spans="2:7" x14ac:dyDescent="0.35">
      <c r="B3948" s="47"/>
      <c r="C3948" s="14"/>
      <c r="D3948" s="14"/>
      <c r="E3948" s="14"/>
      <c r="F3948" s="14"/>
      <c r="G3948" s="18"/>
    </row>
    <row r="3949" spans="2:7" x14ac:dyDescent="0.35">
      <c r="B3949" s="47"/>
      <c r="C3949" s="14"/>
      <c r="D3949" s="14"/>
      <c r="E3949" s="14"/>
      <c r="F3949" s="14"/>
      <c r="G3949" s="18"/>
    </row>
    <row r="3950" spans="2:7" x14ac:dyDescent="0.35">
      <c r="B3950" s="47"/>
      <c r="C3950" s="14"/>
      <c r="D3950" s="14"/>
      <c r="E3950" s="14"/>
      <c r="F3950" s="14"/>
      <c r="G3950" s="18"/>
    </row>
    <row r="3951" spans="2:7" x14ac:dyDescent="0.35">
      <c r="B3951" s="47"/>
      <c r="C3951" s="14"/>
      <c r="D3951" s="14"/>
      <c r="E3951" s="14"/>
      <c r="F3951" s="14"/>
      <c r="G3951" s="18"/>
    </row>
    <row r="3952" spans="2:7" x14ac:dyDescent="0.35">
      <c r="B3952" s="47"/>
      <c r="C3952" s="14"/>
      <c r="D3952" s="14"/>
      <c r="E3952" s="14"/>
      <c r="F3952" s="14"/>
      <c r="G3952" s="18"/>
    </row>
    <row r="3953" spans="2:7" x14ac:dyDescent="0.35">
      <c r="B3953" s="47"/>
      <c r="C3953" s="14"/>
      <c r="D3953" s="14"/>
      <c r="E3953" s="14"/>
      <c r="F3953" s="14"/>
      <c r="G3953" s="18"/>
    </row>
    <row r="3954" spans="2:7" x14ac:dyDescent="0.35">
      <c r="B3954" s="47"/>
      <c r="C3954" s="14"/>
      <c r="D3954" s="14"/>
      <c r="E3954" s="14"/>
      <c r="F3954" s="14"/>
      <c r="G3954" s="18"/>
    </row>
    <row r="3955" spans="2:7" x14ac:dyDescent="0.35">
      <c r="B3955" s="47"/>
      <c r="C3955" s="14"/>
      <c r="D3955" s="14"/>
      <c r="E3955" s="14"/>
      <c r="F3955" s="14"/>
      <c r="G3955" s="18"/>
    </row>
    <row r="3956" spans="2:7" x14ac:dyDescent="0.35">
      <c r="B3956" s="47"/>
      <c r="C3956" s="14"/>
      <c r="D3956" s="14"/>
      <c r="E3956" s="14"/>
      <c r="F3956" s="14"/>
      <c r="G3956" s="18"/>
    </row>
    <row r="3957" spans="2:7" x14ac:dyDescent="0.35">
      <c r="B3957" s="47"/>
      <c r="C3957" s="14"/>
      <c r="D3957" s="14"/>
      <c r="E3957" s="14"/>
      <c r="F3957" s="14"/>
      <c r="G3957" s="18"/>
    </row>
    <row r="3958" spans="2:7" x14ac:dyDescent="0.35">
      <c r="B3958" s="47"/>
      <c r="C3958" s="14"/>
      <c r="D3958" s="14"/>
      <c r="E3958" s="14"/>
      <c r="F3958" s="14"/>
      <c r="G3958" s="18"/>
    </row>
    <row r="3959" spans="2:7" x14ac:dyDescent="0.35">
      <c r="B3959" s="47"/>
      <c r="C3959" s="14"/>
      <c r="D3959" s="14"/>
      <c r="E3959" s="14"/>
      <c r="F3959" s="14"/>
      <c r="G3959" s="18"/>
    </row>
    <row r="3960" spans="2:7" x14ac:dyDescent="0.35">
      <c r="B3960" s="47"/>
      <c r="C3960" s="14"/>
      <c r="D3960" s="14"/>
      <c r="E3960" s="14"/>
      <c r="F3960" s="14"/>
      <c r="G3960" s="18"/>
    </row>
    <row r="3961" spans="2:7" x14ac:dyDescent="0.35">
      <c r="B3961" s="47"/>
      <c r="C3961" s="14"/>
      <c r="D3961" s="14"/>
      <c r="E3961" s="14"/>
      <c r="F3961" s="14"/>
      <c r="G3961" s="18"/>
    </row>
    <row r="3962" spans="2:7" x14ac:dyDescent="0.35">
      <c r="B3962" s="47"/>
      <c r="C3962" s="14"/>
      <c r="D3962" s="14"/>
      <c r="E3962" s="14"/>
      <c r="F3962" s="14"/>
      <c r="G3962" s="18"/>
    </row>
    <row r="3963" spans="2:7" x14ac:dyDescent="0.35">
      <c r="B3963" s="47"/>
      <c r="C3963" s="14"/>
      <c r="D3963" s="14"/>
      <c r="E3963" s="14"/>
      <c r="F3963" s="14"/>
      <c r="G3963" s="18"/>
    </row>
    <row r="3964" spans="2:7" x14ac:dyDescent="0.35">
      <c r="B3964" s="47"/>
      <c r="C3964" s="14"/>
      <c r="D3964" s="14"/>
      <c r="E3964" s="14"/>
      <c r="F3964" s="14"/>
      <c r="G3964" s="18"/>
    </row>
    <row r="3965" spans="2:7" x14ac:dyDescent="0.35">
      <c r="B3965" s="47"/>
      <c r="C3965" s="14"/>
      <c r="D3965" s="14"/>
      <c r="E3965" s="14"/>
      <c r="F3965" s="14"/>
      <c r="G3965" s="18"/>
    </row>
    <row r="3966" spans="2:7" x14ac:dyDescent="0.35">
      <c r="B3966" s="47"/>
      <c r="C3966" s="14"/>
      <c r="D3966" s="14"/>
      <c r="E3966" s="14"/>
      <c r="F3966" s="14"/>
      <c r="G3966" s="18"/>
    </row>
    <row r="3967" spans="2:7" x14ac:dyDescent="0.35">
      <c r="B3967" s="47"/>
      <c r="C3967" s="14"/>
      <c r="D3967" s="14"/>
      <c r="E3967" s="14"/>
      <c r="F3967" s="14"/>
      <c r="G3967" s="18"/>
    </row>
    <row r="3968" spans="2:7" x14ac:dyDescent="0.35">
      <c r="B3968" s="47"/>
      <c r="C3968" s="14"/>
      <c r="D3968" s="14"/>
      <c r="E3968" s="14"/>
      <c r="F3968" s="14"/>
      <c r="G3968" s="18"/>
    </row>
    <row r="3969" spans="2:7" x14ac:dyDescent="0.35">
      <c r="B3969" s="47"/>
      <c r="C3969" s="14"/>
      <c r="D3969" s="14"/>
      <c r="E3969" s="14"/>
      <c r="F3969" s="14"/>
      <c r="G3969" s="18"/>
    </row>
    <row r="3970" spans="2:7" x14ac:dyDescent="0.35">
      <c r="B3970" s="47"/>
      <c r="C3970" s="14"/>
      <c r="D3970" s="14"/>
      <c r="E3970" s="14"/>
      <c r="F3970" s="14"/>
      <c r="G3970" s="18"/>
    </row>
    <row r="3971" spans="2:7" x14ac:dyDescent="0.35">
      <c r="B3971" s="47"/>
      <c r="C3971" s="14"/>
      <c r="D3971" s="14"/>
      <c r="E3971" s="14"/>
      <c r="F3971" s="14"/>
      <c r="G3971" s="18"/>
    </row>
    <row r="3972" spans="2:7" x14ac:dyDescent="0.35">
      <c r="B3972" s="47"/>
      <c r="C3972" s="14"/>
      <c r="D3972" s="14"/>
      <c r="E3972" s="14"/>
      <c r="F3972" s="14"/>
      <c r="G3972" s="18"/>
    </row>
    <row r="3973" spans="2:7" x14ac:dyDescent="0.35">
      <c r="B3973" s="47"/>
      <c r="C3973" s="14"/>
      <c r="D3973" s="14"/>
      <c r="E3973" s="14"/>
      <c r="F3973" s="14"/>
      <c r="G3973" s="18"/>
    </row>
    <row r="3974" spans="2:7" x14ac:dyDescent="0.35">
      <c r="B3974" s="47"/>
      <c r="C3974" s="14"/>
      <c r="D3974" s="14"/>
      <c r="E3974" s="14"/>
      <c r="F3974" s="14"/>
      <c r="G3974" s="18"/>
    </row>
    <row r="3975" spans="2:7" x14ac:dyDescent="0.35">
      <c r="B3975" s="47"/>
      <c r="C3975" s="14"/>
      <c r="D3975" s="14"/>
      <c r="E3975" s="14"/>
      <c r="F3975" s="14"/>
      <c r="G3975" s="18"/>
    </row>
    <row r="3976" spans="2:7" x14ac:dyDescent="0.35">
      <c r="B3976" s="47"/>
      <c r="C3976" s="14"/>
      <c r="D3976" s="14"/>
      <c r="E3976" s="14"/>
      <c r="F3976" s="14"/>
      <c r="G3976" s="18"/>
    </row>
    <row r="3977" spans="2:7" x14ac:dyDescent="0.35">
      <c r="B3977" s="47"/>
      <c r="C3977" s="14"/>
      <c r="D3977" s="14"/>
      <c r="E3977" s="14"/>
      <c r="F3977" s="14"/>
      <c r="G3977" s="18"/>
    </row>
    <row r="3978" spans="2:7" x14ac:dyDescent="0.35">
      <c r="B3978" s="47"/>
      <c r="C3978" s="14"/>
      <c r="D3978" s="14"/>
      <c r="E3978" s="14"/>
      <c r="F3978" s="14"/>
      <c r="G3978" s="18"/>
    </row>
    <row r="3979" spans="2:7" x14ac:dyDescent="0.35">
      <c r="B3979" s="47"/>
      <c r="C3979" s="14"/>
      <c r="D3979" s="14"/>
      <c r="E3979" s="14"/>
      <c r="F3979" s="14"/>
      <c r="G3979" s="18"/>
    </row>
    <row r="3980" spans="2:7" x14ac:dyDescent="0.35">
      <c r="B3980" s="47"/>
      <c r="C3980" s="14"/>
      <c r="D3980" s="14"/>
      <c r="E3980" s="14"/>
      <c r="F3980" s="14"/>
      <c r="G3980" s="18"/>
    </row>
    <row r="3981" spans="2:7" x14ac:dyDescent="0.35">
      <c r="B3981" s="47"/>
      <c r="C3981" s="14"/>
      <c r="D3981" s="14"/>
      <c r="E3981" s="14"/>
      <c r="F3981" s="14"/>
      <c r="G3981" s="18"/>
    </row>
    <row r="3982" spans="2:7" x14ac:dyDescent="0.35">
      <c r="B3982" s="47"/>
      <c r="C3982" s="14"/>
      <c r="D3982" s="14"/>
      <c r="E3982" s="14"/>
      <c r="F3982" s="14"/>
      <c r="G3982" s="18"/>
    </row>
    <row r="3983" spans="2:7" x14ac:dyDescent="0.35">
      <c r="B3983" s="47"/>
      <c r="C3983" s="14"/>
      <c r="D3983" s="14"/>
      <c r="E3983" s="14"/>
      <c r="F3983" s="14"/>
      <c r="G3983" s="18"/>
    </row>
    <row r="3984" spans="2:7" x14ac:dyDescent="0.35">
      <c r="B3984" s="47"/>
      <c r="C3984" s="14"/>
      <c r="D3984" s="14"/>
      <c r="E3984" s="14"/>
      <c r="F3984" s="14"/>
      <c r="G3984" s="18"/>
    </row>
    <row r="3985" spans="2:7" x14ac:dyDescent="0.35">
      <c r="B3985" s="47"/>
      <c r="C3985" s="14"/>
      <c r="D3985" s="14"/>
      <c r="E3985" s="14"/>
      <c r="F3985" s="14"/>
      <c r="G3985" s="18"/>
    </row>
    <row r="3986" spans="2:7" x14ac:dyDescent="0.35">
      <c r="B3986" s="47"/>
      <c r="C3986" s="14"/>
      <c r="D3986" s="14"/>
      <c r="E3986" s="14"/>
      <c r="F3986" s="14"/>
      <c r="G3986" s="18"/>
    </row>
    <row r="3987" spans="2:7" x14ac:dyDescent="0.35">
      <c r="B3987" s="47"/>
      <c r="C3987" s="14"/>
      <c r="D3987" s="14"/>
      <c r="E3987" s="14"/>
      <c r="F3987" s="14"/>
      <c r="G3987" s="18"/>
    </row>
    <row r="3988" spans="2:7" x14ac:dyDescent="0.35">
      <c r="B3988" s="47"/>
      <c r="C3988" s="14"/>
      <c r="D3988" s="14"/>
      <c r="E3988" s="14"/>
      <c r="F3988" s="14"/>
      <c r="G3988" s="18"/>
    </row>
    <row r="3989" spans="2:7" x14ac:dyDescent="0.35">
      <c r="B3989" s="47"/>
      <c r="C3989" s="14"/>
      <c r="D3989" s="14"/>
      <c r="E3989" s="14"/>
      <c r="F3989" s="14"/>
      <c r="G3989" s="18"/>
    </row>
    <row r="3990" spans="2:7" x14ac:dyDescent="0.35">
      <c r="B3990" s="47"/>
      <c r="C3990" s="14"/>
      <c r="D3990" s="14"/>
      <c r="E3990" s="14"/>
      <c r="F3990" s="14"/>
      <c r="G3990" s="18"/>
    </row>
    <row r="3991" spans="2:7" x14ac:dyDescent="0.35">
      <c r="B3991" s="47"/>
      <c r="C3991" s="14"/>
      <c r="D3991" s="14"/>
      <c r="E3991" s="14"/>
      <c r="F3991" s="14"/>
      <c r="G3991" s="18"/>
    </row>
    <row r="3992" spans="2:7" x14ac:dyDescent="0.35">
      <c r="B3992" s="47"/>
      <c r="C3992" s="14"/>
      <c r="D3992" s="14"/>
      <c r="E3992" s="14"/>
      <c r="F3992" s="14"/>
      <c r="G3992" s="18"/>
    </row>
    <row r="3993" spans="2:7" x14ac:dyDescent="0.35">
      <c r="B3993" s="47"/>
      <c r="C3993" s="14"/>
      <c r="D3993" s="14"/>
      <c r="E3993" s="14"/>
      <c r="F3993" s="14"/>
      <c r="G3993" s="18"/>
    </row>
    <row r="3994" spans="2:7" x14ac:dyDescent="0.35">
      <c r="B3994" s="47"/>
      <c r="C3994" s="14"/>
      <c r="D3994" s="14"/>
      <c r="E3994" s="14"/>
      <c r="F3994" s="14"/>
      <c r="G3994" s="18"/>
    </row>
    <row r="3995" spans="2:7" x14ac:dyDescent="0.35">
      <c r="B3995" s="47"/>
      <c r="C3995" s="14"/>
      <c r="D3995" s="14"/>
      <c r="E3995" s="14"/>
      <c r="F3995" s="14"/>
      <c r="G3995" s="18"/>
    </row>
    <row r="3996" spans="2:7" x14ac:dyDescent="0.35">
      <c r="B3996" s="47"/>
      <c r="C3996" s="14"/>
      <c r="D3996" s="14"/>
      <c r="E3996" s="14"/>
      <c r="F3996" s="14"/>
      <c r="G3996" s="18"/>
    </row>
    <row r="3997" spans="2:7" x14ac:dyDescent="0.35">
      <c r="B3997" s="47"/>
      <c r="C3997" s="14"/>
      <c r="D3997" s="14"/>
      <c r="E3997" s="14"/>
      <c r="F3997" s="14"/>
      <c r="G3997" s="18"/>
    </row>
    <row r="3998" spans="2:7" x14ac:dyDescent="0.35">
      <c r="B3998" s="47"/>
      <c r="C3998" s="14"/>
      <c r="D3998" s="14"/>
      <c r="E3998" s="14"/>
      <c r="F3998" s="14"/>
      <c r="G3998" s="18"/>
    </row>
    <row r="3999" spans="2:7" x14ac:dyDescent="0.35">
      <c r="B3999" s="47"/>
      <c r="C3999" s="14"/>
      <c r="D3999" s="14"/>
      <c r="E3999" s="14"/>
      <c r="F3999" s="14"/>
      <c r="G3999" s="18"/>
    </row>
    <row r="4000" spans="2:7" x14ac:dyDescent="0.35">
      <c r="B4000" s="47"/>
      <c r="C4000" s="14"/>
      <c r="D4000" s="14"/>
      <c r="E4000" s="14"/>
      <c r="F4000" s="14"/>
      <c r="G4000" s="18"/>
    </row>
    <row r="4001" spans="2:7" x14ac:dyDescent="0.35">
      <c r="B4001" s="47"/>
      <c r="C4001" s="14"/>
      <c r="D4001" s="14"/>
      <c r="E4001" s="14"/>
      <c r="F4001" s="14"/>
      <c r="G4001" s="18"/>
    </row>
    <row r="4002" spans="2:7" x14ac:dyDescent="0.35">
      <c r="B4002" s="47"/>
      <c r="C4002" s="14"/>
      <c r="D4002" s="14"/>
      <c r="E4002" s="14"/>
      <c r="F4002" s="14"/>
      <c r="G4002" s="18"/>
    </row>
    <row r="4003" spans="2:7" x14ac:dyDescent="0.35">
      <c r="B4003" s="47"/>
      <c r="C4003" s="14"/>
      <c r="D4003" s="14"/>
      <c r="E4003" s="14"/>
      <c r="F4003" s="14"/>
      <c r="G4003" s="18"/>
    </row>
    <row r="4004" spans="2:7" x14ac:dyDescent="0.35">
      <c r="B4004" s="47"/>
      <c r="C4004" s="14"/>
      <c r="D4004" s="14"/>
      <c r="E4004" s="14"/>
      <c r="F4004" s="14"/>
      <c r="G4004" s="18"/>
    </row>
    <row r="4005" spans="2:7" x14ac:dyDescent="0.35">
      <c r="B4005" s="47"/>
      <c r="C4005" s="14"/>
      <c r="D4005" s="14"/>
      <c r="E4005" s="14"/>
      <c r="F4005" s="14"/>
      <c r="G4005" s="18"/>
    </row>
    <row r="4006" spans="2:7" x14ac:dyDescent="0.35">
      <c r="B4006" s="47"/>
      <c r="C4006" s="14"/>
      <c r="D4006" s="14"/>
      <c r="E4006" s="14"/>
      <c r="F4006" s="14"/>
      <c r="G4006" s="18"/>
    </row>
    <row r="4007" spans="2:7" x14ac:dyDescent="0.35">
      <c r="B4007" s="47"/>
      <c r="C4007" s="14"/>
      <c r="D4007" s="14"/>
      <c r="E4007" s="14"/>
      <c r="F4007" s="14"/>
      <c r="G4007" s="18"/>
    </row>
    <row r="4008" spans="2:7" x14ac:dyDescent="0.35">
      <c r="B4008" s="47"/>
      <c r="C4008" s="14"/>
      <c r="D4008" s="14"/>
      <c r="E4008" s="14"/>
      <c r="F4008" s="14"/>
      <c r="G4008" s="18"/>
    </row>
    <row r="4009" spans="2:7" x14ac:dyDescent="0.35">
      <c r="B4009" s="47"/>
      <c r="C4009" s="14"/>
      <c r="D4009" s="14"/>
      <c r="E4009" s="14"/>
      <c r="F4009" s="14"/>
      <c r="G4009" s="18"/>
    </row>
    <row r="4010" spans="2:7" x14ac:dyDescent="0.35">
      <c r="B4010" s="47"/>
      <c r="C4010" s="14"/>
      <c r="D4010" s="14"/>
      <c r="E4010" s="14"/>
      <c r="F4010" s="14"/>
      <c r="G4010" s="18"/>
    </row>
    <row r="4011" spans="2:7" x14ac:dyDescent="0.35">
      <c r="B4011" s="47"/>
      <c r="C4011" s="14"/>
      <c r="D4011" s="14"/>
      <c r="E4011" s="14"/>
      <c r="F4011" s="14"/>
      <c r="G4011" s="18"/>
    </row>
    <row r="4012" spans="2:7" x14ac:dyDescent="0.35">
      <c r="B4012" s="47"/>
      <c r="C4012" s="14"/>
      <c r="D4012" s="14"/>
      <c r="E4012" s="14"/>
      <c r="F4012" s="14"/>
      <c r="G4012" s="18"/>
    </row>
    <row r="4013" spans="2:7" x14ac:dyDescent="0.35">
      <c r="B4013" s="47"/>
      <c r="C4013" s="14"/>
      <c r="D4013" s="14"/>
      <c r="E4013" s="14"/>
      <c r="F4013" s="14"/>
      <c r="G4013" s="18"/>
    </row>
    <row r="4014" spans="2:7" x14ac:dyDescent="0.35">
      <c r="B4014" s="47"/>
      <c r="C4014" s="14"/>
      <c r="D4014" s="14"/>
      <c r="E4014" s="14"/>
      <c r="F4014" s="14"/>
      <c r="G4014" s="18"/>
    </row>
    <row r="4015" spans="2:7" x14ac:dyDescent="0.35">
      <c r="B4015" s="47"/>
      <c r="C4015" s="14"/>
      <c r="D4015" s="14"/>
      <c r="E4015" s="14"/>
      <c r="F4015" s="14"/>
      <c r="G4015" s="18"/>
    </row>
    <row r="4016" spans="2:7" x14ac:dyDescent="0.35">
      <c r="B4016" s="47"/>
      <c r="C4016" s="14"/>
      <c r="D4016" s="14"/>
      <c r="E4016" s="14"/>
      <c r="F4016" s="14"/>
      <c r="G4016" s="18"/>
    </row>
    <row r="4017" spans="2:7" x14ac:dyDescent="0.35">
      <c r="B4017" s="47"/>
      <c r="C4017" s="14"/>
      <c r="D4017" s="14"/>
      <c r="E4017" s="14"/>
      <c r="F4017" s="14"/>
      <c r="G4017" s="18"/>
    </row>
    <row r="4018" spans="2:7" x14ac:dyDescent="0.35">
      <c r="B4018" s="47"/>
      <c r="C4018" s="14"/>
      <c r="D4018" s="14"/>
      <c r="E4018" s="14"/>
      <c r="F4018" s="14"/>
      <c r="G4018" s="18"/>
    </row>
    <row r="4019" spans="2:7" x14ac:dyDescent="0.35">
      <c r="B4019" s="47"/>
      <c r="C4019" s="14"/>
      <c r="D4019" s="14"/>
      <c r="E4019" s="14"/>
      <c r="F4019" s="14"/>
      <c r="G4019" s="18"/>
    </row>
    <row r="4020" spans="2:7" x14ac:dyDescent="0.35">
      <c r="B4020" s="47"/>
      <c r="C4020" s="14"/>
      <c r="D4020" s="14"/>
      <c r="E4020" s="14"/>
      <c r="F4020" s="14"/>
      <c r="G4020" s="18"/>
    </row>
    <row r="4021" spans="2:7" x14ac:dyDescent="0.35">
      <c r="B4021" s="47"/>
      <c r="C4021" s="14"/>
      <c r="D4021" s="14"/>
      <c r="E4021" s="14"/>
      <c r="F4021" s="14"/>
      <c r="G4021" s="18"/>
    </row>
    <row r="4022" spans="2:7" x14ac:dyDescent="0.35">
      <c r="B4022" s="47"/>
      <c r="C4022" s="14"/>
      <c r="D4022" s="14"/>
      <c r="E4022" s="14"/>
      <c r="F4022" s="14"/>
      <c r="G4022" s="18"/>
    </row>
    <row r="4023" spans="2:7" x14ac:dyDescent="0.35">
      <c r="B4023" s="47"/>
      <c r="C4023" s="14"/>
      <c r="D4023" s="14"/>
      <c r="E4023" s="14"/>
      <c r="F4023" s="14"/>
      <c r="G4023" s="18"/>
    </row>
    <row r="4024" spans="2:7" x14ac:dyDescent="0.35">
      <c r="B4024" s="47"/>
      <c r="C4024" s="14"/>
      <c r="D4024" s="14"/>
      <c r="E4024" s="14"/>
      <c r="F4024" s="14"/>
      <c r="G4024" s="18"/>
    </row>
    <row r="4025" spans="2:7" x14ac:dyDescent="0.35">
      <c r="B4025" s="47"/>
      <c r="C4025" s="14"/>
      <c r="D4025" s="14"/>
      <c r="E4025" s="14"/>
      <c r="F4025" s="14"/>
      <c r="G4025" s="18"/>
    </row>
    <row r="4026" spans="2:7" x14ac:dyDescent="0.35">
      <c r="B4026" s="47"/>
      <c r="C4026" s="14"/>
      <c r="D4026" s="14"/>
      <c r="E4026" s="14"/>
      <c r="F4026" s="14"/>
      <c r="G4026" s="18"/>
    </row>
    <row r="4027" spans="2:7" x14ac:dyDescent="0.35">
      <c r="B4027" s="47"/>
      <c r="C4027" s="14"/>
      <c r="D4027" s="14"/>
      <c r="E4027" s="14"/>
      <c r="F4027" s="14"/>
      <c r="G4027" s="18"/>
    </row>
    <row r="4028" spans="2:7" x14ac:dyDescent="0.35">
      <c r="B4028" s="47"/>
      <c r="C4028" s="14"/>
      <c r="D4028" s="14"/>
      <c r="E4028" s="14"/>
      <c r="F4028" s="14"/>
      <c r="G4028" s="18"/>
    </row>
    <row r="4029" spans="2:7" x14ac:dyDescent="0.35">
      <c r="B4029" s="47"/>
      <c r="C4029" s="14"/>
      <c r="D4029" s="14"/>
      <c r="E4029" s="14"/>
      <c r="F4029" s="14"/>
      <c r="G4029" s="18"/>
    </row>
    <row r="4030" spans="2:7" x14ac:dyDescent="0.35">
      <c r="B4030" s="47"/>
      <c r="C4030" s="14"/>
      <c r="D4030" s="14"/>
      <c r="E4030" s="14"/>
      <c r="F4030" s="14"/>
      <c r="G4030" s="18"/>
    </row>
    <row r="4031" spans="2:7" x14ac:dyDescent="0.35">
      <c r="B4031" s="47"/>
      <c r="C4031" s="14"/>
      <c r="D4031" s="14"/>
      <c r="E4031" s="14"/>
      <c r="F4031" s="14"/>
      <c r="G4031" s="18"/>
    </row>
    <row r="4032" spans="2:7" x14ac:dyDescent="0.35">
      <c r="B4032" s="47"/>
      <c r="C4032" s="14"/>
      <c r="D4032" s="14"/>
      <c r="E4032" s="14"/>
      <c r="F4032" s="14"/>
      <c r="G4032" s="18"/>
    </row>
    <row r="4033" spans="2:7" x14ac:dyDescent="0.35">
      <c r="B4033" s="47"/>
      <c r="C4033" s="14"/>
      <c r="D4033" s="14"/>
      <c r="E4033" s="14"/>
      <c r="F4033" s="14"/>
      <c r="G4033" s="18"/>
    </row>
    <row r="4034" spans="2:7" x14ac:dyDescent="0.35">
      <c r="B4034" s="47"/>
      <c r="C4034" s="14"/>
      <c r="D4034" s="14"/>
      <c r="E4034" s="14"/>
      <c r="F4034" s="14"/>
      <c r="G4034" s="18"/>
    </row>
    <row r="4035" spans="2:7" x14ac:dyDescent="0.35">
      <c r="B4035" s="47"/>
      <c r="C4035" s="14"/>
      <c r="D4035" s="14"/>
      <c r="E4035" s="14"/>
      <c r="F4035" s="14"/>
      <c r="G4035" s="18"/>
    </row>
    <row r="4036" spans="2:7" x14ac:dyDescent="0.35">
      <c r="B4036" s="47"/>
      <c r="C4036" s="14"/>
      <c r="D4036" s="14"/>
      <c r="E4036" s="14"/>
      <c r="F4036" s="14"/>
      <c r="G4036" s="18"/>
    </row>
    <row r="4037" spans="2:7" x14ac:dyDescent="0.35">
      <c r="B4037" s="47"/>
      <c r="C4037" s="14"/>
      <c r="D4037" s="14"/>
      <c r="E4037" s="14"/>
      <c r="F4037" s="14"/>
      <c r="G4037" s="18"/>
    </row>
    <row r="4038" spans="2:7" x14ac:dyDescent="0.35">
      <c r="B4038" s="47"/>
      <c r="C4038" s="14"/>
      <c r="D4038" s="14"/>
      <c r="E4038" s="14"/>
      <c r="F4038" s="14"/>
      <c r="G4038" s="18"/>
    </row>
    <row r="4039" spans="2:7" x14ac:dyDescent="0.35">
      <c r="B4039" s="47"/>
      <c r="C4039" s="14"/>
      <c r="D4039" s="14"/>
      <c r="E4039" s="14"/>
      <c r="F4039" s="14"/>
      <c r="G4039" s="18"/>
    </row>
    <row r="4040" spans="2:7" x14ac:dyDescent="0.35">
      <c r="B4040" s="47"/>
      <c r="C4040" s="14"/>
      <c r="D4040" s="14"/>
      <c r="E4040" s="14"/>
      <c r="F4040" s="14"/>
      <c r="G4040" s="18"/>
    </row>
    <row r="4041" spans="2:7" x14ac:dyDescent="0.35">
      <c r="B4041" s="47"/>
      <c r="C4041" s="14"/>
      <c r="D4041" s="14"/>
      <c r="E4041" s="14"/>
      <c r="F4041" s="14"/>
      <c r="G4041" s="18"/>
    </row>
    <row r="4042" spans="2:7" x14ac:dyDescent="0.35">
      <c r="B4042" s="47"/>
      <c r="C4042" s="14"/>
      <c r="D4042" s="14"/>
      <c r="E4042" s="14"/>
      <c r="F4042" s="14"/>
      <c r="G4042" s="18"/>
    </row>
    <row r="4043" spans="2:7" x14ac:dyDescent="0.35">
      <c r="B4043" s="47"/>
      <c r="C4043" s="14"/>
      <c r="D4043" s="14"/>
      <c r="E4043" s="14"/>
      <c r="F4043" s="14"/>
      <c r="G4043" s="18"/>
    </row>
    <row r="4044" spans="2:7" x14ac:dyDescent="0.35">
      <c r="B4044" s="47"/>
      <c r="C4044" s="14"/>
      <c r="D4044" s="14"/>
      <c r="E4044" s="14"/>
      <c r="F4044" s="14"/>
      <c r="G4044" s="18"/>
    </row>
    <row r="4045" spans="2:7" x14ac:dyDescent="0.35">
      <c r="B4045" s="47"/>
      <c r="C4045" s="14"/>
      <c r="D4045" s="14"/>
      <c r="E4045" s="14"/>
      <c r="F4045" s="14"/>
      <c r="G4045" s="18"/>
    </row>
    <row r="4046" spans="2:7" x14ac:dyDescent="0.35">
      <c r="B4046" s="47"/>
      <c r="C4046" s="14"/>
      <c r="D4046" s="14"/>
      <c r="E4046" s="14"/>
      <c r="F4046" s="14"/>
      <c r="G4046" s="18"/>
    </row>
    <row r="4047" spans="2:7" x14ac:dyDescent="0.35">
      <c r="B4047" s="47"/>
      <c r="C4047" s="14"/>
      <c r="D4047" s="14"/>
      <c r="E4047" s="14"/>
      <c r="F4047" s="14"/>
      <c r="G4047" s="18"/>
    </row>
    <row r="4048" spans="2:7" x14ac:dyDescent="0.35">
      <c r="B4048" s="47"/>
      <c r="C4048" s="14"/>
      <c r="D4048" s="14"/>
      <c r="E4048" s="14"/>
      <c r="F4048" s="14"/>
      <c r="G4048" s="18"/>
    </row>
    <row r="4049" spans="2:7" x14ac:dyDescent="0.35">
      <c r="B4049" s="47"/>
      <c r="C4049" s="14"/>
      <c r="D4049" s="14"/>
      <c r="E4049" s="14"/>
      <c r="F4049" s="14"/>
      <c r="G4049" s="18"/>
    </row>
    <row r="4050" spans="2:7" x14ac:dyDescent="0.35">
      <c r="B4050" s="47"/>
      <c r="C4050" s="14"/>
      <c r="D4050" s="14"/>
      <c r="E4050" s="14"/>
      <c r="F4050" s="14"/>
      <c r="G4050" s="18"/>
    </row>
    <row r="4051" spans="2:7" x14ac:dyDescent="0.35">
      <c r="B4051" s="47"/>
      <c r="C4051" s="14"/>
      <c r="D4051" s="14"/>
      <c r="E4051" s="14"/>
      <c r="F4051" s="14"/>
      <c r="G4051" s="18"/>
    </row>
    <row r="4052" spans="2:7" x14ac:dyDescent="0.35">
      <c r="B4052" s="47"/>
      <c r="C4052" s="14"/>
      <c r="D4052" s="14"/>
      <c r="E4052" s="14"/>
      <c r="F4052" s="14"/>
      <c r="G4052" s="18"/>
    </row>
    <row r="4053" spans="2:7" x14ac:dyDescent="0.35">
      <c r="B4053" s="47"/>
      <c r="C4053" s="14"/>
      <c r="D4053" s="14"/>
      <c r="E4053" s="14"/>
      <c r="F4053" s="14"/>
      <c r="G4053" s="18"/>
    </row>
    <row r="4054" spans="2:7" x14ac:dyDescent="0.35">
      <c r="B4054" s="47"/>
      <c r="C4054" s="14"/>
      <c r="D4054" s="14"/>
      <c r="E4054" s="14"/>
      <c r="F4054" s="14"/>
      <c r="G4054" s="18"/>
    </row>
    <row r="4055" spans="2:7" x14ac:dyDescent="0.35">
      <c r="B4055" s="47"/>
      <c r="C4055" s="14"/>
      <c r="D4055" s="14"/>
      <c r="E4055" s="14"/>
      <c r="F4055" s="14"/>
      <c r="G4055" s="18"/>
    </row>
    <row r="4056" spans="2:7" x14ac:dyDescent="0.35">
      <c r="B4056" s="47"/>
      <c r="C4056" s="14"/>
      <c r="D4056" s="14"/>
      <c r="E4056" s="14"/>
      <c r="F4056" s="14"/>
      <c r="G4056" s="18"/>
    </row>
    <row r="4057" spans="2:7" x14ac:dyDescent="0.35">
      <c r="B4057" s="47"/>
      <c r="C4057" s="14"/>
      <c r="D4057" s="14"/>
      <c r="E4057" s="14"/>
      <c r="F4057" s="14"/>
      <c r="G4057" s="18"/>
    </row>
    <row r="4058" spans="2:7" x14ac:dyDescent="0.35">
      <c r="B4058" s="47"/>
      <c r="C4058" s="14"/>
      <c r="D4058" s="14"/>
      <c r="E4058" s="14"/>
      <c r="F4058" s="14"/>
      <c r="G4058" s="18"/>
    </row>
    <row r="4059" spans="2:7" x14ac:dyDescent="0.35">
      <c r="B4059" s="47"/>
      <c r="C4059" s="14"/>
      <c r="D4059" s="14"/>
      <c r="E4059" s="14"/>
      <c r="F4059" s="14"/>
      <c r="G4059" s="18"/>
    </row>
    <row r="4060" spans="2:7" x14ac:dyDescent="0.35">
      <c r="B4060" s="47"/>
      <c r="C4060" s="14"/>
      <c r="D4060" s="14"/>
      <c r="E4060" s="14"/>
      <c r="F4060" s="14"/>
      <c r="G4060" s="18"/>
    </row>
    <row r="4061" spans="2:7" x14ac:dyDescent="0.35">
      <c r="B4061" s="47"/>
      <c r="C4061" s="14"/>
      <c r="D4061" s="14"/>
      <c r="E4061" s="14"/>
      <c r="F4061" s="14"/>
      <c r="G4061" s="18"/>
    </row>
    <row r="4062" spans="2:7" x14ac:dyDescent="0.35">
      <c r="B4062" s="47"/>
      <c r="C4062" s="14"/>
      <c r="D4062" s="14"/>
      <c r="E4062" s="14"/>
      <c r="F4062" s="14"/>
      <c r="G4062" s="18"/>
    </row>
    <row r="4063" spans="2:7" x14ac:dyDescent="0.35">
      <c r="B4063" s="47"/>
      <c r="C4063" s="14"/>
      <c r="D4063" s="14"/>
      <c r="E4063" s="14"/>
      <c r="F4063" s="14"/>
      <c r="G4063" s="18"/>
    </row>
    <row r="4064" spans="2:7" x14ac:dyDescent="0.35">
      <c r="B4064" s="47"/>
      <c r="C4064" s="14"/>
      <c r="D4064" s="14"/>
      <c r="E4064" s="14"/>
      <c r="F4064" s="14"/>
      <c r="G4064" s="18"/>
    </row>
    <row r="4065" spans="2:7" x14ac:dyDescent="0.35">
      <c r="B4065" s="47"/>
      <c r="C4065" s="14"/>
      <c r="D4065" s="14"/>
      <c r="E4065" s="14"/>
      <c r="F4065" s="14"/>
      <c r="G4065" s="18"/>
    </row>
    <row r="4066" spans="2:7" x14ac:dyDescent="0.35">
      <c r="B4066" s="47"/>
      <c r="C4066" s="14"/>
      <c r="D4066" s="14"/>
      <c r="E4066" s="14"/>
      <c r="F4066" s="14"/>
      <c r="G4066" s="18"/>
    </row>
    <row r="4067" spans="2:7" x14ac:dyDescent="0.35">
      <c r="B4067" s="47"/>
      <c r="C4067" s="14"/>
      <c r="D4067" s="14"/>
      <c r="E4067" s="14"/>
      <c r="F4067" s="14"/>
      <c r="G4067" s="18"/>
    </row>
    <row r="4068" spans="2:7" x14ac:dyDescent="0.35">
      <c r="B4068" s="47"/>
      <c r="C4068" s="14"/>
      <c r="D4068" s="14"/>
      <c r="E4068" s="14"/>
      <c r="F4068" s="14"/>
      <c r="G4068" s="18"/>
    </row>
    <row r="4069" spans="2:7" x14ac:dyDescent="0.35">
      <c r="B4069" s="47"/>
      <c r="C4069" s="14"/>
      <c r="D4069" s="14"/>
      <c r="E4069" s="14"/>
      <c r="F4069" s="14"/>
      <c r="G4069" s="18"/>
    </row>
    <row r="4070" spans="2:7" x14ac:dyDescent="0.35">
      <c r="B4070" s="47"/>
      <c r="C4070" s="14"/>
      <c r="D4070" s="14"/>
      <c r="E4070" s="14"/>
      <c r="F4070" s="14"/>
      <c r="G4070" s="18"/>
    </row>
    <row r="4071" spans="2:7" x14ac:dyDescent="0.35">
      <c r="B4071" s="47"/>
      <c r="C4071" s="14"/>
      <c r="D4071" s="14"/>
      <c r="E4071" s="14"/>
      <c r="F4071" s="14"/>
      <c r="G4071" s="18"/>
    </row>
    <row r="4072" spans="2:7" x14ac:dyDescent="0.35">
      <c r="B4072" s="47"/>
      <c r="C4072" s="14"/>
      <c r="D4072" s="14"/>
      <c r="E4072" s="14"/>
      <c r="F4072" s="14"/>
      <c r="G4072" s="18"/>
    </row>
    <row r="4073" spans="2:7" x14ac:dyDescent="0.35">
      <c r="B4073" s="47"/>
      <c r="C4073" s="14"/>
      <c r="D4073" s="14"/>
      <c r="E4073" s="14"/>
      <c r="F4073" s="14"/>
      <c r="G4073" s="18"/>
    </row>
    <row r="4074" spans="2:7" x14ac:dyDescent="0.35">
      <c r="B4074" s="47"/>
      <c r="C4074" s="14"/>
      <c r="D4074" s="14"/>
      <c r="E4074" s="14"/>
      <c r="F4074" s="14"/>
      <c r="G4074" s="18"/>
    </row>
    <row r="4075" spans="2:7" x14ac:dyDescent="0.35">
      <c r="B4075" s="47"/>
      <c r="C4075" s="14"/>
      <c r="D4075" s="14"/>
      <c r="E4075" s="14"/>
      <c r="F4075" s="14"/>
      <c r="G4075" s="18"/>
    </row>
    <row r="4076" spans="2:7" x14ac:dyDescent="0.35">
      <c r="B4076" s="47"/>
      <c r="C4076" s="14"/>
      <c r="D4076" s="14"/>
      <c r="E4076" s="14"/>
      <c r="F4076" s="14"/>
      <c r="G4076" s="18"/>
    </row>
    <row r="4077" spans="2:7" x14ac:dyDescent="0.35">
      <c r="B4077" s="47"/>
      <c r="C4077" s="14"/>
      <c r="D4077" s="14"/>
      <c r="E4077" s="14"/>
      <c r="F4077" s="14"/>
      <c r="G4077" s="18"/>
    </row>
    <row r="4078" spans="2:7" x14ac:dyDescent="0.35">
      <c r="B4078" s="47"/>
      <c r="C4078" s="14"/>
      <c r="D4078" s="14"/>
      <c r="E4078" s="14"/>
      <c r="F4078" s="14"/>
      <c r="G4078" s="18"/>
    </row>
    <row r="4079" spans="2:7" x14ac:dyDescent="0.35">
      <c r="B4079" s="47"/>
      <c r="C4079" s="14"/>
      <c r="D4079" s="14"/>
      <c r="E4079" s="14"/>
      <c r="F4079" s="14"/>
      <c r="G4079" s="18"/>
    </row>
    <row r="4080" spans="2:7" x14ac:dyDescent="0.35">
      <c r="B4080" s="47"/>
      <c r="C4080" s="14"/>
      <c r="D4080" s="14"/>
      <c r="E4080" s="14"/>
      <c r="F4080" s="14"/>
      <c r="G4080" s="18"/>
    </row>
    <row r="4081" spans="2:7" x14ac:dyDescent="0.35">
      <c r="B4081" s="47"/>
      <c r="C4081" s="14"/>
      <c r="D4081" s="14"/>
      <c r="E4081" s="14"/>
      <c r="F4081" s="14"/>
      <c r="G4081" s="18"/>
    </row>
    <row r="4082" spans="2:7" x14ac:dyDescent="0.35">
      <c r="B4082" s="47"/>
      <c r="C4082" s="14"/>
      <c r="D4082" s="14"/>
      <c r="E4082" s="14"/>
      <c r="F4082" s="14"/>
      <c r="G4082" s="18"/>
    </row>
    <row r="4083" spans="2:7" x14ac:dyDescent="0.35">
      <c r="B4083" s="47"/>
      <c r="C4083" s="14"/>
      <c r="D4083" s="14"/>
      <c r="E4083" s="14"/>
      <c r="F4083" s="14"/>
      <c r="G4083" s="18"/>
    </row>
    <row r="4084" spans="2:7" x14ac:dyDescent="0.35">
      <c r="B4084" s="47"/>
      <c r="C4084" s="14"/>
      <c r="D4084" s="14"/>
      <c r="E4084" s="14"/>
      <c r="F4084" s="14"/>
      <c r="G4084" s="18"/>
    </row>
    <row r="4085" spans="2:7" x14ac:dyDescent="0.35">
      <c r="B4085" s="47"/>
      <c r="C4085" s="14"/>
      <c r="D4085" s="14"/>
      <c r="E4085" s="14"/>
      <c r="F4085" s="14"/>
      <c r="G4085" s="18"/>
    </row>
    <row r="4086" spans="2:7" x14ac:dyDescent="0.35">
      <c r="B4086" s="47"/>
      <c r="C4086" s="14"/>
      <c r="D4086" s="14"/>
      <c r="E4086" s="14"/>
      <c r="F4086" s="14"/>
      <c r="G4086" s="18"/>
    </row>
    <row r="4087" spans="2:7" x14ac:dyDescent="0.35">
      <c r="B4087" s="47"/>
      <c r="C4087" s="14"/>
      <c r="D4087" s="14"/>
      <c r="E4087" s="14"/>
      <c r="F4087" s="14"/>
      <c r="G4087" s="18"/>
    </row>
    <row r="4088" spans="2:7" x14ac:dyDescent="0.35">
      <c r="B4088" s="47"/>
      <c r="C4088" s="14"/>
      <c r="D4088" s="14"/>
      <c r="E4088" s="14"/>
      <c r="F4088" s="14"/>
      <c r="G4088" s="18"/>
    </row>
    <row r="4089" spans="2:7" x14ac:dyDescent="0.35">
      <c r="B4089" s="47"/>
      <c r="C4089" s="14"/>
      <c r="D4089" s="14"/>
      <c r="E4089" s="14"/>
      <c r="F4089" s="14"/>
      <c r="G4089" s="18"/>
    </row>
    <row r="4090" spans="2:7" x14ac:dyDescent="0.35">
      <c r="B4090" s="47"/>
      <c r="C4090" s="14"/>
      <c r="D4090" s="14"/>
      <c r="E4090" s="14"/>
      <c r="F4090" s="14"/>
      <c r="G4090" s="18"/>
    </row>
    <row r="4091" spans="2:7" x14ac:dyDescent="0.35">
      <c r="B4091" s="47"/>
      <c r="C4091" s="14"/>
      <c r="D4091" s="14"/>
      <c r="E4091" s="14"/>
      <c r="F4091" s="14"/>
      <c r="G4091" s="18"/>
    </row>
    <row r="4092" spans="2:7" x14ac:dyDescent="0.35">
      <c r="B4092" s="47"/>
      <c r="C4092" s="14"/>
      <c r="D4092" s="14"/>
      <c r="E4092" s="14"/>
      <c r="F4092" s="14"/>
      <c r="G4092" s="18"/>
    </row>
    <row r="4093" spans="2:7" x14ac:dyDescent="0.35">
      <c r="B4093" s="47"/>
      <c r="C4093" s="14"/>
      <c r="D4093" s="14"/>
      <c r="E4093" s="14"/>
      <c r="F4093" s="14"/>
      <c r="G4093" s="18"/>
    </row>
    <row r="4094" spans="2:7" x14ac:dyDescent="0.35">
      <c r="B4094" s="47"/>
      <c r="C4094" s="14"/>
      <c r="D4094" s="14"/>
      <c r="E4094" s="14"/>
      <c r="F4094" s="14"/>
      <c r="G4094" s="18"/>
    </row>
    <row r="4095" spans="2:7" x14ac:dyDescent="0.35">
      <c r="B4095" s="47"/>
      <c r="C4095" s="14"/>
      <c r="D4095" s="14"/>
      <c r="E4095" s="14"/>
      <c r="F4095" s="14"/>
      <c r="G4095" s="18"/>
    </row>
    <row r="4096" spans="2:7" x14ac:dyDescent="0.35">
      <c r="B4096" s="47"/>
      <c r="C4096" s="14"/>
      <c r="D4096" s="14"/>
      <c r="E4096" s="14"/>
      <c r="F4096" s="14"/>
      <c r="G4096" s="18"/>
    </row>
    <row r="4097" spans="2:7" x14ac:dyDescent="0.35">
      <c r="B4097" s="47"/>
      <c r="C4097" s="14"/>
      <c r="D4097" s="14"/>
      <c r="E4097" s="14"/>
      <c r="F4097" s="14"/>
      <c r="G4097" s="18"/>
    </row>
    <row r="4098" spans="2:7" x14ac:dyDescent="0.35">
      <c r="B4098" s="47"/>
      <c r="C4098" s="14"/>
      <c r="D4098" s="14"/>
      <c r="E4098" s="14"/>
      <c r="F4098" s="14"/>
      <c r="G4098" s="18"/>
    </row>
    <row r="4099" spans="2:7" x14ac:dyDescent="0.35">
      <c r="B4099" s="47"/>
      <c r="C4099" s="14"/>
      <c r="D4099" s="14"/>
      <c r="E4099" s="14"/>
      <c r="F4099" s="14"/>
      <c r="G4099" s="18"/>
    </row>
    <row r="4100" spans="2:7" x14ac:dyDescent="0.35">
      <c r="B4100" s="47"/>
      <c r="C4100" s="14"/>
      <c r="D4100" s="14"/>
      <c r="E4100" s="14"/>
      <c r="F4100" s="14"/>
      <c r="G4100" s="18"/>
    </row>
    <row r="4101" spans="2:7" x14ac:dyDescent="0.35">
      <c r="B4101" s="47"/>
      <c r="C4101" s="14"/>
      <c r="D4101" s="14"/>
      <c r="E4101" s="14"/>
      <c r="F4101" s="14"/>
      <c r="G4101" s="18"/>
    </row>
    <row r="4102" spans="2:7" x14ac:dyDescent="0.35">
      <c r="B4102" s="47"/>
      <c r="C4102" s="14"/>
      <c r="D4102" s="14"/>
      <c r="E4102" s="14"/>
      <c r="F4102" s="14"/>
      <c r="G4102" s="18"/>
    </row>
    <row r="4103" spans="2:7" x14ac:dyDescent="0.35">
      <c r="B4103" s="47"/>
      <c r="C4103" s="14"/>
      <c r="D4103" s="14"/>
      <c r="E4103" s="14"/>
      <c r="F4103" s="14"/>
      <c r="G4103" s="18"/>
    </row>
    <row r="4104" spans="2:7" x14ac:dyDescent="0.35">
      <c r="B4104" s="47"/>
      <c r="C4104" s="14"/>
      <c r="D4104" s="14"/>
      <c r="E4104" s="14"/>
      <c r="F4104" s="14"/>
      <c r="G4104" s="18"/>
    </row>
    <row r="4105" spans="2:7" x14ac:dyDescent="0.35">
      <c r="B4105" s="47"/>
      <c r="C4105" s="14"/>
      <c r="D4105" s="14"/>
      <c r="E4105" s="14"/>
      <c r="F4105" s="14"/>
      <c r="G4105" s="18"/>
    </row>
    <row r="4106" spans="2:7" x14ac:dyDescent="0.35">
      <c r="B4106" s="47"/>
      <c r="C4106" s="14"/>
      <c r="D4106" s="14"/>
      <c r="E4106" s="14"/>
      <c r="F4106" s="14"/>
      <c r="G4106" s="18"/>
    </row>
    <row r="4107" spans="2:7" x14ac:dyDescent="0.35">
      <c r="B4107" s="47"/>
      <c r="C4107" s="14"/>
      <c r="D4107" s="14"/>
      <c r="E4107" s="14"/>
      <c r="F4107" s="14"/>
      <c r="G4107" s="18"/>
    </row>
    <row r="4108" spans="2:7" x14ac:dyDescent="0.35">
      <c r="B4108" s="47"/>
      <c r="C4108" s="14"/>
      <c r="D4108" s="14"/>
      <c r="E4108" s="14"/>
      <c r="F4108" s="14"/>
      <c r="G4108" s="18"/>
    </row>
    <row r="4109" spans="2:7" x14ac:dyDescent="0.35">
      <c r="B4109" s="47"/>
      <c r="C4109" s="14"/>
      <c r="D4109" s="14"/>
      <c r="E4109" s="14"/>
      <c r="F4109" s="14"/>
      <c r="G4109" s="18"/>
    </row>
    <row r="4110" spans="2:7" x14ac:dyDescent="0.35">
      <c r="B4110" s="47"/>
      <c r="C4110" s="14"/>
      <c r="D4110" s="14"/>
      <c r="E4110" s="14"/>
      <c r="F4110" s="14"/>
      <c r="G4110" s="18"/>
    </row>
    <row r="4111" spans="2:7" x14ac:dyDescent="0.35">
      <c r="B4111" s="47"/>
      <c r="C4111" s="14"/>
      <c r="D4111" s="14"/>
      <c r="E4111" s="14"/>
      <c r="F4111" s="14"/>
      <c r="G4111" s="18"/>
    </row>
    <row r="4112" spans="2:7" x14ac:dyDescent="0.35">
      <c r="B4112" s="47"/>
      <c r="C4112" s="14"/>
      <c r="D4112" s="14"/>
      <c r="E4112" s="14"/>
      <c r="F4112" s="14"/>
      <c r="G4112" s="18"/>
    </row>
    <row r="4113" spans="2:7" x14ac:dyDescent="0.35">
      <c r="B4113" s="47"/>
      <c r="C4113" s="14"/>
      <c r="D4113" s="14"/>
      <c r="E4113" s="14"/>
      <c r="F4113" s="14"/>
      <c r="G4113" s="18"/>
    </row>
    <row r="4114" spans="2:7" x14ac:dyDescent="0.35">
      <c r="B4114" s="47"/>
      <c r="C4114" s="14"/>
      <c r="D4114" s="14"/>
      <c r="E4114" s="14"/>
      <c r="F4114" s="14"/>
      <c r="G4114" s="18"/>
    </row>
    <row r="4115" spans="2:7" x14ac:dyDescent="0.35">
      <c r="B4115" s="47"/>
      <c r="C4115" s="14"/>
      <c r="D4115" s="14"/>
      <c r="E4115" s="14"/>
      <c r="F4115" s="14"/>
      <c r="G4115" s="18"/>
    </row>
    <row r="4116" spans="2:7" x14ac:dyDescent="0.35">
      <c r="B4116" s="47"/>
      <c r="C4116" s="14"/>
      <c r="D4116" s="14"/>
      <c r="E4116" s="14"/>
      <c r="F4116" s="14"/>
      <c r="G4116" s="18"/>
    </row>
    <row r="4117" spans="2:7" x14ac:dyDescent="0.35">
      <c r="B4117" s="47"/>
      <c r="C4117" s="14"/>
      <c r="D4117" s="14"/>
      <c r="E4117" s="14"/>
      <c r="F4117" s="14"/>
      <c r="G4117" s="18"/>
    </row>
    <row r="4118" spans="2:7" x14ac:dyDescent="0.35">
      <c r="B4118" s="47"/>
      <c r="C4118" s="14"/>
      <c r="D4118" s="14"/>
      <c r="E4118" s="14"/>
      <c r="F4118" s="14"/>
      <c r="G4118" s="18"/>
    </row>
    <row r="4119" spans="2:7" x14ac:dyDescent="0.35">
      <c r="B4119" s="47"/>
      <c r="C4119" s="14"/>
      <c r="D4119" s="14"/>
      <c r="E4119" s="14"/>
      <c r="F4119" s="14"/>
      <c r="G4119" s="18"/>
    </row>
    <row r="4120" spans="2:7" x14ac:dyDescent="0.35">
      <c r="B4120" s="47"/>
      <c r="C4120" s="14"/>
      <c r="D4120" s="14"/>
      <c r="E4120" s="14"/>
      <c r="F4120" s="14"/>
      <c r="G4120" s="18"/>
    </row>
    <row r="4121" spans="2:7" x14ac:dyDescent="0.35">
      <c r="B4121" s="47"/>
      <c r="C4121" s="14"/>
      <c r="D4121" s="14"/>
      <c r="E4121" s="14"/>
      <c r="F4121" s="14"/>
      <c r="G4121" s="18"/>
    </row>
    <row r="4122" spans="2:7" x14ac:dyDescent="0.35">
      <c r="B4122" s="47"/>
      <c r="C4122" s="14"/>
      <c r="D4122" s="14"/>
      <c r="E4122" s="14"/>
      <c r="F4122" s="14"/>
      <c r="G4122" s="18"/>
    </row>
    <row r="4123" spans="2:7" x14ac:dyDescent="0.35">
      <c r="B4123" s="47"/>
      <c r="C4123" s="14"/>
      <c r="D4123" s="14"/>
      <c r="E4123" s="14"/>
      <c r="F4123" s="14"/>
      <c r="G4123" s="18"/>
    </row>
    <row r="4124" spans="2:7" x14ac:dyDescent="0.35">
      <c r="B4124" s="47"/>
      <c r="C4124" s="14"/>
      <c r="D4124" s="14"/>
      <c r="E4124" s="14"/>
      <c r="F4124" s="14"/>
      <c r="G4124" s="18"/>
    </row>
    <row r="4125" spans="2:7" x14ac:dyDescent="0.35">
      <c r="B4125" s="47"/>
      <c r="C4125" s="14"/>
      <c r="D4125" s="14"/>
      <c r="E4125" s="14"/>
      <c r="F4125" s="14"/>
      <c r="G4125" s="18"/>
    </row>
    <row r="4126" spans="2:7" x14ac:dyDescent="0.35">
      <c r="B4126" s="47"/>
      <c r="C4126" s="14"/>
      <c r="D4126" s="14"/>
      <c r="E4126" s="14"/>
      <c r="F4126" s="14"/>
      <c r="G4126" s="18"/>
    </row>
    <row r="4127" spans="2:7" x14ac:dyDescent="0.35">
      <c r="B4127" s="47"/>
      <c r="C4127" s="14"/>
      <c r="D4127" s="14"/>
      <c r="E4127" s="14"/>
      <c r="F4127" s="14"/>
      <c r="G4127" s="18"/>
    </row>
    <row r="4128" spans="2:7" x14ac:dyDescent="0.35">
      <c r="B4128" s="47"/>
      <c r="C4128" s="14"/>
      <c r="D4128" s="14"/>
      <c r="E4128" s="14"/>
      <c r="F4128" s="14"/>
      <c r="G4128" s="18"/>
    </row>
    <row r="4129" spans="2:7" x14ac:dyDescent="0.35">
      <c r="B4129" s="47"/>
      <c r="C4129" s="14"/>
      <c r="D4129" s="14"/>
      <c r="E4129" s="14"/>
      <c r="F4129" s="14"/>
      <c r="G4129" s="18"/>
    </row>
    <row r="4130" spans="2:7" x14ac:dyDescent="0.35">
      <c r="B4130" s="47"/>
      <c r="C4130" s="14"/>
      <c r="D4130" s="14"/>
      <c r="E4130" s="14"/>
      <c r="F4130" s="14"/>
      <c r="G4130" s="18"/>
    </row>
    <row r="4131" spans="2:7" x14ac:dyDescent="0.35">
      <c r="B4131" s="47"/>
      <c r="C4131" s="14"/>
      <c r="D4131" s="14"/>
      <c r="E4131" s="14"/>
      <c r="F4131" s="14"/>
      <c r="G4131" s="18"/>
    </row>
    <row r="4132" spans="2:7" x14ac:dyDescent="0.35">
      <c r="B4132" s="47"/>
      <c r="C4132" s="14"/>
      <c r="D4132" s="14"/>
      <c r="E4132" s="14"/>
      <c r="F4132" s="14"/>
      <c r="G4132" s="18"/>
    </row>
    <row r="4133" spans="2:7" x14ac:dyDescent="0.35">
      <c r="B4133" s="47"/>
      <c r="C4133" s="14"/>
      <c r="D4133" s="14"/>
      <c r="E4133" s="14"/>
      <c r="F4133" s="14"/>
      <c r="G4133" s="18"/>
    </row>
    <row r="4134" spans="2:7" x14ac:dyDescent="0.35">
      <c r="B4134" s="47"/>
      <c r="C4134" s="14"/>
      <c r="D4134" s="14"/>
      <c r="E4134" s="14"/>
      <c r="F4134" s="14"/>
      <c r="G4134" s="18"/>
    </row>
    <row r="4135" spans="2:7" x14ac:dyDescent="0.35">
      <c r="B4135" s="47"/>
      <c r="C4135" s="14"/>
      <c r="D4135" s="14"/>
      <c r="E4135" s="14"/>
      <c r="F4135" s="14"/>
      <c r="G4135" s="18"/>
    </row>
    <row r="4136" spans="2:7" x14ac:dyDescent="0.35">
      <c r="B4136" s="47"/>
      <c r="C4136" s="14"/>
      <c r="D4136" s="14"/>
      <c r="E4136" s="14"/>
      <c r="F4136" s="14"/>
      <c r="G4136" s="18"/>
    </row>
    <row r="4137" spans="2:7" x14ac:dyDescent="0.35">
      <c r="B4137" s="47"/>
      <c r="C4137" s="14"/>
      <c r="D4137" s="14"/>
      <c r="E4137" s="14"/>
      <c r="F4137" s="14"/>
      <c r="G4137" s="18"/>
    </row>
    <row r="4138" spans="2:7" x14ac:dyDescent="0.35">
      <c r="B4138" s="47"/>
      <c r="C4138" s="14"/>
      <c r="D4138" s="14"/>
      <c r="E4138" s="14"/>
      <c r="F4138" s="14"/>
      <c r="G4138" s="18"/>
    </row>
    <row r="4139" spans="2:7" x14ac:dyDescent="0.35">
      <c r="B4139" s="47"/>
      <c r="C4139" s="14"/>
      <c r="D4139" s="14"/>
      <c r="E4139" s="14"/>
      <c r="F4139" s="14"/>
      <c r="G4139" s="18"/>
    </row>
    <row r="4140" spans="2:7" x14ac:dyDescent="0.35">
      <c r="B4140" s="47"/>
      <c r="C4140" s="14"/>
      <c r="D4140" s="14"/>
      <c r="E4140" s="14"/>
      <c r="F4140" s="14"/>
      <c r="G4140" s="18"/>
    </row>
    <row r="4141" spans="2:7" x14ac:dyDescent="0.35">
      <c r="B4141" s="47"/>
      <c r="C4141" s="14"/>
      <c r="D4141" s="14"/>
      <c r="E4141" s="14"/>
      <c r="F4141" s="14"/>
      <c r="G4141" s="18"/>
    </row>
    <row r="4142" spans="2:7" x14ac:dyDescent="0.35">
      <c r="B4142" s="47"/>
      <c r="C4142" s="14"/>
      <c r="D4142" s="14"/>
      <c r="E4142" s="14"/>
      <c r="F4142" s="14"/>
      <c r="G4142" s="18"/>
    </row>
    <row r="4143" spans="2:7" x14ac:dyDescent="0.35">
      <c r="B4143" s="47"/>
      <c r="C4143" s="14"/>
      <c r="D4143" s="14"/>
      <c r="E4143" s="14"/>
      <c r="F4143" s="14"/>
      <c r="G4143" s="18"/>
    </row>
    <row r="4144" spans="2:7" x14ac:dyDescent="0.35">
      <c r="B4144" s="47"/>
      <c r="C4144" s="14"/>
      <c r="D4144" s="14"/>
      <c r="E4144" s="14"/>
      <c r="F4144" s="14"/>
      <c r="G4144" s="18"/>
    </row>
    <row r="4145" spans="2:7" x14ac:dyDescent="0.35">
      <c r="B4145" s="47"/>
      <c r="C4145" s="14"/>
      <c r="D4145" s="14"/>
      <c r="E4145" s="14"/>
      <c r="F4145" s="14"/>
      <c r="G4145" s="18"/>
    </row>
    <row r="4146" spans="2:7" x14ac:dyDescent="0.35">
      <c r="B4146" s="47"/>
      <c r="C4146" s="14"/>
      <c r="D4146" s="14"/>
      <c r="E4146" s="14"/>
      <c r="F4146" s="14"/>
      <c r="G4146" s="18"/>
    </row>
    <row r="4147" spans="2:7" x14ac:dyDescent="0.35">
      <c r="B4147" s="47"/>
      <c r="C4147" s="14"/>
      <c r="D4147" s="14"/>
      <c r="E4147" s="14"/>
      <c r="F4147" s="14"/>
      <c r="G4147" s="18"/>
    </row>
    <row r="4148" spans="2:7" x14ac:dyDescent="0.35">
      <c r="B4148" s="47"/>
      <c r="C4148" s="14"/>
      <c r="D4148" s="14"/>
      <c r="E4148" s="14"/>
      <c r="F4148" s="14"/>
      <c r="G4148" s="18"/>
    </row>
    <row r="4149" spans="2:7" x14ac:dyDescent="0.35">
      <c r="B4149" s="47"/>
      <c r="C4149" s="14"/>
      <c r="D4149" s="14"/>
      <c r="E4149" s="14"/>
      <c r="F4149" s="14"/>
      <c r="G4149" s="18"/>
    </row>
    <row r="4150" spans="2:7" x14ac:dyDescent="0.35">
      <c r="B4150" s="47"/>
      <c r="C4150" s="14"/>
      <c r="D4150" s="14"/>
      <c r="E4150" s="14"/>
      <c r="F4150" s="14"/>
      <c r="G4150" s="18"/>
    </row>
    <row r="4151" spans="2:7" x14ac:dyDescent="0.35">
      <c r="B4151" s="47"/>
      <c r="C4151" s="14"/>
      <c r="D4151" s="14"/>
      <c r="E4151" s="14"/>
      <c r="F4151" s="14"/>
      <c r="G4151" s="18"/>
    </row>
    <row r="4152" spans="2:7" x14ac:dyDescent="0.35">
      <c r="B4152" s="47"/>
      <c r="C4152" s="14"/>
      <c r="D4152" s="14"/>
      <c r="E4152" s="14"/>
      <c r="F4152" s="14"/>
      <c r="G4152" s="18"/>
    </row>
    <row r="4153" spans="2:7" x14ac:dyDescent="0.35">
      <c r="B4153" s="47"/>
      <c r="C4153" s="14"/>
      <c r="D4153" s="14"/>
      <c r="E4153" s="14"/>
      <c r="F4153" s="14"/>
      <c r="G4153" s="18"/>
    </row>
    <row r="4154" spans="2:7" x14ac:dyDescent="0.35">
      <c r="B4154" s="47"/>
      <c r="C4154" s="14"/>
      <c r="D4154" s="14"/>
      <c r="E4154" s="14"/>
      <c r="F4154" s="14"/>
      <c r="G4154" s="18"/>
    </row>
    <row r="4155" spans="2:7" x14ac:dyDescent="0.35">
      <c r="B4155" s="47"/>
      <c r="C4155" s="14"/>
      <c r="D4155" s="14"/>
      <c r="E4155" s="14"/>
      <c r="F4155" s="14"/>
      <c r="G4155" s="18"/>
    </row>
    <row r="4156" spans="2:7" x14ac:dyDescent="0.35">
      <c r="B4156" s="47"/>
      <c r="C4156" s="14"/>
      <c r="D4156" s="14"/>
      <c r="E4156" s="14"/>
      <c r="F4156" s="14"/>
      <c r="G4156" s="18"/>
    </row>
    <row r="4157" spans="2:7" x14ac:dyDescent="0.35">
      <c r="B4157" s="47"/>
      <c r="C4157" s="14"/>
      <c r="D4157" s="14"/>
      <c r="E4157" s="14"/>
      <c r="F4157" s="14"/>
      <c r="G4157" s="18"/>
    </row>
    <row r="4158" spans="2:7" x14ac:dyDescent="0.35">
      <c r="B4158" s="47"/>
      <c r="C4158" s="14"/>
      <c r="D4158" s="14"/>
      <c r="E4158" s="14"/>
      <c r="F4158" s="14"/>
      <c r="G4158" s="18"/>
    </row>
    <row r="4159" spans="2:7" x14ac:dyDescent="0.35">
      <c r="B4159" s="47"/>
      <c r="C4159" s="14"/>
      <c r="D4159" s="14"/>
      <c r="E4159" s="14"/>
      <c r="F4159" s="14"/>
      <c r="G4159" s="18"/>
    </row>
    <row r="4160" spans="2:7" x14ac:dyDescent="0.35">
      <c r="B4160" s="47"/>
      <c r="C4160" s="14"/>
      <c r="D4160" s="14"/>
      <c r="E4160" s="14"/>
      <c r="F4160" s="14"/>
      <c r="G4160" s="18"/>
    </row>
    <row r="4161" spans="2:7" x14ac:dyDescent="0.35">
      <c r="B4161" s="47"/>
      <c r="C4161" s="14"/>
      <c r="D4161" s="14"/>
      <c r="E4161" s="14"/>
      <c r="F4161" s="14"/>
      <c r="G4161" s="18"/>
    </row>
    <row r="4162" spans="2:7" x14ac:dyDescent="0.35">
      <c r="B4162" s="47"/>
      <c r="C4162" s="14"/>
      <c r="D4162" s="14"/>
      <c r="E4162" s="14"/>
      <c r="F4162" s="14"/>
      <c r="G4162" s="18"/>
    </row>
    <row r="4163" spans="2:7" x14ac:dyDescent="0.35">
      <c r="B4163" s="47"/>
      <c r="C4163" s="14"/>
      <c r="D4163" s="14"/>
      <c r="E4163" s="14"/>
      <c r="F4163" s="14"/>
      <c r="G4163" s="18"/>
    </row>
    <row r="4164" spans="2:7" x14ac:dyDescent="0.35">
      <c r="B4164" s="47"/>
      <c r="C4164" s="14"/>
      <c r="D4164" s="14"/>
      <c r="E4164" s="14"/>
      <c r="F4164" s="14"/>
      <c r="G4164" s="18"/>
    </row>
    <row r="4165" spans="2:7" x14ac:dyDescent="0.35">
      <c r="B4165" s="47"/>
      <c r="C4165" s="14"/>
      <c r="D4165" s="14"/>
      <c r="E4165" s="14"/>
      <c r="F4165" s="14"/>
      <c r="G4165" s="18"/>
    </row>
    <row r="4166" spans="2:7" x14ac:dyDescent="0.35">
      <c r="B4166" s="47"/>
      <c r="C4166" s="14"/>
      <c r="D4166" s="14"/>
      <c r="E4166" s="14"/>
      <c r="F4166" s="14"/>
      <c r="G4166" s="18"/>
    </row>
    <row r="4167" spans="2:7" x14ac:dyDescent="0.35">
      <c r="B4167" s="47"/>
      <c r="C4167" s="14"/>
      <c r="D4167" s="14"/>
      <c r="E4167" s="14"/>
      <c r="F4167" s="14"/>
      <c r="G4167" s="18"/>
    </row>
    <row r="4168" spans="2:7" x14ac:dyDescent="0.35">
      <c r="B4168" s="47"/>
      <c r="C4168" s="14"/>
      <c r="D4168" s="14"/>
      <c r="E4168" s="14"/>
      <c r="F4168" s="14"/>
      <c r="G4168" s="18"/>
    </row>
    <row r="4169" spans="2:7" x14ac:dyDescent="0.35">
      <c r="B4169" s="47"/>
      <c r="C4169" s="14"/>
      <c r="D4169" s="14"/>
      <c r="E4169" s="14"/>
      <c r="F4169" s="14"/>
      <c r="G4169" s="18"/>
    </row>
    <row r="4170" spans="2:7" x14ac:dyDescent="0.35">
      <c r="B4170" s="47"/>
      <c r="C4170" s="14"/>
      <c r="D4170" s="14"/>
      <c r="E4170" s="14"/>
      <c r="F4170" s="14"/>
      <c r="G4170" s="18"/>
    </row>
    <row r="4171" spans="2:7" x14ac:dyDescent="0.35">
      <c r="B4171" s="47"/>
      <c r="C4171" s="14"/>
      <c r="D4171" s="14"/>
      <c r="E4171" s="14"/>
      <c r="F4171" s="14"/>
      <c r="G4171" s="18"/>
    </row>
    <row r="4172" spans="2:7" x14ac:dyDescent="0.35">
      <c r="B4172" s="47"/>
      <c r="C4172" s="14"/>
      <c r="D4172" s="14"/>
      <c r="E4172" s="14"/>
      <c r="F4172" s="14"/>
      <c r="G4172" s="18"/>
    </row>
    <row r="4173" spans="2:7" x14ac:dyDescent="0.35">
      <c r="B4173" s="47"/>
      <c r="C4173" s="14"/>
      <c r="D4173" s="14"/>
      <c r="E4173" s="14"/>
      <c r="F4173" s="14"/>
      <c r="G4173" s="18"/>
    </row>
    <row r="4174" spans="2:7" x14ac:dyDescent="0.35">
      <c r="B4174" s="47"/>
      <c r="C4174" s="14"/>
      <c r="D4174" s="14"/>
      <c r="E4174" s="14"/>
      <c r="F4174" s="14"/>
      <c r="G4174" s="18"/>
    </row>
    <row r="4175" spans="2:7" x14ac:dyDescent="0.35">
      <c r="B4175" s="47"/>
      <c r="C4175" s="14"/>
      <c r="D4175" s="14"/>
      <c r="E4175" s="14"/>
      <c r="F4175" s="14"/>
      <c r="G4175" s="18"/>
    </row>
    <row r="4176" spans="2:7" x14ac:dyDescent="0.35">
      <c r="B4176" s="47"/>
      <c r="C4176" s="14"/>
      <c r="D4176" s="14"/>
      <c r="E4176" s="14"/>
      <c r="F4176" s="14"/>
      <c r="G4176" s="18"/>
    </row>
    <row r="4177" spans="2:7" x14ac:dyDescent="0.35">
      <c r="B4177" s="47"/>
      <c r="C4177" s="14"/>
      <c r="D4177" s="14"/>
      <c r="E4177" s="14"/>
      <c r="F4177" s="14"/>
      <c r="G4177" s="18"/>
    </row>
    <row r="4178" spans="2:7" x14ac:dyDescent="0.35">
      <c r="B4178" s="47"/>
      <c r="C4178" s="14"/>
      <c r="D4178" s="14"/>
      <c r="E4178" s="14"/>
      <c r="F4178" s="14"/>
      <c r="G4178" s="18"/>
    </row>
    <row r="4179" spans="2:7" x14ac:dyDescent="0.35">
      <c r="B4179" s="47"/>
      <c r="C4179" s="14"/>
      <c r="D4179" s="14"/>
      <c r="E4179" s="14"/>
      <c r="F4179" s="14"/>
      <c r="G4179" s="18"/>
    </row>
    <row r="4180" spans="2:7" x14ac:dyDescent="0.35">
      <c r="B4180" s="47"/>
      <c r="C4180" s="14"/>
      <c r="D4180" s="14"/>
      <c r="E4180" s="14"/>
      <c r="F4180" s="14"/>
      <c r="G4180" s="18"/>
    </row>
    <row r="4181" spans="2:7" x14ac:dyDescent="0.35">
      <c r="B4181" s="47"/>
      <c r="C4181" s="14"/>
      <c r="D4181" s="14"/>
      <c r="E4181" s="14"/>
      <c r="F4181" s="14"/>
      <c r="G4181" s="18"/>
    </row>
    <row r="4182" spans="2:7" x14ac:dyDescent="0.35">
      <c r="B4182" s="47"/>
      <c r="C4182" s="14"/>
      <c r="D4182" s="14"/>
      <c r="E4182" s="14"/>
      <c r="F4182" s="14"/>
      <c r="G4182" s="18"/>
    </row>
    <row r="4183" spans="2:7" x14ac:dyDescent="0.35">
      <c r="B4183" s="47"/>
      <c r="C4183" s="14"/>
      <c r="D4183" s="14"/>
      <c r="E4183" s="14"/>
      <c r="F4183" s="14"/>
      <c r="G4183" s="18"/>
    </row>
    <row r="4184" spans="2:7" x14ac:dyDescent="0.35">
      <c r="B4184" s="47"/>
      <c r="C4184" s="14"/>
      <c r="D4184" s="14"/>
      <c r="E4184" s="14"/>
      <c r="F4184" s="14"/>
      <c r="G4184" s="18"/>
    </row>
    <row r="4185" spans="2:7" x14ac:dyDescent="0.35">
      <c r="B4185" s="47"/>
      <c r="C4185" s="14"/>
      <c r="D4185" s="14"/>
      <c r="E4185" s="14"/>
      <c r="F4185" s="14"/>
      <c r="G4185" s="18"/>
    </row>
    <row r="4186" spans="2:7" x14ac:dyDescent="0.35">
      <c r="B4186" s="47"/>
      <c r="C4186" s="14"/>
      <c r="D4186" s="14"/>
      <c r="E4186" s="14"/>
      <c r="F4186" s="14"/>
      <c r="G4186" s="18"/>
    </row>
    <row r="4187" spans="2:7" x14ac:dyDescent="0.35">
      <c r="B4187" s="47"/>
      <c r="C4187" s="14"/>
      <c r="D4187" s="14"/>
      <c r="E4187" s="14"/>
      <c r="F4187" s="14"/>
      <c r="G4187" s="18"/>
    </row>
    <row r="4188" spans="2:7" x14ac:dyDescent="0.35">
      <c r="B4188" s="47"/>
      <c r="C4188" s="14"/>
      <c r="D4188" s="14"/>
      <c r="E4188" s="14"/>
      <c r="F4188" s="14"/>
      <c r="G4188" s="18"/>
    </row>
    <row r="4189" spans="2:7" x14ac:dyDescent="0.35">
      <c r="B4189" s="47"/>
      <c r="C4189" s="14"/>
      <c r="D4189" s="14"/>
      <c r="E4189" s="14"/>
      <c r="F4189" s="14"/>
      <c r="G4189" s="18"/>
    </row>
    <row r="4190" spans="2:7" x14ac:dyDescent="0.35">
      <c r="B4190" s="47"/>
      <c r="C4190" s="14"/>
      <c r="D4190" s="14"/>
      <c r="E4190" s="14"/>
      <c r="F4190" s="14"/>
      <c r="G4190" s="18"/>
    </row>
    <row r="4191" spans="2:7" x14ac:dyDescent="0.35">
      <c r="B4191" s="47"/>
      <c r="C4191" s="14"/>
      <c r="D4191" s="14"/>
      <c r="E4191" s="14"/>
      <c r="F4191" s="14"/>
      <c r="G4191" s="18"/>
    </row>
    <row r="4192" spans="2:7" x14ac:dyDescent="0.35">
      <c r="B4192" s="47"/>
      <c r="C4192" s="14"/>
      <c r="D4192" s="14"/>
      <c r="E4192" s="14"/>
      <c r="F4192" s="14"/>
      <c r="G4192" s="18"/>
    </row>
    <row r="4193" spans="2:7" x14ac:dyDescent="0.35">
      <c r="B4193" s="47"/>
      <c r="C4193" s="14"/>
      <c r="D4193" s="14"/>
      <c r="E4193" s="14"/>
      <c r="F4193" s="14"/>
      <c r="G4193" s="18"/>
    </row>
    <row r="4194" spans="2:7" x14ac:dyDescent="0.35">
      <c r="B4194" s="47"/>
      <c r="C4194" s="14"/>
      <c r="D4194" s="14"/>
      <c r="E4194" s="14"/>
      <c r="F4194" s="14"/>
      <c r="G4194" s="18"/>
    </row>
    <row r="4195" spans="2:7" x14ac:dyDescent="0.35">
      <c r="B4195" s="47"/>
      <c r="C4195" s="14"/>
      <c r="D4195" s="14"/>
      <c r="E4195" s="14"/>
      <c r="F4195" s="14"/>
      <c r="G4195" s="18"/>
    </row>
    <row r="4196" spans="2:7" x14ac:dyDescent="0.35">
      <c r="B4196" s="47"/>
      <c r="C4196" s="14"/>
      <c r="D4196" s="14"/>
      <c r="E4196" s="14"/>
      <c r="F4196" s="14"/>
      <c r="G4196" s="18"/>
    </row>
    <row r="4197" spans="2:7" x14ac:dyDescent="0.35">
      <c r="B4197" s="47"/>
      <c r="C4197" s="14"/>
      <c r="D4197" s="14"/>
      <c r="E4197" s="14"/>
      <c r="F4197" s="14"/>
      <c r="G4197" s="18"/>
    </row>
    <row r="4198" spans="2:7" x14ac:dyDescent="0.35">
      <c r="B4198" s="47"/>
      <c r="C4198" s="14"/>
      <c r="D4198" s="14"/>
      <c r="E4198" s="14"/>
      <c r="F4198" s="14"/>
      <c r="G4198" s="18"/>
    </row>
    <row r="4199" spans="2:7" x14ac:dyDescent="0.35">
      <c r="B4199" s="47"/>
      <c r="C4199" s="14"/>
      <c r="D4199" s="14"/>
      <c r="E4199" s="14"/>
      <c r="F4199" s="14"/>
      <c r="G4199" s="18"/>
    </row>
    <row r="4200" spans="2:7" x14ac:dyDescent="0.35">
      <c r="B4200" s="47"/>
      <c r="C4200" s="14"/>
      <c r="D4200" s="14"/>
      <c r="E4200" s="14"/>
      <c r="F4200" s="14"/>
      <c r="G4200" s="18"/>
    </row>
    <row r="4201" spans="2:7" x14ac:dyDescent="0.35">
      <c r="B4201" s="47"/>
      <c r="C4201" s="14"/>
      <c r="D4201" s="14"/>
      <c r="E4201" s="14"/>
      <c r="F4201" s="14"/>
      <c r="G4201" s="18"/>
    </row>
    <row r="4202" spans="2:7" x14ac:dyDescent="0.35">
      <c r="B4202" s="47"/>
      <c r="C4202" s="14"/>
      <c r="D4202" s="14"/>
      <c r="E4202" s="14"/>
      <c r="F4202" s="14"/>
      <c r="G4202" s="18"/>
    </row>
    <row r="4203" spans="2:7" x14ac:dyDescent="0.35">
      <c r="B4203" s="47"/>
      <c r="C4203" s="14"/>
      <c r="D4203" s="14"/>
      <c r="E4203" s="14"/>
      <c r="F4203" s="14"/>
      <c r="G4203" s="18"/>
    </row>
    <row r="4204" spans="2:7" x14ac:dyDescent="0.35">
      <c r="B4204" s="47"/>
      <c r="C4204" s="14"/>
      <c r="D4204" s="14"/>
      <c r="E4204" s="14"/>
      <c r="F4204" s="14"/>
      <c r="G4204" s="18"/>
    </row>
    <row r="4205" spans="2:7" x14ac:dyDescent="0.35">
      <c r="B4205" s="47"/>
      <c r="C4205" s="14"/>
      <c r="D4205" s="14"/>
      <c r="E4205" s="14"/>
      <c r="F4205" s="14"/>
      <c r="G4205" s="18"/>
    </row>
    <row r="4206" spans="2:7" x14ac:dyDescent="0.35">
      <c r="B4206" s="47"/>
      <c r="C4206" s="14"/>
      <c r="D4206" s="14"/>
      <c r="E4206" s="14"/>
      <c r="F4206" s="14"/>
      <c r="G4206" s="18"/>
    </row>
    <row r="4207" spans="2:7" x14ac:dyDescent="0.35">
      <c r="B4207" s="47"/>
      <c r="C4207" s="14"/>
      <c r="D4207" s="14"/>
      <c r="E4207" s="14"/>
      <c r="F4207" s="14"/>
      <c r="G4207" s="18"/>
    </row>
    <row r="4208" spans="2:7" x14ac:dyDescent="0.35">
      <c r="B4208" s="47"/>
      <c r="C4208" s="14"/>
      <c r="D4208" s="14"/>
      <c r="E4208" s="14"/>
      <c r="F4208" s="14"/>
      <c r="G4208" s="18"/>
    </row>
    <row r="4209" spans="2:7" x14ac:dyDescent="0.35">
      <c r="B4209" s="47"/>
      <c r="C4209" s="14"/>
      <c r="D4209" s="14"/>
      <c r="E4209" s="14"/>
      <c r="F4209" s="14"/>
      <c r="G4209" s="18"/>
    </row>
    <row r="4210" spans="2:7" x14ac:dyDescent="0.35">
      <c r="B4210" s="47"/>
      <c r="C4210" s="14"/>
      <c r="D4210" s="14"/>
      <c r="E4210" s="14"/>
      <c r="F4210" s="14"/>
      <c r="G4210" s="18"/>
    </row>
    <row r="4211" spans="2:7" x14ac:dyDescent="0.35">
      <c r="B4211" s="47"/>
      <c r="C4211" s="14"/>
      <c r="D4211" s="14"/>
      <c r="E4211" s="14"/>
      <c r="F4211" s="14"/>
      <c r="G4211" s="18"/>
    </row>
    <row r="4212" spans="2:7" x14ac:dyDescent="0.35">
      <c r="B4212" s="47"/>
      <c r="C4212" s="14"/>
      <c r="D4212" s="14"/>
      <c r="E4212" s="14"/>
      <c r="F4212" s="14"/>
      <c r="G4212" s="18"/>
    </row>
    <row r="4213" spans="2:7" x14ac:dyDescent="0.35">
      <c r="B4213" s="47"/>
      <c r="C4213" s="14"/>
      <c r="D4213" s="14"/>
      <c r="E4213" s="14"/>
      <c r="F4213" s="14"/>
      <c r="G4213" s="18"/>
    </row>
    <row r="4214" spans="2:7" x14ac:dyDescent="0.35">
      <c r="B4214" s="47"/>
      <c r="C4214" s="14"/>
      <c r="D4214" s="14"/>
      <c r="E4214" s="14"/>
      <c r="F4214" s="14"/>
      <c r="G4214" s="18"/>
    </row>
    <row r="4215" spans="2:7" x14ac:dyDescent="0.35">
      <c r="B4215" s="47"/>
      <c r="C4215" s="14"/>
      <c r="D4215" s="14"/>
      <c r="E4215" s="14"/>
      <c r="F4215" s="14"/>
      <c r="G4215" s="18"/>
    </row>
    <row r="4216" spans="2:7" x14ac:dyDescent="0.35">
      <c r="B4216" s="47"/>
      <c r="C4216" s="14"/>
      <c r="D4216" s="14"/>
      <c r="E4216" s="14"/>
      <c r="F4216" s="14"/>
      <c r="G4216" s="18"/>
    </row>
    <row r="4217" spans="2:7" x14ac:dyDescent="0.35">
      <c r="B4217" s="47"/>
      <c r="C4217" s="14"/>
      <c r="D4217" s="14"/>
      <c r="E4217" s="14"/>
      <c r="F4217" s="14"/>
      <c r="G4217" s="18"/>
    </row>
    <row r="4218" spans="2:7" x14ac:dyDescent="0.35">
      <c r="B4218" s="47"/>
      <c r="C4218" s="14"/>
      <c r="D4218" s="14"/>
      <c r="E4218" s="14"/>
      <c r="F4218" s="14"/>
      <c r="G4218" s="18"/>
    </row>
    <row r="4219" spans="2:7" x14ac:dyDescent="0.35">
      <c r="B4219" s="47"/>
      <c r="C4219" s="14"/>
      <c r="D4219" s="14"/>
      <c r="E4219" s="14"/>
      <c r="F4219" s="14"/>
      <c r="G4219" s="18"/>
    </row>
    <row r="4220" spans="2:7" x14ac:dyDescent="0.35">
      <c r="B4220" s="47"/>
      <c r="C4220" s="14"/>
      <c r="D4220" s="14"/>
      <c r="E4220" s="14"/>
      <c r="F4220" s="14"/>
      <c r="G4220" s="18"/>
    </row>
    <row r="4221" spans="2:7" x14ac:dyDescent="0.35">
      <c r="B4221" s="47"/>
      <c r="C4221" s="14"/>
      <c r="D4221" s="14"/>
      <c r="E4221" s="14"/>
      <c r="F4221" s="14"/>
      <c r="G4221" s="18"/>
    </row>
    <row r="4222" spans="2:7" x14ac:dyDescent="0.35">
      <c r="B4222" s="47"/>
      <c r="C4222" s="14"/>
      <c r="D4222" s="14"/>
      <c r="E4222" s="14"/>
      <c r="F4222" s="14"/>
      <c r="G4222" s="18"/>
    </row>
    <row r="4223" spans="2:7" x14ac:dyDescent="0.35">
      <c r="B4223" s="47"/>
      <c r="C4223" s="14"/>
      <c r="D4223" s="14"/>
      <c r="E4223" s="14"/>
      <c r="F4223" s="14"/>
      <c r="G4223" s="18"/>
    </row>
    <row r="4224" spans="2:7" x14ac:dyDescent="0.35">
      <c r="B4224" s="47"/>
      <c r="C4224" s="14"/>
      <c r="D4224" s="14"/>
      <c r="E4224" s="14"/>
      <c r="F4224" s="14"/>
      <c r="G4224" s="18"/>
    </row>
    <row r="4225" spans="2:7" x14ac:dyDescent="0.35">
      <c r="B4225" s="47"/>
      <c r="C4225" s="14"/>
      <c r="D4225" s="14"/>
      <c r="E4225" s="14"/>
      <c r="F4225" s="14"/>
      <c r="G4225" s="18"/>
    </row>
    <row r="4226" spans="2:7" x14ac:dyDescent="0.35">
      <c r="B4226" s="47"/>
      <c r="C4226" s="14"/>
      <c r="D4226" s="14"/>
      <c r="E4226" s="14"/>
      <c r="F4226" s="14"/>
      <c r="G4226" s="18"/>
    </row>
    <row r="4227" spans="2:7" x14ac:dyDescent="0.35">
      <c r="B4227" s="47"/>
      <c r="C4227" s="14"/>
      <c r="D4227" s="14"/>
      <c r="E4227" s="14"/>
      <c r="F4227" s="14"/>
      <c r="G4227" s="18"/>
    </row>
    <row r="4228" spans="2:7" x14ac:dyDescent="0.35">
      <c r="B4228" s="47"/>
      <c r="C4228" s="14"/>
      <c r="D4228" s="14"/>
      <c r="E4228" s="14"/>
      <c r="F4228" s="14"/>
      <c r="G4228" s="18"/>
    </row>
    <row r="4229" spans="2:7" x14ac:dyDescent="0.35">
      <c r="B4229" s="47"/>
      <c r="C4229" s="14"/>
      <c r="D4229" s="14"/>
      <c r="E4229" s="14"/>
      <c r="F4229" s="14"/>
      <c r="G4229" s="18"/>
    </row>
    <row r="4230" spans="2:7" x14ac:dyDescent="0.35">
      <c r="B4230" s="47"/>
      <c r="C4230" s="14"/>
      <c r="D4230" s="14"/>
      <c r="E4230" s="14"/>
      <c r="F4230" s="14"/>
      <c r="G4230" s="18"/>
    </row>
    <row r="4231" spans="2:7" x14ac:dyDescent="0.35">
      <c r="B4231" s="47"/>
      <c r="C4231" s="14"/>
      <c r="D4231" s="14"/>
      <c r="E4231" s="14"/>
      <c r="F4231" s="14"/>
      <c r="G4231" s="18"/>
    </row>
    <row r="4232" spans="2:7" x14ac:dyDescent="0.35">
      <c r="B4232" s="47"/>
      <c r="C4232" s="14"/>
      <c r="D4232" s="14"/>
      <c r="E4232" s="14"/>
      <c r="F4232" s="14"/>
      <c r="G4232" s="18"/>
    </row>
    <row r="4233" spans="2:7" x14ac:dyDescent="0.35">
      <c r="B4233" s="47"/>
      <c r="C4233" s="14"/>
      <c r="D4233" s="14"/>
      <c r="E4233" s="14"/>
      <c r="F4233" s="14"/>
      <c r="G4233" s="18"/>
    </row>
    <row r="4234" spans="2:7" x14ac:dyDescent="0.35">
      <c r="B4234" s="47"/>
      <c r="C4234" s="14"/>
      <c r="D4234" s="14"/>
      <c r="E4234" s="14"/>
      <c r="F4234" s="14"/>
      <c r="G4234" s="18"/>
    </row>
    <row r="4235" spans="2:7" x14ac:dyDescent="0.35">
      <c r="B4235" s="47"/>
      <c r="C4235" s="14"/>
      <c r="D4235" s="14"/>
      <c r="E4235" s="14"/>
      <c r="F4235" s="14"/>
      <c r="G4235" s="18"/>
    </row>
    <row r="4236" spans="2:7" x14ac:dyDescent="0.35">
      <c r="B4236" s="47"/>
      <c r="C4236" s="14"/>
      <c r="D4236" s="14"/>
      <c r="E4236" s="14"/>
      <c r="F4236" s="14"/>
      <c r="G4236" s="18"/>
    </row>
    <row r="4237" spans="2:7" x14ac:dyDescent="0.35">
      <c r="B4237" s="47"/>
      <c r="C4237" s="14"/>
      <c r="D4237" s="14"/>
      <c r="E4237" s="14"/>
      <c r="F4237" s="14"/>
      <c r="G4237" s="18"/>
    </row>
    <row r="4238" spans="2:7" x14ac:dyDescent="0.35">
      <c r="B4238" s="47"/>
      <c r="C4238" s="14"/>
      <c r="D4238" s="14"/>
      <c r="E4238" s="14"/>
      <c r="F4238" s="14"/>
      <c r="G4238" s="18"/>
    </row>
    <row r="4239" spans="2:7" x14ac:dyDescent="0.35">
      <c r="B4239" s="47"/>
      <c r="C4239" s="14"/>
      <c r="D4239" s="14"/>
      <c r="E4239" s="14"/>
      <c r="F4239" s="14"/>
      <c r="G4239" s="18"/>
    </row>
    <row r="4240" spans="2:7" x14ac:dyDescent="0.35">
      <c r="B4240" s="47"/>
      <c r="C4240" s="14"/>
      <c r="D4240" s="14"/>
      <c r="E4240" s="14"/>
      <c r="F4240" s="14"/>
      <c r="G4240" s="18"/>
    </row>
    <row r="4241" spans="2:7" x14ac:dyDescent="0.35">
      <c r="B4241" s="47"/>
      <c r="C4241" s="14"/>
      <c r="D4241" s="14"/>
      <c r="E4241" s="14"/>
      <c r="F4241" s="14"/>
      <c r="G4241" s="18"/>
    </row>
    <row r="4242" spans="2:7" x14ac:dyDescent="0.35">
      <c r="B4242" s="47"/>
      <c r="C4242" s="14"/>
      <c r="D4242" s="14"/>
      <c r="E4242" s="14"/>
      <c r="F4242" s="14"/>
      <c r="G4242" s="18"/>
    </row>
    <row r="4243" spans="2:7" x14ac:dyDescent="0.35">
      <c r="B4243" s="47"/>
      <c r="C4243" s="14"/>
      <c r="D4243" s="14"/>
      <c r="E4243" s="14"/>
      <c r="F4243" s="14"/>
      <c r="G4243" s="18"/>
    </row>
    <row r="4244" spans="2:7" x14ac:dyDescent="0.35">
      <c r="B4244" s="47"/>
      <c r="C4244" s="14"/>
      <c r="D4244" s="14"/>
      <c r="E4244" s="14"/>
      <c r="F4244" s="14"/>
      <c r="G4244" s="18"/>
    </row>
    <row r="4245" spans="2:7" x14ac:dyDescent="0.35">
      <c r="B4245" s="47"/>
      <c r="C4245" s="14"/>
      <c r="D4245" s="14"/>
      <c r="E4245" s="14"/>
      <c r="F4245" s="14"/>
      <c r="G4245" s="18"/>
    </row>
    <row r="4246" spans="2:7" x14ac:dyDescent="0.35">
      <c r="B4246" s="47"/>
      <c r="C4246" s="14"/>
      <c r="D4246" s="14"/>
      <c r="E4246" s="14"/>
      <c r="F4246" s="14"/>
      <c r="G4246" s="18"/>
    </row>
    <row r="4247" spans="2:7" x14ac:dyDescent="0.35">
      <c r="B4247" s="47"/>
      <c r="C4247" s="14"/>
      <c r="D4247" s="14"/>
      <c r="E4247" s="14"/>
      <c r="F4247" s="14"/>
      <c r="G4247" s="18"/>
    </row>
    <row r="4248" spans="2:7" x14ac:dyDescent="0.35">
      <c r="B4248" s="47"/>
      <c r="C4248" s="14"/>
      <c r="D4248" s="14"/>
      <c r="E4248" s="14"/>
      <c r="F4248" s="14"/>
      <c r="G4248" s="18"/>
    </row>
    <row r="4249" spans="2:7" x14ac:dyDescent="0.35">
      <c r="B4249" s="47"/>
      <c r="C4249" s="14"/>
      <c r="D4249" s="14"/>
      <c r="E4249" s="14"/>
      <c r="F4249" s="14"/>
      <c r="G4249" s="18"/>
    </row>
    <row r="4250" spans="2:7" x14ac:dyDescent="0.35">
      <c r="B4250" s="47"/>
      <c r="C4250" s="14"/>
      <c r="D4250" s="14"/>
      <c r="E4250" s="14"/>
      <c r="F4250" s="14"/>
      <c r="G4250" s="18"/>
    </row>
    <row r="4251" spans="2:7" x14ac:dyDescent="0.35">
      <c r="B4251" s="47"/>
      <c r="C4251" s="14"/>
      <c r="D4251" s="14"/>
      <c r="E4251" s="14"/>
      <c r="F4251" s="14"/>
      <c r="G4251" s="18"/>
    </row>
    <row r="4252" spans="2:7" x14ac:dyDescent="0.35">
      <c r="B4252" s="47"/>
      <c r="C4252" s="14"/>
      <c r="D4252" s="14"/>
      <c r="E4252" s="14"/>
      <c r="F4252" s="14"/>
      <c r="G4252" s="18"/>
    </row>
    <row r="4253" spans="2:7" x14ac:dyDescent="0.35">
      <c r="B4253" s="47"/>
      <c r="C4253" s="14"/>
      <c r="D4253" s="14"/>
      <c r="E4253" s="14"/>
      <c r="F4253" s="14"/>
      <c r="G4253" s="18"/>
    </row>
    <row r="4254" spans="2:7" x14ac:dyDescent="0.35">
      <c r="B4254" s="47"/>
      <c r="C4254" s="14"/>
      <c r="D4254" s="14"/>
      <c r="E4254" s="14"/>
      <c r="F4254" s="14"/>
      <c r="G4254" s="18"/>
    </row>
    <row r="4255" spans="2:7" x14ac:dyDescent="0.35">
      <c r="B4255" s="47"/>
      <c r="C4255" s="14"/>
      <c r="D4255" s="14"/>
      <c r="E4255" s="14"/>
      <c r="F4255" s="14"/>
      <c r="G4255" s="18"/>
    </row>
    <row r="4256" spans="2:7" x14ac:dyDescent="0.35">
      <c r="B4256" s="47"/>
      <c r="C4256" s="14"/>
      <c r="D4256" s="14"/>
      <c r="E4256" s="14"/>
      <c r="F4256" s="14"/>
      <c r="G4256" s="18"/>
    </row>
    <row r="4257" spans="2:7" x14ac:dyDescent="0.35">
      <c r="B4257" s="47"/>
      <c r="C4257" s="14"/>
      <c r="D4257" s="14"/>
      <c r="E4257" s="14"/>
      <c r="F4257" s="14"/>
      <c r="G4257" s="18"/>
    </row>
    <row r="4258" spans="2:7" x14ac:dyDescent="0.35">
      <c r="B4258" s="47"/>
      <c r="C4258" s="14"/>
      <c r="D4258" s="14"/>
      <c r="E4258" s="14"/>
      <c r="F4258" s="14"/>
      <c r="G4258" s="18"/>
    </row>
    <row r="4259" spans="2:7" x14ac:dyDescent="0.35">
      <c r="B4259" s="47"/>
      <c r="C4259" s="14"/>
      <c r="D4259" s="14"/>
      <c r="E4259" s="14"/>
      <c r="F4259" s="14"/>
      <c r="G4259" s="18"/>
    </row>
    <row r="4260" spans="2:7" x14ac:dyDescent="0.35">
      <c r="B4260" s="47"/>
      <c r="C4260" s="14"/>
      <c r="D4260" s="14"/>
      <c r="E4260" s="14"/>
      <c r="F4260" s="14"/>
      <c r="G4260" s="18"/>
    </row>
    <row r="4261" spans="2:7" x14ac:dyDescent="0.35">
      <c r="B4261" s="47"/>
      <c r="C4261" s="14"/>
      <c r="D4261" s="14"/>
      <c r="E4261" s="14"/>
      <c r="F4261" s="14"/>
      <c r="G4261" s="18"/>
    </row>
    <row r="4262" spans="2:7" x14ac:dyDescent="0.35">
      <c r="B4262" s="47"/>
      <c r="C4262" s="14"/>
      <c r="D4262" s="14"/>
      <c r="E4262" s="14"/>
      <c r="F4262" s="14"/>
      <c r="G4262" s="18"/>
    </row>
    <row r="4263" spans="2:7" x14ac:dyDescent="0.35">
      <c r="B4263" s="47"/>
      <c r="C4263" s="14"/>
      <c r="D4263" s="14"/>
      <c r="E4263" s="14"/>
      <c r="F4263" s="14"/>
      <c r="G4263" s="18"/>
    </row>
    <row r="4264" spans="2:7" x14ac:dyDescent="0.35">
      <c r="B4264" s="47"/>
      <c r="C4264" s="14"/>
      <c r="D4264" s="14"/>
      <c r="E4264" s="14"/>
      <c r="F4264" s="14"/>
      <c r="G4264" s="18"/>
    </row>
    <row r="4265" spans="2:7" x14ac:dyDescent="0.35">
      <c r="B4265" s="47"/>
      <c r="C4265" s="14"/>
      <c r="D4265" s="14"/>
      <c r="E4265" s="14"/>
      <c r="F4265" s="14"/>
      <c r="G4265" s="18"/>
    </row>
    <row r="4266" spans="2:7" x14ac:dyDescent="0.35">
      <c r="B4266" s="47"/>
      <c r="C4266" s="14"/>
      <c r="D4266" s="14"/>
      <c r="E4266" s="14"/>
      <c r="F4266" s="14"/>
      <c r="G4266" s="18"/>
    </row>
    <row r="4267" spans="2:7" x14ac:dyDescent="0.35">
      <c r="B4267" s="47"/>
      <c r="C4267" s="14"/>
      <c r="D4267" s="14"/>
      <c r="E4267" s="14"/>
      <c r="F4267" s="14"/>
      <c r="G4267" s="18"/>
    </row>
    <row r="4268" spans="2:7" x14ac:dyDescent="0.35">
      <c r="B4268" s="47"/>
      <c r="C4268" s="14"/>
      <c r="D4268" s="14"/>
      <c r="E4268" s="14"/>
      <c r="F4268" s="14"/>
      <c r="G4268" s="18"/>
    </row>
    <row r="4269" spans="2:7" x14ac:dyDescent="0.35">
      <c r="B4269" s="47"/>
      <c r="C4269" s="14"/>
      <c r="D4269" s="14"/>
      <c r="E4269" s="14"/>
      <c r="F4269" s="14"/>
      <c r="G4269" s="18"/>
    </row>
    <row r="4270" spans="2:7" x14ac:dyDescent="0.35">
      <c r="B4270" s="47"/>
      <c r="C4270" s="14"/>
      <c r="D4270" s="14"/>
      <c r="E4270" s="14"/>
      <c r="F4270" s="14"/>
      <c r="G4270" s="18"/>
    </row>
    <row r="4271" spans="2:7" x14ac:dyDescent="0.35">
      <c r="B4271" s="47"/>
      <c r="C4271" s="14"/>
      <c r="D4271" s="14"/>
      <c r="E4271" s="14"/>
      <c r="F4271" s="14"/>
      <c r="G4271" s="18"/>
    </row>
    <row r="4272" spans="2:7" x14ac:dyDescent="0.35">
      <c r="B4272" s="47"/>
      <c r="C4272" s="14"/>
      <c r="D4272" s="14"/>
      <c r="E4272" s="14"/>
      <c r="F4272" s="14"/>
      <c r="G4272" s="18"/>
    </row>
    <row r="4273" spans="2:7" x14ac:dyDescent="0.35">
      <c r="B4273" s="47"/>
      <c r="C4273" s="14"/>
      <c r="D4273" s="14"/>
      <c r="E4273" s="14"/>
      <c r="F4273" s="14"/>
      <c r="G4273" s="18"/>
    </row>
    <row r="4274" spans="2:7" x14ac:dyDescent="0.35">
      <c r="B4274" s="47"/>
      <c r="C4274" s="14"/>
      <c r="D4274" s="14"/>
      <c r="E4274" s="14"/>
      <c r="F4274" s="14"/>
      <c r="G4274" s="18"/>
    </row>
    <row r="4275" spans="2:7" x14ac:dyDescent="0.35">
      <c r="B4275" s="47"/>
      <c r="C4275" s="14"/>
      <c r="D4275" s="14"/>
      <c r="E4275" s="14"/>
      <c r="F4275" s="14"/>
      <c r="G4275" s="18"/>
    </row>
    <row r="4276" spans="2:7" x14ac:dyDescent="0.35">
      <c r="B4276" s="47"/>
      <c r="C4276" s="14"/>
      <c r="D4276" s="14"/>
      <c r="E4276" s="14"/>
      <c r="F4276" s="14"/>
      <c r="G4276" s="18"/>
    </row>
    <row r="4277" spans="2:7" x14ac:dyDescent="0.35">
      <c r="B4277" s="47"/>
      <c r="C4277" s="14"/>
      <c r="D4277" s="14"/>
      <c r="E4277" s="14"/>
      <c r="F4277" s="14"/>
      <c r="G4277" s="18"/>
    </row>
    <row r="4278" spans="2:7" x14ac:dyDescent="0.35">
      <c r="B4278" s="47"/>
      <c r="C4278" s="14"/>
      <c r="D4278" s="14"/>
      <c r="E4278" s="14"/>
      <c r="F4278" s="14"/>
      <c r="G4278" s="18"/>
    </row>
    <row r="4279" spans="2:7" x14ac:dyDescent="0.35">
      <c r="B4279" s="47"/>
      <c r="C4279" s="14"/>
      <c r="D4279" s="14"/>
      <c r="E4279" s="14"/>
      <c r="F4279" s="14"/>
      <c r="G4279" s="18"/>
    </row>
    <row r="4280" spans="2:7" x14ac:dyDescent="0.35">
      <c r="B4280" s="47"/>
      <c r="C4280" s="14"/>
      <c r="D4280" s="14"/>
      <c r="E4280" s="14"/>
      <c r="F4280" s="14"/>
      <c r="G4280" s="18"/>
    </row>
    <row r="4281" spans="2:7" x14ac:dyDescent="0.35">
      <c r="B4281" s="47"/>
      <c r="C4281" s="14"/>
      <c r="D4281" s="14"/>
      <c r="E4281" s="14"/>
      <c r="F4281" s="14"/>
      <c r="G4281" s="18"/>
    </row>
    <row r="4282" spans="2:7" x14ac:dyDescent="0.35">
      <c r="B4282" s="47"/>
      <c r="C4282" s="14"/>
      <c r="D4282" s="14"/>
      <c r="E4282" s="14"/>
      <c r="F4282" s="14"/>
      <c r="G4282" s="18"/>
    </row>
    <row r="4283" spans="2:7" x14ac:dyDescent="0.35">
      <c r="B4283" s="47"/>
      <c r="C4283" s="14"/>
      <c r="D4283" s="14"/>
      <c r="E4283" s="14"/>
      <c r="F4283" s="14"/>
      <c r="G4283" s="18"/>
    </row>
    <row r="4284" spans="2:7" x14ac:dyDescent="0.35">
      <c r="B4284" s="47"/>
      <c r="C4284" s="14"/>
      <c r="D4284" s="14"/>
      <c r="E4284" s="14"/>
      <c r="F4284" s="14"/>
      <c r="G4284" s="18"/>
    </row>
    <row r="4285" spans="2:7" x14ac:dyDescent="0.35">
      <c r="B4285" s="47"/>
      <c r="C4285" s="14"/>
      <c r="D4285" s="14"/>
      <c r="E4285" s="14"/>
      <c r="F4285" s="14"/>
      <c r="G4285" s="18"/>
    </row>
    <row r="4286" spans="2:7" x14ac:dyDescent="0.35">
      <c r="B4286" s="47"/>
      <c r="C4286" s="14"/>
      <c r="D4286" s="14"/>
      <c r="E4286" s="14"/>
      <c r="F4286" s="14"/>
      <c r="G4286" s="18"/>
    </row>
    <row r="4287" spans="2:7" x14ac:dyDescent="0.35">
      <c r="B4287" s="47"/>
      <c r="C4287" s="14"/>
      <c r="D4287" s="14"/>
      <c r="E4287" s="14"/>
      <c r="F4287" s="14"/>
      <c r="G4287" s="18"/>
    </row>
    <row r="4288" spans="2:7" x14ac:dyDescent="0.35">
      <c r="B4288" s="47"/>
      <c r="C4288" s="14"/>
      <c r="D4288" s="14"/>
      <c r="E4288" s="14"/>
      <c r="F4288" s="14"/>
      <c r="G4288" s="18"/>
    </row>
    <row r="4289" spans="2:7" x14ac:dyDescent="0.35">
      <c r="B4289" s="47"/>
      <c r="C4289" s="14"/>
      <c r="D4289" s="14"/>
      <c r="E4289" s="14"/>
      <c r="F4289" s="14"/>
      <c r="G4289" s="18"/>
    </row>
    <row r="4290" spans="2:7" x14ac:dyDescent="0.35">
      <c r="B4290" s="47"/>
      <c r="C4290" s="14"/>
      <c r="D4290" s="14"/>
      <c r="E4290" s="14"/>
      <c r="F4290" s="14"/>
      <c r="G4290" s="18"/>
    </row>
    <row r="4291" spans="2:7" x14ac:dyDescent="0.35">
      <c r="B4291" s="47"/>
      <c r="C4291" s="14"/>
      <c r="D4291" s="14"/>
      <c r="E4291" s="14"/>
      <c r="F4291" s="14"/>
      <c r="G4291" s="18"/>
    </row>
    <row r="4292" spans="2:7" x14ac:dyDescent="0.35">
      <c r="B4292" s="47"/>
      <c r="C4292" s="14"/>
      <c r="D4292" s="14"/>
      <c r="E4292" s="14"/>
      <c r="F4292" s="14"/>
      <c r="G4292" s="18"/>
    </row>
    <row r="4293" spans="2:7" x14ac:dyDescent="0.35">
      <c r="B4293" s="47"/>
      <c r="C4293" s="14"/>
      <c r="D4293" s="14"/>
      <c r="E4293" s="14"/>
      <c r="F4293" s="14"/>
      <c r="G4293" s="18"/>
    </row>
    <row r="4294" spans="2:7" x14ac:dyDescent="0.35">
      <c r="B4294" s="47"/>
      <c r="C4294" s="14"/>
      <c r="D4294" s="14"/>
      <c r="E4294" s="14"/>
      <c r="F4294" s="14"/>
      <c r="G4294" s="18"/>
    </row>
    <row r="4295" spans="2:7" x14ac:dyDescent="0.35">
      <c r="B4295" s="47"/>
      <c r="C4295" s="14"/>
      <c r="D4295" s="14"/>
      <c r="E4295" s="14"/>
      <c r="F4295" s="14"/>
      <c r="G4295" s="18"/>
    </row>
    <row r="4296" spans="2:7" x14ac:dyDescent="0.35">
      <c r="B4296" s="47"/>
      <c r="C4296" s="14"/>
      <c r="D4296" s="14"/>
      <c r="E4296" s="14"/>
      <c r="F4296" s="14"/>
      <c r="G4296" s="18"/>
    </row>
    <row r="4297" spans="2:7" x14ac:dyDescent="0.35">
      <c r="B4297" s="47"/>
      <c r="C4297" s="14"/>
      <c r="D4297" s="14"/>
      <c r="E4297" s="14"/>
      <c r="F4297" s="14"/>
      <c r="G4297" s="18"/>
    </row>
    <row r="4298" spans="2:7" x14ac:dyDescent="0.35">
      <c r="B4298" s="47"/>
      <c r="C4298" s="14"/>
      <c r="D4298" s="14"/>
      <c r="E4298" s="14"/>
      <c r="F4298" s="14"/>
      <c r="G4298" s="18"/>
    </row>
    <row r="4299" spans="2:7" x14ac:dyDescent="0.35">
      <c r="B4299" s="47"/>
      <c r="C4299" s="14"/>
      <c r="D4299" s="14"/>
      <c r="E4299" s="14"/>
      <c r="F4299" s="14"/>
      <c r="G4299" s="18"/>
    </row>
    <row r="4300" spans="2:7" x14ac:dyDescent="0.35">
      <c r="B4300" s="47"/>
      <c r="C4300" s="14"/>
      <c r="D4300" s="14"/>
      <c r="E4300" s="14"/>
      <c r="F4300" s="14"/>
      <c r="G4300" s="18"/>
    </row>
    <row r="4301" spans="2:7" x14ac:dyDescent="0.35">
      <c r="B4301" s="47"/>
      <c r="C4301" s="14"/>
      <c r="D4301" s="14"/>
      <c r="E4301" s="14"/>
      <c r="F4301" s="14"/>
      <c r="G4301" s="18"/>
    </row>
    <row r="4302" spans="2:7" x14ac:dyDescent="0.35">
      <c r="B4302" s="47"/>
      <c r="C4302" s="14"/>
      <c r="D4302" s="14"/>
      <c r="E4302" s="14"/>
      <c r="F4302" s="14"/>
      <c r="G4302" s="18"/>
    </row>
    <row r="4303" spans="2:7" x14ac:dyDescent="0.35">
      <c r="B4303" s="47"/>
      <c r="C4303" s="14"/>
      <c r="D4303" s="14"/>
      <c r="E4303" s="14"/>
      <c r="F4303" s="14"/>
      <c r="G4303" s="18"/>
    </row>
    <row r="4304" spans="2:7" x14ac:dyDescent="0.35">
      <c r="B4304" s="47"/>
      <c r="C4304" s="14"/>
      <c r="D4304" s="14"/>
      <c r="E4304" s="14"/>
      <c r="F4304" s="14"/>
      <c r="G4304" s="18"/>
    </row>
    <row r="4305" spans="2:7" x14ac:dyDescent="0.35">
      <c r="B4305" s="47"/>
      <c r="C4305" s="14"/>
      <c r="D4305" s="14"/>
      <c r="E4305" s="14"/>
      <c r="F4305" s="14"/>
      <c r="G4305" s="18"/>
    </row>
    <row r="4306" spans="2:7" x14ac:dyDescent="0.35">
      <c r="B4306" s="47"/>
      <c r="C4306" s="14"/>
      <c r="D4306" s="14"/>
      <c r="E4306" s="14"/>
      <c r="F4306" s="14"/>
      <c r="G4306" s="18"/>
    </row>
    <row r="4307" spans="2:7" x14ac:dyDescent="0.35">
      <c r="B4307" s="47"/>
      <c r="C4307" s="14"/>
      <c r="D4307" s="14"/>
      <c r="E4307" s="14"/>
      <c r="F4307" s="14"/>
      <c r="G4307" s="18"/>
    </row>
    <row r="4308" spans="2:7" x14ac:dyDescent="0.35">
      <c r="B4308" s="47"/>
      <c r="C4308" s="14"/>
      <c r="D4308" s="14"/>
      <c r="E4308" s="14"/>
      <c r="F4308" s="14"/>
      <c r="G4308" s="18"/>
    </row>
    <row r="4309" spans="2:7" x14ac:dyDescent="0.35">
      <c r="B4309" s="47"/>
      <c r="C4309" s="14"/>
      <c r="D4309" s="14"/>
      <c r="E4309" s="14"/>
      <c r="F4309" s="14"/>
      <c r="G4309" s="18"/>
    </row>
    <row r="4310" spans="2:7" x14ac:dyDescent="0.35">
      <c r="B4310" s="47"/>
      <c r="C4310" s="14"/>
      <c r="D4310" s="14"/>
      <c r="E4310" s="14"/>
      <c r="F4310" s="14"/>
      <c r="G4310" s="18"/>
    </row>
    <row r="4311" spans="2:7" x14ac:dyDescent="0.35">
      <c r="B4311" s="47"/>
      <c r="C4311" s="14"/>
      <c r="D4311" s="14"/>
      <c r="E4311" s="14"/>
      <c r="F4311" s="14"/>
      <c r="G4311" s="18"/>
    </row>
    <row r="4312" spans="2:7" x14ac:dyDescent="0.35">
      <c r="B4312" s="47"/>
      <c r="C4312" s="14"/>
      <c r="D4312" s="14"/>
      <c r="E4312" s="14"/>
      <c r="F4312" s="14"/>
      <c r="G4312" s="18"/>
    </row>
    <row r="4313" spans="2:7" x14ac:dyDescent="0.35">
      <c r="B4313" s="47"/>
      <c r="C4313" s="14"/>
      <c r="D4313" s="14"/>
      <c r="E4313" s="14"/>
      <c r="F4313" s="14"/>
      <c r="G4313" s="18"/>
    </row>
    <row r="4314" spans="2:7" x14ac:dyDescent="0.35">
      <c r="B4314" s="47"/>
      <c r="C4314" s="14"/>
      <c r="D4314" s="14"/>
      <c r="E4314" s="14"/>
      <c r="F4314" s="14"/>
      <c r="G4314" s="18"/>
    </row>
    <row r="4315" spans="2:7" x14ac:dyDescent="0.35">
      <c r="B4315" s="47"/>
      <c r="C4315" s="14"/>
      <c r="D4315" s="14"/>
      <c r="E4315" s="14"/>
      <c r="F4315" s="14"/>
      <c r="G4315" s="18"/>
    </row>
    <row r="4316" spans="2:7" x14ac:dyDescent="0.35">
      <c r="B4316" s="47"/>
      <c r="C4316" s="14"/>
      <c r="D4316" s="14"/>
      <c r="E4316" s="14"/>
      <c r="F4316" s="14"/>
      <c r="G4316" s="18"/>
    </row>
    <row r="4317" spans="2:7" x14ac:dyDescent="0.35">
      <c r="B4317" s="47"/>
      <c r="C4317" s="14"/>
      <c r="D4317" s="14"/>
      <c r="E4317" s="14"/>
      <c r="F4317" s="14"/>
      <c r="G4317" s="18"/>
    </row>
    <row r="4318" spans="2:7" x14ac:dyDescent="0.35">
      <c r="B4318" s="47"/>
      <c r="C4318" s="14"/>
      <c r="D4318" s="14"/>
      <c r="E4318" s="14"/>
      <c r="F4318" s="14"/>
      <c r="G4318" s="18"/>
    </row>
    <row r="4319" spans="2:7" x14ac:dyDescent="0.35">
      <c r="B4319" s="47"/>
      <c r="C4319" s="14"/>
      <c r="D4319" s="14"/>
      <c r="E4319" s="14"/>
      <c r="F4319" s="14"/>
      <c r="G4319" s="18"/>
    </row>
    <row r="4320" spans="2:7" x14ac:dyDescent="0.35">
      <c r="B4320" s="47"/>
      <c r="C4320" s="14"/>
      <c r="D4320" s="14"/>
      <c r="E4320" s="14"/>
      <c r="F4320" s="14"/>
      <c r="G4320" s="18"/>
    </row>
    <row r="4321" spans="2:7" x14ac:dyDescent="0.35">
      <c r="B4321" s="47"/>
      <c r="C4321" s="14"/>
      <c r="D4321" s="14"/>
      <c r="E4321" s="14"/>
      <c r="F4321" s="14"/>
      <c r="G4321" s="18"/>
    </row>
    <row r="4322" spans="2:7" x14ac:dyDescent="0.35">
      <c r="B4322" s="47"/>
      <c r="C4322" s="14"/>
      <c r="D4322" s="14"/>
      <c r="E4322" s="14"/>
      <c r="F4322" s="14"/>
      <c r="G4322" s="18"/>
    </row>
    <row r="4323" spans="2:7" x14ac:dyDescent="0.35">
      <c r="B4323" s="47"/>
      <c r="C4323" s="14"/>
      <c r="D4323" s="14"/>
      <c r="E4323" s="14"/>
      <c r="F4323" s="14"/>
      <c r="G4323" s="18"/>
    </row>
    <row r="4324" spans="2:7" x14ac:dyDescent="0.35">
      <c r="B4324" s="47"/>
      <c r="C4324" s="14"/>
      <c r="D4324" s="14"/>
      <c r="E4324" s="14"/>
      <c r="F4324" s="14"/>
      <c r="G4324" s="18"/>
    </row>
    <row r="4325" spans="2:7" x14ac:dyDescent="0.35">
      <c r="B4325" s="47"/>
      <c r="C4325" s="14"/>
      <c r="D4325" s="14"/>
      <c r="E4325" s="14"/>
      <c r="F4325" s="14"/>
      <c r="G4325" s="18"/>
    </row>
    <row r="4326" spans="2:7" x14ac:dyDescent="0.35">
      <c r="B4326" s="47"/>
      <c r="C4326" s="14"/>
      <c r="D4326" s="14"/>
      <c r="E4326" s="14"/>
      <c r="F4326" s="14"/>
      <c r="G4326" s="18"/>
    </row>
    <row r="4327" spans="2:7" x14ac:dyDescent="0.35">
      <c r="B4327" s="47"/>
      <c r="C4327" s="14"/>
      <c r="D4327" s="14"/>
      <c r="E4327" s="14"/>
      <c r="F4327" s="14"/>
      <c r="G4327" s="18"/>
    </row>
    <row r="4328" spans="2:7" x14ac:dyDescent="0.35">
      <c r="B4328" s="47"/>
      <c r="C4328" s="14"/>
      <c r="D4328" s="14"/>
      <c r="E4328" s="14"/>
      <c r="F4328" s="14"/>
      <c r="G4328" s="18"/>
    </row>
    <row r="4329" spans="2:7" x14ac:dyDescent="0.35">
      <c r="B4329" s="47"/>
      <c r="C4329" s="14"/>
      <c r="D4329" s="14"/>
      <c r="E4329" s="14"/>
      <c r="F4329" s="14"/>
      <c r="G4329" s="18"/>
    </row>
    <row r="4330" spans="2:7" x14ac:dyDescent="0.35">
      <c r="B4330" s="47"/>
      <c r="C4330" s="14"/>
      <c r="D4330" s="14"/>
      <c r="E4330" s="14"/>
      <c r="F4330" s="14"/>
      <c r="G4330" s="18"/>
    </row>
    <row r="4331" spans="2:7" x14ac:dyDescent="0.35">
      <c r="B4331" s="47"/>
      <c r="C4331" s="14"/>
      <c r="D4331" s="14"/>
      <c r="E4331" s="14"/>
      <c r="F4331" s="14"/>
      <c r="G4331" s="18"/>
    </row>
    <row r="4332" spans="2:7" x14ac:dyDescent="0.35">
      <c r="B4332" s="47"/>
      <c r="C4332" s="14"/>
      <c r="D4332" s="14"/>
      <c r="E4332" s="14"/>
      <c r="F4332" s="14"/>
      <c r="G4332" s="18"/>
    </row>
    <row r="4333" spans="2:7" x14ac:dyDescent="0.35">
      <c r="B4333" s="47"/>
      <c r="C4333" s="14"/>
      <c r="D4333" s="14"/>
      <c r="E4333" s="14"/>
      <c r="F4333" s="14"/>
      <c r="G4333" s="18"/>
    </row>
    <row r="4334" spans="2:7" x14ac:dyDescent="0.35">
      <c r="B4334" s="47"/>
      <c r="C4334" s="14"/>
      <c r="D4334" s="14"/>
      <c r="E4334" s="14"/>
      <c r="F4334" s="14"/>
      <c r="G4334" s="18"/>
    </row>
    <row r="4335" spans="2:7" x14ac:dyDescent="0.35">
      <c r="B4335" s="47"/>
      <c r="C4335" s="14"/>
      <c r="D4335" s="14"/>
      <c r="E4335" s="14"/>
      <c r="F4335" s="14"/>
      <c r="G4335" s="18"/>
    </row>
    <row r="4336" spans="2:7" x14ac:dyDescent="0.35">
      <c r="B4336" s="47"/>
      <c r="C4336" s="14"/>
      <c r="D4336" s="14"/>
      <c r="E4336" s="14"/>
      <c r="F4336" s="14"/>
      <c r="G4336" s="18"/>
    </row>
    <row r="4337" spans="2:7" x14ac:dyDescent="0.35">
      <c r="B4337" s="47"/>
      <c r="C4337" s="14"/>
      <c r="D4337" s="14"/>
      <c r="E4337" s="14"/>
      <c r="F4337" s="14"/>
      <c r="G4337" s="18"/>
    </row>
    <row r="4338" spans="2:7" x14ac:dyDescent="0.35">
      <c r="B4338" s="47"/>
      <c r="C4338" s="14"/>
      <c r="D4338" s="14"/>
      <c r="E4338" s="14"/>
      <c r="F4338" s="14"/>
      <c r="G4338" s="18"/>
    </row>
    <row r="4339" spans="2:7" x14ac:dyDescent="0.35">
      <c r="B4339" s="47"/>
      <c r="C4339" s="14"/>
      <c r="D4339" s="14"/>
      <c r="E4339" s="14"/>
      <c r="F4339" s="14"/>
      <c r="G4339" s="18"/>
    </row>
    <row r="4340" spans="2:7" x14ac:dyDescent="0.35">
      <c r="B4340" s="47"/>
      <c r="C4340" s="14"/>
      <c r="D4340" s="14"/>
      <c r="E4340" s="14"/>
      <c r="F4340" s="14"/>
      <c r="G4340" s="18"/>
    </row>
    <row r="4341" spans="2:7" x14ac:dyDescent="0.35">
      <c r="B4341" s="47"/>
      <c r="C4341" s="14"/>
      <c r="D4341" s="14"/>
      <c r="E4341" s="14"/>
      <c r="F4341" s="14"/>
      <c r="G4341" s="18"/>
    </row>
    <row r="4342" spans="2:7" x14ac:dyDescent="0.35">
      <c r="B4342" s="47"/>
      <c r="C4342" s="14"/>
      <c r="D4342" s="14"/>
      <c r="E4342" s="14"/>
      <c r="F4342" s="14"/>
      <c r="G4342" s="18"/>
    </row>
    <row r="4343" spans="2:7" x14ac:dyDescent="0.35">
      <c r="B4343" s="47"/>
      <c r="C4343" s="14"/>
      <c r="D4343" s="14"/>
      <c r="E4343" s="14"/>
      <c r="F4343" s="14"/>
      <c r="G4343" s="18"/>
    </row>
    <row r="4344" spans="2:7" x14ac:dyDescent="0.35">
      <c r="B4344" s="47"/>
      <c r="C4344" s="14"/>
      <c r="D4344" s="14"/>
      <c r="E4344" s="14"/>
      <c r="F4344" s="14"/>
      <c r="G4344" s="18"/>
    </row>
    <row r="4345" spans="2:7" x14ac:dyDescent="0.35">
      <c r="B4345" s="47"/>
      <c r="C4345" s="14"/>
      <c r="D4345" s="14"/>
      <c r="E4345" s="14"/>
      <c r="F4345" s="14"/>
      <c r="G4345" s="18"/>
    </row>
    <row r="4346" spans="2:7" x14ac:dyDescent="0.35">
      <c r="B4346" s="47"/>
      <c r="C4346" s="14"/>
      <c r="D4346" s="14"/>
      <c r="E4346" s="14"/>
      <c r="F4346" s="14"/>
      <c r="G4346" s="18"/>
    </row>
    <row r="4347" spans="2:7" x14ac:dyDescent="0.35">
      <c r="B4347" s="47"/>
      <c r="C4347" s="14"/>
      <c r="D4347" s="14"/>
      <c r="E4347" s="14"/>
      <c r="F4347" s="14"/>
      <c r="G4347" s="18"/>
    </row>
    <row r="4348" spans="2:7" x14ac:dyDescent="0.35">
      <c r="B4348" s="47"/>
      <c r="C4348" s="14"/>
      <c r="D4348" s="14"/>
      <c r="E4348" s="14"/>
      <c r="F4348" s="14"/>
      <c r="G4348" s="18"/>
    </row>
    <row r="4349" spans="2:7" x14ac:dyDescent="0.35">
      <c r="B4349" s="47"/>
      <c r="C4349" s="14"/>
      <c r="D4349" s="14"/>
      <c r="E4349" s="14"/>
      <c r="F4349" s="14"/>
      <c r="G4349" s="18"/>
    </row>
    <row r="4350" spans="2:7" x14ac:dyDescent="0.35">
      <c r="B4350" s="47"/>
      <c r="C4350" s="14"/>
      <c r="D4350" s="14"/>
      <c r="E4350" s="14"/>
      <c r="F4350" s="14"/>
      <c r="G4350" s="18"/>
    </row>
    <row r="4351" spans="2:7" x14ac:dyDescent="0.35">
      <c r="B4351" s="47"/>
      <c r="C4351" s="14"/>
      <c r="D4351" s="14"/>
      <c r="E4351" s="14"/>
      <c r="F4351" s="14"/>
      <c r="G4351" s="18"/>
    </row>
    <row r="4352" spans="2:7" x14ac:dyDescent="0.35">
      <c r="B4352" s="47"/>
      <c r="C4352" s="14"/>
      <c r="D4352" s="14"/>
      <c r="E4352" s="14"/>
      <c r="F4352" s="14"/>
      <c r="G4352" s="18"/>
    </row>
    <row r="4353" spans="2:7" x14ac:dyDescent="0.35">
      <c r="B4353" s="47"/>
      <c r="C4353" s="14"/>
      <c r="D4353" s="14"/>
      <c r="E4353" s="14"/>
      <c r="F4353" s="14"/>
      <c r="G4353" s="18"/>
    </row>
    <row r="4354" spans="2:7" x14ac:dyDescent="0.35">
      <c r="B4354" s="47"/>
      <c r="C4354" s="14"/>
      <c r="D4354" s="14"/>
      <c r="E4354" s="14"/>
      <c r="F4354" s="14"/>
      <c r="G4354" s="18"/>
    </row>
    <row r="4355" spans="2:7" x14ac:dyDescent="0.35">
      <c r="B4355" s="47"/>
      <c r="C4355" s="14"/>
      <c r="D4355" s="14"/>
      <c r="E4355" s="14"/>
      <c r="F4355" s="14"/>
      <c r="G4355" s="18"/>
    </row>
    <row r="4356" spans="2:7" x14ac:dyDescent="0.35">
      <c r="B4356" s="47"/>
      <c r="C4356" s="14"/>
      <c r="D4356" s="14"/>
      <c r="E4356" s="14"/>
      <c r="F4356" s="14"/>
      <c r="G4356" s="18"/>
    </row>
    <row r="4357" spans="2:7" x14ac:dyDescent="0.35">
      <c r="B4357" s="47"/>
      <c r="C4357" s="14"/>
      <c r="D4357" s="14"/>
      <c r="E4357" s="14"/>
      <c r="F4357" s="14"/>
      <c r="G4357" s="18"/>
    </row>
    <row r="4358" spans="2:7" x14ac:dyDescent="0.35">
      <c r="B4358" s="47"/>
      <c r="C4358" s="14"/>
      <c r="D4358" s="14"/>
      <c r="E4358" s="14"/>
      <c r="F4358" s="14"/>
      <c r="G4358" s="18"/>
    </row>
    <row r="4359" spans="2:7" x14ac:dyDescent="0.35">
      <c r="B4359" s="47"/>
      <c r="C4359" s="14"/>
      <c r="D4359" s="14"/>
      <c r="E4359" s="14"/>
      <c r="F4359" s="14"/>
      <c r="G4359" s="18"/>
    </row>
    <row r="4360" spans="2:7" x14ac:dyDescent="0.35">
      <c r="B4360" s="47"/>
      <c r="C4360" s="14"/>
      <c r="D4360" s="14"/>
      <c r="E4360" s="14"/>
      <c r="F4360" s="14"/>
      <c r="G4360" s="18"/>
    </row>
    <row r="4361" spans="2:7" x14ac:dyDescent="0.35">
      <c r="B4361" s="47"/>
      <c r="C4361" s="14"/>
      <c r="D4361" s="14"/>
      <c r="E4361" s="14"/>
      <c r="F4361" s="14"/>
      <c r="G4361" s="18"/>
    </row>
    <row r="4362" spans="2:7" x14ac:dyDescent="0.35">
      <c r="B4362" s="47"/>
      <c r="C4362" s="14"/>
      <c r="D4362" s="14"/>
      <c r="E4362" s="14"/>
      <c r="F4362" s="14"/>
      <c r="G4362" s="18"/>
    </row>
    <row r="4363" spans="2:7" x14ac:dyDescent="0.35">
      <c r="B4363" s="47"/>
      <c r="C4363" s="14"/>
      <c r="D4363" s="14"/>
      <c r="E4363" s="14"/>
      <c r="F4363" s="14"/>
      <c r="G4363" s="18"/>
    </row>
    <row r="4364" spans="2:7" x14ac:dyDescent="0.35">
      <c r="B4364" s="47"/>
      <c r="C4364" s="14"/>
      <c r="D4364" s="14"/>
      <c r="E4364" s="14"/>
      <c r="F4364" s="14"/>
      <c r="G4364" s="18"/>
    </row>
    <row r="4365" spans="2:7" x14ac:dyDescent="0.35">
      <c r="B4365" s="47"/>
      <c r="C4365" s="14"/>
      <c r="D4365" s="14"/>
      <c r="E4365" s="14"/>
      <c r="F4365" s="14"/>
      <c r="G4365" s="18"/>
    </row>
    <row r="4366" spans="2:7" x14ac:dyDescent="0.35">
      <c r="B4366" s="47"/>
      <c r="C4366" s="14"/>
      <c r="D4366" s="14"/>
      <c r="E4366" s="14"/>
      <c r="F4366" s="14"/>
      <c r="G4366" s="18"/>
    </row>
    <row r="4367" spans="2:7" x14ac:dyDescent="0.35">
      <c r="B4367" s="47"/>
      <c r="C4367" s="14"/>
      <c r="D4367" s="14"/>
      <c r="E4367" s="14"/>
      <c r="F4367" s="14"/>
      <c r="G4367" s="18"/>
    </row>
    <row r="4368" spans="2:7" x14ac:dyDescent="0.35">
      <c r="B4368" s="47"/>
      <c r="C4368" s="14"/>
      <c r="D4368" s="14"/>
      <c r="E4368" s="14"/>
      <c r="F4368" s="14"/>
      <c r="G4368" s="18"/>
    </row>
    <row r="4369" spans="2:7" x14ac:dyDescent="0.35">
      <c r="B4369" s="47"/>
      <c r="C4369" s="14"/>
      <c r="D4369" s="14"/>
      <c r="E4369" s="14"/>
      <c r="F4369" s="14"/>
      <c r="G4369" s="18"/>
    </row>
    <row r="4370" spans="2:7" x14ac:dyDescent="0.35">
      <c r="B4370" s="47"/>
      <c r="C4370" s="14"/>
      <c r="D4370" s="14"/>
      <c r="E4370" s="14"/>
      <c r="F4370" s="14"/>
      <c r="G4370" s="18"/>
    </row>
    <row r="4371" spans="2:7" x14ac:dyDescent="0.35">
      <c r="B4371" s="47"/>
      <c r="C4371" s="14"/>
      <c r="D4371" s="14"/>
      <c r="E4371" s="14"/>
      <c r="F4371" s="14"/>
      <c r="G4371" s="18"/>
    </row>
    <row r="4372" spans="2:7" x14ac:dyDescent="0.35">
      <c r="B4372" s="47"/>
      <c r="C4372" s="14"/>
      <c r="D4372" s="14"/>
      <c r="E4372" s="14"/>
      <c r="F4372" s="14"/>
      <c r="G4372" s="18"/>
    </row>
    <row r="4373" spans="2:7" x14ac:dyDescent="0.35">
      <c r="B4373" s="47"/>
      <c r="C4373" s="14"/>
      <c r="D4373" s="14"/>
      <c r="E4373" s="14"/>
      <c r="F4373" s="14"/>
      <c r="G4373" s="18"/>
    </row>
    <row r="4374" spans="2:7" x14ac:dyDescent="0.35">
      <c r="B4374" s="47"/>
      <c r="C4374" s="14"/>
      <c r="D4374" s="14"/>
      <c r="E4374" s="14"/>
      <c r="F4374" s="14"/>
      <c r="G4374" s="18"/>
    </row>
    <row r="4375" spans="2:7" x14ac:dyDescent="0.35">
      <c r="B4375" s="47"/>
      <c r="C4375" s="14"/>
      <c r="D4375" s="14"/>
      <c r="E4375" s="14"/>
      <c r="F4375" s="14"/>
      <c r="G4375" s="18"/>
    </row>
    <row r="4376" spans="2:7" x14ac:dyDescent="0.35">
      <c r="B4376" s="47"/>
      <c r="C4376" s="14"/>
      <c r="D4376" s="14"/>
      <c r="E4376" s="14"/>
      <c r="F4376" s="14"/>
      <c r="G4376" s="18"/>
    </row>
    <row r="4377" spans="2:7" x14ac:dyDescent="0.35">
      <c r="B4377" s="47"/>
      <c r="C4377" s="14"/>
      <c r="D4377" s="14"/>
      <c r="E4377" s="14"/>
      <c r="F4377" s="14"/>
      <c r="G4377" s="18"/>
    </row>
    <row r="4378" spans="2:7" x14ac:dyDescent="0.35">
      <c r="B4378" s="47"/>
      <c r="C4378" s="14"/>
      <c r="D4378" s="14"/>
      <c r="E4378" s="14"/>
      <c r="F4378" s="14"/>
      <c r="G4378" s="18"/>
    </row>
    <row r="4379" spans="2:7" x14ac:dyDescent="0.35">
      <c r="B4379" s="47"/>
      <c r="C4379" s="14"/>
      <c r="D4379" s="14"/>
      <c r="E4379" s="14"/>
      <c r="F4379" s="14"/>
      <c r="G4379" s="18"/>
    </row>
    <row r="4380" spans="2:7" x14ac:dyDescent="0.35">
      <c r="B4380" s="47"/>
      <c r="C4380" s="14"/>
      <c r="D4380" s="14"/>
      <c r="E4380" s="14"/>
      <c r="F4380" s="14"/>
      <c r="G4380" s="18"/>
    </row>
    <row r="4381" spans="2:7" x14ac:dyDescent="0.35">
      <c r="B4381" s="47"/>
      <c r="C4381" s="14"/>
      <c r="D4381" s="14"/>
      <c r="E4381" s="14"/>
      <c r="F4381" s="14"/>
      <c r="G4381" s="18"/>
    </row>
    <row r="4382" spans="2:7" x14ac:dyDescent="0.35">
      <c r="B4382" s="47"/>
      <c r="C4382" s="14"/>
      <c r="D4382" s="14"/>
      <c r="E4382" s="14"/>
      <c r="F4382" s="14"/>
      <c r="G4382" s="18"/>
    </row>
    <row r="4383" spans="2:7" x14ac:dyDescent="0.35">
      <c r="B4383" s="47"/>
      <c r="C4383" s="14"/>
      <c r="D4383" s="14"/>
      <c r="E4383" s="14"/>
      <c r="F4383" s="14"/>
      <c r="G4383" s="18"/>
    </row>
    <row r="4384" spans="2:7" x14ac:dyDescent="0.35">
      <c r="B4384" s="47"/>
      <c r="C4384" s="14"/>
      <c r="D4384" s="14"/>
      <c r="E4384" s="14"/>
      <c r="F4384" s="14"/>
      <c r="G4384" s="18"/>
    </row>
    <row r="4385" spans="2:7" x14ac:dyDescent="0.35">
      <c r="B4385" s="47"/>
      <c r="C4385" s="14"/>
      <c r="D4385" s="14"/>
      <c r="E4385" s="14"/>
      <c r="F4385" s="14"/>
      <c r="G4385" s="18"/>
    </row>
    <row r="4386" spans="2:7" x14ac:dyDescent="0.35">
      <c r="B4386" s="47"/>
      <c r="C4386" s="14"/>
      <c r="D4386" s="14"/>
      <c r="E4386" s="14"/>
      <c r="F4386" s="14"/>
      <c r="G4386" s="18"/>
    </row>
    <row r="4387" spans="2:7" x14ac:dyDescent="0.35">
      <c r="B4387" s="47"/>
      <c r="C4387" s="14"/>
      <c r="D4387" s="14"/>
      <c r="E4387" s="14"/>
      <c r="F4387" s="14"/>
      <c r="G4387" s="18"/>
    </row>
    <row r="4388" spans="2:7" x14ac:dyDescent="0.35">
      <c r="B4388" s="47"/>
      <c r="C4388" s="14"/>
      <c r="D4388" s="14"/>
      <c r="E4388" s="14"/>
      <c r="F4388" s="14"/>
      <c r="G4388" s="18"/>
    </row>
    <row r="4389" spans="2:7" x14ac:dyDescent="0.35">
      <c r="B4389" s="47"/>
      <c r="C4389" s="14"/>
      <c r="D4389" s="14"/>
      <c r="E4389" s="14"/>
      <c r="F4389" s="14"/>
      <c r="G4389" s="18"/>
    </row>
    <row r="4390" spans="2:7" x14ac:dyDescent="0.35">
      <c r="B4390" s="47"/>
      <c r="C4390" s="14"/>
      <c r="D4390" s="14"/>
      <c r="E4390" s="14"/>
      <c r="F4390" s="14"/>
      <c r="G4390" s="18"/>
    </row>
    <row r="4391" spans="2:7" x14ac:dyDescent="0.35">
      <c r="B4391" s="47"/>
      <c r="C4391" s="14"/>
      <c r="D4391" s="14"/>
      <c r="E4391" s="14"/>
      <c r="F4391" s="14"/>
      <c r="G4391" s="18"/>
    </row>
    <row r="4392" spans="2:7" x14ac:dyDescent="0.35">
      <c r="B4392" s="47"/>
      <c r="C4392" s="14"/>
      <c r="D4392" s="14"/>
      <c r="E4392" s="14"/>
      <c r="F4392" s="14"/>
      <c r="G4392" s="18"/>
    </row>
    <row r="4393" spans="2:7" x14ac:dyDescent="0.35">
      <c r="B4393" s="47"/>
      <c r="C4393" s="14"/>
      <c r="D4393" s="14"/>
      <c r="E4393" s="14"/>
      <c r="F4393" s="14"/>
      <c r="G4393" s="18"/>
    </row>
    <row r="4394" spans="2:7" x14ac:dyDescent="0.35">
      <c r="B4394" s="47"/>
      <c r="C4394" s="14"/>
      <c r="D4394" s="14"/>
      <c r="E4394" s="14"/>
      <c r="F4394" s="14"/>
      <c r="G4394" s="18"/>
    </row>
    <row r="4395" spans="2:7" x14ac:dyDescent="0.35">
      <c r="B4395" s="47"/>
      <c r="C4395" s="14"/>
      <c r="D4395" s="14"/>
      <c r="E4395" s="14"/>
      <c r="F4395" s="14"/>
      <c r="G4395" s="18"/>
    </row>
    <row r="4396" spans="2:7" x14ac:dyDescent="0.35">
      <c r="B4396" s="47"/>
      <c r="C4396" s="14"/>
      <c r="D4396" s="14"/>
      <c r="E4396" s="14"/>
      <c r="F4396" s="14"/>
      <c r="G4396" s="18"/>
    </row>
    <row r="4397" spans="2:7" x14ac:dyDescent="0.35">
      <c r="B4397" s="47"/>
      <c r="C4397" s="14"/>
      <c r="D4397" s="14"/>
      <c r="E4397" s="14"/>
      <c r="F4397" s="14"/>
      <c r="G4397" s="18"/>
    </row>
    <row r="4398" spans="2:7" x14ac:dyDescent="0.35">
      <c r="B4398" s="47"/>
      <c r="C4398" s="14"/>
      <c r="D4398" s="14"/>
      <c r="E4398" s="14"/>
      <c r="F4398" s="14"/>
      <c r="G4398" s="18"/>
    </row>
    <row r="4399" spans="2:7" x14ac:dyDescent="0.35">
      <c r="B4399" s="47"/>
      <c r="C4399" s="14"/>
      <c r="D4399" s="14"/>
      <c r="E4399" s="14"/>
      <c r="F4399" s="14"/>
      <c r="G4399" s="18"/>
    </row>
    <row r="4400" spans="2:7" x14ac:dyDescent="0.35">
      <c r="B4400" s="47"/>
      <c r="C4400" s="14"/>
      <c r="D4400" s="14"/>
      <c r="E4400" s="14"/>
      <c r="F4400" s="14"/>
      <c r="G4400" s="18"/>
    </row>
    <row r="4401" spans="2:7" x14ac:dyDescent="0.35">
      <c r="B4401" s="47"/>
      <c r="C4401" s="14"/>
      <c r="D4401" s="14"/>
      <c r="E4401" s="14"/>
      <c r="F4401" s="14"/>
      <c r="G4401" s="18"/>
    </row>
    <row r="4402" spans="2:7" x14ac:dyDescent="0.35">
      <c r="B4402" s="47"/>
      <c r="C4402" s="14"/>
      <c r="D4402" s="14"/>
      <c r="E4402" s="14"/>
      <c r="F4402" s="14"/>
      <c r="G4402" s="18"/>
    </row>
    <row r="4403" spans="2:7" x14ac:dyDescent="0.35">
      <c r="B4403" s="47"/>
      <c r="C4403" s="14"/>
      <c r="D4403" s="14"/>
      <c r="E4403" s="14"/>
      <c r="F4403" s="14"/>
      <c r="G4403" s="18"/>
    </row>
    <row r="4404" spans="2:7" x14ac:dyDescent="0.35">
      <c r="B4404" s="47"/>
      <c r="C4404" s="14"/>
      <c r="D4404" s="14"/>
      <c r="E4404" s="14"/>
      <c r="F4404" s="14"/>
      <c r="G4404" s="18"/>
    </row>
    <row r="4405" spans="2:7" x14ac:dyDescent="0.35">
      <c r="B4405" s="47"/>
      <c r="C4405" s="14"/>
      <c r="D4405" s="14"/>
      <c r="E4405" s="14"/>
      <c r="F4405" s="14"/>
      <c r="G4405" s="18"/>
    </row>
    <row r="4406" spans="2:7" x14ac:dyDescent="0.35">
      <c r="B4406" s="47"/>
      <c r="C4406" s="14"/>
      <c r="D4406" s="14"/>
      <c r="E4406" s="14"/>
      <c r="F4406" s="14"/>
      <c r="G4406" s="18"/>
    </row>
    <row r="4407" spans="2:7" x14ac:dyDescent="0.35">
      <c r="B4407" s="47"/>
      <c r="C4407" s="14"/>
      <c r="D4407" s="14"/>
      <c r="E4407" s="14"/>
      <c r="F4407" s="14"/>
      <c r="G4407" s="18"/>
    </row>
    <row r="4408" spans="2:7" x14ac:dyDescent="0.35">
      <c r="B4408" s="47"/>
      <c r="C4408" s="14"/>
      <c r="D4408" s="14"/>
      <c r="E4408" s="14"/>
      <c r="F4408" s="14"/>
      <c r="G4408" s="18"/>
    </row>
    <row r="4409" spans="2:7" x14ac:dyDescent="0.35">
      <c r="B4409" s="47"/>
      <c r="C4409" s="14"/>
      <c r="D4409" s="14"/>
      <c r="E4409" s="14"/>
      <c r="F4409" s="14"/>
      <c r="G4409" s="18"/>
    </row>
    <row r="4410" spans="2:7" x14ac:dyDescent="0.35">
      <c r="B4410" s="47"/>
      <c r="C4410" s="14"/>
      <c r="D4410" s="14"/>
      <c r="E4410" s="14"/>
      <c r="F4410" s="14"/>
      <c r="G4410" s="18"/>
    </row>
    <row r="4411" spans="2:7" x14ac:dyDescent="0.35">
      <c r="B4411" s="47"/>
      <c r="C4411" s="14"/>
      <c r="D4411" s="14"/>
      <c r="E4411" s="14"/>
      <c r="F4411" s="14"/>
      <c r="G4411" s="18"/>
    </row>
    <row r="4412" spans="2:7" x14ac:dyDescent="0.35">
      <c r="B4412" s="47"/>
      <c r="C4412" s="14"/>
      <c r="D4412" s="14"/>
      <c r="E4412" s="14"/>
      <c r="F4412" s="14"/>
      <c r="G4412" s="18"/>
    </row>
    <row r="4413" spans="2:7" x14ac:dyDescent="0.35">
      <c r="B4413" s="47"/>
      <c r="C4413" s="14"/>
      <c r="D4413" s="14"/>
      <c r="E4413" s="14"/>
      <c r="F4413" s="14"/>
      <c r="G4413" s="18"/>
    </row>
    <row r="4414" spans="2:7" x14ac:dyDescent="0.35">
      <c r="B4414" s="47"/>
      <c r="C4414" s="14"/>
      <c r="D4414" s="14"/>
      <c r="E4414" s="14"/>
      <c r="F4414" s="14"/>
      <c r="G4414" s="18"/>
    </row>
    <row r="4415" spans="2:7" x14ac:dyDescent="0.35">
      <c r="B4415" s="47"/>
      <c r="C4415" s="14"/>
      <c r="D4415" s="14"/>
      <c r="E4415" s="14"/>
      <c r="F4415" s="14"/>
      <c r="G4415" s="18"/>
    </row>
    <row r="4416" spans="2:7" x14ac:dyDescent="0.35">
      <c r="B4416" s="47"/>
      <c r="C4416" s="14"/>
      <c r="D4416" s="14"/>
      <c r="E4416" s="14"/>
      <c r="F4416" s="14"/>
      <c r="G4416" s="18"/>
    </row>
    <row r="4417" spans="2:7" x14ac:dyDescent="0.35">
      <c r="B4417" s="47"/>
      <c r="C4417" s="14"/>
      <c r="D4417" s="14"/>
      <c r="E4417" s="14"/>
      <c r="F4417" s="14"/>
      <c r="G4417" s="18"/>
    </row>
    <row r="4418" spans="2:7" x14ac:dyDescent="0.35">
      <c r="B4418" s="47"/>
      <c r="C4418" s="14"/>
      <c r="D4418" s="14"/>
      <c r="E4418" s="14"/>
      <c r="F4418" s="14"/>
      <c r="G4418" s="18"/>
    </row>
    <row r="4419" spans="2:7" x14ac:dyDescent="0.35">
      <c r="B4419" s="47"/>
      <c r="C4419" s="14"/>
      <c r="D4419" s="14"/>
      <c r="E4419" s="14"/>
      <c r="F4419" s="14"/>
      <c r="G4419" s="18"/>
    </row>
    <row r="4420" spans="2:7" x14ac:dyDescent="0.35">
      <c r="B4420" s="47"/>
      <c r="C4420" s="14"/>
      <c r="D4420" s="14"/>
      <c r="E4420" s="14"/>
      <c r="F4420" s="14"/>
      <c r="G4420" s="18"/>
    </row>
    <row r="4421" spans="2:7" x14ac:dyDescent="0.35">
      <c r="B4421" s="47"/>
      <c r="C4421" s="14"/>
      <c r="D4421" s="14"/>
      <c r="E4421" s="14"/>
      <c r="F4421" s="14"/>
      <c r="G4421" s="18"/>
    </row>
    <row r="4422" spans="2:7" x14ac:dyDescent="0.35">
      <c r="B4422" s="47"/>
      <c r="C4422" s="14"/>
      <c r="D4422" s="14"/>
      <c r="E4422" s="14"/>
      <c r="F4422" s="14"/>
      <c r="G4422" s="18"/>
    </row>
    <row r="4423" spans="2:7" x14ac:dyDescent="0.35">
      <c r="B4423" s="47"/>
      <c r="C4423" s="14"/>
      <c r="D4423" s="14"/>
      <c r="E4423" s="14"/>
      <c r="F4423" s="14"/>
      <c r="G4423" s="18"/>
    </row>
    <row r="4424" spans="2:7" x14ac:dyDescent="0.35">
      <c r="B4424" s="47"/>
      <c r="C4424" s="14"/>
      <c r="D4424" s="14"/>
      <c r="E4424" s="14"/>
      <c r="F4424" s="14"/>
      <c r="G4424" s="18"/>
    </row>
    <row r="4425" spans="2:7" x14ac:dyDescent="0.35">
      <c r="B4425" s="47"/>
      <c r="C4425" s="14"/>
      <c r="D4425" s="14"/>
      <c r="E4425" s="14"/>
      <c r="F4425" s="14"/>
      <c r="G4425" s="18"/>
    </row>
    <row r="4426" spans="2:7" x14ac:dyDescent="0.35">
      <c r="B4426" s="47"/>
      <c r="C4426" s="14"/>
      <c r="D4426" s="14"/>
      <c r="E4426" s="14"/>
      <c r="F4426" s="14"/>
      <c r="G4426" s="18"/>
    </row>
    <row r="4427" spans="2:7" x14ac:dyDescent="0.35">
      <c r="B4427" s="47"/>
      <c r="C4427" s="14"/>
      <c r="D4427" s="14"/>
      <c r="E4427" s="14"/>
      <c r="F4427" s="14"/>
      <c r="G4427" s="18"/>
    </row>
    <row r="4428" spans="2:7" x14ac:dyDescent="0.35">
      <c r="B4428" s="47"/>
      <c r="C4428" s="14"/>
      <c r="D4428" s="14"/>
      <c r="E4428" s="14"/>
      <c r="F4428" s="14"/>
      <c r="G4428" s="18"/>
    </row>
    <row r="4429" spans="2:7" x14ac:dyDescent="0.35">
      <c r="B4429" s="47"/>
      <c r="C4429" s="14"/>
      <c r="D4429" s="14"/>
      <c r="E4429" s="14"/>
      <c r="F4429" s="14"/>
      <c r="G4429" s="18"/>
    </row>
    <row r="4430" spans="2:7" x14ac:dyDescent="0.35">
      <c r="B4430" s="47"/>
      <c r="C4430" s="14"/>
      <c r="D4430" s="14"/>
      <c r="E4430" s="14"/>
      <c r="F4430" s="14"/>
      <c r="G4430" s="18"/>
    </row>
    <row r="4431" spans="2:7" x14ac:dyDescent="0.35">
      <c r="B4431" s="47"/>
      <c r="C4431" s="14"/>
      <c r="D4431" s="14"/>
      <c r="E4431" s="14"/>
      <c r="F4431" s="14"/>
      <c r="G4431" s="18"/>
    </row>
    <row r="4432" spans="2:7" x14ac:dyDescent="0.35">
      <c r="B4432" s="47"/>
      <c r="C4432" s="14"/>
      <c r="D4432" s="14"/>
      <c r="E4432" s="14"/>
      <c r="F4432" s="14"/>
      <c r="G4432" s="18"/>
    </row>
    <row r="4433" spans="2:7" x14ac:dyDescent="0.35">
      <c r="B4433" s="47"/>
      <c r="C4433" s="14"/>
      <c r="D4433" s="14"/>
      <c r="E4433" s="14"/>
      <c r="F4433" s="14"/>
      <c r="G4433" s="18"/>
    </row>
    <row r="4434" spans="2:7" x14ac:dyDescent="0.35">
      <c r="B4434" s="47"/>
      <c r="C4434" s="14"/>
      <c r="D4434" s="14"/>
      <c r="E4434" s="14"/>
      <c r="F4434" s="14"/>
      <c r="G4434" s="18"/>
    </row>
    <row r="4435" spans="2:7" x14ac:dyDescent="0.35">
      <c r="B4435" s="47"/>
      <c r="C4435" s="14"/>
      <c r="D4435" s="14"/>
      <c r="E4435" s="14"/>
      <c r="F4435" s="14"/>
      <c r="G4435" s="18"/>
    </row>
    <row r="4436" spans="2:7" x14ac:dyDescent="0.35">
      <c r="B4436" s="47"/>
      <c r="C4436" s="14"/>
      <c r="D4436" s="14"/>
      <c r="E4436" s="14"/>
      <c r="F4436" s="14"/>
      <c r="G4436" s="18"/>
    </row>
    <row r="4437" spans="2:7" x14ac:dyDescent="0.35">
      <c r="B4437" s="47"/>
      <c r="C4437" s="14"/>
      <c r="D4437" s="14"/>
      <c r="E4437" s="14"/>
      <c r="F4437" s="14"/>
      <c r="G4437" s="18"/>
    </row>
    <row r="4438" spans="2:7" x14ac:dyDescent="0.35">
      <c r="B4438" s="47"/>
      <c r="C4438" s="14"/>
      <c r="D4438" s="14"/>
      <c r="E4438" s="14"/>
      <c r="F4438" s="14"/>
      <c r="G4438" s="18"/>
    </row>
    <row r="4439" spans="2:7" x14ac:dyDescent="0.35">
      <c r="B4439" s="47"/>
      <c r="C4439" s="14"/>
      <c r="D4439" s="14"/>
      <c r="E4439" s="14"/>
      <c r="F4439" s="14"/>
      <c r="G4439" s="18"/>
    </row>
    <row r="4440" spans="2:7" x14ac:dyDescent="0.35">
      <c r="B4440" s="47"/>
      <c r="C4440" s="14"/>
      <c r="D4440" s="14"/>
      <c r="E4440" s="14"/>
      <c r="F4440" s="14"/>
      <c r="G4440" s="18"/>
    </row>
    <row r="4441" spans="2:7" x14ac:dyDescent="0.35">
      <c r="B4441" s="47"/>
      <c r="C4441" s="14"/>
      <c r="D4441" s="14"/>
      <c r="E4441" s="14"/>
      <c r="F4441" s="14"/>
      <c r="G4441" s="18"/>
    </row>
    <row r="4442" spans="2:7" x14ac:dyDescent="0.35">
      <c r="B4442" s="47"/>
      <c r="C4442" s="14"/>
      <c r="D4442" s="14"/>
      <c r="E4442" s="14"/>
      <c r="F4442" s="14"/>
      <c r="G4442" s="18"/>
    </row>
    <row r="4443" spans="2:7" x14ac:dyDescent="0.35">
      <c r="B4443" s="47"/>
      <c r="C4443" s="14"/>
      <c r="D4443" s="14"/>
      <c r="E4443" s="14"/>
      <c r="F4443" s="14"/>
      <c r="G4443" s="18"/>
    </row>
    <row r="4444" spans="2:7" x14ac:dyDescent="0.35">
      <c r="B4444" s="47"/>
      <c r="C4444" s="14"/>
      <c r="D4444" s="14"/>
      <c r="E4444" s="14"/>
      <c r="F4444" s="14"/>
      <c r="G4444" s="18"/>
    </row>
    <row r="4445" spans="2:7" x14ac:dyDescent="0.35">
      <c r="B4445" s="47"/>
      <c r="C4445" s="14"/>
      <c r="D4445" s="14"/>
      <c r="E4445" s="14"/>
      <c r="F4445" s="14"/>
      <c r="G4445" s="18"/>
    </row>
    <row r="4446" spans="2:7" x14ac:dyDescent="0.35">
      <c r="B4446" s="47"/>
      <c r="C4446" s="14"/>
      <c r="D4446" s="14"/>
      <c r="E4446" s="14"/>
      <c r="F4446" s="14"/>
      <c r="G4446" s="18"/>
    </row>
    <row r="4447" spans="2:7" x14ac:dyDescent="0.35">
      <c r="B4447" s="47"/>
      <c r="C4447" s="14"/>
      <c r="D4447" s="14"/>
      <c r="E4447" s="14"/>
      <c r="F4447" s="14"/>
      <c r="G4447" s="18"/>
    </row>
    <row r="4448" spans="2:7" x14ac:dyDescent="0.35">
      <c r="B4448" s="47"/>
      <c r="C4448" s="14"/>
      <c r="D4448" s="14"/>
      <c r="E4448" s="14"/>
      <c r="F4448" s="14"/>
      <c r="G4448" s="18"/>
    </row>
    <row r="4449" spans="2:7" x14ac:dyDescent="0.35">
      <c r="B4449" s="47"/>
      <c r="C4449" s="14"/>
      <c r="D4449" s="14"/>
      <c r="E4449" s="14"/>
      <c r="F4449" s="14"/>
      <c r="G4449" s="18"/>
    </row>
    <row r="4450" spans="2:7" x14ac:dyDescent="0.35">
      <c r="B4450" s="47"/>
      <c r="C4450" s="14"/>
      <c r="D4450" s="14"/>
      <c r="E4450" s="14"/>
      <c r="F4450" s="14"/>
      <c r="G4450" s="18"/>
    </row>
    <row r="4451" spans="2:7" x14ac:dyDescent="0.35">
      <c r="B4451" s="47"/>
      <c r="C4451" s="14"/>
      <c r="D4451" s="14"/>
      <c r="E4451" s="14"/>
      <c r="F4451" s="14"/>
      <c r="G4451" s="18"/>
    </row>
    <row r="4452" spans="2:7" x14ac:dyDescent="0.35">
      <c r="B4452" s="47"/>
      <c r="C4452" s="14"/>
      <c r="D4452" s="14"/>
      <c r="E4452" s="14"/>
      <c r="F4452" s="14"/>
      <c r="G4452" s="18"/>
    </row>
    <row r="4453" spans="2:7" x14ac:dyDescent="0.35">
      <c r="B4453" s="47"/>
      <c r="C4453" s="14"/>
      <c r="D4453" s="14"/>
      <c r="E4453" s="14"/>
      <c r="F4453" s="14"/>
      <c r="G4453" s="18"/>
    </row>
    <row r="4454" spans="2:7" x14ac:dyDescent="0.35">
      <c r="B4454" s="47"/>
      <c r="C4454" s="14"/>
      <c r="D4454" s="14"/>
      <c r="E4454" s="14"/>
      <c r="F4454" s="14"/>
      <c r="G4454" s="18"/>
    </row>
    <row r="4455" spans="2:7" x14ac:dyDescent="0.35">
      <c r="B4455" s="47"/>
      <c r="C4455" s="14"/>
      <c r="D4455" s="14"/>
      <c r="E4455" s="14"/>
      <c r="F4455" s="14"/>
      <c r="G4455" s="18"/>
    </row>
    <row r="4456" spans="2:7" x14ac:dyDescent="0.35">
      <c r="B4456" s="47"/>
      <c r="C4456" s="14"/>
      <c r="D4456" s="14"/>
      <c r="E4456" s="14"/>
      <c r="F4456" s="14"/>
      <c r="G4456" s="18"/>
    </row>
    <row r="4457" spans="2:7" x14ac:dyDescent="0.35">
      <c r="B4457" s="47"/>
      <c r="C4457" s="14"/>
      <c r="D4457" s="14"/>
      <c r="E4457" s="14"/>
      <c r="F4457" s="14"/>
      <c r="G4457" s="18"/>
    </row>
    <row r="4458" spans="2:7" x14ac:dyDescent="0.35">
      <c r="B4458" s="47"/>
      <c r="C4458" s="14"/>
      <c r="D4458" s="14"/>
      <c r="E4458" s="14"/>
      <c r="F4458" s="14"/>
      <c r="G4458" s="18"/>
    </row>
    <row r="4459" spans="2:7" x14ac:dyDescent="0.35">
      <c r="B4459" s="47"/>
      <c r="C4459" s="14"/>
      <c r="D4459" s="14"/>
      <c r="E4459" s="14"/>
      <c r="F4459" s="14"/>
      <c r="G4459" s="18"/>
    </row>
    <row r="4460" spans="2:7" x14ac:dyDescent="0.35">
      <c r="B4460" s="47"/>
      <c r="C4460" s="14"/>
      <c r="D4460" s="14"/>
      <c r="E4460" s="14"/>
      <c r="F4460" s="14"/>
      <c r="G4460" s="18"/>
    </row>
    <row r="4461" spans="2:7" x14ac:dyDescent="0.35">
      <c r="B4461" s="47"/>
      <c r="C4461" s="14"/>
      <c r="D4461" s="14"/>
      <c r="E4461" s="14"/>
      <c r="F4461" s="14"/>
      <c r="G4461" s="18"/>
    </row>
    <row r="4462" spans="2:7" x14ac:dyDescent="0.35">
      <c r="B4462" s="47"/>
      <c r="C4462" s="14"/>
      <c r="D4462" s="14"/>
      <c r="E4462" s="14"/>
      <c r="F4462" s="14"/>
      <c r="G4462" s="18"/>
    </row>
    <row r="4463" spans="2:7" x14ac:dyDescent="0.35">
      <c r="B4463" s="47"/>
      <c r="C4463" s="14"/>
      <c r="D4463" s="14"/>
      <c r="E4463" s="14"/>
      <c r="F4463" s="14"/>
      <c r="G4463" s="18"/>
    </row>
    <row r="4464" spans="2:7" x14ac:dyDescent="0.35">
      <c r="B4464" s="47"/>
      <c r="C4464" s="14"/>
      <c r="D4464" s="14"/>
      <c r="E4464" s="14"/>
      <c r="F4464" s="14"/>
      <c r="G4464" s="18"/>
    </row>
    <row r="4465" spans="2:7" x14ac:dyDescent="0.35">
      <c r="B4465" s="47"/>
      <c r="C4465" s="14"/>
      <c r="D4465" s="14"/>
      <c r="E4465" s="14"/>
      <c r="F4465" s="14"/>
      <c r="G4465" s="18"/>
    </row>
    <row r="4466" spans="2:7" x14ac:dyDescent="0.35">
      <c r="B4466" s="47"/>
      <c r="C4466" s="14"/>
      <c r="D4466" s="14"/>
      <c r="E4466" s="14"/>
      <c r="F4466" s="14"/>
      <c r="G4466" s="18"/>
    </row>
    <row r="4467" spans="2:7" x14ac:dyDescent="0.35">
      <c r="B4467" s="47"/>
      <c r="C4467" s="14"/>
      <c r="D4467" s="14"/>
      <c r="E4467" s="14"/>
      <c r="F4467" s="14"/>
      <c r="G4467" s="18"/>
    </row>
    <row r="4468" spans="2:7" x14ac:dyDescent="0.35">
      <c r="B4468" s="47"/>
      <c r="C4468" s="14"/>
      <c r="D4468" s="14"/>
      <c r="E4468" s="14"/>
      <c r="F4468" s="14"/>
      <c r="G4468" s="18"/>
    </row>
    <row r="4469" spans="2:7" x14ac:dyDescent="0.35">
      <c r="B4469" s="47"/>
      <c r="C4469" s="14"/>
      <c r="D4469" s="14"/>
      <c r="E4469" s="14"/>
      <c r="F4469" s="14"/>
      <c r="G4469" s="18"/>
    </row>
    <row r="4470" spans="2:7" x14ac:dyDescent="0.35">
      <c r="B4470" s="47"/>
      <c r="C4470" s="14"/>
      <c r="D4470" s="14"/>
      <c r="E4470" s="14"/>
      <c r="F4470" s="14"/>
      <c r="G4470" s="18"/>
    </row>
    <row r="4471" spans="2:7" x14ac:dyDescent="0.35">
      <c r="B4471" s="47"/>
      <c r="C4471" s="14"/>
      <c r="D4471" s="14"/>
      <c r="E4471" s="14"/>
      <c r="F4471" s="14"/>
      <c r="G4471" s="18"/>
    </row>
    <row r="4472" spans="2:7" x14ac:dyDescent="0.35">
      <c r="B4472" s="47"/>
      <c r="C4472" s="14"/>
      <c r="D4472" s="14"/>
      <c r="E4472" s="14"/>
      <c r="F4472" s="14"/>
      <c r="G4472" s="18"/>
    </row>
    <row r="4473" spans="2:7" x14ac:dyDescent="0.35">
      <c r="B4473" s="47"/>
      <c r="C4473" s="14"/>
      <c r="D4473" s="14"/>
      <c r="E4473" s="14"/>
      <c r="F4473" s="14"/>
      <c r="G4473" s="18"/>
    </row>
    <row r="4474" spans="2:7" x14ac:dyDescent="0.35">
      <c r="B4474" s="47"/>
      <c r="C4474" s="14"/>
      <c r="D4474" s="14"/>
      <c r="E4474" s="14"/>
      <c r="F4474" s="14"/>
      <c r="G4474" s="18"/>
    </row>
    <row r="4475" spans="2:7" x14ac:dyDescent="0.35">
      <c r="B4475" s="47"/>
      <c r="C4475" s="14"/>
      <c r="D4475" s="14"/>
      <c r="E4475" s="14"/>
      <c r="F4475" s="14"/>
      <c r="G4475" s="18"/>
    </row>
    <row r="4476" spans="2:7" x14ac:dyDescent="0.35">
      <c r="B4476" s="47"/>
      <c r="C4476" s="14"/>
      <c r="D4476" s="14"/>
      <c r="E4476" s="14"/>
      <c r="F4476" s="14"/>
      <c r="G4476" s="18"/>
    </row>
    <row r="4477" spans="2:7" x14ac:dyDescent="0.35">
      <c r="B4477" s="47"/>
      <c r="C4477" s="14"/>
      <c r="D4477" s="14"/>
      <c r="E4477" s="14"/>
      <c r="F4477" s="14"/>
      <c r="G4477" s="18"/>
    </row>
    <row r="4478" spans="2:7" x14ac:dyDescent="0.35">
      <c r="B4478" s="47"/>
      <c r="C4478" s="14"/>
      <c r="D4478" s="14"/>
      <c r="E4478" s="14"/>
      <c r="F4478" s="14"/>
      <c r="G4478" s="18"/>
    </row>
    <row r="4479" spans="2:7" x14ac:dyDescent="0.35">
      <c r="B4479" s="47"/>
      <c r="C4479" s="14"/>
      <c r="D4479" s="14"/>
      <c r="E4479" s="14"/>
      <c r="F4479" s="14"/>
      <c r="G4479" s="18"/>
    </row>
    <row r="4480" spans="2:7" x14ac:dyDescent="0.35">
      <c r="B4480" s="47"/>
      <c r="C4480" s="14"/>
      <c r="D4480" s="14"/>
      <c r="E4480" s="14"/>
      <c r="F4480" s="14"/>
      <c r="G4480" s="18"/>
    </row>
    <row r="4481" spans="2:7" x14ac:dyDescent="0.35">
      <c r="B4481" s="47"/>
      <c r="C4481" s="14"/>
      <c r="D4481" s="14"/>
      <c r="E4481" s="14"/>
      <c r="F4481" s="14"/>
      <c r="G4481" s="18"/>
    </row>
    <row r="4482" spans="2:7" x14ac:dyDescent="0.35">
      <c r="B4482" s="47"/>
      <c r="C4482" s="14"/>
      <c r="D4482" s="14"/>
      <c r="E4482" s="14"/>
      <c r="F4482" s="14"/>
      <c r="G4482" s="18"/>
    </row>
    <row r="4483" spans="2:7" x14ac:dyDescent="0.35">
      <c r="B4483" s="47"/>
      <c r="C4483" s="14"/>
      <c r="D4483" s="14"/>
      <c r="E4483" s="14"/>
      <c r="F4483" s="14"/>
      <c r="G4483" s="18"/>
    </row>
    <row r="4484" spans="2:7" x14ac:dyDescent="0.35">
      <c r="B4484" s="47"/>
      <c r="C4484" s="14"/>
      <c r="D4484" s="14"/>
      <c r="E4484" s="14"/>
      <c r="F4484" s="14"/>
      <c r="G4484" s="18"/>
    </row>
    <row r="4485" spans="2:7" x14ac:dyDescent="0.35">
      <c r="B4485" s="47"/>
      <c r="C4485" s="14"/>
      <c r="D4485" s="14"/>
      <c r="E4485" s="14"/>
      <c r="F4485" s="14"/>
      <c r="G4485" s="18"/>
    </row>
    <row r="4486" spans="2:7" x14ac:dyDescent="0.35">
      <c r="B4486" s="47"/>
      <c r="C4486" s="14"/>
      <c r="D4486" s="14"/>
      <c r="E4486" s="14"/>
      <c r="F4486" s="14"/>
      <c r="G4486" s="18"/>
    </row>
    <row r="4487" spans="2:7" x14ac:dyDescent="0.35">
      <c r="B4487" s="47"/>
      <c r="C4487" s="14"/>
      <c r="D4487" s="14"/>
      <c r="E4487" s="14"/>
      <c r="F4487" s="14"/>
      <c r="G4487" s="18"/>
    </row>
    <row r="4488" spans="2:7" x14ac:dyDescent="0.35">
      <c r="B4488" s="47"/>
      <c r="C4488" s="14"/>
      <c r="D4488" s="14"/>
      <c r="E4488" s="14"/>
      <c r="F4488" s="14"/>
      <c r="G4488" s="18"/>
    </row>
    <row r="4489" spans="2:7" x14ac:dyDescent="0.35">
      <c r="B4489" s="47"/>
      <c r="C4489" s="14"/>
      <c r="D4489" s="14"/>
      <c r="E4489" s="14"/>
      <c r="F4489" s="14"/>
      <c r="G4489" s="18"/>
    </row>
    <row r="4490" spans="2:7" x14ac:dyDescent="0.35">
      <c r="B4490" s="47"/>
      <c r="C4490" s="14"/>
      <c r="D4490" s="14"/>
      <c r="E4490" s="14"/>
      <c r="F4490" s="14"/>
      <c r="G4490" s="18"/>
    </row>
    <row r="4491" spans="2:7" x14ac:dyDescent="0.35">
      <c r="B4491" s="47"/>
      <c r="C4491" s="14"/>
      <c r="D4491" s="14"/>
      <c r="E4491" s="14"/>
      <c r="F4491" s="14"/>
      <c r="G4491" s="18"/>
    </row>
    <row r="4492" spans="2:7" x14ac:dyDescent="0.35">
      <c r="B4492" s="47"/>
      <c r="C4492" s="14"/>
      <c r="D4492" s="14"/>
      <c r="E4492" s="14"/>
      <c r="F4492" s="14"/>
      <c r="G4492" s="18"/>
    </row>
    <row r="4493" spans="2:7" x14ac:dyDescent="0.35">
      <c r="B4493" s="47"/>
      <c r="C4493" s="14"/>
      <c r="D4493" s="14"/>
      <c r="E4493" s="14"/>
      <c r="F4493" s="14"/>
      <c r="G4493" s="18"/>
    </row>
    <row r="4494" spans="2:7" x14ac:dyDescent="0.35">
      <c r="B4494" s="47"/>
      <c r="C4494" s="14"/>
      <c r="D4494" s="14"/>
      <c r="E4494" s="14"/>
      <c r="F4494" s="14"/>
      <c r="G4494" s="18"/>
    </row>
    <row r="4495" spans="2:7" x14ac:dyDescent="0.35">
      <c r="B4495" s="47"/>
      <c r="C4495" s="14"/>
      <c r="D4495" s="14"/>
      <c r="E4495" s="14"/>
      <c r="F4495" s="14"/>
      <c r="G4495" s="18"/>
    </row>
    <row r="4496" spans="2:7" x14ac:dyDescent="0.35">
      <c r="B4496" s="47"/>
      <c r="C4496" s="14"/>
      <c r="D4496" s="14"/>
      <c r="E4496" s="14"/>
      <c r="F4496" s="14"/>
      <c r="G4496" s="18"/>
    </row>
    <row r="4497" spans="2:7" x14ac:dyDescent="0.35">
      <c r="B4497" s="47"/>
      <c r="C4497" s="14"/>
      <c r="D4497" s="14"/>
      <c r="E4497" s="14"/>
      <c r="F4497" s="14"/>
      <c r="G4497" s="18"/>
    </row>
    <row r="4498" spans="2:7" x14ac:dyDescent="0.35">
      <c r="B4498" s="47"/>
      <c r="C4498" s="14"/>
      <c r="D4498" s="14"/>
      <c r="E4498" s="14"/>
      <c r="F4498" s="14"/>
      <c r="G4498" s="18"/>
    </row>
    <row r="4499" spans="2:7" x14ac:dyDescent="0.35">
      <c r="B4499" s="47"/>
      <c r="C4499" s="14"/>
      <c r="D4499" s="14"/>
      <c r="E4499" s="14"/>
      <c r="F4499" s="14"/>
      <c r="G4499" s="18"/>
    </row>
    <row r="4500" spans="2:7" x14ac:dyDescent="0.35">
      <c r="B4500" s="47"/>
      <c r="C4500" s="14"/>
      <c r="D4500" s="14"/>
      <c r="E4500" s="14"/>
      <c r="F4500" s="14"/>
      <c r="G4500" s="18"/>
    </row>
    <row r="4501" spans="2:7" x14ac:dyDescent="0.35">
      <c r="B4501" s="47"/>
      <c r="C4501" s="14"/>
      <c r="D4501" s="14"/>
      <c r="E4501" s="14"/>
      <c r="F4501" s="14"/>
      <c r="G4501" s="18"/>
    </row>
    <row r="4502" spans="2:7" x14ac:dyDescent="0.35">
      <c r="B4502" s="47"/>
      <c r="C4502" s="14"/>
      <c r="D4502" s="14"/>
      <c r="E4502" s="14"/>
      <c r="F4502" s="14"/>
      <c r="G4502" s="18"/>
    </row>
    <row r="4503" spans="2:7" x14ac:dyDescent="0.35">
      <c r="B4503" s="47"/>
      <c r="C4503" s="14"/>
      <c r="D4503" s="14"/>
      <c r="E4503" s="14"/>
      <c r="F4503" s="14"/>
      <c r="G4503" s="18"/>
    </row>
    <row r="4504" spans="2:7" x14ac:dyDescent="0.35">
      <c r="B4504" s="47"/>
      <c r="C4504" s="14"/>
      <c r="D4504" s="14"/>
      <c r="E4504" s="14"/>
      <c r="F4504" s="14"/>
      <c r="G4504" s="18"/>
    </row>
    <row r="4505" spans="2:7" x14ac:dyDescent="0.35">
      <c r="B4505" s="47"/>
      <c r="C4505" s="14"/>
      <c r="D4505" s="14"/>
      <c r="E4505" s="14"/>
      <c r="F4505" s="14"/>
      <c r="G4505" s="18"/>
    </row>
    <row r="4506" spans="2:7" x14ac:dyDescent="0.35">
      <c r="B4506" s="47"/>
      <c r="C4506" s="14"/>
      <c r="D4506" s="14"/>
      <c r="E4506" s="14"/>
      <c r="F4506" s="14"/>
      <c r="G4506" s="18"/>
    </row>
    <row r="4507" spans="2:7" x14ac:dyDescent="0.35">
      <c r="B4507" s="47"/>
      <c r="C4507" s="14"/>
      <c r="D4507" s="14"/>
      <c r="E4507" s="14"/>
      <c r="F4507" s="14"/>
      <c r="G4507" s="18"/>
    </row>
    <row r="4508" spans="2:7" x14ac:dyDescent="0.35">
      <c r="B4508" s="47"/>
      <c r="C4508" s="14"/>
      <c r="D4508" s="14"/>
      <c r="E4508" s="14"/>
      <c r="F4508" s="14"/>
      <c r="G4508" s="18"/>
    </row>
    <row r="4509" spans="2:7" x14ac:dyDescent="0.35">
      <c r="B4509" s="47"/>
      <c r="C4509" s="14"/>
      <c r="D4509" s="14"/>
      <c r="E4509" s="14"/>
      <c r="F4509" s="14"/>
      <c r="G4509" s="18"/>
    </row>
    <row r="4510" spans="2:7" x14ac:dyDescent="0.35">
      <c r="B4510" s="47"/>
      <c r="C4510" s="14"/>
      <c r="D4510" s="14"/>
      <c r="E4510" s="14"/>
      <c r="F4510" s="14"/>
      <c r="G4510" s="18"/>
    </row>
    <row r="4511" spans="2:7" x14ac:dyDescent="0.35">
      <c r="B4511" s="47"/>
      <c r="C4511" s="14"/>
      <c r="D4511" s="14"/>
      <c r="E4511" s="14"/>
      <c r="F4511" s="14"/>
      <c r="G4511" s="18"/>
    </row>
    <row r="4512" spans="2:7" x14ac:dyDescent="0.35">
      <c r="B4512" s="47"/>
      <c r="C4512" s="14"/>
      <c r="D4512" s="14"/>
      <c r="E4512" s="14"/>
      <c r="F4512" s="14"/>
      <c r="G4512" s="18"/>
    </row>
    <row r="4513" spans="2:7" x14ac:dyDescent="0.35">
      <c r="B4513" s="47"/>
      <c r="C4513" s="14"/>
      <c r="D4513" s="14"/>
      <c r="E4513" s="14"/>
      <c r="F4513" s="14"/>
      <c r="G4513" s="18"/>
    </row>
    <row r="4514" spans="2:7" x14ac:dyDescent="0.35">
      <c r="B4514" s="47"/>
      <c r="C4514" s="14"/>
      <c r="D4514" s="14"/>
      <c r="E4514" s="14"/>
      <c r="F4514" s="14"/>
      <c r="G4514" s="18"/>
    </row>
    <row r="4515" spans="2:7" x14ac:dyDescent="0.35">
      <c r="B4515" s="47"/>
      <c r="C4515" s="14"/>
      <c r="D4515" s="14"/>
      <c r="E4515" s="14"/>
      <c r="F4515" s="14"/>
      <c r="G4515" s="18"/>
    </row>
    <row r="4516" spans="2:7" x14ac:dyDescent="0.35">
      <c r="B4516" s="47"/>
      <c r="C4516" s="14"/>
      <c r="D4516" s="14"/>
      <c r="E4516" s="14"/>
      <c r="F4516" s="14"/>
      <c r="G4516" s="18"/>
    </row>
    <row r="4517" spans="2:7" x14ac:dyDescent="0.35">
      <c r="B4517" s="47"/>
      <c r="C4517" s="14"/>
      <c r="D4517" s="14"/>
      <c r="E4517" s="14"/>
      <c r="F4517" s="14"/>
      <c r="G4517" s="18"/>
    </row>
    <row r="4518" spans="2:7" x14ac:dyDescent="0.35">
      <c r="B4518" s="47"/>
      <c r="C4518" s="14"/>
      <c r="D4518" s="14"/>
      <c r="E4518" s="14"/>
      <c r="F4518" s="14"/>
      <c r="G4518" s="18"/>
    </row>
    <row r="4519" spans="2:7" x14ac:dyDescent="0.35">
      <c r="B4519" s="47"/>
      <c r="C4519" s="14"/>
      <c r="D4519" s="14"/>
      <c r="E4519" s="14"/>
      <c r="F4519" s="14"/>
      <c r="G4519" s="18"/>
    </row>
    <row r="4520" spans="2:7" x14ac:dyDescent="0.35">
      <c r="B4520" s="47"/>
      <c r="C4520" s="14"/>
      <c r="D4520" s="14"/>
      <c r="E4520" s="14"/>
      <c r="F4520" s="14"/>
      <c r="G4520" s="18"/>
    </row>
    <row r="4521" spans="2:7" x14ac:dyDescent="0.35">
      <c r="B4521" s="47"/>
      <c r="C4521" s="14"/>
      <c r="D4521" s="14"/>
      <c r="E4521" s="14"/>
      <c r="F4521" s="14"/>
      <c r="G4521" s="18"/>
    </row>
    <row r="4522" spans="2:7" x14ac:dyDescent="0.35">
      <c r="B4522" s="47"/>
      <c r="C4522" s="14"/>
      <c r="D4522" s="14"/>
      <c r="E4522" s="14"/>
      <c r="F4522" s="14"/>
      <c r="G4522" s="18"/>
    </row>
    <row r="4523" spans="2:7" x14ac:dyDescent="0.35">
      <c r="B4523" s="47"/>
      <c r="C4523" s="14"/>
      <c r="D4523" s="14"/>
      <c r="E4523" s="14"/>
      <c r="F4523" s="14"/>
      <c r="G4523" s="18"/>
    </row>
    <row r="4524" spans="2:7" x14ac:dyDescent="0.35">
      <c r="B4524" s="47"/>
      <c r="C4524" s="14"/>
      <c r="D4524" s="14"/>
      <c r="E4524" s="14"/>
      <c r="F4524" s="14"/>
      <c r="G4524" s="18"/>
    </row>
    <row r="4525" spans="2:7" x14ac:dyDescent="0.35">
      <c r="B4525" s="47"/>
      <c r="C4525" s="14"/>
      <c r="D4525" s="14"/>
      <c r="E4525" s="14"/>
      <c r="F4525" s="14"/>
      <c r="G4525" s="18"/>
    </row>
    <row r="4526" spans="2:7" x14ac:dyDescent="0.35">
      <c r="B4526" s="47"/>
      <c r="C4526" s="14"/>
      <c r="D4526" s="14"/>
      <c r="E4526" s="14"/>
      <c r="F4526" s="14"/>
      <c r="G4526" s="18"/>
    </row>
    <row r="4527" spans="2:7" x14ac:dyDescent="0.35">
      <c r="B4527" s="47"/>
      <c r="C4527" s="14"/>
      <c r="D4527" s="14"/>
      <c r="E4527" s="14"/>
      <c r="F4527" s="14"/>
      <c r="G4527" s="18"/>
    </row>
    <row r="4528" spans="2:7" x14ac:dyDescent="0.35">
      <c r="B4528" s="47"/>
      <c r="C4528" s="14"/>
      <c r="D4528" s="14"/>
      <c r="E4528" s="14"/>
      <c r="F4528" s="14"/>
      <c r="G4528" s="18"/>
    </row>
    <row r="4529" spans="2:7" x14ac:dyDescent="0.35">
      <c r="B4529" s="47"/>
      <c r="C4529" s="14"/>
      <c r="D4529" s="14"/>
      <c r="E4529" s="14"/>
      <c r="F4529" s="14"/>
      <c r="G4529" s="18"/>
    </row>
    <row r="4530" spans="2:7" x14ac:dyDescent="0.35">
      <c r="B4530" s="47"/>
      <c r="C4530" s="14"/>
      <c r="D4530" s="14"/>
      <c r="E4530" s="14"/>
      <c r="F4530" s="14"/>
      <c r="G4530" s="18"/>
    </row>
    <row r="4531" spans="2:7" x14ac:dyDescent="0.35">
      <c r="B4531" s="47"/>
      <c r="C4531" s="14"/>
      <c r="D4531" s="14"/>
      <c r="E4531" s="14"/>
      <c r="F4531" s="14"/>
      <c r="G4531" s="18"/>
    </row>
    <row r="4532" spans="2:7" x14ac:dyDescent="0.35">
      <c r="B4532" s="47"/>
      <c r="C4532" s="14"/>
      <c r="D4532" s="14"/>
      <c r="E4532" s="14"/>
      <c r="F4532" s="14"/>
      <c r="G4532" s="18"/>
    </row>
    <row r="4533" spans="2:7" x14ac:dyDescent="0.35">
      <c r="B4533" s="47"/>
      <c r="C4533" s="14"/>
      <c r="D4533" s="14"/>
      <c r="E4533" s="14"/>
      <c r="F4533" s="14"/>
      <c r="G4533" s="18"/>
    </row>
    <row r="4534" spans="2:7" x14ac:dyDescent="0.35">
      <c r="B4534" s="47"/>
      <c r="C4534" s="14"/>
      <c r="D4534" s="14"/>
      <c r="E4534" s="14"/>
      <c r="F4534" s="14"/>
      <c r="G4534" s="18"/>
    </row>
    <row r="4535" spans="2:7" x14ac:dyDescent="0.35">
      <c r="B4535" s="47"/>
      <c r="C4535" s="14"/>
      <c r="D4535" s="14"/>
      <c r="E4535" s="14"/>
      <c r="F4535" s="14"/>
      <c r="G4535" s="18"/>
    </row>
    <row r="4536" spans="2:7" x14ac:dyDescent="0.35">
      <c r="B4536" s="47"/>
      <c r="C4536" s="14"/>
      <c r="D4536" s="14"/>
      <c r="E4536" s="14"/>
      <c r="F4536" s="14"/>
      <c r="G4536" s="18"/>
    </row>
    <row r="4537" spans="2:7" x14ac:dyDescent="0.35">
      <c r="B4537" s="47"/>
      <c r="C4537" s="14"/>
      <c r="D4537" s="14"/>
      <c r="E4537" s="14"/>
      <c r="F4537" s="14"/>
      <c r="G4537" s="18"/>
    </row>
    <row r="4538" spans="2:7" x14ac:dyDescent="0.35">
      <c r="B4538" s="47"/>
      <c r="C4538" s="14"/>
      <c r="D4538" s="14"/>
      <c r="E4538" s="14"/>
      <c r="F4538" s="14"/>
      <c r="G4538" s="18"/>
    </row>
    <row r="4539" spans="2:7" x14ac:dyDescent="0.35">
      <c r="B4539" s="47"/>
      <c r="C4539" s="14"/>
      <c r="D4539" s="14"/>
      <c r="E4539" s="14"/>
      <c r="F4539" s="14"/>
      <c r="G4539" s="18"/>
    </row>
    <row r="4540" spans="2:7" x14ac:dyDescent="0.35">
      <c r="B4540" s="47"/>
      <c r="C4540" s="14"/>
      <c r="D4540" s="14"/>
      <c r="E4540" s="14"/>
      <c r="F4540" s="14"/>
      <c r="G4540" s="18"/>
    </row>
    <row r="4541" spans="2:7" x14ac:dyDescent="0.35">
      <c r="B4541" s="47"/>
      <c r="C4541" s="14"/>
      <c r="D4541" s="14"/>
      <c r="E4541" s="14"/>
      <c r="F4541" s="14"/>
      <c r="G4541" s="18"/>
    </row>
    <row r="4542" spans="2:7" x14ac:dyDescent="0.35">
      <c r="B4542" s="47"/>
      <c r="C4542" s="14"/>
      <c r="D4542" s="14"/>
      <c r="E4542" s="14"/>
      <c r="F4542" s="14"/>
      <c r="G4542" s="18"/>
    </row>
    <row r="4543" spans="2:7" x14ac:dyDescent="0.35">
      <c r="B4543" s="47"/>
      <c r="C4543" s="14"/>
      <c r="D4543" s="14"/>
      <c r="E4543" s="14"/>
      <c r="F4543" s="14"/>
      <c r="G4543" s="18"/>
    </row>
    <row r="4544" spans="2:7" x14ac:dyDescent="0.35">
      <c r="B4544" s="47"/>
      <c r="C4544" s="14"/>
      <c r="D4544" s="14"/>
      <c r="E4544" s="14"/>
      <c r="F4544" s="14"/>
      <c r="G4544" s="18"/>
    </row>
    <row r="4545" spans="2:7" x14ac:dyDescent="0.35">
      <c r="B4545" s="47"/>
      <c r="C4545" s="14"/>
      <c r="D4545" s="14"/>
      <c r="E4545" s="14"/>
      <c r="F4545" s="14"/>
      <c r="G4545" s="18"/>
    </row>
    <row r="4546" spans="2:7" x14ac:dyDescent="0.35">
      <c r="B4546" s="47"/>
      <c r="C4546" s="14"/>
      <c r="D4546" s="14"/>
      <c r="E4546" s="14"/>
      <c r="F4546" s="14"/>
      <c r="G4546" s="18"/>
    </row>
    <row r="4547" spans="2:7" x14ac:dyDescent="0.35">
      <c r="B4547" s="47"/>
      <c r="C4547" s="14"/>
      <c r="D4547" s="14"/>
      <c r="E4547" s="14"/>
      <c r="F4547" s="14"/>
      <c r="G4547" s="18"/>
    </row>
    <row r="4548" spans="2:7" x14ac:dyDescent="0.35">
      <c r="B4548" s="47"/>
      <c r="C4548" s="14"/>
      <c r="D4548" s="14"/>
      <c r="E4548" s="14"/>
      <c r="F4548" s="14"/>
      <c r="G4548" s="18"/>
    </row>
    <row r="4549" spans="2:7" x14ac:dyDescent="0.35">
      <c r="B4549" s="47"/>
      <c r="C4549" s="14"/>
      <c r="D4549" s="14"/>
      <c r="E4549" s="14"/>
      <c r="F4549" s="14"/>
      <c r="G4549" s="18"/>
    </row>
    <row r="4550" spans="2:7" x14ac:dyDescent="0.35">
      <c r="B4550" s="47"/>
      <c r="C4550" s="14"/>
      <c r="D4550" s="14"/>
      <c r="E4550" s="14"/>
      <c r="F4550" s="14"/>
      <c r="G4550" s="18"/>
    </row>
    <row r="4551" spans="2:7" x14ac:dyDescent="0.35">
      <c r="B4551" s="47"/>
      <c r="C4551" s="14"/>
      <c r="D4551" s="14"/>
      <c r="E4551" s="14"/>
      <c r="F4551" s="14"/>
      <c r="G4551" s="18"/>
    </row>
    <row r="4552" spans="2:7" x14ac:dyDescent="0.35">
      <c r="B4552" s="47"/>
      <c r="C4552" s="14"/>
      <c r="D4552" s="14"/>
      <c r="E4552" s="14"/>
      <c r="F4552" s="14"/>
      <c r="G4552" s="18"/>
    </row>
    <row r="4553" spans="2:7" x14ac:dyDescent="0.35">
      <c r="B4553" s="47"/>
      <c r="C4553" s="14"/>
      <c r="D4553" s="14"/>
      <c r="E4553" s="14"/>
      <c r="F4553" s="14"/>
      <c r="G4553" s="18"/>
    </row>
    <row r="4554" spans="2:7" x14ac:dyDescent="0.35">
      <c r="B4554" s="47"/>
      <c r="C4554" s="14"/>
      <c r="D4554" s="14"/>
      <c r="E4554" s="14"/>
      <c r="F4554" s="14"/>
      <c r="G4554" s="18"/>
    </row>
    <row r="4555" spans="2:7" x14ac:dyDescent="0.35">
      <c r="B4555" s="47"/>
      <c r="C4555" s="14"/>
      <c r="D4555" s="14"/>
      <c r="E4555" s="14"/>
      <c r="F4555" s="14"/>
      <c r="G4555" s="18"/>
    </row>
    <row r="4556" spans="2:7" x14ac:dyDescent="0.35">
      <c r="B4556" s="47"/>
      <c r="C4556" s="14"/>
      <c r="D4556" s="14"/>
      <c r="E4556" s="14"/>
      <c r="F4556" s="14"/>
      <c r="G4556" s="18"/>
    </row>
    <row r="4557" spans="2:7" x14ac:dyDescent="0.35">
      <c r="B4557" s="47"/>
      <c r="C4557" s="14"/>
      <c r="D4557" s="14"/>
      <c r="E4557" s="14"/>
      <c r="F4557" s="14"/>
      <c r="G4557" s="18"/>
    </row>
    <row r="4558" spans="2:7" x14ac:dyDescent="0.35">
      <c r="B4558" s="47"/>
      <c r="C4558" s="14"/>
      <c r="D4558" s="14"/>
      <c r="E4558" s="14"/>
      <c r="F4558" s="14"/>
      <c r="G4558" s="18"/>
    </row>
    <row r="4559" spans="2:7" x14ac:dyDescent="0.35">
      <c r="B4559" s="47"/>
      <c r="C4559" s="14"/>
      <c r="D4559" s="14"/>
      <c r="E4559" s="14"/>
      <c r="F4559" s="14"/>
      <c r="G4559" s="18"/>
    </row>
    <row r="4560" spans="2:7" x14ac:dyDescent="0.35">
      <c r="B4560" s="47"/>
      <c r="C4560" s="14"/>
      <c r="D4560" s="14"/>
      <c r="E4560" s="14"/>
      <c r="F4560" s="14"/>
      <c r="G4560" s="18"/>
    </row>
    <row r="4561" spans="2:7" x14ac:dyDescent="0.35">
      <c r="B4561" s="47"/>
      <c r="C4561" s="14"/>
      <c r="D4561" s="14"/>
      <c r="E4561" s="14"/>
      <c r="F4561" s="14"/>
      <c r="G4561" s="18"/>
    </row>
    <row r="4562" spans="2:7" x14ac:dyDescent="0.35">
      <c r="B4562" s="47"/>
      <c r="C4562" s="14"/>
      <c r="D4562" s="14"/>
      <c r="E4562" s="14"/>
      <c r="F4562" s="14"/>
      <c r="G4562" s="18"/>
    </row>
    <row r="4563" spans="2:7" x14ac:dyDescent="0.35">
      <c r="B4563" s="47"/>
      <c r="C4563" s="14"/>
      <c r="D4563" s="14"/>
      <c r="E4563" s="14"/>
      <c r="F4563" s="14"/>
      <c r="G4563" s="18"/>
    </row>
    <row r="4564" spans="2:7" x14ac:dyDescent="0.35">
      <c r="B4564" s="47"/>
      <c r="C4564" s="14"/>
      <c r="D4564" s="14"/>
      <c r="E4564" s="14"/>
      <c r="F4564" s="14"/>
      <c r="G4564" s="18"/>
    </row>
    <row r="4565" spans="2:7" x14ac:dyDescent="0.35">
      <c r="B4565" s="47"/>
      <c r="C4565" s="14"/>
      <c r="D4565" s="14"/>
      <c r="E4565" s="14"/>
      <c r="F4565" s="14"/>
      <c r="G4565" s="18"/>
    </row>
    <row r="4566" spans="2:7" x14ac:dyDescent="0.35">
      <c r="B4566" s="47"/>
      <c r="C4566" s="14"/>
      <c r="D4566" s="14"/>
      <c r="E4566" s="14"/>
      <c r="F4566" s="14"/>
      <c r="G4566" s="18"/>
    </row>
    <row r="4567" spans="2:7" x14ac:dyDescent="0.35">
      <c r="B4567" s="47"/>
      <c r="C4567" s="14"/>
      <c r="D4567" s="14"/>
      <c r="E4567" s="14"/>
      <c r="F4567" s="14"/>
      <c r="G4567" s="18"/>
    </row>
    <row r="4568" spans="2:7" x14ac:dyDescent="0.35">
      <c r="B4568" s="47"/>
      <c r="C4568" s="14"/>
      <c r="D4568" s="14"/>
      <c r="E4568" s="14"/>
      <c r="F4568" s="14"/>
      <c r="G4568" s="18"/>
    </row>
    <row r="4569" spans="2:7" x14ac:dyDescent="0.35">
      <c r="B4569" s="47"/>
      <c r="C4569" s="14"/>
      <c r="D4569" s="14"/>
      <c r="E4569" s="14"/>
      <c r="F4569" s="14"/>
      <c r="G4569" s="18"/>
    </row>
    <row r="4570" spans="2:7" x14ac:dyDescent="0.35">
      <c r="B4570" s="47"/>
      <c r="C4570" s="14"/>
      <c r="D4570" s="14"/>
      <c r="E4570" s="14"/>
      <c r="F4570" s="14"/>
      <c r="G4570" s="18"/>
    </row>
    <row r="4571" spans="2:7" x14ac:dyDescent="0.35">
      <c r="B4571" s="47"/>
      <c r="C4571" s="14"/>
      <c r="D4571" s="14"/>
      <c r="E4571" s="14"/>
      <c r="F4571" s="14"/>
      <c r="G4571" s="18"/>
    </row>
    <row r="4572" spans="2:7" x14ac:dyDescent="0.35">
      <c r="B4572" s="47"/>
      <c r="C4572" s="14"/>
      <c r="D4572" s="14"/>
      <c r="E4572" s="14"/>
      <c r="F4572" s="14"/>
      <c r="G4572" s="18"/>
    </row>
    <row r="4573" spans="2:7" x14ac:dyDescent="0.35">
      <c r="B4573" s="47"/>
      <c r="C4573" s="14"/>
      <c r="D4573" s="14"/>
      <c r="E4573" s="14"/>
      <c r="F4573" s="14"/>
      <c r="G4573" s="18"/>
    </row>
    <row r="4574" spans="2:7" x14ac:dyDescent="0.35">
      <c r="B4574" s="47"/>
      <c r="C4574" s="14"/>
      <c r="D4574" s="14"/>
      <c r="E4574" s="14"/>
      <c r="F4574" s="14"/>
      <c r="G4574" s="18"/>
    </row>
    <row r="4575" spans="2:7" x14ac:dyDescent="0.35">
      <c r="B4575" s="47"/>
      <c r="C4575" s="14"/>
      <c r="D4575" s="14"/>
      <c r="E4575" s="14"/>
      <c r="F4575" s="14"/>
      <c r="G4575" s="18"/>
    </row>
    <row r="4576" spans="2:7" x14ac:dyDescent="0.35">
      <c r="B4576" s="47"/>
      <c r="C4576" s="14"/>
      <c r="D4576" s="14"/>
      <c r="E4576" s="14"/>
      <c r="F4576" s="14"/>
      <c r="G4576" s="18"/>
    </row>
    <row r="4577" spans="2:7" x14ac:dyDescent="0.35">
      <c r="B4577" s="47"/>
      <c r="C4577" s="14"/>
      <c r="D4577" s="14"/>
      <c r="E4577" s="14"/>
      <c r="F4577" s="14"/>
      <c r="G4577" s="18"/>
    </row>
    <row r="4578" spans="2:7" x14ac:dyDescent="0.35">
      <c r="B4578" s="47"/>
      <c r="C4578" s="14"/>
      <c r="D4578" s="14"/>
      <c r="E4578" s="14"/>
      <c r="F4578" s="14"/>
      <c r="G4578" s="18"/>
    </row>
    <row r="4579" spans="2:7" x14ac:dyDescent="0.35">
      <c r="B4579" s="47"/>
      <c r="C4579" s="14"/>
      <c r="D4579" s="14"/>
      <c r="E4579" s="14"/>
      <c r="F4579" s="14"/>
      <c r="G4579" s="18"/>
    </row>
    <row r="4580" spans="2:7" x14ac:dyDescent="0.35">
      <c r="B4580" s="47"/>
      <c r="C4580" s="14"/>
      <c r="D4580" s="14"/>
      <c r="E4580" s="14"/>
      <c r="F4580" s="14"/>
      <c r="G4580" s="18"/>
    </row>
    <row r="4581" spans="2:7" x14ac:dyDescent="0.35">
      <c r="B4581" s="47"/>
      <c r="C4581" s="14"/>
      <c r="D4581" s="14"/>
      <c r="E4581" s="14"/>
      <c r="F4581" s="14"/>
      <c r="G4581" s="18"/>
    </row>
    <row r="4582" spans="2:7" x14ac:dyDescent="0.35">
      <c r="B4582" s="47"/>
      <c r="C4582" s="14"/>
      <c r="D4582" s="14"/>
      <c r="E4582" s="14"/>
      <c r="F4582" s="14"/>
      <c r="G4582" s="18"/>
    </row>
    <row r="4583" spans="2:7" x14ac:dyDescent="0.35">
      <c r="B4583" s="47"/>
      <c r="C4583" s="14"/>
      <c r="D4583" s="14"/>
      <c r="E4583" s="14"/>
      <c r="F4583" s="14"/>
      <c r="G4583" s="18"/>
    </row>
    <row r="4584" spans="2:7" x14ac:dyDescent="0.35">
      <c r="B4584" s="47"/>
      <c r="C4584" s="14"/>
      <c r="D4584" s="14"/>
      <c r="E4584" s="14"/>
      <c r="F4584" s="14"/>
      <c r="G4584" s="18"/>
    </row>
    <row r="4585" spans="2:7" x14ac:dyDescent="0.35">
      <c r="B4585" s="47"/>
      <c r="C4585" s="14"/>
      <c r="D4585" s="14"/>
      <c r="E4585" s="14"/>
      <c r="F4585" s="14"/>
      <c r="G4585" s="18"/>
    </row>
    <row r="4586" spans="2:7" x14ac:dyDescent="0.35">
      <c r="B4586" s="47"/>
      <c r="C4586" s="14"/>
      <c r="D4586" s="14"/>
      <c r="E4586" s="14"/>
      <c r="F4586" s="14"/>
      <c r="G4586" s="18"/>
    </row>
    <row r="4587" spans="2:7" x14ac:dyDescent="0.35">
      <c r="B4587" s="47"/>
      <c r="C4587" s="14"/>
      <c r="D4587" s="14"/>
      <c r="E4587" s="14"/>
      <c r="F4587" s="14"/>
      <c r="G4587" s="18"/>
    </row>
    <row r="4588" spans="2:7" x14ac:dyDescent="0.35">
      <c r="B4588" s="47"/>
      <c r="C4588" s="14"/>
      <c r="D4588" s="14"/>
      <c r="E4588" s="14"/>
      <c r="F4588" s="14"/>
      <c r="G4588" s="18"/>
    </row>
    <row r="4589" spans="2:7" x14ac:dyDescent="0.35">
      <c r="B4589" s="47"/>
      <c r="C4589" s="14"/>
      <c r="D4589" s="14"/>
      <c r="E4589" s="14"/>
      <c r="F4589" s="14"/>
      <c r="G4589" s="18"/>
    </row>
    <row r="4590" spans="2:7" x14ac:dyDescent="0.35">
      <c r="B4590" s="47"/>
      <c r="C4590" s="14"/>
      <c r="D4590" s="14"/>
      <c r="E4590" s="14"/>
      <c r="F4590" s="14"/>
      <c r="G4590" s="18"/>
    </row>
    <row r="4591" spans="2:7" x14ac:dyDescent="0.35">
      <c r="B4591" s="47"/>
      <c r="C4591" s="14"/>
      <c r="D4591" s="14"/>
      <c r="E4591" s="14"/>
      <c r="F4591" s="14"/>
      <c r="G4591" s="18"/>
    </row>
    <row r="4592" spans="2:7" x14ac:dyDescent="0.35">
      <c r="B4592" s="47"/>
      <c r="C4592" s="14"/>
      <c r="D4592" s="14"/>
      <c r="E4592" s="14"/>
      <c r="F4592" s="14"/>
      <c r="G4592" s="18"/>
    </row>
    <row r="4593" spans="2:7" x14ac:dyDescent="0.35">
      <c r="B4593" s="47"/>
      <c r="C4593" s="14"/>
      <c r="D4593" s="14"/>
      <c r="E4593" s="14"/>
      <c r="F4593" s="14"/>
      <c r="G4593" s="18"/>
    </row>
    <row r="4594" spans="2:7" x14ac:dyDescent="0.35">
      <c r="B4594" s="47"/>
      <c r="C4594" s="14"/>
      <c r="D4594" s="14"/>
      <c r="E4594" s="14"/>
      <c r="F4594" s="14"/>
      <c r="G4594" s="18"/>
    </row>
    <row r="4595" spans="2:7" x14ac:dyDescent="0.35">
      <c r="B4595" s="47"/>
      <c r="C4595" s="14"/>
      <c r="D4595" s="14"/>
      <c r="E4595" s="14"/>
      <c r="F4595" s="14"/>
      <c r="G4595" s="18"/>
    </row>
    <row r="4596" spans="2:7" x14ac:dyDescent="0.35">
      <c r="B4596" s="47"/>
      <c r="C4596" s="14"/>
      <c r="D4596" s="14"/>
      <c r="E4596" s="14"/>
      <c r="F4596" s="14"/>
      <c r="G4596" s="18"/>
    </row>
    <row r="4597" spans="2:7" x14ac:dyDescent="0.35">
      <c r="B4597" s="47"/>
      <c r="C4597" s="14"/>
      <c r="D4597" s="14"/>
      <c r="E4597" s="14"/>
      <c r="F4597" s="14"/>
      <c r="G4597" s="18"/>
    </row>
    <row r="4598" spans="2:7" x14ac:dyDescent="0.35">
      <c r="B4598" s="47"/>
      <c r="C4598" s="14"/>
      <c r="D4598" s="14"/>
      <c r="E4598" s="14"/>
      <c r="F4598" s="14"/>
      <c r="G4598" s="18"/>
    </row>
    <row r="4599" spans="2:7" x14ac:dyDescent="0.35">
      <c r="B4599" s="47"/>
      <c r="C4599" s="14"/>
      <c r="D4599" s="14"/>
      <c r="E4599" s="14"/>
      <c r="F4599" s="14"/>
      <c r="G4599" s="18"/>
    </row>
    <row r="4600" spans="2:7" x14ac:dyDescent="0.35">
      <c r="B4600" s="47"/>
      <c r="C4600" s="14"/>
      <c r="D4600" s="14"/>
      <c r="E4600" s="14"/>
      <c r="F4600" s="14"/>
      <c r="G4600" s="18"/>
    </row>
    <row r="4601" spans="2:7" x14ac:dyDescent="0.35">
      <c r="B4601" s="47"/>
      <c r="C4601" s="14"/>
      <c r="D4601" s="14"/>
      <c r="E4601" s="14"/>
      <c r="F4601" s="14"/>
      <c r="G4601" s="18"/>
    </row>
    <row r="4602" spans="2:7" x14ac:dyDescent="0.35">
      <c r="B4602" s="47"/>
      <c r="C4602" s="14"/>
      <c r="D4602" s="14"/>
      <c r="E4602" s="14"/>
      <c r="F4602" s="14"/>
      <c r="G4602" s="18"/>
    </row>
    <row r="4603" spans="2:7" x14ac:dyDescent="0.35">
      <c r="B4603" s="47"/>
      <c r="C4603" s="14"/>
      <c r="D4603" s="14"/>
      <c r="E4603" s="14"/>
      <c r="F4603" s="14"/>
      <c r="G4603" s="18"/>
    </row>
    <row r="4604" spans="2:7" x14ac:dyDescent="0.35">
      <c r="B4604" s="47"/>
      <c r="C4604" s="14"/>
      <c r="D4604" s="14"/>
      <c r="E4604" s="14"/>
      <c r="F4604" s="14"/>
      <c r="G4604" s="18"/>
    </row>
    <row r="4605" spans="2:7" x14ac:dyDescent="0.35">
      <c r="B4605" s="47"/>
      <c r="C4605" s="14"/>
      <c r="D4605" s="14"/>
      <c r="E4605" s="14"/>
      <c r="F4605" s="14"/>
      <c r="G4605" s="18"/>
    </row>
    <row r="4606" spans="2:7" x14ac:dyDescent="0.35">
      <c r="B4606" s="47"/>
      <c r="C4606" s="14"/>
      <c r="D4606" s="14"/>
      <c r="E4606" s="14"/>
      <c r="F4606" s="14"/>
      <c r="G4606" s="18"/>
    </row>
    <row r="4607" spans="2:7" x14ac:dyDescent="0.35">
      <c r="B4607" s="47"/>
      <c r="C4607" s="14"/>
      <c r="D4607" s="14"/>
      <c r="E4607" s="14"/>
      <c r="F4607" s="14"/>
      <c r="G4607" s="18"/>
    </row>
    <row r="4608" spans="2:7" x14ac:dyDescent="0.35">
      <c r="B4608" s="47"/>
      <c r="C4608" s="14"/>
      <c r="D4608" s="14"/>
      <c r="E4608" s="14"/>
      <c r="F4608" s="14"/>
      <c r="G4608" s="18"/>
    </row>
    <row r="4609" spans="2:7" x14ac:dyDescent="0.35">
      <c r="B4609" s="47"/>
      <c r="C4609" s="14"/>
      <c r="D4609" s="14"/>
      <c r="E4609" s="14"/>
      <c r="F4609" s="14"/>
      <c r="G4609" s="18"/>
    </row>
    <row r="4610" spans="2:7" x14ac:dyDescent="0.35">
      <c r="B4610" s="47"/>
      <c r="C4610" s="14"/>
      <c r="D4610" s="14"/>
      <c r="E4610" s="14"/>
      <c r="F4610" s="14"/>
      <c r="G4610" s="18"/>
    </row>
    <row r="4611" spans="2:7" x14ac:dyDescent="0.35">
      <c r="B4611" s="47"/>
      <c r="C4611" s="14"/>
      <c r="D4611" s="14"/>
      <c r="E4611" s="14"/>
      <c r="F4611" s="14"/>
      <c r="G4611" s="18"/>
    </row>
    <row r="4612" spans="2:7" x14ac:dyDescent="0.35">
      <c r="B4612" s="47"/>
      <c r="C4612" s="14"/>
      <c r="D4612" s="14"/>
      <c r="E4612" s="14"/>
      <c r="F4612" s="14"/>
      <c r="G4612" s="18"/>
    </row>
    <row r="4613" spans="2:7" x14ac:dyDescent="0.35">
      <c r="B4613" s="47"/>
      <c r="C4613" s="14"/>
      <c r="D4613" s="14"/>
      <c r="E4613" s="14"/>
      <c r="F4613" s="14"/>
      <c r="G4613" s="18"/>
    </row>
    <row r="4614" spans="2:7" x14ac:dyDescent="0.35">
      <c r="B4614" s="47"/>
      <c r="C4614" s="14"/>
      <c r="D4614" s="14"/>
      <c r="E4614" s="14"/>
      <c r="F4614" s="14"/>
      <c r="G4614" s="18"/>
    </row>
    <row r="4615" spans="2:7" x14ac:dyDescent="0.35">
      <c r="B4615" s="47"/>
      <c r="C4615" s="14"/>
      <c r="D4615" s="14"/>
      <c r="E4615" s="14"/>
      <c r="F4615" s="14"/>
      <c r="G4615" s="18"/>
    </row>
    <row r="4616" spans="2:7" x14ac:dyDescent="0.35">
      <c r="B4616" s="47"/>
      <c r="C4616" s="14"/>
      <c r="D4616" s="14"/>
      <c r="E4616" s="14"/>
      <c r="F4616" s="14"/>
      <c r="G4616" s="18"/>
    </row>
    <row r="4617" spans="2:7" x14ac:dyDescent="0.35">
      <c r="B4617" s="47"/>
      <c r="C4617" s="14"/>
      <c r="D4617" s="14"/>
      <c r="E4617" s="14"/>
      <c r="F4617" s="14"/>
      <c r="G4617" s="18"/>
    </row>
    <row r="4618" spans="2:7" x14ac:dyDescent="0.35">
      <c r="B4618" s="47"/>
      <c r="C4618" s="14"/>
      <c r="D4618" s="14"/>
      <c r="E4618" s="14"/>
      <c r="F4618" s="14"/>
      <c r="G4618" s="18"/>
    </row>
    <row r="4619" spans="2:7" x14ac:dyDescent="0.35">
      <c r="B4619" s="47"/>
      <c r="C4619" s="14"/>
      <c r="D4619" s="14"/>
      <c r="E4619" s="14"/>
      <c r="F4619" s="14"/>
      <c r="G4619" s="18"/>
    </row>
    <row r="4620" spans="2:7" x14ac:dyDescent="0.35">
      <c r="B4620" s="47"/>
      <c r="C4620" s="14"/>
      <c r="D4620" s="14"/>
      <c r="E4620" s="14"/>
      <c r="F4620" s="14"/>
      <c r="G4620" s="18"/>
    </row>
    <row r="4621" spans="2:7" x14ac:dyDescent="0.35">
      <c r="B4621" s="47"/>
      <c r="C4621" s="14"/>
      <c r="D4621" s="14"/>
      <c r="E4621" s="14"/>
      <c r="F4621" s="14"/>
      <c r="G4621" s="18"/>
    </row>
    <row r="4622" spans="2:7" x14ac:dyDescent="0.35">
      <c r="B4622" s="47"/>
      <c r="C4622" s="14"/>
      <c r="D4622" s="14"/>
      <c r="E4622" s="14"/>
      <c r="F4622" s="14"/>
      <c r="G4622" s="18"/>
    </row>
    <row r="4623" spans="2:7" x14ac:dyDescent="0.35">
      <c r="B4623" s="47"/>
      <c r="C4623" s="14"/>
      <c r="D4623" s="14"/>
      <c r="E4623" s="14"/>
      <c r="F4623" s="14"/>
      <c r="G4623" s="18"/>
    </row>
    <row r="4624" spans="2:7" x14ac:dyDescent="0.35">
      <c r="B4624" s="47"/>
      <c r="C4624" s="14"/>
      <c r="D4624" s="14"/>
      <c r="E4624" s="14"/>
      <c r="F4624" s="14"/>
      <c r="G4624" s="18"/>
    </row>
    <row r="4625" spans="2:7" x14ac:dyDescent="0.35">
      <c r="B4625" s="47"/>
      <c r="C4625" s="14"/>
      <c r="D4625" s="14"/>
      <c r="E4625" s="14"/>
      <c r="F4625" s="14"/>
      <c r="G4625" s="18"/>
    </row>
    <row r="4626" spans="2:7" x14ac:dyDescent="0.35">
      <c r="B4626" s="47"/>
      <c r="C4626" s="14"/>
      <c r="D4626" s="14"/>
      <c r="E4626" s="14"/>
      <c r="F4626" s="14"/>
      <c r="G4626" s="18"/>
    </row>
    <row r="4627" spans="2:7" x14ac:dyDescent="0.35">
      <c r="B4627" s="47"/>
      <c r="C4627" s="14"/>
      <c r="D4627" s="14"/>
      <c r="E4627" s="14"/>
      <c r="F4627" s="14"/>
      <c r="G4627" s="18"/>
    </row>
    <row r="4628" spans="2:7" x14ac:dyDescent="0.35">
      <c r="B4628" s="47"/>
      <c r="C4628" s="14"/>
      <c r="D4628" s="14"/>
      <c r="E4628" s="14"/>
      <c r="F4628" s="14"/>
      <c r="G4628" s="18"/>
    </row>
    <row r="4629" spans="2:7" x14ac:dyDescent="0.35">
      <c r="B4629" s="47"/>
      <c r="C4629" s="14"/>
      <c r="D4629" s="14"/>
      <c r="E4629" s="14"/>
      <c r="F4629" s="14"/>
      <c r="G4629" s="18"/>
    </row>
    <row r="4630" spans="2:7" x14ac:dyDescent="0.35">
      <c r="B4630" s="47"/>
      <c r="C4630" s="14"/>
      <c r="D4630" s="14"/>
      <c r="E4630" s="14"/>
      <c r="F4630" s="14"/>
      <c r="G4630" s="18"/>
    </row>
    <row r="4631" spans="2:7" x14ac:dyDescent="0.35">
      <c r="B4631" s="47"/>
      <c r="C4631" s="14"/>
      <c r="D4631" s="14"/>
      <c r="E4631" s="14"/>
      <c r="F4631" s="14"/>
      <c r="G4631" s="18"/>
    </row>
    <row r="4632" spans="2:7" x14ac:dyDescent="0.35">
      <c r="B4632" s="47"/>
      <c r="C4632" s="14"/>
      <c r="D4632" s="14"/>
      <c r="E4632" s="14"/>
      <c r="F4632" s="14"/>
      <c r="G4632" s="18"/>
    </row>
    <row r="4633" spans="2:7" x14ac:dyDescent="0.35">
      <c r="B4633" s="47"/>
      <c r="C4633" s="14"/>
      <c r="D4633" s="14"/>
      <c r="E4633" s="14"/>
      <c r="F4633" s="14"/>
      <c r="G4633" s="18"/>
    </row>
    <row r="4634" spans="2:7" x14ac:dyDescent="0.35">
      <c r="B4634" s="47"/>
      <c r="C4634" s="14"/>
      <c r="D4634" s="14"/>
      <c r="E4634" s="14"/>
      <c r="F4634" s="14"/>
      <c r="G4634" s="18"/>
    </row>
    <row r="4635" spans="2:7" x14ac:dyDescent="0.35">
      <c r="B4635" s="47"/>
      <c r="C4635" s="14"/>
      <c r="D4635" s="14"/>
      <c r="E4635" s="14"/>
      <c r="F4635" s="14"/>
      <c r="G4635" s="18"/>
    </row>
    <row r="4636" spans="2:7" x14ac:dyDescent="0.35">
      <c r="B4636" s="47"/>
      <c r="C4636" s="14"/>
      <c r="D4636" s="14"/>
      <c r="E4636" s="14"/>
      <c r="F4636" s="14"/>
      <c r="G4636" s="18"/>
    </row>
    <row r="4637" spans="2:7" x14ac:dyDescent="0.35">
      <c r="B4637" s="47"/>
      <c r="C4637" s="14"/>
      <c r="D4637" s="14"/>
      <c r="E4637" s="14"/>
      <c r="F4637" s="14"/>
      <c r="G4637" s="18"/>
    </row>
    <row r="4638" spans="2:7" x14ac:dyDescent="0.35">
      <c r="B4638" s="47"/>
      <c r="C4638" s="14"/>
      <c r="D4638" s="14"/>
      <c r="E4638" s="14"/>
      <c r="F4638" s="14"/>
      <c r="G4638" s="18"/>
    </row>
    <row r="4639" spans="2:7" x14ac:dyDescent="0.35">
      <c r="B4639" s="47"/>
      <c r="C4639" s="14"/>
      <c r="D4639" s="14"/>
      <c r="E4639" s="14"/>
      <c r="F4639" s="14"/>
      <c r="G4639" s="18"/>
    </row>
    <row r="4640" spans="2:7" x14ac:dyDescent="0.35">
      <c r="B4640" s="47"/>
      <c r="C4640" s="14"/>
      <c r="D4640" s="14"/>
      <c r="E4640" s="14"/>
      <c r="F4640" s="14"/>
      <c r="G4640" s="18"/>
    </row>
    <row r="4641" spans="2:7" x14ac:dyDescent="0.35">
      <c r="B4641" s="47"/>
      <c r="C4641" s="14"/>
      <c r="D4641" s="14"/>
      <c r="E4641" s="14"/>
      <c r="F4641" s="14"/>
      <c r="G4641" s="18"/>
    </row>
    <row r="4642" spans="2:7" x14ac:dyDescent="0.35">
      <c r="B4642" s="47"/>
      <c r="C4642" s="14"/>
      <c r="D4642" s="14"/>
      <c r="E4642" s="14"/>
      <c r="F4642" s="14"/>
      <c r="G4642" s="18"/>
    </row>
    <row r="4643" spans="2:7" x14ac:dyDescent="0.35">
      <c r="B4643" s="47"/>
      <c r="C4643" s="14"/>
      <c r="D4643" s="14"/>
      <c r="E4643" s="14"/>
      <c r="F4643" s="14"/>
      <c r="G4643" s="18"/>
    </row>
    <row r="4644" spans="2:7" x14ac:dyDescent="0.35">
      <c r="B4644" s="47"/>
      <c r="C4644" s="14"/>
      <c r="D4644" s="14"/>
      <c r="E4644" s="14"/>
      <c r="F4644" s="14"/>
      <c r="G4644" s="18"/>
    </row>
    <row r="4645" spans="2:7" x14ac:dyDescent="0.35">
      <c r="B4645" s="47"/>
      <c r="C4645" s="14"/>
      <c r="D4645" s="14"/>
      <c r="E4645" s="14"/>
      <c r="F4645" s="14"/>
      <c r="G4645" s="18"/>
    </row>
    <row r="4646" spans="2:7" x14ac:dyDescent="0.35">
      <c r="B4646" s="47"/>
      <c r="C4646" s="14"/>
      <c r="D4646" s="14"/>
      <c r="E4646" s="14"/>
      <c r="F4646" s="14"/>
      <c r="G4646" s="18"/>
    </row>
    <row r="4647" spans="2:7" x14ac:dyDescent="0.35">
      <c r="B4647" s="47"/>
      <c r="C4647" s="14"/>
      <c r="D4647" s="14"/>
      <c r="E4647" s="14"/>
      <c r="F4647" s="14"/>
      <c r="G4647" s="18"/>
    </row>
    <row r="4648" spans="2:7" x14ac:dyDescent="0.35">
      <c r="B4648" s="47"/>
      <c r="C4648" s="14"/>
      <c r="D4648" s="14"/>
      <c r="E4648" s="14"/>
      <c r="F4648" s="14"/>
      <c r="G4648" s="18"/>
    </row>
    <row r="4649" spans="2:7" x14ac:dyDescent="0.35">
      <c r="B4649" s="47"/>
      <c r="C4649" s="14"/>
      <c r="D4649" s="14"/>
      <c r="E4649" s="14"/>
      <c r="F4649" s="14"/>
      <c r="G4649" s="18"/>
    </row>
    <row r="4650" spans="2:7" x14ac:dyDescent="0.35">
      <c r="B4650" s="47"/>
      <c r="C4650" s="14"/>
      <c r="D4650" s="14"/>
      <c r="E4650" s="14"/>
      <c r="F4650" s="14"/>
      <c r="G4650" s="18"/>
    </row>
    <row r="4651" spans="2:7" x14ac:dyDescent="0.35">
      <c r="B4651" s="47"/>
      <c r="C4651" s="14"/>
      <c r="D4651" s="14"/>
      <c r="E4651" s="14"/>
      <c r="F4651" s="14"/>
      <c r="G4651" s="18"/>
    </row>
    <row r="4652" spans="2:7" x14ac:dyDescent="0.35">
      <c r="B4652" s="47"/>
      <c r="C4652" s="14"/>
      <c r="D4652" s="14"/>
      <c r="E4652" s="14"/>
      <c r="F4652" s="14"/>
      <c r="G4652" s="18"/>
    </row>
    <row r="4653" spans="2:7" x14ac:dyDescent="0.35">
      <c r="B4653" s="47"/>
      <c r="C4653" s="14"/>
      <c r="D4653" s="14"/>
      <c r="E4653" s="14"/>
      <c r="F4653" s="14"/>
      <c r="G4653" s="18"/>
    </row>
    <row r="4654" spans="2:7" x14ac:dyDescent="0.35">
      <c r="B4654" s="47"/>
      <c r="C4654" s="14"/>
      <c r="D4654" s="14"/>
      <c r="E4654" s="14"/>
      <c r="F4654" s="14"/>
      <c r="G4654" s="18"/>
    </row>
    <row r="4655" spans="2:7" x14ac:dyDescent="0.35">
      <c r="B4655" s="47"/>
      <c r="C4655" s="14"/>
      <c r="D4655" s="14"/>
      <c r="E4655" s="14"/>
      <c r="F4655" s="14"/>
      <c r="G4655" s="18"/>
    </row>
    <row r="4656" spans="2:7" x14ac:dyDescent="0.35">
      <c r="B4656" s="47"/>
      <c r="C4656" s="14"/>
      <c r="D4656" s="14"/>
      <c r="E4656" s="14"/>
      <c r="F4656" s="14"/>
      <c r="G4656" s="18"/>
    </row>
    <row r="4657" spans="2:7" x14ac:dyDescent="0.35">
      <c r="B4657" s="47"/>
      <c r="C4657" s="14"/>
      <c r="D4657" s="14"/>
      <c r="E4657" s="14"/>
      <c r="F4657" s="14"/>
      <c r="G4657" s="18"/>
    </row>
    <row r="4658" spans="2:7" x14ac:dyDescent="0.35">
      <c r="B4658" s="47"/>
      <c r="C4658" s="14"/>
      <c r="D4658" s="14"/>
      <c r="E4658" s="14"/>
      <c r="F4658" s="14"/>
      <c r="G4658" s="18"/>
    </row>
    <row r="4659" spans="2:7" x14ac:dyDescent="0.35">
      <c r="B4659" s="47"/>
      <c r="C4659" s="14"/>
      <c r="D4659" s="14"/>
      <c r="E4659" s="14"/>
      <c r="F4659" s="14"/>
      <c r="G4659" s="18"/>
    </row>
    <row r="4660" spans="2:7" x14ac:dyDescent="0.35">
      <c r="B4660" s="47"/>
      <c r="C4660" s="14"/>
      <c r="D4660" s="14"/>
      <c r="E4660" s="14"/>
      <c r="F4660" s="14"/>
      <c r="G4660" s="18"/>
    </row>
    <row r="4661" spans="2:7" x14ac:dyDescent="0.35">
      <c r="B4661" s="47"/>
      <c r="C4661" s="14"/>
      <c r="D4661" s="14"/>
      <c r="E4661" s="14"/>
      <c r="F4661" s="14"/>
      <c r="G4661" s="18"/>
    </row>
    <row r="4662" spans="2:7" x14ac:dyDescent="0.35">
      <c r="B4662" s="47"/>
      <c r="C4662" s="14"/>
      <c r="D4662" s="14"/>
      <c r="E4662" s="14"/>
      <c r="F4662" s="14"/>
      <c r="G4662" s="18"/>
    </row>
    <row r="4663" spans="2:7" x14ac:dyDescent="0.35">
      <c r="B4663" s="47"/>
      <c r="C4663" s="14"/>
      <c r="D4663" s="14"/>
      <c r="E4663" s="14"/>
      <c r="F4663" s="14"/>
      <c r="G4663" s="18"/>
    </row>
    <row r="4664" spans="2:7" x14ac:dyDescent="0.35">
      <c r="B4664" s="47"/>
      <c r="C4664" s="14"/>
      <c r="D4664" s="14"/>
      <c r="E4664" s="14"/>
      <c r="F4664" s="14"/>
      <c r="G4664" s="18"/>
    </row>
    <row r="4665" spans="2:7" x14ac:dyDescent="0.35">
      <c r="B4665" s="47"/>
      <c r="C4665" s="14"/>
      <c r="D4665" s="14"/>
      <c r="E4665" s="14"/>
      <c r="F4665" s="14"/>
      <c r="G4665" s="18"/>
    </row>
    <row r="4666" spans="2:7" x14ac:dyDescent="0.35">
      <c r="B4666" s="47"/>
      <c r="C4666" s="14"/>
      <c r="D4666" s="14"/>
      <c r="E4666" s="14"/>
      <c r="F4666" s="14"/>
      <c r="G4666" s="18"/>
    </row>
    <row r="4667" spans="2:7" x14ac:dyDescent="0.35">
      <c r="B4667" s="47"/>
      <c r="C4667" s="14"/>
      <c r="D4667" s="14"/>
      <c r="E4667" s="14"/>
      <c r="F4667" s="14"/>
      <c r="G4667" s="18"/>
    </row>
    <row r="4668" spans="2:7" x14ac:dyDescent="0.35">
      <c r="B4668" s="47"/>
      <c r="C4668" s="14"/>
      <c r="D4668" s="14"/>
      <c r="E4668" s="14"/>
      <c r="F4668" s="14"/>
      <c r="G4668" s="18"/>
    </row>
    <row r="4669" spans="2:7" x14ac:dyDescent="0.35">
      <c r="B4669" s="47"/>
      <c r="C4669" s="14"/>
      <c r="D4669" s="14"/>
      <c r="E4669" s="14"/>
      <c r="F4669" s="14"/>
      <c r="G4669" s="18"/>
    </row>
    <row r="4670" spans="2:7" x14ac:dyDescent="0.35">
      <c r="B4670" s="47"/>
      <c r="C4670" s="14"/>
      <c r="D4670" s="14"/>
      <c r="E4670" s="14"/>
      <c r="F4670" s="14"/>
      <c r="G4670" s="18"/>
    </row>
    <row r="4671" spans="2:7" x14ac:dyDescent="0.35">
      <c r="B4671" s="47"/>
      <c r="C4671" s="14"/>
      <c r="D4671" s="14"/>
      <c r="E4671" s="14"/>
      <c r="F4671" s="14"/>
      <c r="G4671" s="18"/>
    </row>
    <row r="4672" spans="2:7" x14ac:dyDescent="0.35">
      <c r="B4672" s="47"/>
      <c r="C4672" s="14"/>
      <c r="D4672" s="14"/>
      <c r="E4672" s="14"/>
      <c r="F4672" s="14"/>
      <c r="G4672" s="18"/>
    </row>
    <row r="4673" spans="2:7" x14ac:dyDescent="0.35">
      <c r="B4673" s="47"/>
      <c r="C4673" s="14"/>
      <c r="D4673" s="14"/>
      <c r="E4673" s="14"/>
      <c r="F4673" s="14"/>
      <c r="G4673" s="18"/>
    </row>
    <row r="4674" spans="2:7" x14ac:dyDescent="0.35">
      <c r="B4674" s="47"/>
      <c r="C4674" s="14"/>
      <c r="D4674" s="14"/>
      <c r="E4674" s="14"/>
      <c r="F4674" s="14"/>
      <c r="G4674" s="18"/>
    </row>
    <row r="4675" spans="2:7" x14ac:dyDescent="0.35">
      <c r="B4675" s="47"/>
      <c r="C4675" s="14"/>
      <c r="D4675" s="14"/>
      <c r="E4675" s="14"/>
      <c r="F4675" s="14"/>
      <c r="G4675" s="18"/>
    </row>
    <row r="4676" spans="2:7" x14ac:dyDescent="0.35">
      <c r="B4676" s="47"/>
      <c r="C4676" s="14"/>
      <c r="D4676" s="14"/>
      <c r="E4676" s="14"/>
      <c r="F4676" s="14"/>
      <c r="G4676" s="18"/>
    </row>
    <row r="4677" spans="2:7" x14ac:dyDescent="0.35">
      <c r="B4677" s="47"/>
      <c r="C4677" s="14"/>
      <c r="D4677" s="14"/>
      <c r="E4677" s="14"/>
      <c r="F4677" s="14"/>
      <c r="G4677" s="18"/>
    </row>
    <row r="4678" spans="2:7" x14ac:dyDescent="0.35">
      <c r="B4678" s="47"/>
      <c r="C4678" s="14"/>
      <c r="D4678" s="14"/>
      <c r="E4678" s="14"/>
      <c r="F4678" s="14"/>
      <c r="G4678" s="18"/>
    </row>
    <row r="4679" spans="2:7" x14ac:dyDescent="0.35">
      <c r="B4679" s="47"/>
      <c r="C4679" s="14"/>
      <c r="D4679" s="14"/>
      <c r="E4679" s="14"/>
      <c r="F4679" s="14"/>
      <c r="G4679" s="18"/>
    </row>
    <row r="4680" spans="2:7" x14ac:dyDescent="0.35">
      <c r="B4680" s="47"/>
      <c r="C4680" s="14"/>
      <c r="D4680" s="14"/>
      <c r="E4680" s="14"/>
      <c r="F4680" s="14"/>
      <c r="G4680" s="18"/>
    </row>
    <row r="4681" spans="2:7" x14ac:dyDescent="0.35">
      <c r="B4681" s="47"/>
      <c r="C4681" s="14"/>
      <c r="D4681" s="14"/>
      <c r="E4681" s="14"/>
      <c r="F4681" s="14"/>
      <c r="G4681" s="18"/>
    </row>
    <row r="4682" spans="2:7" x14ac:dyDescent="0.35">
      <c r="B4682" s="47"/>
      <c r="C4682" s="14"/>
      <c r="D4682" s="14"/>
      <c r="E4682" s="14"/>
      <c r="F4682" s="14"/>
      <c r="G4682" s="18"/>
    </row>
    <row r="4683" spans="2:7" x14ac:dyDescent="0.35">
      <c r="B4683" s="47"/>
      <c r="C4683" s="14"/>
      <c r="D4683" s="14"/>
      <c r="E4683" s="14"/>
      <c r="F4683" s="14"/>
      <c r="G4683" s="18"/>
    </row>
    <row r="4684" spans="2:7" x14ac:dyDescent="0.35">
      <c r="B4684" s="47"/>
      <c r="C4684" s="14"/>
      <c r="D4684" s="14"/>
      <c r="E4684" s="14"/>
      <c r="F4684" s="14"/>
      <c r="G4684" s="18"/>
    </row>
    <row r="4685" spans="2:7" x14ac:dyDescent="0.35">
      <c r="B4685" s="47"/>
      <c r="C4685" s="14"/>
      <c r="D4685" s="14"/>
      <c r="E4685" s="14"/>
      <c r="F4685" s="14"/>
      <c r="G4685" s="18"/>
    </row>
    <row r="4686" spans="2:7" x14ac:dyDescent="0.35">
      <c r="B4686" s="47"/>
      <c r="C4686" s="14"/>
      <c r="D4686" s="14"/>
      <c r="E4686" s="14"/>
      <c r="F4686" s="14"/>
      <c r="G4686" s="18"/>
    </row>
    <row r="4687" spans="2:7" x14ac:dyDescent="0.35">
      <c r="B4687" s="47"/>
      <c r="C4687" s="14"/>
      <c r="D4687" s="14"/>
      <c r="E4687" s="14"/>
      <c r="F4687" s="14"/>
      <c r="G4687" s="18"/>
    </row>
    <row r="4688" spans="2:7" x14ac:dyDescent="0.35">
      <c r="B4688" s="47"/>
      <c r="C4688" s="14"/>
      <c r="D4688" s="14"/>
      <c r="E4688" s="14"/>
      <c r="F4688" s="14"/>
      <c r="G4688" s="18"/>
    </row>
    <row r="4689" spans="2:7" x14ac:dyDescent="0.35">
      <c r="B4689" s="47"/>
      <c r="C4689" s="14"/>
      <c r="D4689" s="14"/>
      <c r="E4689" s="14"/>
      <c r="F4689" s="14"/>
      <c r="G4689" s="18"/>
    </row>
    <row r="4690" spans="2:7" x14ac:dyDescent="0.35">
      <c r="B4690" s="47"/>
      <c r="C4690" s="14"/>
      <c r="D4690" s="14"/>
      <c r="E4690" s="14"/>
      <c r="F4690" s="14"/>
      <c r="G4690" s="18"/>
    </row>
    <row r="4691" spans="2:7" x14ac:dyDescent="0.35">
      <c r="B4691" s="47"/>
      <c r="C4691" s="14"/>
      <c r="D4691" s="14"/>
      <c r="E4691" s="14"/>
      <c r="F4691" s="14"/>
      <c r="G4691" s="18"/>
    </row>
    <row r="4692" spans="2:7" x14ac:dyDescent="0.35">
      <c r="B4692" s="47"/>
      <c r="C4692" s="14"/>
      <c r="D4692" s="14"/>
      <c r="E4692" s="14"/>
      <c r="F4692" s="14"/>
      <c r="G4692" s="18"/>
    </row>
    <row r="4693" spans="2:7" x14ac:dyDescent="0.35">
      <c r="B4693" s="47"/>
      <c r="C4693" s="14"/>
      <c r="D4693" s="14"/>
      <c r="E4693" s="14"/>
      <c r="F4693" s="14"/>
      <c r="G4693" s="18"/>
    </row>
    <row r="4694" spans="2:7" x14ac:dyDescent="0.35">
      <c r="B4694" s="47"/>
      <c r="C4694" s="14"/>
      <c r="D4694" s="14"/>
      <c r="E4694" s="14"/>
      <c r="F4694" s="14"/>
      <c r="G4694" s="18"/>
    </row>
    <row r="4695" spans="2:7" x14ac:dyDescent="0.35">
      <c r="B4695" s="47"/>
      <c r="C4695" s="14"/>
      <c r="D4695" s="14"/>
      <c r="E4695" s="14"/>
      <c r="F4695" s="14"/>
      <c r="G4695" s="18"/>
    </row>
    <row r="4696" spans="2:7" x14ac:dyDescent="0.35">
      <c r="B4696" s="47"/>
      <c r="C4696" s="14"/>
      <c r="D4696" s="14"/>
      <c r="E4696" s="14"/>
      <c r="F4696" s="14"/>
      <c r="G4696" s="18"/>
    </row>
    <row r="4697" spans="2:7" x14ac:dyDescent="0.35">
      <c r="B4697" s="47"/>
      <c r="C4697" s="14"/>
      <c r="D4697" s="14"/>
      <c r="E4697" s="14"/>
      <c r="F4697" s="14"/>
      <c r="G4697" s="18"/>
    </row>
    <row r="4698" spans="2:7" x14ac:dyDescent="0.35">
      <c r="B4698" s="47"/>
      <c r="C4698" s="14"/>
      <c r="D4698" s="14"/>
      <c r="E4698" s="14"/>
      <c r="F4698" s="14"/>
      <c r="G4698" s="18"/>
    </row>
    <row r="4699" spans="2:7" x14ac:dyDescent="0.35">
      <c r="B4699" s="47"/>
      <c r="C4699" s="14"/>
      <c r="D4699" s="14"/>
      <c r="E4699" s="14"/>
      <c r="F4699" s="14"/>
      <c r="G4699" s="18"/>
    </row>
    <row r="4700" spans="2:7" x14ac:dyDescent="0.35">
      <c r="B4700" s="47"/>
      <c r="C4700" s="14"/>
      <c r="D4700" s="14"/>
      <c r="E4700" s="14"/>
      <c r="F4700" s="14"/>
      <c r="G4700" s="18"/>
    </row>
    <row r="4701" spans="2:7" x14ac:dyDescent="0.35">
      <c r="B4701" s="47"/>
      <c r="C4701" s="14"/>
      <c r="D4701" s="14"/>
      <c r="E4701" s="14"/>
      <c r="F4701" s="14"/>
      <c r="G4701" s="18"/>
    </row>
    <row r="4702" spans="2:7" x14ac:dyDescent="0.35">
      <c r="B4702" s="47"/>
      <c r="C4702" s="14"/>
      <c r="D4702" s="14"/>
      <c r="E4702" s="14"/>
      <c r="F4702" s="14"/>
      <c r="G4702" s="18"/>
    </row>
    <row r="4703" spans="2:7" x14ac:dyDescent="0.35">
      <c r="B4703" s="47"/>
      <c r="C4703" s="14"/>
      <c r="D4703" s="14"/>
      <c r="E4703" s="14"/>
      <c r="F4703" s="14"/>
      <c r="G4703" s="18"/>
    </row>
    <row r="4704" spans="2:7" x14ac:dyDescent="0.35">
      <c r="B4704" s="47"/>
      <c r="C4704" s="14"/>
      <c r="D4704" s="14"/>
      <c r="E4704" s="14"/>
      <c r="F4704" s="14"/>
      <c r="G4704" s="18"/>
    </row>
    <row r="4705" spans="2:7" x14ac:dyDescent="0.35">
      <c r="B4705" s="47"/>
      <c r="C4705" s="14"/>
      <c r="D4705" s="14"/>
      <c r="E4705" s="14"/>
      <c r="F4705" s="14"/>
      <c r="G4705" s="18"/>
    </row>
    <row r="4706" spans="2:7" x14ac:dyDescent="0.35">
      <c r="B4706" s="47"/>
      <c r="C4706" s="14"/>
      <c r="D4706" s="14"/>
      <c r="E4706" s="14"/>
      <c r="F4706" s="14"/>
      <c r="G4706" s="18"/>
    </row>
    <row r="4707" spans="2:7" x14ac:dyDescent="0.35">
      <c r="B4707" s="47"/>
      <c r="C4707" s="14"/>
      <c r="D4707" s="14"/>
      <c r="E4707" s="14"/>
      <c r="F4707" s="14"/>
      <c r="G4707" s="18"/>
    </row>
    <row r="4708" spans="2:7" x14ac:dyDescent="0.35">
      <c r="B4708" s="47"/>
      <c r="C4708" s="14"/>
      <c r="D4708" s="14"/>
      <c r="E4708" s="14"/>
      <c r="F4708" s="14"/>
      <c r="G4708" s="18"/>
    </row>
    <row r="4709" spans="2:7" x14ac:dyDescent="0.35">
      <c r="B4709" s="47"/>
      <c r="C4709" s="14"/>
      <c r="D4709" s="14"/>
      <c r="E4709" s="14"/>
      <c r="F4709" s="14"/>
      <c r="G4709" s="18"/>
    </row>
    <row r="4710" spans="2:7" x14ac:dyDescent="0.35">
      <c r="B4710" s="47"/>
      <c r="C4710" s="14"/>
      <c r="D4710" s="14"/>
      <c r="E4710" s="14"/>
      <c r="F4710" s="14"/>
      <c r="G4710" s="18"/>
    </row>
    <row r="4711" spans="2:7" x14ac:dyDescent="0.35">
      <c r="B4711" s="47"/>
      <c r="C4711" s="14"/>
      <c r="D4711" s="14"/>
      <c r="E4711" s="14"/>
      <c r="F4711" s="14"/>
      <c r="G4711" s="18"/>
    </row>
    <row r="4712" spans="2:7" x14ac:dyDescent="0.35">
      <c r="B4712" s="47"/>
      <c r="C4712" s="14"/>
      <c r="D4712" s="14"/>
      <c r="E4712" s="14"/>
      <c r="F4712" s="14"/>
      <c r="G4712" s="18"/>
    </row>
    <row r="4713" spans="2:7" x14ac:dyDescent="0.35">
      <c r="B4713" s="47"/>
      <c r="C4713" s="14"/>
      <c r="D4713" s="14"/>
      <c r="E4713" s="14"/>
      <c r="F4713" s="14"/>
      <c r="G4713" s="18"/>
    </row>
    <row r="4714" spans="2:7" x14ac:dyDescent="0.35">
      <c r="B4714" s="47"/>
      <c r="C4714" s="14"/>
      <c r="D4714" s="14"/>
      <c r="E4714" s="14"/>
      <c r="F4714" s="14"/>
      <c r="G4714" s="18"/>
    </row>
    <row r="4715" spans="2:7" x14ac:dyDescent="0.35">
      <c r="B4715" s="47"/>
      <c r="C4715" s="14"/>
      <c r="D4715" s="14"/>
      <c r="E4715" s="14"/>
      <c r="F4715" s="14"/>
      <c r="G4715" s="18"/>
    </row>
    <row r="4716" spans="2:7" x14ac:dyDescent="0.35">
      <c r="B4716" s="47"/>
      <c r="C4716" s="14"/>
      <c r="D4716" s="14"/>
      <c r="E4716" s="14"/>
      <c r="F4716" s="14"/>
      <c r="G4716" s="18"/>
    </row>
    <row r="4717" spans="2:7" x14ac:dyDescent="0.35">
      <c r="B4717" s="47"/>
      <c r="C4717" s="14"/>
      <c r="D4717" s="14"/>
      <c r="E4717" s="14"/>
      <c r="F4717" s="14"/>
      <c r="G4717" s="18"/>
    </row>
    <row r="4718" spans="2:7" x14ac:dyDescent="0.35">
      <c r="B4718" s="47"/>
      <c r="C4718" s="14"/>
      <c r="D4718" s="14"/>
      <c r="E4718" s="14"/>
      <c r="F4718" s="14"/>
      <c r="G4718" s="18"/>
    </row>
    <row r="4719" spans="2:7" x14ac:dyDescent="0.35">
      <c r="B4719" s="47"/>
      <c r="C4719" s="14"/>
      <c r="D4719" s="14"/>
      <c r="E4719" s="14"/>
      <c r="F4719" s="14"/>
      <c r="G4719" s="18"/>
    </row>
    <row r="4720" spans="2:7" x14ac:dyDescent="0.35">
      <c r="B4720" s="47"/>
      <c r="C4720" s="14"/>
      <c r="D4720" s="14"/>
      <c r="E4720" s="14"/>
      <c r="F4720" s="14"/>
      <c r="G4720" s="18"/>
    </row>
    <row r="4721" spans="2:7" x14ac:dyDescent="0.35">
      <c r="B4721" s="47"/>
      <c r="C4721" s="14"/>
      <c r="D4721" s="14"/>
      <c r="E4721" s="14"/>
      <c r="F4721" s="14"/>
      <c r="G4721" s="18"/>
    </row>
    <row r="4722" spans="2:7" x14ac:dyDescent="0.35">
      <c r="B4722" s="47"/>
      <c r="C4722" s="14"/>
      <c r="D4722" s="14"/>
      <c r="E4722" s="14"/>
      <c r="F4722" s="14"/>
      <c r="G4722" s="18"/>
    </row>
    <row r="4723" spans="2:7" x14ac:dyDescent="0.35">
      <c r="B4723" s="47"/>
      <c r="C4723" s="14"/>
      <c r="D4723" s="14"/>
      <c r="E4723" s="14"/>
      <c r="F4723" s="14"/>
      <c r="G4723" s="18"/>
    </row>
    <row r="4724" spans="2:7" x14ac:dyDescent="0.35">
      <c r="B4724" s="47"/>
      <c r="C4724" s="14"/>
      <c r="D4724" s="14"/>
      <c r="E4724" s="14"/>
      <c r="F4724" s="14"/>
      <c r="G4724" s="18"/>
    </row>
    <row r="4725" spans="2:7" x14ac:dyDescent="0.35">
      <c r="B4725" s="47"/>
      <c r="C4725" s="14"/>
      <c r="D4725" s="14"/>
      <c r="E4725" s="14"/>
      <c r="F4725" s="14"/>
      <c r="G4725" s="18"/>
    </row>
    <row r="4726" spans="2:7" x14ac:dyDescent="0.35">
      <c r="B4726" s="47"/>
      <c r="C4726" s="14"/>
      <c r="D4726" s="14"/>
      <c r="E4726" s="14"/>
      <c r="F4726" s="14"/>
      <c r="G4726" s="18"/>
    </row>
    <row r="4727" spans="2:7" x14ac:dyDescent="0.35">
      <c r="B4727" s="47"/>
      <c r="C4727" s="14"/>
      <c r="D4727" s="14"/>
      <c r="E4727" s="14"/>
      <c r="F4727" s="14"/>
      <c r="G4727" s="18"/>
    </row>
    <row r="4728" spans="2:7" x14ac:dyDescent="0.35">
      <c r="B4728" s="47"/>
      <c r="C4728" s="14"/>
      <c r="D4728" s="14"/>
      <c r="E4728" s="14"/>
      <c r="F4728" s="14"/>
      <c r="G4728" s="18"/>
    </row>
    <row r="4729" spans="2:7" x14ac:dyDescent="0.35">
      <c r="B4729" s="47"/>
      <c r="C4729" s="14"/>
      <c r="D4729" s="14"/>
      <c r="E4729" s="14"/>
      <c r="F4729" s="14"/>
      <c r="G4729" s="18"/>
    </row>
    <row r="4730" spans="2:7" x14ac:dyDescent="0.35">
      <c r="B4730" s="47"/>
      <c r="C4730" s="14"/>
      <c r="D4730" s="14"/>
      <c r="E4730" s="14"/>
      <c r="F4730" s="14"/>
      <c r="G4730" s="18"/>
    </row>
    <row r="4731" spans="2:7" x14ac:dyDescent="0.35">
      <c r="B4731" s="47"/>
      <c r="C4731" s="14"/>
      <c r="D4731" s="14"/>
      <c r="E4731" s="14"/>
      <c r="F4731" s="14"/>
      <c r="G4731" s="18"/>
    </row>
    <row r="4732" spans="2:7" x14ac:dyDescent="0.35">
      <c r="B4732" s="47"/>
      <c r="C4732" s="14"/>
      <c r="D4732" s="14"/>
      <c r="E4732" s="14"/>
      <c r="F4732" s="14"/>
      <c r="G4732" s="18"/>
    </row>
    <row r="4733" spans="2:7" x14ac:dyDescent="0.35">
      <c r="B4733" s="47"/>
      <c r="C4733" s="14"/>
      <c r="D4733" s="14"/>
      <c r="E4733" s="14"/>
      <c r="F4733" s="14"/>
      <c r="G4733" s="18"/>
    </row>
    <row r="4734" spans="2:7" x14ac:dyDescent="0.35">
      <c r="B4734" s="47"/>
      <c r="C4734" s="14"/>
      <c r="D4734" s="14"/>
      <c r="E4734" s="14"/>
      <c r="F4734" s="14"/>
      <c r="G4734" s="18"/>
    </row>
    <row r="4735" spans="2:7" x14ac:dyDescent="0.35">
      <c r="B4735" s="47"/>
      <c r="C4735" s="14"/>
      <c r="D4735" s="14"/>
      <c r="E4735" s="14"/>
      <c r="F4735" s="14"/>
      <c r="G4735" s="18"/>
    </row>
    <row r="4736" spans="2:7" x14ac:dyDescent="0.35">
      <c r="B4736" s="47"/>
      <c r="C4736" s="14"/>
      <c r="D4736" s="14"/>
      <c r="E4736" s="14"/>
      <c r="F4736" s="14"/>
      <c r="G4736" s="18"/>
    </row>
    <row r="4737" spans="2:7" x14ac:dyDescent="0.35">
      <c r="B4737" s="47"/>
      <c r="C4737" s="14"/>
      <c r="D4737" s="14"/>
      <c r="E4737" s="14"/>
      <c r="F4737" s="14"/>
      <c r="G4737" s="18"/>
    </row>
    <row r="4738" spans="2:7" x14ac:dyDescent="0.35">
      <c r="B4738" s="47"/>
      <c r="C4738" s="14"/>
      <c r="D4738" s="14"/>
      <c r="E4738" s="14"/>
      <c r="F4738" s="14"/>
      <c r="G4738" s="18"/>
    </row>
    <row r="4739" spans="2:7" x14ac:dyDescent="0.35">
      <c r="B4739" s="47"/>
      <c r="C4739" s="14"/>
      <c r="D4739" s="14"/>
      <c r="E4739" s="14"/>
      <c r="F4739" s="14"/>
      <c r="G4739" s="18"/>
    </row>
    <row r="4740" spans="2:7" x14ac:dyDescent="0.35">
      <c r="B4740" s="47"/>
      <c r="C4740" s="14"/>
      <c r="D4740" s="14"/>
      <c r="E4740" s="14"/>
      <c r="F4740" s="14"/>
      <c r="G4740" s="18"/>
    </row>
    <row r="4741" spans="2:7" x14ac:dyDescent="0.35">
      <c r="B4741" s="47"/>
      <c r="C4741" s="14"/>
      <c r="D4741" s="14"/>
      <c r="E4741" s="14"/>
      <c r="F4741" s="14"/>
      <c r="G4741" s="18"/>
    </row>
    <row r="4742" spans="2:7" x14ac:dyDescent="0.35">
      <c r="B4742" s="47"/>
      <c r="C4742" s="14"/>
      <c r="D4742" s="14"/>
      <c r="E4742" s="14"/>
      <c r="F4742" s="14"/>
      <c r="G4742" s="18"/>
    </row>
    <row r="4743" spans="2:7" x14ac:dyDescent="0.35">
      <c r="B4743" s="47"/>
      <c r="C4743" s="14"/>
      <c r="D4743" s="14"/>
      <c r="E4743" s="14"/>
      <c r="F4743" s="14"/>
      <c r="G4743" s="18"/>
    </row>
    <row r="4744" spans="2:7" x14ac:dyDescent="0.35">
      <c r="B4744" s="47"/>
      <c r="C4744" s="14"/>
      <c r="D4744" s="14"/>
      <c r="E4744" s="14"/>
      <c r="F4744" s="14"/>
      <c r="G4744" s="18"/>
    </row>
    <row r="4745" spans="2:7" x14ac:dyDescent="0.35">
      <c r="B4745" s="47"/>
      <c r="C4745" s="14"/>
      <c r="D4745" s="14"/>
      <c r="E4745" s="14"/>
      <c r="F4745" s="14"/>
      <c r="G4745" s="18"/>
    </row>
    <row r="4746" spans="2:7" x14ac:dyDescent="0.35">
      <c r="B4746" s="47"/>
      <c r="C4746" s="14"/>
      <c r="D4746" s="14"/>
      <c r="E4746" s="14"/>
      <c r="F4746" s="14"/>
      <c r="G4746" s="18"/>
    </row>
    <row r="4747" spans="2:7" x14ac:dyDescent="0.35">
      <c r="B4747" s="47"/>
      <c r="C4747" s="14"/>
      <c r="D4747" s="14"/>
      <c r="E4747" s="14"/>
      <c r="F4747" s="14"/>
      <c r="G4747" s="18"/>
    </row>
    <row r="4748" spans="2:7" x14ac:dyDescent="0.35">
      <c r="B4748" s="47"/>
      <c r="C4748" s="14"/>
      <c r="D4748" s="14"/>
      <c r="E4748" s="14"/>
      <c r="F4748" s="14"/>
      <c r="G4748" s="18"/>
    </row>
    <row r="4749" spans="2:7" x14ac:dyDescent="0.35">
      <c r="B4749" s="47"/>
      <c r="C4749" s="14"/>
      <c r="D4749" s="14"/>
      <c r="E4749" s="14"/>
      <c r="F4749" s="14"/>
      <c r="G4749" s="18"/>
    </row>
    <row r="4750" spans="2:7" x14ac:dyDescent="0.35">
      <c r="B4750" s="47"/>
      <c r="C4750" s="14"/>
      <c r="D4750" s="14"/>
      <c r="E4750" s="14"/>
      <c r="F4750" s="14"/>
      <c r="G4750" s="18"/>
    </row>
    <row r="4751" spans="2:7" x14ac:dyDescent="0.35">
      <c r="B4751" s="47"/>
      <c r="C4751" s="14"/>
      <c r="D4751" s="14"/>
      <c r="E4751" s="14"/>
      <c r="F4751" s="14"/>
      <c r="G4751" s="18"/>
    </row>
    <row r="4752" spans="2:7" x14ac:dyDescent="0.35">
      <c r="B4752" s="47"/>
      <c r="C4752" s="14"/>
      <c r="D4752" s="14"/>
      <c r="E4752" s="14"/>
      <c r="F4752" s="14"/>
      <c r="G4752" s="18"/>
    </row>
    <row r="4753" spans="2:7" x14ac:dyDescent="0.35">
      <c r="B4753" s="47"/>
      <c r="C4753" s="14"/>
      <c r="D4753" s="14"/>
      <c r="E4753" s="14"/>
      <c r="F4753" s="14"/>
      <c r="G4753" s="18"/>
    </row>
    <row r="4754" spans="2:7" x14ac:dyDescent="0.35">
      <c r="B4754" s="47"/>
      <c r="C4754" s="14"/>
      <c r="D4754" s="14"/>
      <c r="E4754" s="14"/>
      <c r="F4754" s="14"/>
      <c r="G4754" s="18"/>
    </row>
    <row r="4755" spans="2:7" x14ac:dyDescent="0.35">
      <c r="B4755" s="47"/>
      <c r="C4755" s="14"/>
      <c r="D4755" s="14"/>
      <c r="E4755" s="14"/>
      <c r="F4755" s="14"/>
      <c r="G4755" s="18"/>
    </row>
    <row r="4756" spans="2:7" x14ac:dyDescent="0.35">
      <c r="B4756" s="47"/>
      <c r="C4756" s="14"/>
      <c r="D4756" s="14"/>
      <c r="E4756" s="14"/>
      <c r="F4756" s="14"/>
      <c r="G4756" s="18"/>
    </row>
    <row r="4757" spans="2:7" x14ac:dyDescent="0.35">
      <c r="B4757" s="47"/>
      <c r="C4757" s="14"/>
      <c r="D4757" s="14"/>
      <c r="E4757" s="14"/>
      <c r="F4757" s="14"/>
      <c r="G4757" s="18"/>
    </row>
    <row r="4758" spans="2:7" x14ac:dyDescent="0.35">
      <c r="B4758" s="47"/>
      <c r="C4758" s="14"/>
      <c r="D4758" s="14"/>
      <c r="E4758" s="14"/>
      <c r="F4758" s="14"/>
      <c r="G4758" s="18"/>
    </row>
    <row r="4759" spans="2:7" x14ac:dyDescent="0.35">
      <c r="B4759" s="47"/>
      <c r="C4759" s="14"/>
      <c r="D4759" s="14"/>
      <c r="E4759" s="14"/>
      <c r="F4759" s="14"/>
      <c r="G4759" s="18"/>
    </row>
    <row r="4760" spans="2:7" x14ac:dyDescent="0.35">
      <c r="B4760" s="47"/>
      <c r="C4760" s="14"/>
      <c r="D4760" s="14"/>
      <c r="E4760" s="14"/>
      <c r="F4760" s="14"/>
      <c r="G4760" s="18"/>
    </row>
    <row r="4761" spans="2:7" x14ac:dyDescent="0.35">
      <c r="B4761" s="47"/>
      <c r="C4761" s="14"/>
      <c r="D4761" s="14"/>
      <c r="E4761" s="14"/>
      <c r="F4761" s="14"/>
      <c r="G4761" s="18"/>
    </row>
    <row r="4762" spans="2:7" x14ac:dyDescent="0.35">
      <c r="B4762" s="47"/>
      <c r="C4762" s="14"/>
      <c r="D4762" s="14"/>
      <c r="E4762" s="14"/>
      <c r="F4762" s="14"/>
      <c r="G4762" s="18"/>
    </row>
    <row r="4763" spans="2:7" x14ac:dyDescent="0.35">
      <c r="B4763" s="47"/>
      <c r="C4763" s="14"/>
      <c r="D4763" s="14"/>
      <c r="E4763" s="14"/>
      <c r="F4763" s="14"/>
      <c r="G4763" s="18"/>
    </row>
    <row r="4764" spans="2:7" x14ac:dyDescent="0.35">
      <c r="B4764" s="47"/>
      <c r="C4764" s="14"/>
      <c r="D4764" s="14"/>
      <c r="E4764" s="14"/>
      <c r="F4764" s="14"/>
      <c r="G4764" s="18"/>
    </row>
    <row r="4765" spans="2:7" x14ac:dyDescent="0.35">
      <c r="B4765" s="47"/>
      <c r="C4765" s="14"/>
      <c r="D4765" s="14"/>
      <c r="E4765" s="14"/>
      <c r="F4765" s="14"/>
      <c r="G4765" s="18"/>
    </row>
    <row r="4766" spans="2:7" x14ac:dyDescent="0.35">
      <c r="B4766" s="47"/>
      <c r="C4766" s="14"/>
      <c r="D4766" s="14"/>
      <c r="E4766" s="14"/>
      <c r="F4766" s="14"/>
      <c r="G4766" s="18"/>
    </row>
    <row r="4767" spans="2:7" x14ac:dyDescent="0.35">
      <c r="B4767" s="47"/>
      <c r="C4767" s="14"/>
      <c r="D4767" s="14"/>
      <c r="E4767" s="14"/>
      <c r="F4767" s="14"/>
      <c r="G4767" s="18"/>
    </row>
    <row r="4768" spans="2:7" x14ac:dyDescent="0.35">
      <c r="B4768" s="47"/>
      <c r="C4768" s="14"/>
      <c r="D4768" s="14"/>
      <c r="E4768" s="14"/>
      <c r="F4768" s="14"/>
      <c r="G4768" s="18"/>
    </row>
    <row r="4769" spans="2:7" x14ac:dyDescent="0.35">
      <c r="B4769" s="47"/>
      <c r="C4769" s="14"/>
      <c r="D4769" s="14"/>
      <c r="E4769" s="14"/>
      <c r="F4769" s="14"/>
      <c r="G4769" s="18"/>
    </row>
    <row r="4770" spans="2:7" x14ac:dyDescent="0.35">
      <c r="B4770" s="47"/>
      <c r="C4770" s="14"/>
      <c r="D4770" s="14"/>
      <c r="E4770" s="14"/>
      <c r="F4770" s="14"/>
      <c r="G4770" s="18"/>
    </row>
    <row r="4771" spans="2:7" x14ac:dyDescent="0.35">
      <c r="B4771" s="47"/>
      <c r="C4771" s="14"/>
      <c r="D4771" s="14"/>
      <c r="E4771" s="14"/>
      <c r="F4771" s="14"/>
      <c r="G4771" s="18"/>
    </row>
    <row r="4772" spans="2:7" x14ac:dyDescent="0.35">
      <c r="B4772" s="47"/>
      <c r="C4772" s="14"/>
      <c r="D4772" s="14"/>
      <c r="E4772" s="14"/>
      <c r="F4772" s="14"/>
      <c r="G4772" s="18"/>
    </row>
    <row r="4773" spans="2:7" x14ac:dyDescent="0.35">
      <c r="B4773" s="47"/>
      <c r="C4773" s="14"/>
      <c r="D4773" s="14"/>
      <c r="E4773" s="14"/>
      <c r="F4773" s="14"/>
      <c r="G4773" s="18"/>
    </row>
    <row r="4774" spans="2:7" x14ac:dyDescent="0.35">
      <c r="B4774" s="47"/>
      <c r="C4774" s="14"/>
      <c r="D4774" s="14"/>
      <c r="E4774" s="14"/>
      <c r="F4774" s="14"/>
      <c r="G4774" s="18"/>
    </row>
    <row r="4775" spans="2:7" x14ac:dyDescent="0.35">
      <c r="B4775" s="47"/>
      <c r="C4775" s="14"/>
      <c r="D4775" s="14"/>
      <c r="E4775" s="14"/>
      <c r="F4775" s="14"/>
      <c r="G4775" s="18"/>
    </row>
    <row r="4776" spans="2:7" x14ac:dyDescent="0.35">
      <c r="B4776" s="47"/>
      <c r="C4776" s="14"/>
      <c r="D4776" s="14"/>
      <c r="E4776" s="14"/>
      <c r="F4776" s="14"/>
      <c r="G4776" s="18"/>
    </row>
    <row r="4777" spans="2:7" x14ac:dyDescent="0.35">
      <c r="B4777" s="47"/>
      <c r="C4777" s="14"/>
      <c r="D4777" s="14"/>
      <c r="E4777" s="14"/>
      <c r="F4777" s="14"/>
      <c r="G4777" s="18"/>
    </row>
    <row r="4778" spans="2:7" x14ac:dyDescent="0.35">
      <c r="B4778" s="47"/>
      <c r="C4778" s="14"/>
      <c r="D4778" s="14"/>
      <c r="E4778" s="14"/>
      <c r="F4778" s="14"/>
      <c r="G4778" s="18"/>
    </row>
    <row r="4779" spans="2:7" x14ac:dyDescent="0.35">
      <c r="B4779" s="47"/>
      <c r="C4779" s="14"/>
      <c r="D4779" s="14"/>
      <c r="E4779" s="14"/>
      <c r="F4779" s="14"/>
      <c r="G4779" s="18"/>
    </row>
    <row r="4780" spans="2:7" x14ac:dyDescent="0.35">
      <c r="B4780" s="47"/>
      <c r="C4780" s="14"/>
      <c r="D4780" s="14"/>
      <c r="E4780" s="14"/>
      <c r="F4780" s="14"/>
      <c r="G4780" s="18"/>
    </row>
    <row r="4781" spans="2:7" x14ac:dyDescent="0.35">
      <c r="B4781" s="47"/>
      <c r="C4781" s="14"/>
      <c r="D4781" s="14"/>
      <c r="E4781" s="14"/>
      <c r="F4781" s="14"/>
      <c r="G4781" s="18"/>
    </row>
    <row r="4782" spans="2:7" x14ac:dyDescent="0.35">
      <c r="B4782" s="47"/>
      <c r="C4782" s="14"/>
      <c r="D4782" s="14"/>
      <c r="E4782" s="14"/>
      <c r="F4782" s="14"/>
      <c r="G4782" s="18"/>
    </row>
    <row r="4783" spans="2:7" x14ac:dyDescent="0.35">
      <c r="B4783" s="47"/>
      <c r="C4783" s="14"/>
      <c r="D4783" s="14"/>
      <c r="E4783" s="14"/>
      <c r="F4783" s="14"/>
      <c r="G4783" s="18"/>
    </row>
    <row r="4784" spans="2:7" x14ac:dyDescent="0.35">
      <c r="B4784" s="47"/>
      <c r="C4784" s="14"/>
      <c r="D4784" s="14"/>
      <c r="E4784" s="14"/>
      <c r="F4784" s="14"/>
      <c r="G4784" s="18"/>
    </row>
    <row r="4785" spans="2:7" x14ac:dyDescent="0.35">
      <c r="B4785" s="47"/>
      <c r="C4785" s="14"/>
      <c r="D4785" s="14"/>
      <c r="E4785" s="14"/>
      <c r="F4785" s="14"/>
      <c r="G4785" s="18"/>
    </row>
    <row r="4786" spans="2:7" x14ac:dyDescent="0.35">
      <c r="B4786" s="47"/>
      <c r="C4786" s="14"/>
      <c r="D4786" s="14"/>
      <c r="E4786" s="14"/>
      <c r="F4786" s="14"/>
      <c r="G4786" s="18"/>
    </row>
    <row r="4787" spans="2:7" x14ac:dyDescent="0.35">
      <c r="B4787" s="47"/>
      <c r="C4787" s="14"/>
      <c r="D4787" s="14"/>
      <c r="E4787" s="14"/>
      <c r="F4787" s="14"/>
      <c r="G4787" s="18"/>
    </row>
    <row r="4788" spans="2:7" x14ac:dyDescent="0.35">
      <c r="B4788" s="47"/>
      <c r="C4788" s="14"/>
      <c r="D4788" s="14"/>
      <c r="E4788" s="14"/>
      <c r="F4788" s="14"/>
      <c r="G4788" s="18"/>
    </row>
    <row r="4789" spans="2:7" x14ac:dyDescent="0.35">
      <c r="B4789" s="47"/>
      <c r="C4789" s="14"/>
      <c r="D4789" s="14"/>
      <c r="E4789" s="14"/>
      <c r="F4789" s="14"/>
      <c r="G4789" s="18"/>
    </row>
    <row r="4790" spans="2:7" x14ac:dyDescent="0.35">
      <c r="B4790" s="47"/>
      <c r="C4790" s="14"/>
      <c r="D4790" s="14"/>
      <c r="E4790" s="14"/>
      <c r="F4790" s="14"/>
      <c r="G4790" s="18"/>
    </row>
    <row r="4791" spans="2:7" x14ac:dyDescent="0.35">
      <c r="B4791" s="47"/>
      <c r="C4791" s="14"/>
      <c r="D4791" s="14"/>
      <c r="E4791" s="14"/>
      <c r="F4791" s="14"/>
      <c r="G4791" s="18"/>
    </row>
    <row r="4792" spans="2:7" x14ac:dyDescent="0.35">
      <c r="B4792" s="47"/>
      <c r="C4792" s="14"/>
      <c r="D4792" s="14"/>
      <c r="E4792" s="14"/>
      <c r="F4792" s="14"/>
      <c r="G4792" s="18"/>
    </row>
    <row r="4793" spans="2:7" x14ac:dyDescent="0.35">
      <c r="B4793" s="47"/>
      <c r="C4793" s="14"/>
      <c r="D4793" s="14"/>
      <c r="E4793" s="14"/>
      <c r="F4793" s="14"/>
      <c r="G4793" s="18"/>
    </row>
    <row r="4794" spans="2:7" x14ac:dyDescent="0.35">
      <c r="B4794" s="47"/>
      <c r="C4794" s="14"/>
      <c r="D4794" s="14"/>
      <c r="E4794" s="14"/>
      <c r="F4794" s="14"/>
      <c r="G4794" s="18"/>
    </row>
    <row r="4795" spans="2:7" x14ac:dyDescent="0.35">
      <c r="B4795" s="47"/>
      <c r="C4795" s="14"/>
      <c r="D4795" s="14"/>
      <c r="E4795" s="14"/>
      <c r="F4795" s="14"/>
      <c r="G4795" s="18"/>
    </row>
    <row r="4796" spans="2:7" x14ac:dyDescent="0.35">
      <c r="B4796" s="47"/>
      <c r="C4796" s="14"/>
      <c r="D4796" s="14"/>
      <c r="E4796" s="14"/>
      <c r="F4796" s="14"/>
      <c r="G4796" s="18"/>
    </row>
    <row r="4797" spans="2:7" x14ac:dyDescent="0.35">
      <c r="B4797" s="47"/>
      <c r="C4797" s="14"/>
      <c r="D4797" s="14"/>
      <c r="E4797" s="14"/>
      <c r="F4797" s="14"/>
      <c r="G4797" s="18"/>
    </row>
    <row r="4798" spans="2:7" x14ac:dyDescent="0.35">
      <c r="B4798" s="47"/>
      <c r="C4798" s="14"/>
      <c r="D4798" s="14"/>
      <c r="E4798" s="14"/>
      <c r="F4798" s="14"/>
      <c r="G4798" s="18"/>
    </row>
    <row r="4799" spans="2:7" x14ac:dyDescent="0.35">
      <c r="B4799" s="47"/>
      <c r="C4799" s="14"/>
      <c r="D4799" s="14"/>
      <c r="E4799" s="14"/>
      <c r="F4799" s="14"/>
      <c r="G4799" s="18"/>
    </row>
    <row r="4800" spans="2:7" x14ac:dyDescent="0.35">
      <c r="B4800" s="47"/>
      <c r="C4800" s="14"/>
      <c r="D4800" s="14"/>
      <c r="E4800" s="14"/>
      <c r="F4800" s="14"/>
      <c r="G4800" s="18"/>
    </row>
    <row r="4801" spans="2:7" x14ac:dyDescent="0.35">
      <c r="B4801" s="47"/>
      <c r="C4801" s="14"/>
      <c r="D4801" s="14"/>
      <c r="E4801" s="14"/>
      <c r="F4801" s="14"/>
      <c r="G4801" s="18"/>
    </row>
    <row r="4802" spans="2:7" x14ac:dyDescent="0.35">
      <c r="B4802" s="47"/>
      <c r="C4802" s="14"/>
      <c r="D4802" s="14"/>
      <c r="E4802" s="14"/>
      <c r="F4802" s="14"/>
      <c r="G4802" s="18"/>
    </row>
    <row r="4803" spans="2:7" x14ac:dyDescent="0.35">
      <c r="B4803" s="47"/>
      <c r="C4803" s="14"/>
      <c r="D4803" s="14"/>
      <c r="E4803" s="14"/>
      <c r="F4803" s="14"/>
      <c r="G4803" s="18"/>
    </row>
    <row r="4804" spans="2:7" x14ac:dyDescent="0.35">
      <c r="B4804" s="47"/>
      <c r="C4804" s="14"/>
      <c r="D4804" s="14"/>
      <c r="E4804" s="14"/>
      <c r="F4804" s="14"/>
      <c r="G4804" s="18"/>
    </row>
    <row r="4805" spans="2:7" x14ac:dyDescent="0.35">
      <c r="B4805" s="47"/>
      <c r="C4805" s="14"/>
      <c r="D4805" s="14"/>
      <c r="E4805" s="14"/>
      <c r="F4805" s="14"/>
      <c r="G4805" s="18"/>
    </row>
    <row r="4806" spans="2:7" x14ac:dyDescent="0.35">
      <c r="B4806" s="47"/>
      <c r="C4806" s="14"/>
      <c r="D4806" s="14"/>
      <c r="E4806" s="14"/>
      <c r="F4806" s="14"/>
      <c r="G4806" s="18"/>
    </row>
    <row r="4807" spans="2:7" x14ac:dyDescent="0.35">
      <c r="B4807" s="47"/>
      <c r="C4807" s="14"/>
      <c r="D4807" s="14"/>
      <c r="E4807" s="14"/>
      <c r="F4807" s="14"/>
      <c r="G4807" s="18"/>
    </row>
    <row r="4808" spans="2:7" x14ac:dyDescent="0.35">
      <c r="B4808" s="47"/>
      <c r="C4808" s="14"/>
      <c r="D4808" s="14"/>
      <c r="E4808" s="14"/>
      <c r="F4808" s="14"/>
      <c r="G4808" s="18"/>
    </row>
    <row r="4809" spans="2:7" x14ac:dyDescent="0.35">
      <c r="B4809" s="47"/>
      <c r="C4809" s="14"/>
      <c r="D4809" s="14"/>
      <c r="E4809" s="14"/>
      <c r="F4809" s="14"/>
      <c r="G4809" s="18"/>
    </row>
    <row r="4810" spans="2:7" x14ac:dyDescent="0.35">
      <c r="B4810" s="47"/>
      <c r="C4810" s="14"/>
      <c r="D4810" s="14"/>
      <c r="E4810" s="14"/>
      <c r="F4810" s="14"/>
      <c r="G4810" s="18"/>
    </row>
    <row r="4811" spans="2:7" x14ac:dyDescent="0.35">
      <c r="B4811" s="47"/>
      <c r="C4811" s="14"/>
      <c r="D4811" s="14"/>
      <c r="E4811" s="14"/>
      <c r="F4811" s="14"/>
      <c r="G4811" s="18"/>
    </row>
    <row r="4812" spans="2:7" x14ac:dyDescent="0.35">
      <c r="B4812" s="47"/>
      <c r="C4812" s="14"/>
      <c r="D4812" s="14"/>
      <c r="E4812" s="14"/>
      <c r="F4812" s="14"/>
      <c r="G4812" s="18"/>
    </row>
    <row r="4813" spans="2:7" x14ac:dyDescent="0.35">
      <c r="B4813" s="47"/>
      <c r="C4813" s="14"/>
      <c r="D4813" s="14"/>
      <c r="E4813" s="14"/>
      <c r="F4813" s="14"/>
      <c r="G4813" s="18"/>
    </row>
    <row r="4814" spans="2:7" x14ac:dyDescent="0.35">
      <c r="B4814" s="47"/>
      <c r="C4814" s="14"/>
      <c r="D4814" s="14"/>
      <c r="E4814" s="14"/>
      <c r="F4814" s="14"/>
      <c r="G4814" s="18"/>
    </row>
    <row r="4815" spans="2:7" x14ac:dyDescent="0.35">
      <c r="B4815" s="47"/>
      <c r="C4815" s="14"/>
      <c r="D4815" s="14"/>
      <c r="E4815" s="14"/>
      <c r="F4815" s="14"/>
      <c r="G4815" s="18"/>
    </row>
    <row r="4816" spans="2:7" x14ac:dyDescent="0.35">
      <c r="B4816" s="47"/>
      <c r="C4816" s="14"/>
      <c r="D4816" s="14"/>
      <c r="E4816" s="14"/>
      <c r="F4816" s="14"/>
      <c r="G4816" s="18"/>
    </row>
    <row r="4817" spans="2:7" x14ac:dyDescent="0.35">
      <c r="B4817" s="47"/>
      <c r="C4817" s="14"/>
      <c r="D4817" s="14"/>
      <c r="E4817" s="14"/>
      <c r="F4817" s="14"/>
      <c r="G4817" s="18"/>
    </row>
    <row r="4818" spans="2:7" x14ac:dyDescent="0.35">
      <c r="B4818" s="47"/>
      <c r="C4818" s="14"/>
      <c r="D4818" s="14"/>
      <c r="E4818" s="14"/>
      <c r="F4818" s="14"/>
      <c r="G4818" s="18"/>
    </row>
    <row r="4819" spans="2:7" x14ac:dyDescent="0.35">
      <c r="B4819" s="47"/>
      <c r="C4819" s="14"/>
      <c r="D4819" s="14"/>
      <c r="E4819" s="14"/>
      <c r="F4819" s="14"/>
      <c r="G4819" s="18"/>
    </row>
    <row r="4820" spans="2:7" x14ac:dyDescent="0.35">
      <c r="B4820" s="47"/>
      <c r="C4820" s="14"/>
      <c r="D4820" s="14"/>
      <c r="E4820" s="14"/>
      <c r="F4820" s="14"/>
      <c r="G4820" s="18"/>
    </row>
    <row r="4821" spans="2:7" x14ac:dyDescent="0.35">
      <c r="B4821" s="47"/>
      <c r="C4821" s="14"/>
      <c r="D4821" s="14"/>
      <c r="E4821" s="14"/>
      <c r="F4821" s="14"/>
      <c r="G4821" s="18"/>
    </row>
    <row r="4822" spans="2:7" x14ac:dyDescent="0.35">
      <c r="B4822" s="47"/>
      <c r="C4822" s="14"/>
      <c r="D4822" s="14"/>
      <c r="E4822" s="14"/>
      <c r="F4822" s="14"/>
      <c r="G4822" s="18"/>
    </row>
    <row r="4823" spans="2:7" x14ac:dyDescent="0.35">
      <c r="B4823" s="47"/>
      <c r="C4823" s="14"/>
      <c r="D4823" s="14"/>
      <c r="E4823" s="14"/>
      <c r="F4823" s="14"/>
      <c r="G4823" s="18"/>
    </row>
    <row r="4824" spans="2:7" x14ac:dyDescent="0.35">
      <c r="B4824" s="47"/>
      <c r="C4824" s="14"/>
      <c r="D4824" s="14"/>
      <c r="E4824" s="14"/>
      <c r="F4824" s="14"/>
      <c r="G4824" s="18"/>
    </row>
    <row r="4825" spans="2:7" x14ac:dyDescent="0.35">
      <c r="B4825" s="47"/>
      <c r="C4825" s="14"/>
      <c r="D4825" s="14"/>
      <c r="E4825" s="14"/>
      <c r="F4825" s="14"/>
      <c r="G4825" s="18"/>
    </row>
    <row r="4826" spans="2:7" x14ac:dyDescent="0.35">
      <c r="B4826" s="47"/>
      <c r="C4826" s="14"/>
      <c r="D4826" s="14"/>
      <c r="E4826" s="14"/>
      <c r="F4826" s="14"/>
      <c r="G4826" s="18"/>
    </row>
    <row r="4827" spans="2:7" x14ac:dyDescent="0.35">
      <c r="B4827" s="47"/>
      <c r="C4827" s="14"/>
      <c r="D4827" s="14"/>
      <c r="E4827" s="14"/>
      <c r="F4827" s="14"/>
      <c r="G4827" s="18"/>
    </row>
    <row r="4828" spans="2:7" x14ac:dyDescent="0.35">
      <c r="B4828" s="47"/>
      <c r="C4828" s="14"/>
      <c r="D4828" s="14"/>
      <c r="E4828" s="14"/>
      <c r="F4828" s="14"/>
      <c r="G4828" s="18"/>
    </row>
    <row r="4829" spans="2:7" x14ac:dyDescent="0.35">
      <c r="B4829" s="47"/>
      <c r="C4829" s="14"/>
      <c r="D4829" s="14"/>
      <c r="E4829" s="14"/>
      <c r="F4829" s="14"/>
      <c r="G4829" s="18"/>
    </row>
    <row r="4830" spans="2:7" x14ac:dyDescent="0.35">
      <c r="B4830" s="47"/>
      <c r="C4830" s="14"/>
      <c r="D4830" s="14"/>
      <c r="E4830" s="14"/>
      <c r="F4830" s="14"/>
      <c r="G4830" s="18"/>
    </row>
    <row r="4831" spans="2:7" x14ac:dyDescent="0.35">
      <c r="B4831" s="47"/>
      <c r="C4831" s="14"/>
      <c r="D4831" s="14"/>
      <c r="E4831" s="14"/>
      <c r="F4831" s="14"/>
      <c r="G4831" s="18"/>
    </row>
    <row r="4832" spans="2:7" x14ac:dyDescent="0.35">
      <c r="B4832" s="47"/>
      <c r="C4832" s="14"/>
      <c r="D4832" s="14"/>
      <c r="E4832" s="14"/>
      <c r="F4832" s="14"/>
      <c r="G4832" s="18"/>
    </row>
    <row r="4833" spans="2:7" x14ac:dyDescent="0.35">
      <c r="B4833" s="47"/>
      <c r="C4833" s="14"/>
      <c r="D4833" s="14"/>
      <c r="E4833" s="14"/>
      <c r="F4833" s="14"/>
      <c r="G4833" s="18"/>
    </row>
    <row r="4834" spans="2:7" x14ac:dyDescent="0.35">
      <c r="B4834" s="47"/>
      <c r="C4834" s="14"/>
      <c r="D4834" s="14"/>
      <c r="E4834" s="14"/>
      <c r="F4834" s="14"/>
      <c r="G4834" s="18"/>
    </row>
    <row r="4835" spans="2:7" x14ac:dyDescent="0.35">
      <c r="B4835" s="47"/>
      <c r="C4835" s="14"/>
      <c r="D4835" s="14"/>
      <c r="E4835" s="14"/>
      <c r="F4835" s="14"/>
      <c r="G4835" s="18"/>
    </row>
    <row r="4836" spans="2:7" x14ac:dyDescent="0.35">
      <c r="B4836" s="47"/>
      <c r="C4836" s="14"/>
      <c r="D4836" s="14"/>
      <c r="E4836" s="14"/>
      <c r="F4836" s="14"/>
      <c r="G4836" s="18"/>
    </row>
    <row r="4837" spans="2:7" x14ac:dyDescent="0.35">
      <c r="B4837" s="47"/>
      <c r="C4837" s="14"/>
      <c r="D4837" s="14"/>
      <c r="E4837" s="14"/>
      <c r="F4837" s="14"/>
      <c r="G4837" s="18"/>
    </row>
    <row r="4838" spans="2:7" x14ac:dyDescent="0.35">
      <c r="B4838" s="47"/>
      <c r="C4838" s="14"/>
      <c r="D4838" s="14"/>
      <c r="E4838" s="14"/>
      <c r="F4838" s="14"/>
      <c r="G4838" s="18"/>
    </row>
    <row r="4839" spans="2:7" x14ac:dyDescent="0.35">
      <c r="B4839" s="47"/>
      <c r="C4839" s="14"/>
      <c r="D4839" s="14"/>
      <c r="E4839" s="14"/>
      <c r="F4839" s="14"/>
      <c r="G4839" s="18"/>
    </row>
    <row r="4840" spans="2:7" x14ac:dyDescent="0.35">
      <c r="B4840" s="47"/>
      <c r="C4840" s="14"/>
      <c r="D4840" s="14"/>
      <c r="E4840" s="14"/>
      <c r="F4840" s="14"/>
      <c r="G4840" s="18"/>
    </row>
    <row r="4841" spans="2:7" x14ac:dyDescent="0.35">
      <c r="B4841" s="47"/>
      <c r="C4841" s="14"/>
      <c r="D4841" s="14"/>
      <c r="E4841" s="14"/>
      <c r="F4841" s="14"/>
      <c r="G4841" s="18"/>
    </row>
    <row r="4842" spans="2:7" x14ac:dyDescent="0.35">
      <c r="B4842" s="47"/>
      <c r="C4842" s="14"/>
      <c r="D4842" s="14"/>
      <c r="E4842" s="14"/>
      <c r="F4842" s="14"/>
      <c r="G4842" s="18"/>
    </row>
    <row r="4843" spans="2:7" x14ac:dyDescent="0.35">
      <c r="B4843" s="47"/>
      <c r="C4843" s="14"/>
      <c r="D4843" s="14"/>
      <c r="E4843" s="14"/>
      <c r="F4843" s="14"/>
      <c r="G4843" s="18"/>
    </row>
    <row r="4844" spans="2:7" x14ac:dyDescent="0.35">
      <c r="B4844" s="47"/>
      <c r="C4844" s="14"/>
      <c r="D4844" s="14"/>
      <c r="E4844" s="14"/>
      <c r="F4844" s="14"/>
      <c r="G4844" s="18"/>
    </row>
    <row r="4845" spans="2:7" x14ac:dyDescent="0.35">
      <c r="B4845" s="47"/>
      <c r="C4845" s="14"/>
      <c r="D4845" s="14"/>
      <c r="E4845" s="14"/>
      <c r="F4845" s="14"/>
      <c r="G4845" s="18"/>
    </row>
    <row r="4846" spans="2:7" x14ac:dyDescent="0.35">
      <c r="B4846" s="47"/>
      <c r="C4846" s="14"/>
      <c r="D4846" s="14"/>
      <c r="E4846" s="14"/>
      <c r="F4846" s="14"/>
      <c r="G4846" s="18"/>
    </row>
    <row r="4847" spans="2:7" x14ac:dyDescent="0.35">
      <c r="B4847" s="47"/>
      <c r="C4847" s="14"/>
      <c r="D4847" s="14"/>
      <c r="E4847" s="14"/>
      <c r="F4847" s="14"/>
      <c r="G4847" s="18"/>
    </row>
    <row r="4848" spans="2:7" x14ac:dyDescent="0.35">
      <c r="B4848" s="47"/>
      <c r="C4848" s="14"/>
      <c r="D4848" s="14"/>
      <c r="E4848" s="14"/>
      <c r="F4848" s="14"/>
      <c r="G4848" s="18"/>
    </row>
    <row r="4849" spans="2:7" x14ac:dyDescent="0.35">
      <c r="B4849" s="47"/>
      <c r="C4849" s="14"/>
      <c r="D4849" s="14"/>
      <c r="E4849" s="14"/>
      <c r="F4849" s="14"/>
      <c r="G4849" s="18"/>
    </row>
    <row r="4850" spans="2:7" x14ac:dyDescent="0.35">
      <c r="B4850" s="47"/>
      <c r="C4850" s="14"/>
      <c r="D4850" s="14"/>
      <c r="E4850" s="14"/>
      <c r="F4850" s="14"/>
      <c r="G4850" s="18"/>
    </row>
    <row r="4851" spans="2:7" x14ac:dyDescent="0.35">
      <c r="B4851" s="47"/>
      <c r="C4851" s="14"/>
      <c r="D4851" s="14"/>
      <c r="E4851" s="14"/>
      <c r="F4851" s="14"/>
      <c r="G4851" s="18"/>
    </row>
    <row r="4852" spans="2:7" x14ac:dyDescent="0.35">
      <c r="B4852" s="47"/>
      <c r="C4852" s="14"/>
      <c r="D4852" s="14"/>
      <c r="E4852" s="14"/>
      <c r="F4852" s="14"/>
      <c r="G4852" s="18"/>
    </row>
    <row r="4853" spans="2:7" x14ac:dyDescent="0.35">
      <c r="B4853" s="47"/>
      <c r="C4853" s="14"/>
      <c r="D4853" s="14"/>
      <c r="E4853" s="14"/>
      <c r="F4853" s="14"/>
      <c r="G4853" s="18"/>
    </row>
    <row r="4854" spans="2:7" x14ac:dyDescent="0.35">
      <c r="B4854" s="47"/>
      <c r="C4854" s="14"/>
      <c r="D4854" s="14"/>
      <c r="E4854" s="14"/>
      <c r="F4854" s="14"/>
      <c r="G4854" s="18"/>
    </row>
    <row r="4855" spans="2:7" x14ac:dyDescent="0.35">
      <c r="B4855" s="47"/>
      <c r="C4855" s="14"/>
      <c r="D4855" s="14"/>
      <c r="E4855" s="14"/>
      <c r="F4855" s="14"/>
      <c r="G4855" s="18"/>
    </row>
    <row r="4856" spans="2:7" x14ac:dyDescent="0.35">
      <c r="B4856" s="47"/>
      <c r="C4856" s="14"/>
      <c r="D4856" s="14"/>
      <c r="E4856" s="14"/>
      <c r="F4856" s="14"/>
      <c r="G4856" s="18"/>
    </row>
    <row r="4857" spans="2:7" x14ac:dyDescent="0.35">
      <c r="B4857" s="47"/>
      <c r="C4857" s="14"/>
      <c r="D4857" s="14"/>
      <c r="E4857" s="14"/>
      <c r="F4857" s="14"/>
      <c r="G4857" s="18"/>
    </row>
    <row r="4858" spans="2:7" x14ac:dyDescent="0.35">
      <c r="B4858" s="47"/>
      <c r="C4858" s="14"/>
      <c r="D4858" s="14"/>
      <c r="E4858" s="14"/>
      <c r="F4858" s="14"/>
      <c r="G4858" s="18"/>
    </row>
    <row r="4859" spans="2:7" x14ac:dyDescent="0.35">
      <c r="B4859" s="47"/>
      <c r="C4859" s="14"/>
      <c r="D4859" s="14"/>
      <c r="E4859" s="14"/>
      <c r="F4859" s="14"/>
      <c r="G4859" s="18"/>
    </row>
    <row r="4860" spans="2:7" x14ac:dyDescent="0.35">
      <c r="B4860" s="47"/>
      <c r="C4860" s="14"/>
      <c r="D4860" s="14"/>
      <c r="E4860" s="14"/>
      <c r="F4860" s="14"/>
      <c r="G4860" s="18"/>
    </row>
    <row r="4861" spans="2:7" x14ac:dyDescent="0.35">
      <c r="B4861" s="47"/>
      <c r="C4861" s="14"/>
      <c r="D4861" s="14"/>
      <c r="E4861" s="14"/>
      <c r="F4861" s="14"/>
      <c r="G4861" s="18"/>
    </row>
    <row r="4862" spans="2:7" x14ac:dyDescent="0.35">
      <c r="B4862" s="47"/>
      <c r="C4862" s="14"/>
      <c r="D4862" s="14"/>
      <c r="E4862" s="14"/>
      <c r="F4862" s="14"/>
      <c r="G4862" s="18"/>
    </row>
    <row r="4863" spans="2:7" x14ac:dyDescent="0.35">
      <c r="B4863" s="47"/>
      <c r="C4863" s="14"/>
      <c r="D4863" s="14"/>
      <c r="E4863" s="14"/>
      <c r="F4863" s="14"/>
      <c r="G4863" s="18"/>
    </row>
    <row r="4864" spans="2:7" x14ac:dyDescent="0.35">
      <c r="B4864" s="47"/>
      <c r="C4864" s="14"/>
      <c r="D4864" s="14"/>
      <c r="E4864" s="14"/>
      <c r="F4864" s="14"/>
      <c r="G4864" s="18"/>
    </row>
    <row r="4865" spans="2:7" x14ac:dyDescent="0.35">
      <c r="B4865" s="47"/>
      <c r="C4865" s="14"/>
      <c r="D4865" s="14"/>
      <c r="E4865" s="14"/>
      <c r="F4865" s="14"/>
      <c r="G4865" s="18"/>
    </row>
    <row r="4866" spans="2:7" x14ac:dyDescent="0.35">
      <c r="B4866" s="47"/>
      <c r="C4866" s="14"/>
      <c r="D4866" s="14"/>
      <c r="E4866" s="14"/>
      <c r="F4866" s="14"/>
      <c r="G4866" s="18"/>
    </row>
    <row r="4867" spans="2:7" x14ac:dyDescent="0.35">
      <c r="B4867" s="47"/>
      <c r="C4867" s="14"/>
      <c r="D4867" s="14"/>
      <c r="E4867" s="14"/>
      <c r="F4867" s="14"/>
      <c r="G4867" s="18"/>
    </row>
    <row r="4868" spans="2:7" x14ac:dyDescent="0.35">
      <c r="B4868" s="47"/>
      <c r="C4868" s="14"/>
      <c r="D4868" s="14"/>
      <c r="E4868" s="14"/>
      <c r="F4868" s="14"/>
      <c r="G4868" s="18"/>
    </row>
    <row r="4869" spans="2:7" x14ac:dyDescent="0.35">
      <c r="B4869" s="47"/>
      <c r="C4869" s="14"/>
      <c r="D4869" s="14"/>
      <c r="E4869" s="14"/>
      <c r="F4869" s="14"/>
      <c r="G4869" s="18"/>
    </row>
    <row r="4870" spans="2:7" x14ac:dyDescent="0.35">
      <c r="B4870" s="47"/>
      <c r="C4870" s="14"/>
      <c r="D4870" s="14"/>
      <c r="E4870" s="14"/>
      <c r="F4870" s="14"/>
      <c r="G4870" s="18"/>
    </row>
    <row r="4871" spans="2:7" x14ac:dyDescent="0.35">
      <c r="B4871" s="47"/>
      <c r="C4871" s="14"/>
      <c r="D4871" s="14"/>
      <c r="E4871" s="14"/>
      <c r="F4871" s="14"/>
      <c r="G4871" s="18"/>
    </row>
    <row r="4872" spans="2:7" x14ac:dyDescent="0.35">
      <c r="B4872" s="47"/>
      <c r="C4872" s="14"/>
      <c r="D4872" s="14"/>
      <c r="E4872" s="14"/>
      <c r="F4872" s="14"/>
      <c r="G4872" s="18"/>
    </row>
    <row r="4873" spans="2:7" x14ac:dyDescent="0.35">
      <c r="B4873" s="47"/>
      <c r="C4873" s="14"/>
      <c r="D4873" s="14"/>
      <c r="E4873" s="14"/>
      <c r="F4873" s="14"/>
      <c r="G4873" s="18"/>
    </row>
    <row r="4874" spans="2:7" x14ac:dyDescent="0.35">
      <c r="B4874" s="47"/>
      <c r="C4874" s="14"/>
      <c r="D4874" s="14"/>
      <c r="E4874" s="14"/>
      <c r="F4874" s="14"/>
      <c r="G4874" s="18"/>
    </row>
    <row r="4875" spans="2:7" x14ac:dyDescent="0.35">
      <c r="B4875" s="47"/>
      <c r="C4875" s="14"/>
      <c r="D4875" s="14"/>
      <c r="E4875" s="14"/>
      <c r="F4875" s="14"/>
      <c r="G4875" s="18"/>
    </row>
    <row r="4876" spans="2:7" x14ac:dyDescent="0.35">
      <c r="B4876" s="47"/>
      <c r="C4876" s="14"/>
      <c r="D4876" s="14"/>
      <c r="E4876" s="14"/>
      <c r="F4876" s="14"/>
      <c r="G4876" s="18"/>
    </row>
    <row r="4877" spans="2:7" x14ac:dyDescent="0.35">
      <c r="B4877" s="47"/>
      <c r="C4877" s="14"/>
      <c r="D4877" s="14"/>
      <c r="E4877" s="14"/>
      <c r="F4877" s="14"/>
      <c r="G4877" s="18"/>
    </row>
    <row r="4878" spans="2:7" x14ac:dyDescent="0.35">
      <c r="B4878" s="47"/>
      <c r="C4878" s="14"/>
      <c r="D4878" s="14"/>
      <c r="E4878" s="14"/>
      <c r="F4878" s="14"/>
      <c r="G4878" s="18"/>
    </row>
    <row r="4879" spans="2:7" x14ac:dyDescent="0.35">
      <c r="B4879" s="47"/>
      <c r="C4879" s="14"/>
      <c r="D4879" s="14"/>
      <c r="E4879" s="14"/>
      <c r="F4879" s="14"/>
      <c r="G4879" s="18"/>
    </row>
    <row r="4880" spans="2:7" x14ac:dyDescent="0.35">
      <c r="B4880" s="47"/>
      <c r="C4880" s="14"/>
      <c r="D4880" s="14"/>
      <c r="E4880" s="14"/>
      <c r="F4880" s="14"/>
      <c r="G4880" s="18"/>
    </row>
    <row r="4881" spans="2:7" x14ac:dyDescent="0.35">
      <c r="B4881" s="47"/>
      <c r="C4881" s="14"/>
      <c r="D4881" s="14"/>
      <c r="E4881" s="14"/>
      <c r="F4881" s="14"/>
      <c r="G4881" s="18"/>
    </row>
    <row r="4882" spans="2:7" x14ac:dyDescent="0.35">
      <c r="B4882" s="47"/>
      <c r="C4882" s="14"/>
      <c r="D4882" s="14"/>
      <c r="E4882" s="14"/>
      <c r="F4882" s="14"/>
      <c r="G4882" s="18"/>
    </row>
    <row r="4883" spans="2:7" x14ac:dyDescent="0.35">
      <c r="B4883" s="47"/>
      <c r="C4883" s="14"/>
      <c r="D4883" s="14"/>
      <c r="E4883" s="14"/>
      <c r="F4883" s="14"/>
      <c r="G4883" s="18"/>
    </row>
    <row r="4884" spans="2:7" x14ac:dyDescent="0.35">
      <c r="B4884" s="47"/>
      <c r="C4884" s="14"/>
      <c r="D4884" s="14"/>
      <c r="E4884" s="14"/>
      <c r="F4884" s="14"/>
      <c r="G4884" s="18"/>
    </row>
    <row r="4885" spans="2:7" x14ac:dyDescent="0.35">
      <c r="B4885" s="47"/>
      <c r="C4885" s="14"/>
      <c r="D4885" s="14"/>
      <c r="E4885" s="14"/>
      <c r="F4885" s="14"/>
      <c r="G4885" s="18"/>
    </row>
    <row r="4886" spans="2:7" x14ac:dyDescent="0.35">
      <c r="B4886" s="47"/>
      <c r="C4886" s="14"/>
      <c r="D4886" s="14"/>
      <c r="E4886" s="14"/>
      <c r="F4886" s="14"/>
      <c r="G4886" s="18"/>
    </row>
    <row r="4887" spans="2:7" x14ac:dyDescent="0.35">
      <c r="B4887" s="47"/>
      <c r="C4887" s="14"/>
      <c r="D4887" s="14"/>
      <c r="E4887" s="14"/>
      <c r="F4887" s="14"/>
      <c r="G4887" s="18"/>
    </row>
    <row r="4888" spans="2:7" x14ac:dyDescent="0.35">
      <c r="B4888" s="47"/>
      <c r="C4888" s="14"/>
      <c r="D4888" s="14"/>
      <c r="E4888" s="14"/>
      <c r="F4888" s="14"/>
      <c r="G4888" s="18"/>
    </row>
    <row r="4889" spans="2:7" x14ac:dyDescent="0.35">
      <c r="B4889" s="47"/>
      <c r="C4889" s="14"/>
      <c r="D4889" s="14"/>
      <c r="E4889" s="14"/>
      <c r="F4889" s="14"/>
      <c r="G4889" s="18"/>
    </row>
    <row r="4890" spans="2:7" x14ac:dyDescent="0.35">
      <c r="B4890" s="47"/>
      <c r="C4890" s="14"/>
      <c r="D4890" s="14"/>
      <c r="E4890" s="14"/>
      <c r="F4890" s="14"/>
      <c r="G4890" s="18"/>
    </row>
    <row r="4891" spans="2:7" x14ac:dyDescent="0.35">
      <c r="B4891" s="47"/>
      <c r="C4891" s="14"/>
      <c r="D4891" s="14"/>
      <c r="E4891" s="14"/>
      <c r="F4891" s="14"/>
      <c r="G4891" s="18"/>
    </row>
    <row r="4892" spans="2:7" x14ac:dyDescent="0.35">
      <c r="B4892" s="47"/>
      <c r="C4892" s="14"/>
      <c r="D4892" s="14"/>
      <c r="E4892" s="14"/>
      <c r="F4892" s="14"/>
      <c r="G4892" s="18"/>
    </row>
    <row r="4893" spans="2:7" x14ac:dyDescent="0.35">
      <c r="B4893" s="47"/>
      <c r="C4893" s="14"/>
      <c r="D4893" s="14"/>
      <c r="E4893" s="14"/>
      <c r="F4893" s="14"/>
      <c r="G4893" s="18"/>
    </row>
    <row r="4894" spans="2:7" x14ac:dyDescent="0.35">
      <c r="B4894" s="47"/>
      <c r="C4894" s="14"/>
      <c r="D4894" s="14"/>
      <c r="E4894" s="14"/>
      <c r="F4894" s="14"/>
      <c r="G4894" s="18"/>
    </row>
    <row r="4895" spans="2:7" x14ac:dyDescent="0.35">
      <c r="B4895" s="47"/>
      <c r="C4895" s="14"/>
      <c r="D4895" s="14"/>
      <c r="E4895" s="14"/>
      <c r="F4895" s="14"/>
      <c r="G4895" s="18"/>
    </row>
    <row r="4896" spans="2:7" x14ac:dyDescent="0.35">
      <c r="B4896" s="47"/>
      <c r="C4896" s="14"/>
      <c r="D4896" s="14"/>
      <c r="E4896" s="14"/>
      <c r="F4896" s="14"/>
      <c r="G4896" s="18"/>
    </row>
    <row r="4897" spans="2:7" x14ac:dyDescent="0.35">
      <c r="B4897" s="47"/>
      <c r="C4897" s="14"/>
      <c r="D4897" s="14"/>
      <c r="E4897" s="14"/>
      <c r="F4897" s="14"/>
      <c r="G4897" s="18"/>
    </row>
    <row r="4898" spans="2:7" x14ac:dyDescent="0.35">
      <c r="B4898" s="47"/>
      <c r="C4898" s="14"/>
      <c r="D4898" s="14"/>
      <c r="E4898" s="14"/>
      <c r="F4898" s="14"/>
      <c r="G4898" s="18"/>
    </row>
    <row r="4899" spans="2:7" x14ac:dyDescent="0.35">
      <c r="B4899" s="47"/>
      <c r="C4899" s="14"/>
      <c r="D4899" s="14"/>
      <c r="E4899" s="14"/>
      <c r="F4899" s="14"/>
      <c r="G4899" s="18"/>
    </row>
    <row r="4900" spans="2:7" x14ac:dyDescent="0.35">
      <c r="B4900" s="47"/>
      <c r="C4900" s="14"/>
      <c r="D4900" s="14"/>
      <c r="E4900" s="14"/>
      <c r="F4900" s="14"/>
      <c r="G4900" s="18"/>
    </row>
    <row r="4901" spans="2:7" x14ac:dyDescent="0.35">
      <c r="B4901" s="47"/>
      <c r="C4901" s="14"/>
      <c r="D4901" s="14"/>
      <c r="E4901" s="14"/>
      <c r="F4901" s="14"/>
      <c r="G4901" s="18"/>
    </row>
    <row r="4902" spans="2:7" x14ac:dyDescent="0.35">
      <c r="B4902" s="47"/>
      <c r="C4902" s="14"/>
      <c r="D4902" s="14"/>
      <c r="E4902" s="14"/>
      <c r="F4902" s="14"/>
      <c r="G4902" s="18"/>
    </row>
    <row r="4903" spans="2:7" x14ac:dyDescent="0.35">
      <c r="B4903" s="47"/>
      <c r="C4903" s="14"/>
      <c r="D4903" s="14"/>
      <c r="E4903" s="14"/>
      <c r="F4903" s="14"/>
      <c r="G4903" s="18"/>
    </row>
    <row r="4904" spans="2:7" x14ac:dyDescent="0.35">
      <c r="B4904" s="47"/>
      <c r="C4904" s="14"/>
      <c r="D4904" s="14"/>
      <c r="E4904" s="14"/>
      <c r="F4904" s="14"/>
      <c r="G4904" s="18"/>
    </row>
    <row r="4905" spans="2:7" x14ac:dyDescent="0.35">
      <c r="B4905" s="47"/>
      <c r="C4905" s="14"/>
      <c r="D4905" s="14"/>
      <c r="E4905" s="14"/>
      <c r="F4905" s="14"/>
      <c r="G4905" s="18"/>
    </row>
    <row r="4906" spans="2:7" x14ac:dyDescent="0.35">
      <c r="B4906" s="47"/>
      <c r="C4906" s="14"/>
      <c r="D4906" s="14"/>
      <c r="E4906" s="14"/>
      <c r="F4906" s="14"/>
      <c r="G4906" s="18"/>
    </row>
    <row r="4907" spans="2:7" x14ac:dyDescent="0.35">
      <c r="B4907" s="47"/>
      <c r="C4907" s="14"/>
      <c r="D4907" s="14"/>
      <c r="E4907" s="14"/>
      <c r="F4907" s="14"/>
      <c r="G4907" s="18"/>
    </row>
    <row r="4908" spans="2:7" x14ac:dyDescent="0.35">
      <c r="B4908" s="47"/>
      <c r="C4908" s="14"/>
      <c r="D4908" s="14"/>
      <c r="E4908" s="14"/>
      <c r="F4908" s="14"/>
      <c r="G4908" s="18"/>
    </row>
    <row r="4909" spans="2:7" x14ac:dyDescent="0.35">
      <c r="B4909" s="47"/>
      <c r="C4909" s="14"/>
      <c r="D4909" s="14"/>
      <c r="E4909" s="14"/>
      <c r="F4909" s="14"/>
      <c r="G4909" s="18"/>
    </row>
    <row r="4910" spans="2:7" x14ac:dyDescent="0.35">
      <c r="B4910" s="47"/>
      <c r="C4910" s="14"/>
      <c r="D4910" s="14"/>
      <c r="E4910" s="14"/>
      <c r="F4910" s="14"/>
      <c r="G4910" s="18"/>
    </row>
    <row r="4911" spans="2:7" x14ac:dyDescent="0.35">
      <c r="B4911" s="47"/>
      <c r="C4911" s="14"/>
      <c r="D4911" s="14"/>
      <c r="E4911" s="14"/>
      <c r="F4911" s="14"/>
      <c r="G4911" s="18"/>
    </row>
    <row r="4912" spans="2:7" x14ac:dyDescent="0.35">
      <c r="B4912" s="47"/>
      <c r="C4912" s="14"/>
      <c r="D4912" s="14"/>
      <c r="E4912" s="14"/>
      <c r="F4912" s="14"/>
      <c r="G4912" s="18"/>
    </row>
    <row r="4913" spans="2:7" x14ac:dyDescent="0.35">
      <c r="B4913" s="47"/>
      <c r="C4913" s="14"/>
      <c r="D4913" s="14"/>
      <c r="E4913" s="14"/>
      <c r="F4913" s="14"/>
      <c r="G4913" s="18"/>
    </row>
    <row r="4914" spans="2:7" x14ac:dyDescent="0.35">
      <c r="B4914" s="47"/>
      <c r="C4914" s="14"/>
      <c r="D4914" s="14"/>
      <c r="E4914" s="14"/>
      <c r="F4914" s="14"/>
      <c r="G4914" s="18"/>
    </row>
    <row r="4915" spans="2:7" x14ac:dyDescent="0.35">
      <c r="B4915" s="47"/>
      <c r="C4915" s="14"/>
      <c r="D4915" s="14"/>
      <c r="E4915" s="14"/>
      <c r="F4915" s="14"/>
      <c r="G4915" s="18"/>
    </row>
    <row r="4916" spans="2:7" x14ac:dyDescent="0.35">
      <c r="B4916" s="47"/>
      <c r="C4916" s="14"/>
      <c r="D4916" s="14"/>
      <c r="E4916" s="14"/>
      <c r="F4916" s="14"/>
      <c r="G4916" s="18"/>
    </row>
    <row r="4917" spans="2:7" x14ac:dyDescent="0.35">
      <c r="B4917" s="47"/>
      <c r="C4917" s="14"/>
      <c r="D4917" s="14"/>
      <c r="E4917" s="14"/>
      <c r="F4917" s="14"/>
      <c r="G4917" s="18"/>
    </row>
    <row r="4918" spans="2:7" x14ac:dyDescent="0.35">
      <c r="B4918" s="47"/>
      <c r="C4918" s="14"/>
      <c r="D4918" s="14"/>
      <c r="E4918" s="14"/>
      <c r="F4918" s="14"/>
      <c r="G4918" s="18"/>
    </row>
    <row r="4919" spans="2:7" x14ac:dyDescent="0.35">
      <c r="B4919" s="47"/>
      <c r="C4919" s="14"/>
      <c r="D4919" s="14"/>
      <c r="E4919" s="14"/>
      <c r="F4919" s="14"/>
      <c r="G4919" s="18"/>
    </row>
    <row r="4920" spans="2:7" x14ac:dyDescent="0.35">
      <c r="B4920" s="47"/>
      <c r="C4920" s="14"/>
      <c r="D4920" s="14"/>
      <c r="E4920" s="14"/>
      <c r="F4920" s="14"/>
      <c r="G4920" s="18"/>
    </row>
    <row r="4921" spans="2:7" x14ac:dyDescent="0.35">
      <c r="B4921" s="47"/>
      <c r="C4921" s="14"/>
      <c r="D4921" s="14"/>
      <c r="E4921" s="14"/>
      <c r="F4921" s="14"/>
      <c r="G4921" s="18"/>
    </row>
    <row r="4922" spans="2:7" x14ac:dyDescent="0.35">
      <c r="B4922" s="47"/>
      <c r="C4922" s="14"/>
      <c r="D4922" s="14"/>
      <c r="E4922" s="14"/>
      <c r="F4922" s="14"/>
      <c r="G4922" s="18"/>
    </row>
    <row r="4923" spans="2:7" x14ac:dyDescent="0.35">
      <c r="B4923" s="47"/>
      <c r="C4923" s="14"/>
      <c r="D4923" s="14"/>
      <c r="E4923" s="14"/>
      <c r="F4923" s="14"/>
      <c r="G4923" s="18"/>
    </row>
    <row r="4924" spans="2:7" x14ac:dyDescent="0.35">
      <c r="B4924" s="47"/>
      <c r="C4924" s="14"/>
      <c r="D4924" s="14"/>
      <c r="E4924" s="14"/>
      <c r="F4924" s="14"/>
      <c r="G4924" s="18"/>
    </row>
    <row r="4925" spans="2:7" x14ac:dyDescent="0.35">
      <c r="B4925" s="47"/>
      <c r="C4925" s="14"/>
      <c r="D4925" s="14"/>
      <c r="E4925" s="14"/>
      <c r="F4925" s="14"/>
      <c r="G4925" s="18"/>
    </row>
    <row r="4926" spans="2:7" x14ac:dyDescent="0.35">
      <c r="B4926" s="47"/>
      <c r="C4926" s="14"/>
      <c r="D4926" s="14"/>
      <c r="E4926" s="14"/>
      <c r="F4926" s="14"/>
      <c r="G4926" s="18"/>
    </row>
    <row r="4927" spans="2:7" x14ac:dyDescent="0.35">
      <c r="B4927" s="47"/>
      <c r="C4927" s="14"/>
      <c r="D4927" s="14"/>
      <c r="E4927" s="14"/>
      <c r="F4927" s="14"/>
      <c r="G4927" s="18"/>
    </row>
    <row r="4928" spans="2:7" x14ac:dyDescent="0.35">
      <c r="B4928" s="47"/>
      <c r="C4928" s="14"/>
      <c r="D4928" s="14"/>
      <c r="E4928" s="14"/>
      <c r="F4928" s="14"/>
      <c r="G4928" s="18"/>
    </row>
    <row r="4929" spans="2:7" x14ac:dyDescent="0.35">
      <c r="B4929" s="47"/>
      <c r="C4929" s="14"/>
      <c r="D4929" s="14"/>
      <c r="E4929" s="14"/>
      <c r="F4929" s="14"/>
      <c r="G4929" s="18"/>
    </row>
    <row r="4930" spans="2:7" x14ac:dyDescent="0.35">
      <c r="B4930" s="47"/>
      <c r="C4930" s="14"/>
      <c r="D4930" s="14"/>
      <c r="E4930" s="14"/>
      <c r="F4930" s="14"/>
      <c r="G4930" s="18"/>
    </row>
    <row r="4931" spans="2:7" x14ac:dyDescent="0.35">
      <c r="B4931" s="47"/>
      <c r="C4931" s="14"/>
      <c r="D4931" s="14"/>
      <c r="E4931" s="14"/>
      <c r="F4931" s="14"/>
      <c r="G4931" s="18"/>
    </row>
    <row r="4932" spans="2:7" x14ac:dyDescent="0.35">
      <c r="B4932" s="47"/>
      <c r="C4932" s="14"/>
      <c r="D4932" s="14"/>
      <c r="E4932" s="14"/>
      <c r="F4932" s="14"/>
      <c r="G4932" s="18"/>
    </row>
    <row r="4933" spans="2:7" x14ac:dyDescent="0.35">
      <c r="B4933" s="47"/>
      <c r="C4933" s="14"/>
      <c r="D4933" s="14"/>
      <c r="E4933" s="14"/>
      <c r="F4933" s="14"/>
      <c r="G4933" s="18"/>
    </row>
    <row r="4934" spans="2:7" x14ac:dyDescent="0.35">
      <c r="B4934" s="47"/>
      <c r="C4934" s="14"/>
      <c r="D4934" s="14"/>
      <c r="E4934" s="14"/>
      <c r="F4934" s="14"/>
      <c r="G4934" s="18"/>
    </row>
    <row r="4935" spans="2:7" x14ac:dyDescent="0.35">
      <c r="B4935" s="47"/>
      <c r="C4935" s="14"/>
      <c r="D4935" s="14"/>
      <c r="E4935" s="14"/>
      <c r="F4935" s="14"/>
      <c r="G4935" s="18"/>
    </row>
    <row r="4936" spans="2:7" x14ac:dyDescent="0.35">
      <c r="B4936" s="47"/>
      <c r="C4936" s="14"/>
      <c r="D4936" s="14"/>
      <c r="E4936" s="14"/>
      <c r="F4936" s="14"/>
      <c r="G4936" s="18"/>
    </row>
    <row r="4937" spans="2:7" x14ac:dyDescent="0.35">
      <c r="B4937" s="47"/>
      <c r="C4937" s="14"/>
      <c r="D4937" s="14"/>
      <c r="E4937" s="14"/>
      <c r="F4937" s="14"/>
      <c r="G4937" s="18"/>
    </row>
    <row r="4938" spans="2:7" x14ac:dyDescent="0.35">
      <c r="B4938" s="47"/>
      <c r="C4938" s="14"/>
      <c r="D4938" s="14"/>
      <c r="E4938" s="14"/>
      <c r="F4938" s="14"/>
      <c r="G4938" s="18"/>
    </row>
    <row r="4939" spans="2:7" x14ac:dyDescent="0.35">
      <c r="B4939" s="47"/>
      <c r="C4939" s="14"/>
      <c r="D4939" s="14"/>
      <c r="E4939" s="14"/>
      <c r="F4939" s="14"/>
      <c r="G4939" s="18"/>
    </row>
    <row r="4940" spans="2:7" x14ac:dyDescent="0.35">
      <c r="B4940" s="47"/>
      <c r="C4940" s="14"/>
      <c r="D4940" s="14"/>
      <c r="E4940" s="14"/>
      <c r="F4940" s="14"/>
      <c r="G4940" s="18"/>
    </row>
    <row r="4941" spans="2:7" x14ac:dyDescent="0.35">
      <c r="B4941" s="47"/>
      <c r="C4941" s="14"/>
      <c r="D4941" s="14"/>
      <c r="E4941" s="14"/>
      <c r="F4941" s="14"/>
      <c r="G4941" s="18"/>
    </row>
    <row r="4942" spans="2:7" x14ac:dyDescent="0.35">
      <c r="B4942" s="47"/>
      <c r="C4942" s="14"/>
      <c r="D4942" s="14"/>
      <c r="E4942" s="14"/>
      <c r="F4942" s="14"/>
      <c r="G4942" s="18"/>
    </row>
    <row r="4943" spans="2:7" x14ac:dyDescent="0.35">
      <c r="B4943" s="47"/>
      <c r="C4943" s="14"/>
      <c r="D4943" s="14"/>
      <c r="E4943" s="14"/>
      <c r="F4943" s="14"/>
      <c r="G4943" s="18"/>
    </row>
    <row r="4944" spans="2:7" x14ac:dyDescent="0.35">
      <c r="B4944" s="47"/>
      <c r="C4944" s="14"/>
      <c r="D4944" s="14"/>
      <c r="E4944" s="14"/>
      <c r="F4944" s="14"/>
      <c r="G4944" s="18"/>
    </row>
    <row r="4945" spans="2:7" x14ac:dyDescent="0.35">
      <c r="B4945" s="47"/>
      <c r="C4945" s="14"/>
      <c r="D4945" s="14"/>
      <c r="E4945" s="14"/>
      <c r="F4945" s="14"/>
      <c r="G4945" s="18"/>
    </row>
    <row r="4946" spans="2:7" x14ac:dyDescent="0.35">
      <c r="B4946" s="47"/>
      <c r="C4946" s="14"/>
      <c r="D4946" s="14"/>
      <c r="E4946" s="14"/>
      <c r="F4946" s="14"/>
      <c r="G4946" s="18"/>
    </row>
    <row r="4947" spans="2:7" x14ac:dyDescent="0.35">
      <c r="B4947" s="47"/>
      <c r="C4947" s="14"/>
      <c r="D4947" s="14"/>
      <c r="E4947" s="14"/>
      <c r="F4947" s="14"/>
      <c r="G4947" s="18"/>
    </row>
    <row r="4948" spans="2:7" x14ac:dyDescent="0.35">
      <c r="B4948" s="47"/>
      <c r="C4948" s="14"/>
      <c r="D4948" s="14"/>
      <c r="E4948" s="14"/>
      <c r="F4948" s="14"/>
      <c r="G4948" s="18"/>
    </row>
    <row r="4949" spans="2:7" x14ac:dyDescent="0.35">
      <c r="B4949" s="47"/>
      <c r="C4949" s="14"/>
      <c r="D4949" s="14"/>
      <c r="E4949" s="14"/>
      <c r="F4949" s="14"/>
      <c r="G4949" s="18"/>
    </row>
    <row r="4950" spans="2:7" x14ac:dyDescent="0.35">
      <c r="B4950" s="47"/>
      <c r="C4950" s="14"/>
      <c r="D4950" s="14"/>
      <c r="E4950" s="14"/>
      <c r="F4950" s="14"/>
      <c r="G4950" s="18"/>
    </row>
    <row r="4951" spans="2:7" x14ac:dyDescent="0.35">
      <c r="B4951" s="47"/>
      <c r="C4951" s="14"/>
      <c r="D4951" s="14"/>
      <c r="E4951" s="14"/>
      <c r="F4951" s="14"/>
      <c r="G4951" s="18"/>
    </row>
    <row r="4952" spans="2:7" x14ac:dyDescent="0.35">
      <c r="B4952" s="47"/>
      <c r="C4952" s="14"/>
      <c r="D4952" s="14"/>
      <c r="E4952" s="14"/>
      <c r="F4952" s="14"/>
      <c r="G4952" s="18"/>
    </row>
    <row r="4953" spans="2:7" x14ac:dyDescent="0.35">
      <c r="B4953" s="47"/>
      <c r="C4953" s="14"/>
      <c r="D4953" s="14"/>
      <c r="E4953" s="14"/>
      <c r="F4953" s="14"/>
      <c r="G4953" s="18"/>
    </row>
    <row r="4954" spans="2:7" x14ac:dyDescent="0.35">
      <c r="B4954" s="47"/>
      <c r="C4954" s="14"/>
      <c r="D4954" s="14"/>
      <c r="E4954" s="14"/>
      <c r="F4954" s="14"/>
      <c r="G4954" s="18"/>
    </row>
    <row r="4955" spans="2:7" x14ac:dyDescent="0.35">
      <c r="B4955" s="47"/>
      <c r="C4955" s="14"/>
      <c r="D4955" s="14"/>
      <c r="E4955" s="14"/>
      <c r="F4955" s="14"/>
      <c r="G4955" s="18"/>
    </row>
    <row r="4956" spans="2:7" x14ac:dyDescent="0.35">
      <c r="B4956" s="47"/>
      <c r="C4956" s="14"/>
      <c r="D4956" s="14"/>
      <c r="E4956" s="14"/>
      <c r="F4956" s="14"/>
      <c r="G4956" s="18"/>
    </row>
    <row r="4957" spans="2:7" x14ac:dyDescent="0.35">
      <c r="B4957" s="47"/>
      <c r="C4957" s="14"/>
      <c r="D4957" s="14"/>
      <c r="E4957" s="14"/>
      <c r="F4957" s="14"/>
      <c r="G4957" s="18"/>
    </row>
    <row r="4958" spans="2:7" x14ac:dyDescent="0.35">
      <c r="B4958" s="47"/>
      <c r="C4958" s="14"/>
      <c r="D4958" s="14"/>
      <c r="E4958" s="14"/>
      <c r="F4958" s="14"/>
      <c r="G4958" s="18"/>
    </row>
    <row r="4959" spans="2:7" x14ac:dyDescent="0.35">
      <c r="B4959" s="47"/>
      <c r="C4959" s="14"/>
      <c r="D4959" s="14"/>
      <c r="E4959" s="14"/>
      <c r="F4959" s="14"/>
      <c r="G4959" s="18"/>
    </row>
    <row r="4960" spans="2:7" x14ac:dyDescent="0.35">
      <c r="B4960" s="47"/>
      <c r="C4960" s="14"/>
      <c r="D4960" s="14"/>
      <c r="E4960" s="14"/>
      <c r="F4960" s="14"/>
      <c r="G4960" s="18"/>
    </row>
    <row r="4961" spans="2:7" x14ac:dyDescent="0.35">
      <c r="B4961" s="47"/>
      <c r="C4961" s="14"/>
      <c r="D4961" s="14"/>
      <c r="E4961" s="14"/>
      <c r="F4961" s="14"/>
      <c r="G4961" s="18"/>
    </row>
    <row r="4962" spans="2:7" x14ac:dyDescent="0.35">
      <c r="B4962" s="47"/>
      <c r="C4962" s="14"/>
      <c r="D4962" s="14"/>
      <c r="E4962" s="14"/>
      <c r="F4962" s="14"/>
      <c r="G4962" s="18"/>
    </row>
    <row r="4963" spans="2:7" x14ac:dyDescent="0.35">
      <c r="B4963" s="47"/>
      <c r="C4963" s="14"/>
      <c r="D4963" s="14"/>
      <c r="E4963" s="14"/>
      <c r="F4963" s="14"/>
      <c r="G4963" s="18"/>
    </row>
    <row r="4964" spans="2:7" x14ac:dyDescent="0.35">
      <c r="B4964" s="47"/>
      <c r="C4964" s="14"/>
      <c r="D4964" s="14"/>
      <c r="E4964" s="14"/>
      <c r="F4964" s="14"/>
      <c r="G4964" s="18"/>
    </row>
    <row r="4965" spans="2:7" x14ac:dyDescent="0.35">
      <c r="B4965" s="47"/>
      <c r="C4965" s="14"/>
      <c r="D4965" s="14"/>
      <c r="E4965" s="14"/>
      <c r="F4965" s="14"/>
      <c r="G4965" s="18"/>
    </row>
    <row r="4966" spans="2:7" x14ac:dyDescent="0.35">
      <c r="B4966" s="47"/>
      <c r="C4966" s="14"/>
      <c r="D4966" s="14"/>
      <c r="E4966" s="14"/>
      <c r="F4966" s="14"/>
      <c r="G4966" s="18"/>
    </row>
    <row r="4967" spans="2:7" x14ac:dyDescent="0.35">
      <c r="B4967" s="47"/>
      <c r="C4967" s="14"/>
      <c r="D4967" s="14"/>
      <c r="E4967" s="14"/>
      <c r="F4967" s="14"/>
      <c r="G4967" s="18"/>
    </row>
    <row r="4968" spans="2:7" x14ac:dyDescent="0.35">
      <c r="B4968" s="47"/>
      <c r="C4968" s="14"/>
      <c r="D4968" s="14"/>
      <c r="E4968" s="14"/>
      <c r="F4968" s="14"/>
      <c r="G4968" s="18"/>
    </row>
    <row r="4969" spans="2:7" x14ac:dyDescent="0.35">
      <c r="B4969" s="47"/>
      <c r="C4969" s="14"/>
      <c r="D4969" s="14"/>
      <c r="E4969" s="14"/>
      <c r="F4969" s="14"/>
      <c r="G4969" s="18"/>
    </row>
    <row r="4970" spans="2:7" x14ac:dyDescent="0.35">
      <c r="B4970" s="47"/>
      <c r="C4970" s="14"/>
      <c r="D4970" s="14"/>
      <c r="E4970" s="14"/>
      <c r="F4970" s="14"/>
      <c r="G4970" s="18"/>
    </row>
    <row r="4971" spans="2:7" x14ac:dyDescent="0.35">
      <c r="B4971" s="47"/>
      <c r="C4971" s="14"/>
      <c r="D4971" s="14"/>
      <c r="E4971" s="14"/>
      <c r="F4971" s="14"/>
      <c r="G4971" s="18"/>
    </row>
    <row r="4972" spans="2:7" x14ac:dyDescent="0.35">
      <c r="B4972" s="47"/>
      <c r="C4972" s="14"/>
      <c r="D4972" s="14"/>
      <c r="E4972" s="14"/>
      <c r="F4972" s="14"/>
      <c r="G4972" s="18"/>
    </row>
    <row r="4973" spans="2:7" x14ac:dyDescent="0.35">
      <c r="B4973" s="47"/>
      <c r="C4973" s="14"/>
      <c r="D4973" s="14"/>
      <c r="E4973" s="14"/>
      <c r="F4973" s="14"/>
      <c r="G4973" s="18"/>
    </row>
    <row r="4974" spans="2:7" x14ac:dyDescent="0.35">
      <c r="B4974" s="47"/>
      <c r="C4974" s="14"/>
      <c r="D4974" s="14"/>
      <c r="E4974" s="14"/>
      <c r="F4974" s="14"/>
      <c r="G4974" s="18"/>
    </row>
    <row r="4975" spans="2:7" x14ac:dyDescent="0.35">
      <c r="B4975" s="47"/>
      <c r="C4975" s="14"/>
      <c r="D4975" s="14"/>
      <c r="E4975" s="14"/>
      <c r="F4975" s="14"/>
      <c r="G4975" s="18"/>
    </row>
    <row r="4976" spans="2:7" x14ac:dyDescent="0.35">
      <c r="B4976" s="47"/>
      <c r="C4976" s="14"/>
      <c r="D4976" s="14"/>
      <c r="E4976" s="14"/>
      <c r="F4976" s="14"/>
      <c r="G4976" s="18"/>
    </row>
    <row r="4977" spans="2:7" x14ac:dyDescent="0.35">
      <c r="B4977" s="47"/>
      <c r="C4977" s="14"/>
      <c r="D4977" s="14"/>
      <c r="E4977" s="14"/>
      <c r="F4977" s="14"/>
      <c r="G4977" s="18"/>
    </row>
    <row r="4978" spans="2:7" x14ac:dyDescent="0.35">
      <c r="B4978" s="47"/>
      <c r="C4978" s="14"/>
      <c r="D4978" s="14"/>
      <c r="E4978" s="14"/>
      <c r="F4978" s="14"/>
      <c r="G4978" s="18"/>
    </row>
    <row r="4979" spans="2:7" x14ac:dyDescent="0.35">
      <c r="B4979" s="47"/>
      <c r="C4979" s="14"/>
      <c r="D4979" s="14"/>
      <c r="E4979" s="14"/>
      <c r="F4979" s="14"/>
      <c r="G4979" s="18"/>
    </row>
    <row r="4980" spans="2:7" x14ac:dyDescent="0.35">
      <c r="B4980" s="47"/>
      <c r="C4980" s="14"/>
      <c r="D4980" s="14"/>
      <c r="E4980" s="14"/>
      <c r="F4980" s="14"/>
      <c r="G4980" s="18"/>
    </row>
    <row r="4981" spans="2:7" x14ac:dyDescent="0.35">
      <c r="B4981" s="47"/>
      <c r="C4981" s="14"/>
      <c r="D4981" s="14"/>
      <c r="E4981" s="14"/>
      <c r="F4981" s="14"/>
      <c r="G4981" s="18"/>
    </row>
    <row r="4982" spans="2:7" x14ac:dyDescent="0.35">
      <c r="B4982" s="47"/>
      <c r="C4982" s="14"/>
      <c r="D4982" s="14"/>
      <c r="E4982" s="14"/>
      <c r="F4982" s="14"/>
      <c r="G4982" s="18"/>
    </row>
    <row r="4983" spans="2:7" x14ac:dyDescent="0.35">
      <c r="B4983" s="47"/>
      <c r="C4983" s="14"/>
      <c r="D4983" s="14"/>
      <c r="E4983" s="14"/>
      <c r="F4983" s="14"/>
      <c r="G4983" s="18"/>
    </row>
    <row r="4984" spans="2:7" x14ac:dyDescent="0.35">
      <c r="B4984" s="47"/>
      <c r="C4984" s="14"/>
      <c r="D4984" s="14"/>
      <c r="E4984" s="14"/>
      <c r="F4984" s="14"/>
      <c r="G4984" s="18"/>
    </row>
    <row r="4985" spans="2:7" x14ac:dyDescent="0.35">
      <c r="B4985" s="47"/>
      <c r="C4985" s="14"/>
      <c r="D4985" s="14"/>
      <c r="E4985" s="14"/>
      <c r="F4985" s="14"/>
      <c r="G4985" s="18"/>
    </row>
    <row r="4986" spans="2:7" x14ac:dyDescent="0.35">
      <c r="B4986" s="47"/>
      <c r="C4986" s="14"/>
      <c r="D4986" s="14"/>
      <c r="E4986" s="14"/>
      <c r="F4986" s="14"/>
      <c r="G4986" s="18"/>
    </row>
    <row r="4987" spans="2:7" x14ac:dyDescent="0.35">
      <c r="B4987" s="47"/>
      <c r="C4987" s="14"/>
      <c r="D4987" s="14"/>
      <c r="E4987" s="14"/>
      <c r="F4987" s="14"/>
      <c r="G4987" s="18"/>
    </row>
    <row r="4988" spans="2:7" x14ac:dyDescent="0.35">
      <c r="B4988" s="47"/>
      <c r="C4988" s="14"/>
      <c r="D4988" s="14"/>
      <c r="E4988" s="14"/>
      <c r="F4988" s="14"/>
      <c r="G4988" s="18"/>
    </row>
    <row r="4989" spans="2:7" x14ac:dyDescent="0.35">
      <c r="B4989" s="47"/>
      <c r="C4989" s="14"/>
      <c r="D4989" s="14"/>
      <c r="E4989" s="14"/>
      <c r="F4989" s="14"/>
      <c r="G4989" s="18"/>
    </row>
    <row r="4990" spans="2:7" x14ac:dyDescent="0.35">
      <c r="B4990" s="47"/>
      <c r="C4990" s="14"/>
      <c r="D4990" s="14"/>
      <c r="E4990" s="14"/>
      <c r="F4990" s="14"/>
      <c r="G4990" s="18"/>
    </row>
    <row r="4991" spans="2:7" x14ac:dyDescent="0.35">
      <c r="B4991" s="47"/>
      <c r="C4991" s="14"/>
      <c r="D4991" s="14"/>
      <c r="E4991" s="14"/>
      <c r="F4991" s="14"/>
      <c r="G4991" s="18"/>
    </row>
    <row r="4992" spans="2:7" x14ac:dyDescent="0.35">
      <c r="B4992" s="47"/>
      <c r="C4992" s="14"/>
      <c r="D4992" s="14"/>
      <c r="E4992" s="14"/>
      <c r="F4992" s="14"/>
      <c r="G4992" s="18"/>
    </row>
    <row r="4993" spans="2:7" x14ac:dyDescent="0.35">
      <c r="B4993" s="47"/>
      <c r="C4993" s="14"/>
      <c r="D4993" s="14"/>
      <c r="E4993" s="14"/>
      <c r="F4993" s="14"/>
      <c r="G4993" s="18"/>
    </row>
    <row r="4994" spans="2:7" x14ac:dyDescent="0.35">
      <c r="B4994" s="47"/>
      <c r="C4994" s="14"/>
      <c r="D4994" s="14"/>
      <c r="E4994" s="14"/>
      <c r="F4994" s="14"/>
      <c r="G4994" s="18"/>
    </row>
    <row r="4995" spans="2:7" x14ac:dyDescent="0.35">
      <c r="B4995" s="47"/>
      <c r="C4995" s="14"/>
      <c r="D4995" s="14"/>
      <c r="E4995" s="14"/>
      <c r="F4995" s="14"/>
      <c r="G4995" s="18"/>
    </row>
    <row r="4996" spans="2:7" x14ac:dyDescent="0.35">
      <c r="B4996" s="47"/>
      <c r="C4996" s="14"/>
      <c r="D4996" s="14"/>
      <c r="E4996" s="14"/>
      <c r="F4996" s="14"/>
      <c r="G4996" s="18"/>
    </row>
    <row r="4997" spans="2:7" x14ac:dyDescent="0.35">
      <c r="B4997" s="47"/>
      <c r="C4997" s="14"/>
      <c r="D4997" s="14"/>
      <c r="E4997" s="14"/>
      <c r="F4997" s="14"/>
      <c r="G4997" s="18"/>
    </row>
    <row r="4998" spans="2:7" x14ac:dyDescent="0.35">
      <c r="B4998" s="47"/>
      <c r="C4998" s="14"/>
      <c r="D4998" s="14"/>
      <c r="E4998" s="14"/>
      <c r="F4998" s="14"/>
      <c r="G4998" s="18"/>
    </row>
    <row r="4999" spans="2:7" x14ac:dyDescent="0.35">
      <c r="B4999" s="47"/>
      <c r="C4999" s="14"/>
      <c r="D4999" s="14"/>
      <c r="E4999" s="14"/>
      <c r="F4999" s="14"/>
      <c r="G4999" s="18"/>
    </row>
    <row r="5000" spans="2:7" x14ac:dyDescent="0.35">
      <c r="B5000" s="47"/>
      <c r="C5000" s="14"/>
      <c r="D5000" s="14"/>
      <c r="E5000" s="14"/>
      <c r="F5000" s="14"/>
      <c r="G5000" s="18"/>
    </row>
    <row r="5001" spans="2:7" x14ac:dyDescent="0.35">
      <c r="B5001" s="47"/>
      <c r="C5001" s="14"/>
      <c r="D5001" s="14"/>
      <c r="E5001" s="14"/>
      <c r="F5001" s="14"/>
      <c r="G5001" s="18"/>
    </row>
    <row r="5002" spans="2:7" x14ac:dyDescent="0.35">
      <c r="B5002" s="47"/>
      <c r="C5002" s="14"/>
      <c r="D5002" s="14"/>
      <c r="E5002" s="14"/>
      <c r="F5002" s="14"/>
      <c r="G5002" s="18"/>
    </row>
    <row r="5003" spans="2:7" x14ac:dyDescent="0.35">
      <c r="B5003" s="47"/>
      <c r="C5003" s="14"/>
      <c r="D5003" s="14"/>
      <c r="E5003" s="14"/>
      <c r="F5003" s="14"/>
      <c r="G5003" s="18"/>
    </row>
    <row r="5004" spans="2:7" x14ac:dyDescent="0.35">
      <c r="B5004" s="47"/>
      <c r="C5004" s="14"/>
      <c r="D5004" s="14"/>
      <c r="E5004" s="14"/>
      <c r="F5004" s="14"/>
      <c r="G5004" s="18"/>
    </row>
    <row r="5005" spans="2:7" x14ac:dyDescent="0.35">
      <c r="B5005" s="47"/>
      <c r="C5005" s="14"/>
      <c r="D5005" s="14"/>
      <c r="E5005" s="14"/>
      <c r="F5005" s="14"/>
      <c r="G5005" s="18"/>
    </row>
    <row r="5006" spans="2:7" x14ac:dyDescent="0.35">
      <c r="B5006" s="47"/>
      <c r="C5006" s="14"/>
      <c r="D5006" s="14"/>
      <c r="E5006" s="14"/>
      <c r="F5006" s="14"/>
      <c r="G5006" s="18"/>
    </row>
    <row r="5007" spans="2:7" x14ac:dyDescent="0.35">
      <c r="B5007" s="47"/>
      <c r="C5007" s="14"/>
      <c r="D5007" s="14"/>
      <c r="E5007" s="14"/>
      <c r="F5007" s="14"/>
      <c r="G5007" s="18"/>
    </row>
    <row r="5008" spans="2:7" x14ac:dyDescent="0.35">
      <c r="B5008" s="47"/>
      <c r="C5008" s="14"/>
      <c r="D5008" s="14"/>
      <c r="E5008" s="14"/>
      <c r="F5008" s="14"/>
      <c r="G5008" s="18"/>
    </row>
    <row r="5009" spans="2:7" x14ac:dyDescent="0.35">
      <c r="B5009" s="47"/>
      <c r="C5009" s="14"/>
      <c r="D5009" s="14"/>
      <c r="E5009" s="14"/>
      <c r="F5009" s="14"/>
      <c r="G5009" s="18"/>
    </row>
    <row r="5010" spans="2:7" x14ac:dyDescent="0.35">
      <c r="B5010" s="47"/>
      <c r="C5010" s="14"/>
      <c r="D5010" s="14"/>
      <c r="E5010" s="14"/>
      <c r="F5010" s="14"/>
      <c r="G5010" s="18"/>
    </row>
    <row r="5011" spans="2:7" x14ac:dyDescent="0.35">
      <c r="B5011" s="47"/>
      <c r="C5011" s="14"/>
      <c r="D5011" s="14"/>
      <c r="E5011" s="14"/>
      <c r="F5011" s="14"/>
      <c r="G5011" s="18"/>
    </row>
    <row r="5012" spans="2:7" x14ac:dyDescent="0.35">
      <c r="B5012" s="47"/>
      <c r="C5012" s="14"/>
      <c r="D5012" s="14"/>
      <c r="E5012" s="14"/>
      <c r="F5012" s="14"/>
      <c r="G5012" s="18"/>
    </row>
    <row r="5013" spans="2:7" x14ac:dyDescent="0.35">
      <c r="B5013" s="47"/>
      <c r="C5013" s="14"/>
      <c r="D5013" s="14"/>
      <c r="E5013" s="14"/>
      <c r="F5013" s="14"/>
      <c r="G5013" s="18"/>
    </row>
    <row r="5014" spans="2:7" x14ac:dyDescent="0.35">
      <c r="B5014" s="47"/>
      <c r="C5014" s="14"/>
      <c r="D5014" s="14"/>
      <c r="E5014" s="14"/>
      <c r="F5014" s="14"/>
      <c r="G5014" s="18"/>
    </row>
    <row r="5015" spans="2:7" x14ac:dyDescent="0.35">
      <c r="B5015" s="47"/>
      <c r="C5015" s="14"/>
      <c r="D5015" s="14"/>
      <c r="E5015" s="14"/>
      <c r="F5015" s="14"/>
      <c r="G5015" s="18"/>
    </row>
    <row r="5016" spans="2:7" x14ac:dyDescent="0.35">
      <c r="B5016" s="47"/>
      <c r="C5016" s="14"/>
      <c r="D5016" s="14"/>
      <c r="E5016" s="14"/>
      <c r="F5016" s="14"/>
      <c r="G5016" s="18"/>
    </row>
    <row r="5017" spans="2:7" x14ac:dyDescent="0.35">
      <c r="B5017" s="47"/>
      <c r="C5017" s="14"/>
      <c r="D5017" s="14"/>
      <c r="E5017" s="14"/>
      <c r="F5017" s="14"/>
      <c r="G5017" s="18"/>
    </row>
    <row r="5018" spans="2:7" x14ac:dyDescent="0.35">
      <c r="B5018" s="47"/>
      <c r="C5018" s="14"/>
      <c r="D5018" s="14"/>
      <c r="E5018" s="14"/>
      <c r="F5018" s="14"/>
      <c r="G5018" s="18"/>
    </row>
    <row r="5019" spans="2:7" x14ac:dyDescent="0.35">
      <c r="B5019" s="47"/>
      <c r="C5019" s="14"/>
      <c r="D5019" s="14"/>
      <c r="E5019" s="14"/>
      <c r="F5019" s="14"/>
      <c r="G5019" s="18"/>
    </row>
    <row r="5020" spans="2:7" x14ac:dyDescent="0.35">
      <c r="B5020" s="47"/>
      <c r="C5020" s="14"/>
      <c r="D5020" s="14"/>
      <c r="E5020" s="14"/>
      <c r="F5020" s="14"/>
      <c r="G5020" s="18"/>
    </row>
    <row r="5021" spans="2:7" x14ac:dyDescent="0.35">
      <c r="B5021" s="47"/>
      <c r="C5021" s="14"/>
      <c r="D5021" s="14"/>
      <c r="E5021" s="14"/>
      <c r="F5021" s="14"/>
      <c r="G5021" s="18"/>
    </row>
    <row r="5022" spans="2:7" x14ac:dyDescent="0.35">
      <c r="B5022" s="47"/>
      <c r="C5022" s="14"/>
      <c r="D5022" s="14"/>
      <c r="E5022" s="14"/>
      <c r="F5022" s="14"/>
      <c r="G5022" s="18"/>
    </row>
    <row r="5023" spans="2:7" x14ac:dyDescent="0.35">
      <c r="B5023" s="47"/>
      <c r="C5023" s="14"/>
      <c r="D5023" s="14"/>
      <c r="E5023" s="14"/>
      <c r="F5023" s="14"/>
      <c r="G5023" s="18"/>
    </row>
    <row r="5024" spans="2:7" x14ac:dyDescent="0.35">
      <c r="B5024" s="47"/>
      <c r="C5024" s="14"/>
      <c r="D5024" s="14"/>
      <c r="E5024" s="14"/>
      <c r="F5024" s="14"/>
      <c r="G5024" s="18"/>
    </row>
    <row r="5025" spans="2:7" x14ac:dyDescent="0.35">
      <c r="B5025" s="47"/>
      <c r="C5025" s="14"/>
      <c r="D5025" s="14"/>
      <c r="E5025" s="14"/>
      <c r="F5025" s="14"/>
      <c r="G5025" s="18"/>
    </row>
    <row r="5026" spans="2:7" x14ac:dyDescent="0.35">
      <c r="B5026" s="47"/>
      <c r="C5026" s="14"/>
      <c r="D5026" s="14"/>
      <c r="E5026" s="14"/>
      <c r="F5026" s="14"/>
      <c r="G5026" s="18"/>
    </row>
    <row r="5027" spans="2:7" x14ac:dyDescent="0.35">
      <c r="B5027" s="47"/>
      <c r="C5027" s="14"/>
      <c r="D5027" s="14"/>
      <c r="E5027" s="14"/>
      <c r="F5027" s="14"/>
      <c r="G5027" s="18"/>
    </row>
    <row r="5028" spans="2:7" x14ac:dyDescent="0.35">
      <c r="B5028" s="47"/>
      <c r="C5028" s="14"/>
      <c r="D5028" s="14"/>
      <c r="E5028" s="14"/>
      <c r="F5028" s="14"/>
      <c r="G5028" s="18"/>
    </row>
    <row r="5029" spans="2:7" x14ac:dyDescent="0.35">
      <c r="B5029" s="47"/>
      <c r="C5029" s="14"/>
      <c r="D5029" s="14"/>
      <c r="E5029" s="14"/>
      <c r="F5029" s="14"/>
      <c r="G5029" s="18"/>
    </row>
    <row r="5030" spans="2:7" x14ac:dyDescent="0.35">
      <c r="B5030" s="47"/>
      <c r="C5030" s="14"/>
      <c r="D5030" s="14"/>
      <c r="E5030" s="14"/>
      <c r="F5030" s="14"/>
      <c r="G5030" s="18"/>
    </row>
    <row r="5031" spans="2:7" x14ac:dyDescent="0.35">
      <c r="B5031" s="47"/>
      <c r="C5031" s="14"/>
      <c r="D5031" s="14"/>
      <c r="E5031" s="14"/>
      <c r="F5031" s="14"/>
      <c r="G5031" s="18"/>
    </row>
    <row r="5032" spans="2:7" x14ac:dyDescent="0.35">
      <c r="B5032" s="47"/>
      <c r="C5032" s="14"/>
      <c r="D5032" s="14"/>
      <c r="E5032" s="14"/>
      <c r="F5032" s="14"/>
      <c r="G5032" s="18"/>
    </row>
    <row r="5033" spans="2:7" x14ac:dyDescent="0.35">
      <c r="B5033" s="47"/>
      <c r="C5033" s="14"/>
      <c r="D5033" s="14"/>
      <c r="E5033" s="14"/>
      <c r="F5033" s="14"/>
      <c r="G5033" s="18"/>
    </row>
    <row r="5034" spans="2:7" x14ac:dyDescent="0.35">
      <c r="B5034" s="47"/>
      <c r="C5034" s="14"/>
      <c r="D5034" s="14"/>
      <c r="E5034" s="14"/>
      <c r="F5034" s="14"/>
      <c r="G5034" s="18"/>
    </row>
    <row r="5035" spans="2:7" x14ac:dyDescent="0.35">
      <c r="B5035" s="47"/>
      <c r="C5035" s="14"/>
      <c r="D5035" s="14"/>
      <c r="E5035" s="14"/>
      <c r="F5035" s="14"/>
      <c r="G5035" s="18"/>
    </row>
    <row r="5036" spans="2:7" x14ac:dyDescent="0.35">
      <c r="B5036" s="47"/>
      <c r="C5036" s="14"/>
      <c r="D5036" s="14"/>
      <c r="E5036" s="14"/>
      <c r="F5036" s="14"/>
      <c r="G5036" s="18"/>
    </row>
    <row r="5037" spans="2:7" x14ac:dyDescent="0.35">
      <c r="B5037" s="47"/>
      <c r="C5037" s="14"/>
      <c r="D5037" s="14"/>
      <c r="E5037" s="14"/>
      <c r="F5037" s="14"/>
      <c r="G5037" s="18"/>
    </row>
    <row r="5038" spans="2:7" x14ac:dyDescent="0.35">
      <c r="B5038" s="47"/>
      <c r="C5038" s="14"/>
      <c r="D5038" s="14"/>
      <c r="E5038" s="14"/>
      <c r="F5038" s="14"/>
      <c r="G5038" s="18"/>
    </row>
    <row r="5039" spans="2:7" x14ac:dyDescent="0.35">
      <c r="B5039" s="47"/>
      <c r="C5039" s="14"/>
      <c r="D5039" s="14"/>
      <c r="E5039" s="14"/>
      <c r="F5039" s="14"/>
      <c r="G5039" s="18"/>
    </row>
    <row r="5040" spans="2:7" x14ac:dyDescent="0.35">
      <c r="B5040" s="47"/>
      <c r="C5040" s="14"/>
      <c r="D5040" s="14"/>
      <c r="E5040" s="14"/>
      <c r="F5040" s="14"/>
      <c r="G5040" s="18"/>
    </row>
    <row r="5041" spans="2:7" x14ac:dyDescent="0.35">
      <c r="B5041" s="47"/>
      <c r="C5041" s="14"/>
      <c r="D5041" s="14"/>
      <c r="E5041" s="14"/>
      <c r="F5041" s="14"/>
      <c r="G5041" s="18"/>
    </row>
    <row r="5042" spans="2:7" x14ac:dyDescent="0.35">
      <c r="B5042" s="47"/>
      <c r="C5042" s="14"/>
      <c r="D5042" s="14"/>
      <c r="E5042" s="14"/>
      <c r="F5042" s="14"/>
      <c r="G5042" s="18"/>
    </row>
    <row r="5043" spans="2:7" x14ac:dyDescent="0.35">
      <c r="B5043" s="47"/>
      <c r="C5043" s="14"/>
      <c r="D5043" s="14"/>
      <c r="E5043" s="14"/>
      <c r="F5043" s="14"/>
      <c r="G5043" s="18"/>
    </row>
    <row r="5044" spans="2:7" x14ac:dyDescent="0.35">
      <c r="B5044" s="47"/>
      <c r="C5044" s="14"/>
      <c r="D5044" s="14"/>
      <c r="E5044" s="14"/>
      <c r="F5044" s="14"/>
      <c r="G5044" s="18"/>
    </row>
    <row r="5045" spans="2:7" x14ac:dyDescent="0.35">
      <c r="B5045" s="47"/>
      <c r="C5045" s="14"/>
      <c r="D5045" s="14"/>
      <c r="E5045" s="14"/>
      <c r="F5045" s="14"/>
      <c r="G5045" s="18"/>
    </row>
    <row r="5046" spans="2:7" x14ac:dyDescent="0.35">
      <c r="B5046" s="47"/>
      <c r="C5046" s="14"/>
      <c r="D5046" s="14"/>
      <c r="E5046" s="14"/>
      <c r="F5046" s="14"/>
      <c r="G5046" s="18"/>
    </row>
    <row r="5047" spans="2:7" x14ac:dyDescent="0.35">
      <c r="B5047" s="47"/>
      <c r="C5047" s="14"/>
      <c r="D5047" s="14"/>
      <c r="E5047" s="14"/>
      <c r="F5047" s="14"/>
      <c r="G5047" s="18"/>
    </row>
    <row r="5048" spans="2:7" x14ac:dyDescent="0.35">
      <c r="B5048" s="47"/>
      <c r="C5048" s="14"/>
      <c r="D5048" s="14"/>
      <c r="E5048" s="14"/>
      <c r="F5048" s="14"/>
      <c r="G5048" s="18"/>
    </row>
    <row r="5049" spans="2:7" x14ac:dyDescent="0.35">
      <c r="B5049" s="47"/>
      <c r="C5049" s="14"/>
      <c r="D5049" s="14"/>
      <c r="E5049" s="14"/>
      <c r="F5049" s="14"/>
      <c r="G5049" s="18"/>
    </row>
    <row r="5050" spans="2:7" x14ac:dyDescent="0.35">
      <c r="B5050" s="47"/>
      <c r="C5050" s="14"/>
      <c r="D5050" s="14"/>
      <c r="E5050" s="14"/>
      <c r="F5050" s="14"/>
      <c r="G5050" s="18"/>
    </row>
    <row r="5051" spans="2:7" x14ac:dyDescent="0.35">
      <c r="B5051" s="47"/>
      <c r="C5051" s="14"/>
      <c r="D5051" s="14"/>
      <c r="E5051" s="14"/>
      <c r="F5051" s="14"/>
      <c r="G5051" s="18"/>
    </row>
    <row r="5052" spans="2:7" x14ac:dyDescent="0.35">
      <c r="B5052" s="47"/>
      <c r="C5052" s="14"/>
      <c r="D5052" s="14"/>
      <c r="E5052" s="14"/>
      <c r="F5052" s="14"/>
      <c r="G5052" s="18"/>
    </row>
    <row r="5053" spans="2:7" x14ac:dyDescent="0.35">
      <c r="B5053" s="47"/>
      <c r="C5053" s="14"/>
      <c r="D5053" s="14"/>
      <c r="E5053" s="14"/>
      <c r="F5053" s="14"/>
      <c r="G5053" s="18"/>
    </row>
    <row r="5054" spans="2:7" x14ac:dyDescent="0.35">
      <c r="B5054" s="47"/>
      <c r="C5054" s="14"/>
      <c r="D5054" s="14"/>
      <c r="E5054" s="14"/>
      <c r="F5054" s="14"/>
      <c r="G5054" s="18"/>
    </row>
    <row r="5055" spans="2:7" x14ac:dyDescent="0.35">
      <c r="B5055" s="47"/>
      <c r="C5055" s="14"/>
      <c r="D5055" s="14"/>
      <c r="E5055" s="14"/>
      <c r="F5055" s="14"/>
      <c r="G5055" s="18"/>
    </row>
    <row r="5056" spans="2:7" x14ac:dyDescent="0.35">
      <c r="B5056" s="47"/>
      <c r="C5056" s="14"/>
      <c r="D5056" s="14"/>
      <c r="E5056" s="14"/>
      <c r="F5056" s="14"/>
      <c r="G5056" s="18"/>
    </row>
    <row r="5057" spans="2:7" x14ac:dyDescent="0.35">
      <c r="B5057" s="47"/>
      <c r="C5057" s="14"/>
      <c r="D5057" s="14"/>
      <c r="E5057" s="14"/>
      <c r="F5057" s="14"/>
      <c r="G5057" s="18"/>
    </row>
    <row r="5058" spans="2:7" x14ac:dyDescent="0.35">
      <c r="B5058" s="47"/>
      <c r="C5058" s="14"/>
      <c r="D5058" s="14"/>
      <c r="E5058" s="14"/>
      <c r="F5058" s="14"/>
      <c r="G5058" s="18"/>
    </row>
    <row r="5059" spans="2:7" x14ac:dyDescent="0.35">
      <c r="B5059" s="47"/>
      <c r="C5059" s="14"/>
      <c r="D5059" s="14"/>
      <c r="E5059" s="14"/>
      <c r="F5059" s="14"/>
      <c r="G5059" s="18"/>
    </row>
    <row r="5060" spans="2:7" x14ac:dyDescent="0.35">
      <c r="B5060" s="47"/>
      <c r="C5060" s="14"/>
      <c r="D5060" s="14"/>
      <c r="E5060" s="14"/>
      <c r="F5060" s="14"/>
      <c r="G5060" s="18"/>
    </row>
    <row r="5061" spans="2:7" x14ac:dyDescent="0.35">
      <c r="B5061" s="47"/>
      <c r="C5061" s="14"/>
      <c r="D5061" s="14"/>
      <c r="E5061" s="14"/>
      <c r="F5061" s="14"/>
      <c r="G5061" s="18"/>
    </row>
    <row r="5062" spans="2:7" x14ac:dyDescent="0.35">
      <c r="B5062" s="47"/>
      <c r="C5062" s="14"/>
      <c r="D5062" s="14"/>
      <c r="E5062" s="14"/>
      <c r="F5062" s="14"/>
      <c r="G5062" s="18"/>
    </row>
    <row r="5063" spans="2:7" x14ac:dyDescent="0.35">
      <c r="B5063" s="47"/>
      <c r="C5063" s="14"/>
      <c r="D5063" s="14"/>
      <c r="E5063" s="14"/>
      <c r="F5063" s="14"/>
      <c r="G5063" s="18"/>
    </row>
    <row r="5064" spans="2:7" x14ac:dyDescent="0.35">
      <c r="B5064" s="47"/>
      <c r="C5064" s="14"/>
      <c r="D5064" s="14"/>
      <c r="E5064" s="14"/>
      <c r="F5064" s="14"/>
      <c r="G5064" s="18"/>
    </row>
    <row r="5065" spans="2:7" x14ac:dyDescent="0.35">
      <c r="B5065" s="47"/>
      <c r="C5065" s="14"/>
      <c r="D5065" s="14"/>
      <c r="E5065" s="14"/>
      <c r="F5065" s="14"/>
      <c r="G5065" s="18"/>
    </row>
    <row r="5066" spans="2:7" x14ac:dyDescent="0.35">
      <c r="B5066" s="47"/>
      <c r="C5066" s="14"/>
      <c r="D5066" s="14"/>
      <c r="E5066" s="14"/>
      <c r="F5066" s="14"/>
      <c r="G5066" s="18"/>
    </row>
    <row r="5067" spans="2:7" x14ac:dyDescent="0.35">
      <c r="B5067" s="47"/>
      <c r="C5067" s="14"/>
      <c r="D5067" s="14"/>
      <c r="E5067" s="14"/>
      <c r="F5067" s="14"/>
      <c r="G5067" s="18"/>
    </row>
    <row r="5068" spans="2:7" x14ac:dyDescent="0.35">
      <c r="B5068" s="47"/>
      <c r="C5068" s="14"/>
      <c r="D5068" s="14"/>
      <c r="E5068" s="14"/>
      <c r="F5068" s="14"/>
      <c r="G5068" s="18"/>
    </row>
    <row r="5069" spans="2:7" x14ac:dyDescent="0.35">
      <c r="B5069" s="47"/>
      <c r="C5069" s="14"/>
      <c r="D5069" s="14"/>
      <c r="E5069" s="14"/>
      <c r="F5069" s="14"/>
      <c r="G5069" s="18"/>
    </row>
    <row r="5070" spans="2:7" x14ac:dyDescent="0.35">
      <c r="B5070" s="47"/>
      <c r="C5070" s="14"/>
      <c r="D5070" s="14"/>
      <c r="E5070" s="14"/>
      <c r="F5070" s="14"/>
      <c r="G5070" s="18"/>
    </row>
    <row r="5071" spans="2:7" x14ac:dyDescent="0.35">
      <c r="B5071" s="47"/>
      <c r="C5071" s="14"/>
      <c r="D5071" s="14"/>
      <c r="E5071" s="14"/>
      <c r="F5071" s="14"/>
      <c r="G5071" s="18"/>
    </row>
    <row r="5072" spans="2:7" x14ac:dyDescent="0.35">
      <c r="B5072" s="47"/>
      <c r="C5072" s="14"/>
      <c r="D5072" s="14"/>
      <c r="E5072" s="14"/>
      <c r="F5072" s="14"/>
      <c r="G5072" s="18"/>
    </row>
    <row r="5073" spans="2:7" x14ac:dyDescent="0.35">
      <c r="B5073" s="47"/>
      <c r="C5073" s="14"/>
      <c r="D5073" s="14"/>
      <c r="E5073" s="14"/>
      <c r="F5073" s="14"/>
      <c r="G5073" s="18"/>
    </row>
    <row r="5074" spans="2:7" x14ac:dyDescent="0.35">
      <c r="B5074" s="47"/>
      <c r="C5074" s="14"/>
      <c r="D5074" s="14"/>
      <c r="E5074" s="14"/>
      <c r="F5074" s="14"/>
      <c r="G5074" s="18"/>
    </row>
    <row r="5075" spans="2:7" x14ac:dyDescent="0.35">
      <c r="B5075" s="47"/>
      <c r="C5075" s="14"/>
      <c r="D5075" s="14"/>
      <c r="E5075" s="14"/>
      <c r="F5075" s="14"/>
      <c r="G5075" s="18"/>
    </row>
    <row r="5076" spans="2:7" x14ac:dyDescent="0.35">
      <c r="B5076" s="47"/>
      <c r="C5076" s="14"/>
      <c r="D5076" s="14"/>
      <c r="E5076" s="14"/>
      <c r="F5076" s="14"/>
      <c r="G5076" s="18"/>
    </row>
    <row r="5077" spans="2:7" x14ac:dyDescent="0.35">
      <c r="B5077" s="47"/>
      <c r="C5077" s="14"/>
      <c r="D5077" s="14"/>
      <c r="E5077" s="14"/>
      <c r="F5077" s="14"/>
      <c r="G5077" s="18"/>
    </row>
    <row r="5078" spans="2:7" x14ac:dyDescent="0.35">
      <c r="B5078" s="47"/>
      <c r="C5078" s="14"/>
      <c r="D5078" s="14"/>
      <c r="E5078" s="14"/>
      <c r="F5078" s="14"/>
      <c r="G5078" s="18"/>
    </row>
    <row r="5079" spans="2:7" x14ac:dyDescent="0.35">
      <c r="B5079" s="47"/>
      <c r="C5079" s="14"/>
      <c r="D5079" s="14"/>
      <c r="E5079" s="14"/>
      <c r="F5079" s="14"/>
      <c r="G5079" s="18"/>
    </row>
    <row r="5080" spans="2:7" x14ac:dyDescent="0.35">
      <c r="B5080" s="47"/>
      <c r="C5080" s="14"/>
      <c r="D5080" s="14"/>
      <c r="E5080" s="14"/>
      <c r="F5080" s="14"/>
      <c r="G5080" s="18"/>
    </row>
    <row r="5081" spans="2:7" x14ac:dyDescent="0.35">
      <c r="B5081" s="47"/>
      <c r="C5081" s="14"/>
      <c r="D5081" s="14"/>
      <c r="E5081" s="14"/>
      <c r="F5081" s="14"/>
      <c r="G5081" s="18"/>
    </row>
    <row r="5082" spans="2:7" x14ac:dyDescent="0.35">
      <c r="B5082" s="47"/>
      <c r="C5082" s="14"/>
      <c r="D5082" s="14"/>
      <c r="E5082" s="14"/>
      <c r="F5082" s="14"/>
      <c r="G5082" s="18"/>
    </row>
    <row r="5083" spans="2:7" x14ac:dyDescent="0.35">
      <c r="B5083" s="47"/>
      <c r="C5083" s="14"/>
      <c r="D5083" s="14"/>
      <c r="E5083" s="14"/>
      <c r="F5083" s="14"/>
      <c r="G5083" s="18"/>
    </row>
    <row r="5084" spans="2:7" x14ac:dyDescent="0.35">
      <c r="B5084" s="47"/>
      <c r="C5084" s="14"/>
      <c r="D5084" s="14"/>
      <c r="E5084" s="14"/>
      <c r="F5084" s="14"/>
      <c r="G5084" s="18"/>
    </row>
    <row r="5085" spans="2:7" x14ac:dyDescent="0.35">
      <c r="B5085" s="47"/>
      <c r="C5085" s="14"/>
      <c r="D5085" s="14"/>
      <c r="E5085" s="14"/>
      <c r="F5085" s="14"/>
      <c r="G5085" s="18"/>
    </row>
    <row r="5086" spans="2:7" x14ac:dyDescent="0.35">
      <c r="B5086" s="47"/>
      <c r="C5086" s="14"/>
      <c r="D5086" s="14"/>
      <c r="E5086" s="14"/>
      <c r="F5086" s="14"/>
      <c r="G5086" s="18"/>
    </row>
    <row r="5087" spans="2:7" x14ac:dyDescent="0.35">
      <c r="B5087" s="47"/>
      <c r="C5087" s="14"/>
      <c r="D5087" s="14"/>
      <c r="E5087" s="14"/>
      <c r="F5087" s="14"/>
      <c r="G5087" s="18"/>
    </row>
    <row r="5088" spans="2:7" x14ac:dyDescent="0.35">
      <c r="B5088" s="47"/>
      <c r="C5088" s="14"/>
      <c r="D5088" s="14"/>
      <c r="E5088" s="14"/>
      <c r="F5088" s="14"/>
      <c r="G5088" s="18"/>
    </row>
    <row r="5089" spans="2:7" x14ac:dyDescent="0.35">
      <c r="B5089" s="47"/>
      <c r="C5089" s="14"/>
      <c r="D5089" s="14"/>
      <c r="E5089" s="14"/>
      <c r="F5089" s="14"/>
      <c r="G5089" s="18"/>
    </row>
    <row r="5090" spans="2:7" x14ac:dyDescent="0.35">
      <c r="B5090" s="47"/>
      <c r="C5090" s="14"/>
      <c r="D5090" s="14"/>
      <c r="E5090" s="14"/>
      <c r="F5090" s="14"/>
      <c r="G5090" s="18"/>
    </row>
    <row r="5091" spans="2:7" x14ac:dyDescent="0.35">
      <c r="B5091" s="47"/>
      <c r="C5091" s="14"/>
      <c r="D5091" s="14"/>
      <c r="E5091" s="14"/>
      <c r="F5091" s="14"/>
      <c r="G5091" s="18"/>
    </row>
    <row r="5092" spans="2:7" x14ac:dyDescent="0.35">
      <c r="B5092" s="47"/>
      <c r="C5092" s="14"/>
      <c r="D5092" s="14"/>
      <c r="E5092" s="14"/>
      <c r="F5092" s="14"/>
      <c r="G5092" s="18"/>
    </row>
    <row r="5093" spans="2:7" x14ac:dyDescent="0.35">
      <c r="B5093" s="47"/>
      <c r="C5093" s="14"/>
      <c r="D5093" s="14"/>
      <c r="E5093" s="14"/>
      <c r="F5093" s="14"/>
      <c r="G5093" s="18"/>
    </row>
    <row r="5094" spans="2:7" x14ac:dyDescent="0.35">
      <c r="B5094" s="47"/>
      <c r="C5094" s="14"/>
      <c r="D5094" s="14"/>
      <c r="E5094" s="14"/>
      <c r="F5094" s="14"/>
      <c r="G5094" s="18"/>
    </row>
    <row r="5095" spans="2:7" x14ac:dyDescent="0.35">
      <c r="B5095" s="47"/>
      <c r="C5095" s="14"/>
      <c r="D5095" s="14"/>
      <c r="E5095" s="14"/>
      <c r="F5095" s="14"/>
      <c r="G5095" s="18"/>
    </row>
    <row r="5096" spans="2:7" x14ac:dyDescent="0.35">
      <c r="B5096" s="47"/>
      <c r="C5096" s="14"/>
      <c r="D5096" s="14"/>
      <c r="E5096" s="14"/>
      <c r="F5096" s="14"/>
      <c r="G5096" s="18"/>
    </row>
    <row r="5097" spans="2:7" x14ac:dyDescent="0.35">
      <c r="B5097" s="47"/>
      <c r="C5097" s="14"/>
      <c r="D5097" s="14"/>
      <c r="E5097" s="14"/>
      <c r="F5097" s="14"/>
      <c r="G5097" s="18"/>
    </row>
    <row r="5098" spans="2:7" x14ac:dyDescent="0.35">
      <c r="B5098" s="47"/>
      <c r="C5098" s="14"/>
      <c r="D5098" s="14"/>
      <c r="E5098" s="14"/>
      <c r="F5098" s="14"/>
      <c r="G5098" s="18"/>
    </row>
    <row r="5099" spans="2:7" x14ac:dyDescent="0.35">
      <c r="B5099" s="47"/>
      <c r="C5099" s="14"/>
      <c r="D5099" s="14"/>
      <c r="E5099" s="14"/>
      <c r="F5099" s="14"/>
      <c r="G5099" s="18"/>
    </row>
    <row r="5100" spans="2:7" x14ac:dyDescent="0.35">
      <c r="B5100" s="47"/>
      <c r="C5100" s="14"/>
      <c r="D5100" s="14"/>
      <c r="E5100" s="14"/>
      <c r="F5100" s="14"/>
      <c r="G5100" s="18"/>
    </row>
    <row r="5101" spans="2:7" x14ac:dyDescent="0.35">
      <c r="B5101" s="47"/>
      <c r="C5101" s="14"/>
      <c r="D5101" s="14"/>
      <c r="E5101" s="14"/>
      <c r="F5101" s="14"/>
      <c r="G5101" s="18"/>
    </row>
    <row r="5102" spans="2:7" x14ac:dyDescent="0.35">
      <c r="B5102" s="47"/>
      <c r="C5102" s="14"/>
      <c r="D5102" s="14"/>
      <c r="E5102" s="14"/>
      <c r="F5102" s="14"/>
      <c r="G5102" s="18"/>
    </row>
    <row r="5103" spans="2:7" x14ac:dyDescent="0.35">
      <c r="B5103" s="47"/>
      <c r="C5103" s="14"/>
      <c r="D5103" s="14"/>
      <c r="E5103" s="14"/>
      <c r="F5103" s="14"/>
      <c r="G5103" s="18"/>
    </row>
    <row r="5104" spans="2:7" x14ac:dyDescent="0.35">
      <c r="B5104" s="47"/>
      <c r="C5104" s="14"/>
      <c r="D5104" s="14"/>
      <c r="E5104" s="14"/>
      <c r="F5104" s="14"/>
      <c r="G5104" s="18"/>
    </row>
    <row r="5105" spans="2:7" x14ac:dyDescent="0.35">
      <c r="B5105" s="47"/>
      <c r="C5105" s="14"/>
      <c r="D5105" s="14"/>
      <c r="E5105" s="14"/>
      <c r="F5105" s="14"/>
      <c r="G5105" s="18"/>
    </row>
    <row r="5106" spans="2:7" x14ac:dyDescent="0.35">
      <c r="B5106" s="47"/>
      <c r="C5106" s="14"/>
      <c r="D5106" s="14"/>
      <c r="E5106" s="14"/>
      <c r="F5106" s="14"/>
      <c r="G5106" s="18"/>
    </row>
    <row r="5107" spans="2:7" x14ac:dyDescent="0.35">
      <c r="B5107" s="47"/>
      <c r="C5107" s="14"/>
      <c r="D5107" s="14"/>
      <c r="E5107" s="14"/>
      <c r="F5107" s="14"/>
      <c r="G5107" s="18"/>
    </row>
    <row r="5108" spans="2:7" x14ac:dyDescent="0.35">
      <c r="B5108" s="47"/>
      <c r="C5108" s="14"/>
      <c r="D5108" s="14"/>
      <c r="E5108" s="14"/>
      <c r="F5108" s="14"/>
      <c r="G5108" s="18"/>
    </row>
    <row r="5109" spans="2:7" x14ac:dyDescent="0.35">
      <c r="B5109" s="47"/>
      <c r="C5109" s="14"/>
      <c r="D5109" s="14"/>
      <c r="E5109" s="14"/>
      <c r="F5109" s="14"/>
      <c r="G5109" s="18"/>
    </row>
    <row r="5110" spans="2:7" x14ac:dyDescent="0.35">
      <c r="B5110" s="47"/>
      <c r="C5110" s="14"/>
      <c r="D5110" s="14"/>
      <c r="E5110" s="14"/>
      <c r="F5110" s="14"/>
      <c r="G5110" s="18"/>
    </row>
    <row r="5111" spans="2:7" x14ac:dyDescent="0.35">
      <c r="B5111" s="47"/>
      <c r="C5111" s="14"/>
      <c r="D5111" s="14"/>
      <c r="E5111" s="14"/>
      <c r="F5111" s="14"/>
      <c r="G5111" s="18"/>
    </row>
    <row r="5112" spans="2:7" x14ac:dyDescent="0.35">
      <c r="B5112" s="47"/>
      <c r="C5112" s="14"/>
      <c r="D5112" s="14"/>
      <c r="E5112" s="14"/>
      <c r="F5112" s="14"/>
      <c r="G5112" s="18"/>
    </row>
    <row r="5113" spans="2:7" x14ac:dyDescent="0.35">
      <c r="B5113" s="47"/>
      <c r="C5113" s="14"/>
      <c r="D5113" s="14"/>
      <c r="E5113" s="14"/>
      <c r="F5113" s="14"/>
      <c r="G5113" s="18"/>
    </row>
    <row r="5114" spans="2:7" x14ac:dyDescent="0.35">
      <c r="B5114" s="47"/>
      <c r="C5114" s="14"/>
      <c r="D5114" s="14"/>
      <c r="E5114" s="14"/>
      <c r="F5114" s="14"/>
      <c r="G5114" s="18"/>
    </row>
    <row r="5115" spans="2:7" x14ac:dyDescent="0.35">
      <c r="B5115" s="47"/>
      <c r="C5115" s="14"/>
      <c r="D5115" s="14"/>
      <c r="E5115" s="14"/>
      <c r="F5115" s="14"/>
      <c r="G5115" s="18"/>
    </row>
    <row r="5116" spans="2:7" x14ac:dyDescent="0.35">
      <c r="B5116" s="47"/>
      <c r="C5116" s="14"/>
      <c r="D5116" s="14"/>
      <c r="E5116" s="14"/>
      <c r="F5116" s="14"/>
      <c r="G5116" s="18"/>
    </row>
    <row r="5117" spans="2:7" x14ac:dyDescent="0.35">
      <c r="B5117" s="47"/>
      <c r="C5117" s="14"/>
      <c r="D5117" s="14"/>
      <c r="E5117" s="14"/>
      <c r="F5117" s="14"/>
      <c r="G5117" s="18"/>
    </row>
    <row r="5118" spans="2:7" x14ac:dyDescent="0.35">
      <c r="B5118" s="47"/>
      <c r="C5118" s="14"/>
      <c r="D5118" s="14"/>
      <c r="E5118" s="14"/>
      <c r="F5118" s="14"/>
      <c r="G5118" s="18"/>
    </row>
    <row r="5119" spans="2:7" x14ac:dyDescent="0.35">
      <c r="B5119" s="47"/>
      <c r="C5119" s="14"/>
      <c r="D5119" s="14"/>
      <c r="E5119" s="14"/>
      <c r="F5119" s="14"/>
      <c r="G5119" s="18"/>
    </row>
    <row r="5120" spans="2:7" x14ac:dyDescent="0.35">
      <c r="B5120" s="47"/>
      <c r="C5120" s="14"/>
      <c r="D5120" s="14"/>
      <c r="E5120" s="14"/>
      <c r="F5120" s="14"/>
      <c r="G5120" s="18"/>
    </row>
    <row r="5121" spans="2:7" x14ac:dyDescent="0.35">
      <c r="B5121" s="47"/>
      <c r="C5121" s="14"/>
      <c r="D5121" s="14"/>
      <c r="E5121" s="14"/>
      <c r="F5121" s="14"/>
      <c r="G5121" s="18"/>
    </row>
    <row r="5122" spans="2:7" x14ac:dyDescent="0.35">
      <c r="B5122" s="47"/>
      <c r="C5122" s="14"/>
      <c r="D5122" s="14"/>
      <c r="E5122" s="14"/>
      <c r="F5122" s="14"/>
      <c r="G5122" s="18"/>
    </row>
    <row r="5123" spans="2:7" x14ac:dyDescent="0.35">
      <c r="B5123" s="47"/>
      <c r="C5123" s="14"/>
      <c r="D5123" s="14"/>
      <c r="E5123" s="14"/>
      <c r="F5123" s="14"/>
      <c r="G5123" s="18"/>
    </row>
    <row r="5124" spans="2:7" x14ac:dyDescent="0.35">
      <c r="B5124" s="47"/>
      <c r="C5124" s="14"/>
      <c r="D5124" s="14"/>
      <c r="E5124" s="14"/>
      <c r="F5124" s="14"/>
      <c r="G5124" s="18"/>
    </row>
    <row r="5125" spans="2:7" x14ac:dyDescent="0.35">
      <c r="B5125" s="47"/>
      <c r="C5125" s="14"/>
      <c r="D5125" s="14"/>
      <c r="E5125" s="14"/>
      <c r="F5125" s="14"/>
      <c r="G5125" s="18"/>
    </row>
    <row r="5126" spans="2:7" x14ac:dyDescent="0.35">
      <c r="B5126" s="47"/>
      <c r="C5126" s="14"/>
      <c r="D5126" s="14"/>
      <c r="E5126" s="14"/>
      <c r="F5126" s="14"/>
      <c r="G5126" s="18"/>
    </row>
    <row r="5127" spans="2:7" x14ac:dyDescent="0.35">
      <c r="B5127" s="47"/>
      <c r="C5127" s="14"/>
      <c r="D5127" s="14"/>
      <c r="E5127" s="14"/>
      <c r="F5127" s="14"/>
      <c r="G5127" s="18"/>
    </row>
    <row r="5128" spans="2:7" x14ac:dyDescent="0.35">
      <c r="B5128" s="47"/>
      <c r="C5128" s="14"/>
      <c r="D5128" s="14"/>
      <c r="E5128" s="14"/>
      <c r="F5128" s="14"/>
      <c r="G5128" s="18"/>
    </row>
    <row r="5129" spans="2:7" x14ac:dyDescent="0.35">
      <c r="B5129" s="47"/>
      <c r="C5129" s="14"/>
      <c r="D5129" s="14"/>
      <c r="E5129" s="14"/>
      <c r="F5129" s="14"/>
      <c r="G5129" s="18"/>
    </row>
    <row r="5130" spans="2:7" x14ac:dyDescent="0.35">
      <c r="B5130" s="47"/>
      <c r="C5130" s="14"/>
      <c r="D5130" s="14"/>
      <c r="E5130" s="14"/>
      <c r="F5130" s="14"/>
      <c r="G5130" s="18"/>
    </row>
    <row r="5131" spans="2:7" x14ac:dyDescent="0.35">
      <c r="B5131" s="47"/>
      <c r="C5131" s="14"/>
      <c r="D5131" s="14"/>
      <c r="E5131" s="14"/>
      <c r="F5131" s="14"/>
      <c r="G5131" s="18"/>
    </row>
    <row r="5132" spans="2:7" x14ac:dyDescent="0.35">
      <c r="B5132" s="47"/>
      <c r="C5132" s="14"/>
      <c r="D5132" s="14"/>
      <c r="E5132" s="14"/>
      <c r="F5132" s="14"/>
      <c r="G5132" s="18"/>
    </row>
    <row r="5133" spans="2:7" x14ac:dyDescent="0.35">
      <c r="B5133" s="47"/>
      <c r="C5133" s="14"/>
      <c r="D5133" s="14"/>
      <c r="E5133" s="14"/>
      <c r="F5133" s="14"/>
      <c r="G5133" s="18"/>
    </row>
    <row r="5134" spans="2:7" x14ac:dyDescent="0.35">
      <c r="B5134" s="47"/>
      <c r="C5134" s="14"/>
      <c r="D5134" s="14"/>
      <c r="E5134" s="14"/>
      <c r="F5134" s="14"/>
      <c r="G5134" s="18"/>
    </row>
    <row r="5135" spans="2:7" x14ac:dyDescent="0.35">
      <c r="B5135" s="47"/>
      <c r="C5135" s="14"/>
      <c r="D5135" s="14"/>
      <c r="E5135" s="14"/>
      <c r="F5135" s="14"/>
      <c r="G5135" s="18"/>
    </row>
    <row r="5136" spans="2:7" x14ac:dyDescent="0.35">
      <c r="B5136" s="47"/>
      <c r="C5136" s="14"/>
      <c r="D5136" s="14"/>
      <c r="E5136" s="14"/>
      <c r="F5136" s="14"/>
      <c r="G5136" s="18"/>
    </row>
    <row r="5137" spans="2:7" x14ac:dyDescent="0.35">
      <c r="B5137" s="47"/>
      <c r="C5137" s="14"/>
      <c r="D5137" s="14"/>
      <c r="E5137" s="14"/>
      <c r="F5137" s="14"/>
      <c r="G5137" s="18"/>
    </row>
    <row r="5138" spans="2:7" x14ac:dyDescent="0.35">
      <c r="B5138" s="47"/>
      <c r="C5138" s="14"/>
      <c r="D5138" s="14"/>
      <c r="E5138" s="14"/>
      <c r="F5138" s="14"/>
      <c r="G5138" s="18"/>
    </row>
    <row r="5139" spans="2:7" x14ac:dyDescent="0.35">
      <c r="B5139" s="47"/>
      <c r="C5139" s="14"/>
      <c r="D5139" s="14"/>
      <c r="E5139" s="14"/>
      <c r="F5139" s="14"/>
      <c r="G5139" s="18"/>
    </row>
    <row r="5140" spans="2:7" x14ac:dyDescent="0.35">
      <c r="B5140" s="47"/>
      <c r="C5140" s="14"/>
      <c r="D5140" s="14"/>
      <c r="E5140" s="14"/>
      <c r="F5140" s="14"/>
      <c r="G5140" s="18"/>
    </row>
    <row r="5141" spans="2:7" x14ac:dyDescent="0.35">
      <c r="B5141" s="47"/>
      <c r="C5141" s="14"/>
      <c r="D5141" s="14"/>
      <c r="E5141" s="14"/>
      <c r="F5141" s="14"/>
      <c r="G5141" s="18"/>
    </row>
    <row r="5142" spans="2:7" x14ac:dyDescent="0.35">
      <c r="B5142" s="47"/>
      <c r="C5142" s="14"/>
      <c r="D5142" s="14"/>
      <c r="E5142" s="14"/>
      <c r="F5142" s="14"/>
      <c r="G5142" s="18"/>
    </row>
    <row r="5143" spans="2:7" x14ac:dyDescent="0.35">
      <c r="B5143" s="47"/>
      <c r="C5143" s="14"/>
      <c r="D5143" s="14"/>
      <c r="E5143" s="14"/>
      <c r="F5143" s="14"/>
      <c r="G5143" s="18"/>
    </row>
    <row r="5144" spans="2:7" x14ac:dyDescent="0.35">
      <c r="B5144" s="47"/>
      <c r="C5144" s="14"/>
      <c r="D5144" s="14"/>
      <c r="E5144" s="14"/>
      <c r="F5144" s="14"/>
      <c r="G5144" s="18"/>
    </row>
    <row r="5145" spans="2:7" x14ac:dyDescent="0.35">
      <c r="B5145" s="47"/>
      <c r="C5145" s="14"/>
      <c r="D5145" s="14"/>
      <c r="E5145" s="14"/>
      <c r="F5145" s="14"/>
      <c r="G5145" s="18"/>
    </row>
    <row r="5146" spans="2:7" x14ac:dyDescent="0.35">
      <c r="B5146" s="47"/>
      <c r="C5146" s="14"/>
      <c r="D5146" s="14"/>
      <c r="E5146" s="14"/>
      <c r="F5146" s="14"/>
      <c r="G5146" s="18"/>
    </row>
    <row r="5147" spans="2:7" x14ac:dyDescent="0.35">
      <c r="B5147" s="47"/>
      <c r="C5147" s="14"/>
      <c r="D5147" s="14"/>
      <c r="E5147" s="14"/>
      <c r="F5147" s="14"/>
      <c r="G5147" s="18"/>
    </row>
    <row r="5148" spans="2:7" x14ac:dyDescent="0.35">
      <c r="B5148" s="47"/>
      <c r="C5148" s="14"/>
      <c r="D5148" s="14"/>
      <c r="E5148" s="14"/>
      <c r="F5148" s="14"/>
      <c r="G5148" s="18"/>
    </row>
    <row r="5149" spans="2:7" x14ac:dyDescent="0.35">
      <c r="B5149" s="47"/>
      <c r="C5149" s="14"/>
      <c r="D5149" s="14"/>
      <c r="E5149" s="14"/>
      <c r="F5149" s="14"/>
      <c r="G5149" s="18"/>
    </row>
    <row r="5150" spans="2:7" x14ac:dyDescent="0.35">
      <c r="B5150" s="47"/>
      <c r="C5150" s="14"/>
      <c r="D5150" s="14"/>
      <c r="E5150" s="14"/>
      <c r="F5150" s="14"/>
      <c r="G5150" s="18"/>
    </row>
    <row r="5151" spans="2:7" x14ac:dyDescent="0.35">
      <c r="B5151" s="47"/>
      <c r="C5151" s="14"/>
      <c r="D5151" s="14"/>
      <c r="E5151" s="14"/>
      <c r="F5151" s="14"/>
      <c r="G5151" s="18"/>
    </row>
    <row r="5152" spans="2:7" x14ac:dyDescent="0.35">
      <c r="B5152" s="47"/>
      <c r="C5152" s="14"/>
      <c r="D5152" s="14"/>
      <c r="E5152" s="14"/>
      <c r="F5152" s="14"/>
      <c r="G5152" s="18"/>
    </row>
    <row r="5153" spans="2:7" x14ac:dyDescent="0.35">
      <c r="B5153" s="47"/>
      <c r="C5153" s="14"/>
      <c r="D5153" s="14"/>
      <c r="E5153" s="14"/>
      <c r="F5153" s="14"/>
      <c r="G5153" s="18"/>
    </row>
    <row r="5154" spans="2:7" x14ac:dyDescent="0.35">
      <c r="B5154" s="47"/>
      <c r="C5154" s="14"/>
      <c r="D5154" s="14"/>
      <c r="E5154" s="14"/>
      <c r="F5154" s="14"/>
      <c r="G5154" s="18"/>
    </row>
    <row r="5155" spans="2:7" x14ac:dyDescent="0.35">
      <c r="B5155" s="47"/>
      <c r="C5155" s="14"/>
      <c r="D5155" s="14"/>
      <c r="E5155" s="14"/>
      <c r="F5155" s="14"/>
      <c r="G5155" s="18"/>
    </row>
    <row r="5156" spans="2:7" x14ac:dyDescent="0.35">
      <c r="B5156" s="47"/>
      <c r="C5156" s="14"/>
      <c r="D5156" s="14"/>
      <c r="E5156" s="14"/>
      <c r="F5156" s="14"/>
      <c r="G5156" s="18"/>
    </row>
    <row r="5157" spans="2:7" x14ac:dyDescent="0.35">
      <c r="B5157" s="47"/>
      <c r="C5157" s="14"/>
      <c r="D5157" s="14"/>
      <c r="E5157" s="14"/>
      <c r="F5157" s="14"/>
      <c r="G5157" s="18"/>
    </row>
    <row r="5158" spans="2:7" x14ac:dyDescent="0.35">
      <c r="B5158" s="47"/>
      <c r="C5158" s="14"/>
      <c r="D5158" s="14"/>
      <c r="E5158" s="14"/>
      <c r="F5158" s="14"/>
      <c r="G5158" s="18"/>
    </row>
    <row r="5159" spans="2:7" x14ac:dyDescent="0.35">
      <c r="B5159" s="47"/>
      <c r="C5159" s="14"/>
      <c r="D5159" s="14"/>
      <c r="E5159" s="14"/>
      <c r="F5159" s="14"/>
      <c r="G5159" s="18"/>
    </row>
    <row r="5160" spans="2:7" x14ac:dyDescent="0.35">
      <c r="B5160" s="47"/>
      <c r="C5160" s="14"/>
      <c r="D5160" s="14"/>
      <c r="E5160" s="14"/>
      <c r="F5160" s="14"/>
      <c r="G5160" s="18"/>
    </row>
    <row r="5161" spans="2:7" x14ac:dyDescent="0.35">
      <c r="B5161" s="47"/>
      <c r="C5161" s="14"/>
      <c r="D5161" s="14"/>
      <c r="E5161" s="14"/>
      <c r="F5161" s="14"/>
      <c r="G5161" s="18"/>
    </row>
    <row r="5162" spans="2:7" x14ac:dyDescent="0.35">
      <c r="B5162" s="47"/>
      <c r="C5162" s="14"/>
      <c r="D5162" s="14"/>
      <c r="E5162" s="14"/>
      <c r="F5162" s="14"/>
      <c r="G5162" s="18"/>
    </row>
    <row r="5163" spans="2:7" x14ac:dyDescent="0.35">
      <c r="B5163" s="47"/>
      <c r="C5163" s="14"/>
      <c r="D5163" s="14"/>
      <c r="E5163" s="14"/>
      <c r="F5163" s="14"/>
      <c r="G5163" s="18"/>
    </row>
    <row r="5164" spans="2:7" x14ac:dyDescent="0.35">
      <c r="B5164" s="47"/>
      <c r="C5164" s="14"/>
      <c r="D5164" s="14"/>
      <c r="E5164" s="14"/>
      <c r="F5164" s="14"/>
      <c r="G5164" s="18"/>
    </row>
    <row r="5165" spans="2:7" x14ac:dyDescent="0.35">
      <c r="B5165" s="47"/>
      <c r="C5165" s="14"/>
      <c r="D5165" s="14"/>
      <c r="E5165" s="14"/>
      <c r="F5165" s="14"/>
      <c r="G5165" s="18"/>
    </row>
    <row r="5166" spans="2:7" x14ac:dyDescent="0.35">
      <c r="B5166" s="47"/>
      <c r="C5166" s="14"/>
      <c r="D5166" s="14"/>
      <c r="E5166" s="14"/>
      <c r="F5166" s="14"/>
      <c r="G5166" s="18"/>
    </row>
    <row r="5167" spans="2:7" x14ac:dyDescent="0.35">
      <c r="B5167" s="47"/>
      <c r="C5167" s="14"/>
      <c r="D5167" s="14"/>
      <c r="E5167" s="14"/>
      <c r="F5167" s="14"/>
      <c r="G5167" s="18"/>
    </row>
    <row r="5168" spans="2:7" x14ac:dyDescent="0.35">
      <c r="B5168" s="47"/>
      <c r="C5168" s="14"/>
      <c r="D5168" s="14"/>
      <c r="E5168" s="14"/>
      <c r="F5168" s="14"/>
      <c r="G5168" s="18"/>
    </row>
    <row r="5169" spans="2:7" x14ac:dyDescent="0.35">
      <c r="B5169" s="47"/>
      <c r="C5169" s="14"/>
      <c r="D5169" s="14"/>
      <c r="E5169" s="14"/>
      <c r="F5169" s="14"/>
      <c r="G5169" s="18"/>
    </row>
    <row r="5170" spans="2:7" x14ac:dyDescent="0.35">
      <c r="B5170" s="47"/>
      <c r="C5170" s="14"/>
      <c r="D5170" s="14"/>
      <c r="E5170" s="14"/>
      <c r="F5170" s="14"/>
      <c r="G5170" s="18"/>
    </row>
    <row r="5171" spans="2:7" x14ac:dyDescent="0.35">
      <c r="B5171" s="47"/>
      <c r="C5171" s="14"/>
      <c r="D5171" s="14"/>
      <c r="E5171" s="14"/>
      <c r="F5171" s="14"/>
      <c r="G5171" s="18"/>
    </row>
    <row r="5172" spans="2:7" x14ac:dyDescent="0.35">
      <c r="B5172" s="47"/>
      <c r="C5172" s="14"/>
      <c r="D5172" s="14"/>
      <c r="E5172" s="14"/>
      <c r="F5172" s="14"/>
      <c r="G5172" s="18"/>
    </row>
    <row r="5173" spans="2:7" x14ac:dyDescent="0.35">
      <c r="B5173" s="47"/>
      <c r="C5173" s="14"/>
      <c r="D5173" s="14"/>
      <c r="E5173" s="14"/>
      <c r="F5173" s="14"/>
      <c r="G5173" s="18"/>
    </row>
    <row r="5174" spans="2:7" x14ac:dyDescent="0.35">
      <c r="B5174" s="47"/>
      <c r="C5174" s="14"/>
      <c r="D5174" s="14"/>
      <c r="E5174" s="14"/>
      <c r="F5174" s="14"/>
      <c r="G5174" s="18"/>
    </row>
    <row r="5175" spans="2:7" x14ac:dyDescent="0.35">
      <c r="B5175" s="47"/>
      <c r="C5175" s="14"/>
      <c r="D5175" s="14"/>
      <c r="E5175" s="14"/>
      <c r="F5175" s="14"/>
      <c r="G5175" s="18"/>
    </row>
    <row r="5176" spans="2:7" x14ac:dyDescent="0.35">
      <c r="B5176" s="47"/>
      <c r="C5176" s="14"/>
      <c r="D5176" s="14"/>
      <c r="E5176" s="14"/>
      <c r="F5176" s="14"/>
      <c r="G5176" s="18"/>
    </row>
    <row r="5177" spans="2:7" x14ac:dyDescent="0.35">
      <c r="B5177" s="47"/>
      <c r="C5177" s="14"/>
      <c r="D5177" s="14"/>
      <c r="E5177" s="14"/>
      <c r="F5177" s="14"/>
      <c r="G5177" s="18"/>
    </row>
    <row r="5178" spans="2:7" x14ac:dyDescent="0.35">
      <c r="B5178" s="47"/>
      <c r="C5178" s="14"/>
      <c r="D5178" s="14"/>
      <c r="E5178" s="14"/>
      <c r="F5178" s="14"/>
      <c r="G5178" s="18"/>
    </row>
    <row r="5179" spans="2:7" x14ac:dyDescent="0.35">
      <c r="B5179" s="47"/>
      <c r="C5179" s="14"/>
      <c r="D5179" s="14"/>
      <c r="E5179" s="14"/>
      <c r="F5179" s="14"/>
      <c r="G5179" s="18"/>
    </row>
    <row r="5180" spans="2:7" x14ac:dyDescent="0.35">
      <c r="B5180" s="47"/>
      <c r="C5180" s="14"/>
      <c r="D5180" s="14"/>
      <c r="E5180" s="14"/>
      <c r="F5180" s="14"/>
      <c r="G5180" s="18"/>
    </row>
    <row r="5181" spans="2:7" x14ac:dyDescent="0.35">
      <c r="B5181" s="47"/>
      <c r="C5181" s="14"/>
      <c r="D5181" s="14"/>
      <c r="E5181" s="14"/>
      <c r="F5181" s="14"/>
      <c r="G5181" s="18"/>
    </row>
    <row r="5182" spans="2:7" x14ac:dyDescent="0.35">
      <c r="B5182" s="47"/>
      <c r="C5182" s="14"/>
      <c r="D5182" s="14"/>
      <c r="E5182" s="14"/>
      <c r="F5182" s="14"/>
      <c r="G5182" s="18"/>
    </row>
    <row r="5183" spans="2:7" x14ac:dyDescent="0.35">
      <c r="B5183" s="47"/>
      <c r="C5183" s="14"/>
      <c r="D5183" s="14"/>
      <c r="E5183" s="14"/>
      <c r="F5183" s="14"/>
      <c r="G5183" s="18"/>
    </row>
    <row r="5184" spans="2:7" x14ac:dyDescent="0.35">
      <c r="B5184" s="47"/>
      <c r="C5184" s="14"/>
      <c r="D5184" s="14"/>
      <c r="E5184" s="14"/>
      <c r="F5184" s="14"/>
      <c r="G5184" s="18"/>
    </row>
    <row r="5185" spans="2:7" x14ac:dyDescent="0.35">
      <c r="B5185" s="47"/>
      <c r="C5185" s="14"/>
      <c r="D5185" s="14"/>
      <c r="E5185" s="14"/>
      <c r="F5185" s="14"/>
      <c r="G5185" s="18"/>
    </row>
    <row r="5186" spans="2:7" x14ac:dyDescent="0.35">
      <c r="B5186" s="47"/>
      <c r="C5186" s="14"/>
      <c r="D5186" s="14"/>
      <c r="E5186" s="14"/>
      <c r="F5186" s="14"/>
      <c r="G5186" s="18"/>
    </row>
    <row r="5187" spans="2:7" x14ac:dyDescent="0.35">
      <c r="B5187" s="47"/>
      <c r="C5187" s="14"/>
      <c r="D5187" s="14"/>
      <c r="E5187" s="14"/>
      <c r="F5187" s="14"/>
      <c r="G5187" s="18"/>
    </row>
    <row r="5188" spans="2:7" x14ac:dyDescent="0.35">
      <c r="B5188" s="47"/>
      <c r="C5188" s="14"/>
      <c r="D5188" s="14"/>
      <c r="E5188" s="14"/>
      <c r="F5188" s="14"/>
      <c r="G5188" s="18"/>
    </row>
    <row r="5189" spans="2:7" x14ac:dyDescent="0.35">
      <c r="B5189" s="47"/>
      <c r="C5189" s="14"/>
      <c r="D5189" s="14"/>
      <c r="E5189" s="14"/>
      <c r="F5189" s="14"/>
      <c r="G5189" s="18"/>
    </row>
    <row r="5190" spans="2:7" x14ac:dyDescent="0.35">
      <c r="B5190" s="47"/>
      <c r="C5190" s="14"/>
      <c r="D5190" s="14"/>
      <c r="E5190" s="14"/>
      <c r="F5190" s="14"/>
      <c r="G5190" s="18"/>
    </row>
    <row r="5191" spans="2:7" x14ac:dyDescent="0.35">
      <c r="B5191" s="47"/>
      <c r="C5191" s="14"/>
      <c r="D5191" s="14"/>
      <c r="E5191" s="14"/>
      <c r="F5191" s="14"/>
      <c r="G5191" s="18"/>
    </row>
    <row r="5192" spans="2:7" x14ac:dyDescent="0.35">
      <c r="B5192" s="47"/>
      <c r="C5192" s="14"/>
      <c r="D5192" s="14"/>
      <c r="E5192" s="14"/>
      <c r="F5192" s="14"/>
      <c r="G5192" s="18"/>
    </row>
    <row r="5193" spans="2:7" x14ac:dyDescent="0.35">
      <c r="B5193" s="47"/>
      <c r="C5193" s="14"/>
      <c r="D5193" s="14"/>
      <c r="E5193" s="14"/>
      <c r="F5193" s="14"/>
      <c r="G5193" s="18"/>
    </row>
    <row r="5194" spans="2:7" x14ac:dyDescent="0.35">
      <c r="B5194" s="47"/>
      <c r="C5194" s="14"/>
      <c r="D5194" s="14"/>
      <c r="E5194" s="14"/>
      <c r="F5194" s="14"/>
      <c r="G5194" s="18"/>
    </row>
    <row r="5195" spans="2:7" x14ac:dyDescent="0.35">
      <c r="B5195" s="47"/>
      <c r="C5195" s="14"/>
      <c r="D5195" s="14"/>
      <c r="E5195" s="14"/>
      <c r="F5195" s="14"/>
      <c r="G5195" s="18"/>
    </row>
    <row r="5196" spans="2:7" x14ac:dyDescent="0.35">
      <c r="B5196" s="47"/>
      <c r="C5196" s="14"/>
      <c r="D5196" s="14"/>
      <c r="E5196" s="14"/>
      <c r="F5196" s="14"/>
      <c r="G5196" s="18"/>
    </row>
    <row r="5197" spans="2:7" x14ac:dyDescent="0.35">
      <c r="B5197" s="47"/>
      <c r="C5197" s="14"/>
      <c r="D5197" s="14"/>
      <c r="E5197" s="14"/>
      <c r="F5197" s="14"/>
      <c r="G5197" s="18"/>
    </row>
    <row r="5198" spans="2:7" x14ac:dyDescent="0.35">
      <c r="B5198" s="47"/>
      <c r="C5198" s="14"/>
      <c r="D5198" s="14"/>
      <c r="E5198" s="14"/>
      <c r="F5198" s="14"/>
      <c r="G5198" s="18"/>
    </row>
    <row r="5199" spans="2:7" x14ac:dyDescent="0.35">
      <c r="B5199" s="47"/>
      <c r="C5199" s="14"/>
      <c r="D5199" s="14"/>
      <c r="E5199" s="14"/>
      <c r="F5199" s="14"/>
      <c r="G5199" s="18"/>
    </row>
    <row r="5200" spans="2:7" x14ac:dyDescent="0.35">
      <c r="B5200" s="47"/>
      <c r="C5200" s="14"/>
      <c r="D5200" s="14"/>
      <c r="E5200" s="14"/>
      <c r="F5200" s="14"/>
      <c r="G5200" s="18"/>
    </row>
    <row r="5201" spans="2:7" x14ac:dyDescent="0.35">
      <c r="B5201" s="47"/>
      <c r="C5201" s="14"/>
      <c r="D5201" s="14"/>
      <c r="E5201" s="14"/>
      <c r="F5201" s="14"/>
      <c r="G5201" s="18"/>
    </row>
    <row r="5202" spans="2:7" x14ac:dyDescent="0.35">
      <c r="B5202" s="47"/>
      <c r="C5202" s="14"/>
      <c r="D5202" s="14"/>
      <c r="E5202" s="14"/>
      <c r="F5202" s="14"/>
      <c r="G5202" s="18"/>
    </row>
    <row r="5203" spans="2:7" x14ac:dyDescent="0.35">
      <c r="B5203" s="47"/>
      <c r="C5203" s="14"/>
      <c r="D5203" s="14"/>
      <c r="E5203" s="14"/>
      <c r="F5203" s="14"/>
      <c r="G5203" s="18"/>
    </row>
    <row r="5204" spans="2:7" x14ac:dyDescent="0.35">
      <c r="B5204" s="47"/>
      <c r="C5204" s="14"/>
      <c r="D5204" s="14"/>
      <c r="E5204" s="14"/>
      <c r="F5204" s="14"/>
      <c r="G5204" s="18"/>
    </row>
    <row r="5205" spans="2:7" x14ac:dyDescent="0.35">
      <c r="B5205" s="47"/>
      <c r="C5205" s="14"/>
      <c r="D5205" s="14"/>
      <c r="E5205" s="14"/>
      <c r="F5205" s="14"/>
      <c r="G5205" s="18"/>
    </row>
    <row r="5206" spans="2:7" x14ac:dyDescent="0.35">
      <c r="B5206" s="47"/>
      <c r="C5206" s="14"/>
      <c r="D5206" s="14"/>
      <c r="E5206" s="14"/>
      <c r="F5206" s="14"/>
      <c r="G5206" s="18"/>
    </row>
    <row r="5207" spans="2:7" x14ac:dyDescent="0.35">
      <c r="B5207" s="47"/>
      <c r="C5207" s="14"/>
      <c r="D5207" s="14"/>
      <c r="E5207" s="14"/>
      <c r="F5207" s="14"/>
      <c r="G5207" s="18"/>
    </row>
    <row r="5208" spans="2:7" x14ac:dyDescent="0.35">
      <c r="B5208" s="47"/>
      <c r="C5208" s="14"/>
      <c r="D5208" s="14"/>
      <c r="E5208" s="14"/>
      <c r="F5208" s="14"/>
      <c r="G5208" s="18"/>
    </row>
    <row r="5209" spans="2:7" x14ac:dyDescent="0.35">
      <c r="B5209" s="47"/>
      <c r="C5209" s="14"/>
      <c r="D5209" s="14"/>
      <c r="E5209" s="14"/>
      <c r="F5209" s="14"/>
      <c r="G5209" s="18"/>
    </row>
    <row r="5210" spans="2:7" x14ac:dyDescent="0.35">
      <c r="B5210" s="47"/>
      <c r="C5210" s="14"/>
      <c r="D5210" s="14"/>
      <c r="E5210" s="14"/>
      <c r="F5210" s="14"/>
      <c r="G5210" s="18"/>
    </row>
    <row r="5211" spans="2:7" x14ac:dyDescent="0.35">
      <c r="B5211" s="47"/>
      <c r="C5211" s="14"/>
      <c r="D5211" s="14"/>
      <c r="E5211" s="14"/>
      <c r="F5211" s="14"/>
      <c r="G5211" s="18"/>
    </row>
    <row r="5212" spans="2:7" x14ac:dyDescent="0.35">
      <c r="B5212" s="47"/>
      <c r="C5212" s="14"/>
      <c r="D5212" s="14"/>
      <c r="E5212" s="14"/>
      <c r="F5212" s="14"/>
      <c r="G5212" s="18"/>
    </row>
    <row r="5213" spans="2:7" x14ac:dyDescent="0.35">
      <c r="B5213" s="47"/>
      <c r="C5213" s="14"/>
      <c r="D5213" s="14"/>
      <c r="E5213" s="14"/>
      <c r="F5213" s="14"/>
      <c r="G5213" s="18"/>
    </row>
    <row r="5214" spans="2:7" x14ac:dyDescent="0.35">
      <c r="B5214" s="47"/>
      <c r="C5214" s="14"/>
      <c r="D5214" s="14"/>
      <c r="E5214" s="14"/>
      <c r="F5214" s="14"/>
      <c r="G5214" s="18"/>
    </row>
    <row r="5215" spans="2:7" x14ac:dyDescent="0.35">
      <c r="B5215" s="47"/>
      <c r="C5215" s="14"/>
      <c r="D5215" s="14"/>
      <c r="E5215" s="14"/>
      <c r="F5215" s="14"/>
      <c r="G5215" s="18"/>
    </row>
    <row r="5216" spans="2:7" x14ac:dyDescent="0.35">
      <c r="B5216" s="47"/>
      <c r="C5216" s="14"/>
      <c r="D5216" s="14"/>
      <c r="E5216" s="14"/>
      <c r="F5216" s="14"/>
      <c r="G5216" s="18"/>
    </row>
    <row r="5217" spans="2:7" x14ac:dyDescent="0.35">
      <c r="B5217" s="47"/>
      <c r="C5217" s="14"/>
      <c r="D5217" s="14"/>
      <c r="E5217" s="14"/>
      <c r="F5217" s="14"/>
      <c r="G5217" s="18"/>
    </row>
    <row r="5218" spans="2:7" x14ac:dyDescent="0.35">
      <c r="B5218" s="47"/>
      <c r="C5218" s="14"/>
      <c r="D5218" s="14"/>
      <c r="E5218" s="14"/>
      <c r="F5218" s="14"/>
      <c r="G5218" s="18"/>
    </row>
    <row r="5219" spans="2:7" x14ac:dyDescent="0.35">
      <c r="B5219" s="47"/>
      <c r="C5219" s="14"/>
      <c r="D5219" s="14"/>
      <c r="E5219" s="14"/>
      <c r="F5219" s="14"/>
      <c r="G5219" s="18"/>
    </row>
    <row r="5220" spans="2:7" x14ac:dyDescent="0.35">
      <c r="B5220" s="47"/>
      <c r="C5220" s="14"/>
      <c r="D5220" s="14"/>
      <c r="E5220" s="14"/>
      <c r="F5220" s="14"/>
      <c r="G5220" s="18"/>
    </row>
    <row r="5221" spans="2:7" x14ac:dyDescent="0.35">
      <c r="B5221" s="47"/>
      <c r="C5221" s="14"/>
      <c r="D5221" s="14"/>
      <c r="E5221" s="14"/>
      <c r="F5221" s="14"/>
      <c r="G5221" s="18"/>
    </row>
    <row r="5222" spans="2:7" x14ac:dyDescent="0.35">
      <c r="B5222" s="47"/>
      <c r="C5222" s="14"/>
      <c r="D5222" s="14"/>
      <c r="E5222" s="14"/>
      <c r="F5222" s="14"/>
      <c r="G5222" s="18"/>
    </row>
    <row r="5223" spans="2:7" x14ac:dyDescent="0.35">
      <c r="B5223" s="47"/>
      <c r="C5223" s="14"/>
      <c r="D5223" s="14"/>
      <c r="E5223" s="14"/>
      <c r="F5223" s="14"/>
      <c r="G5223" s="18"/>
    </row>
    <row r="5224" spans="2:7" x14ac:dyDescent="0.35">
      <c r="B5224" s="47"/>
      <c r="C5224" s="14"/>
      <c r="D5224" s="14"/>
      <c r="E5224" s="14"/>
      <c r="F5224" s="14"/>
      <c r="G5224" s="18"/>
    </row>
    <row r="5225" spans="2:7" x14ac:dyDescent="0.35">
      <c r="B5225" s="47"/>
      <c r="C5225" s="14"/>
      <c r="D5225" s="14"/>
      <c r="E5225" s="14"/>
      <c r="F5225" s="14"/>
      <c r="G5225" s="18"/>
    </row>
    <row r="5226" spans="2:7" x14ac:dyDescent="0.35">
      <c r="B5226" s="47"/>
      <c r="C5226" s="14"/>
      <c r="D5226" s="14"/>
      <c r="E5226" s="14"/>
      <c r="F5226" s="14"/>
      <c r="G5226" s="18"/>
    </row>
    <row r="5227" spans="2:7" x14ac:dyDescent="0.35">
      <c r="B5227" s="47"/>
      <c r="C5227" s="14"/>
      <c r="D5227" s="14"/>
      <c r="E5227" s="14"/>
      <c r="F5227" s="14"/>
      <c r="G5227" s="18"/>
    </row>
    <row r="5228" spans="2:7" x14ac:dyDescent="0.35">
      <c r="B5228" s="47"/>
      <c r="C5228" s="14"/>
      <c r="D5228" s="14"/>
      <c r="E5228" s="14"/>
      <c r="F5228" s="14"/>
      <c r="G5228" s="18"/>
    </row>
    <row r="5229" spans="2:7" x14ac:dyDescent="0.35">
      <c r="B5229" s="47"/>
      <c r="C5229" s="14"/>
      <c r="D5229" s="14"/>
      <c r="E5229" s="14"/>
      <c r="F5229" s="14"/>
      <c r="G5229" s="18"/>
    </row>
    <row r="5230" spans="2:7" x14ac:dyDescent="0.35">
      <c r="B5230" s="47"/>
      <c r="C5230" s="14"/>
      <c r="D5230" s="14"/>
      <c r="E5230" s="14"/>
      <c r="F5230" s="14"/>
      <c r="G5230" s="18"/>
    </row>
    <row r="5231" spans="2:7" x14ac:dyDescent="0.35">
      <c r="B5231" s="47"/>
      <c r="C5231" s="14"/>
      <c r="D5231" s="14"/>
      <c r="E5231" s="14"/>
      <c r="F5231" s="14"/>
      <c r="G5231" s="18"/>
    </row>
    <row r="5232" spans="2:7" x14ac:dyDescent="0.35">
      <c r="B5232" s="47"/>
      <c r="C5232" s="14"/>
      <c r="D5232" s="14"/>
      <c r="E5232" s="14"/>
      <c r="F5232" s="14"/>
      <c r="G5232" s="18"/>
    </row>
    <row r="5233" spans="2:7" x14ac:dyDescent="0.35">
      <c r="B5233" s="47"/>
      <c r="C5233" s="14"/>
      <c r="D5233" s="14"/>
      <c r="E5233" s="14"/>
      <c r="F5233" s="14"/>
      <c r="G5233" s="18"/>
    </row>
    <row r="5234" spans="2:7" x14ac:dyDescent="0.35">
      <c r="B5234" s="47"/>
      <c r="C5234" s="14"/>
      <c r="D5234" s="14"/>
      <c r="E5234" s="14"/>
      <c r="F5234" s="14"/>
      <c r="G5234" s="18"/>
    </row>
    <row r="5235" spans="2:7" x14ac:dyDescent="0.35">
      <c r="B5235" s="47"/>
      <c r="C5235" s="14"/>
      <c r="D5235" s="14"/>
      <c r="E5235" s="14"/>
      <c r="F5235" s="14"/>
      <c r="G5235" s="18"/>
    </row>
    <row r="5236" spans="2:7" x14ac:dyDescent="0.35">
      <c r="B5236" s="47"/>
      <c r="C5236" s="14"/>
      <c r="D5236" s="14"/>
      <c r="E5236" s="14"/>
      <c r="F5236" s="14"/>
      <c r="G5236" s="18"/>
    </row>
    <row r="5237" spans="2:7" x14ac:dyDescent="0.35">
      <c r="B5237" s="47"/>
      <c r="C5237" s="14"/>
      <c r="D5237" s="14"/>
      <c r="E5237" s="14"/>
      <c r="F5237" s="14"/>
      <c r="G5237" s="18"/>
    </row>
    <row r="5238" spans="2:7" x14ac:dyDescent="0.35">
      <c r="B5238" s="47"/>
      <c r="C5238" s="14"/>
      <c r="D5238" s="14"/>
      <c r="E5238" s="14"/>
      <c r="F5238" s="14"/>
      <c r="G5238" s="18"/>
    </row>
    <row r="5239" spans="2:7" x14ac:dyDescent="0.35">
      <c r="B5239" s="47"/>
      <c r="C5239" s="14"/>
      <c r="D5239" s="14"/>
      <c r="E5239" s="14"/>
      <c r="F5239" s="14"/>
      <c r="G5239" s="18"/>
    </row>
    <row r="5240" spans="2:7" x14ac:dyDescent="0.35">
      <c r="B5240" s="47"/>
      <c r="C5240" s="14"/>
      <c r="D5240" s="14"/>
      <c r="E5240" s="14"/>
      <c r="F5240" s="14"/>
      <c r="G5240" s="18"/>
    </row>
    <row r="5241" spans="2:7" x14ac:dyDescent="0.35">
      <c r="B5241" s="47"/>
      <c r="C5241" s="14"/>
      <c r="D5241" s="14"/>
      <c r="E5241" s="14"/>
      <c r="F5241" s="14"/>
      <c r="G5241" s="18"/>
    </row>
    <row r="5242" spans="2:7" x14ac:dyDescent="0.35">
      <c r="B5242" s="47"/>
      <c r="C5242" s="14"/>
      <c r="D5242" s="14"/>
      <c r="E5242" s="14"/>
      <c r="F5242" s="14"/>
      <c r="G5242" s="18"/>
    </row>
    <row r="5243" spans="2:7" x14ac:dyDescent="0.35">
      <c r="B5243" s="47"/>
      <c r="C5243" s="14"/>
      <c r="D5243" s="14"/>
      <c r="E5243" s="14"/>
      <c r="F5243" s="14"/>
      <c r="G5243" s="18"/>
    </row>
    <row r="5244" spans="2:7" x14ac:dyDescent="0.35">
      <c r="B5244" s="47"/>
      <c r="C5244" s="14"/>
      <c r="D5244" s="14"/>
      <c r="E5244" s="14"/>
      <c r="F5244" s="14"/>
      <c r="G5244" s="18"/>
    </row>
    <row r="5245" spans="2:7" x14ac:dyDescent="0.35">
      <c r="B5245" s="47"/>
      <c r="C5245" s="14"/>
      <c r="D5245" s="14"/>
      <c r="E5245" s="14"/>
      <c r="F5245" s="14"/>
      <c r="G5245" s="18"/>
    </row>
    <row r="5246" spans="2:7" x14ac:dyDescent="0.35">
      <c r="B5246" s="47"/>
      <c r="C5246" s="14"/>
      <c r="D5246" s="14"/>
      <c r="E5246" s="14"/>
      <c r="F5246" s="14"/>
      <c r="G5246" s="18"/>
    </row>
    <row r="5247" spans="2:7" x14ac:dyDescent="0.35">
      <c r="B5247" s="47"/>
      <c r="C5247" s="14"/>
      <c r="D5247" s="14"/>
      <c r="E5247" s="14"/>
      <c r="F5247" s="14"/>
      <c r="G5247" s="18"/>
    </row>
    <row r="5248" spans="2:7" x14ac:dyDescent="0.35">
      <c r="B5248" s="47"/>
      <c r="C5248" s="14"/>
      <c r="D5248" s="14"/>
      <c r="E5248" s="14"/>
      <c r="F5248" s="14"/>
      <c r="G5248" s="18"/>
    </row>
    <row r="5249" spans="2:7" x14ac:dyDescent="0.35">
      <c r="B5249" s="47"/>
      <c r="C5249" s="14"/>
      <c r="D5249" s="14"/>
      <c r="E5249" s="14"/>
      <c r="F5249" s="14"/>
      <c r="G5249" s="18"/>
    </row>
    <row r="5250" spans="2:7" x14ac:dyDescent="0.35">
      <c r="B5250" s="47"/>
      <c r="C5250" s="14"/>
      <c r="D5250" s="14"/>
      <c r="E5250" s="14"/>
      <c r="F5250" s="14"/>
      <c r="G5250" s="18"/>
    </row>
    <row r="5251" spans="2:7" x14ac:dyDescent="0.35">
      <c r="B5251" s="47"/>
      <c r="C5251" s="14"/>
      <c r="D5251" s="14"/>
      <c r="E5251" s="14"/>
      <c r="F5251" s="14"/>
      <c r="G5251" s="18"/>
    </row>
    <row r="5252" spans="2:7" x14ac:dyDescent="0.35">
      <c r="B5252" s="47"/>
      <c r="C5252" s="14"/>
      <c r="D5252" s="14"/>
      <c r="E5252" s="14"/>
      <c r="F5252" s="14"/>
      <c r="G5252" s="18"/>
    </row>
    <row r="5253" spans="2:7" x14ac:dyDescent="0.35">
      <c r="B5253" s="47"/>
      <c r="C5253" s="14"/>
      <c r="D5253" s="14"/>
      <c r="E5253" s="14"/>
      <c r="F5253" s="14"/>
      <c r="G5253" s="18"/>
    </row>
    <row r="5254" spans="2:7" x14ac:dyDescent="0.35">
      <c r="B5254" s="47"/>
      <c r="C5254" s="14"/>
      <c r="D5254" s="14"/>
      <c r="E5254" s="14"/>
      <c r="F5254" s="14"/>
      <c r="G5254" s="18"/>
    </row>
    <row r="5255" spans="2:7" x14ac:dyDescent="0.35">
      <c r="B5255" s="47"/>
      <c r="C5255" s="14"/>
      <c r="D5255" s="14"/>
      <c r="E5255" s="14"/>
      <c r="F5255" s="14"/>
      <c r="G5255" s="18"/>
    </row>
    <row r="5256" spans="2:7" x14ac:dyDescent="0.35">
      <c r="B5256" s="47"/>
      <c r="C5256" s="14"/>
      <c r="D5256" s="14"/>
      <c r="E5256" s="14"/>
      <c r="F5256" s="14"/>
      <c r="G5256" s="18"/>
    </row>
    <row r="5257" spans="2:7" x14ac:dyDescent="0.35">
      <c r="B5257" s="47"/>
      <c r="C5257" s="14"/>
      <c r="D5257" s="14"/>
      <c r="E5257" s="14"/>
      <c r="F5257" s="14"/>
      <c r="G5257" s="18"/>
    </row>
    <row r="5258" spans="2:7" x14ac:dyDescent="0.35">
      <c r="B5258" s="47"/>
      <c r="C5258" s="14"/>
      <c r="D5258" s="14"/>
      <c r="E5258" s="14"/>
      <c r="F5258" s="14"/>
      <c r="G5258" s="18"/>
    </row>
    <row r="5259" spans="2:7" x14ac:dyDescent="0.35">
      <c r="B5259" s="47"/>
      <c r="C5259" s="14"/>
      <c r="D5259" s="14"/>
      <c r="E5259" s="14"/>
      <c r="F5259" s="14"/>
      <c r="G5259" s="18"/>
    </row>
    <row r="5260" spans="2:7" x14ac:dyDescent="0.35">
      <c r="B5260" s="47"/>
      <c r="C5260" s="14"/>
      <c r="D5260" s="14"/>
      <c r="E5260" s="14"/>
      <c r="F5260" s="14"/>
      <c r="G5260" s="18"/>
    </row>
    <row r="5261" spans="2:7" x14ac:dyDescent="0.35">
      <c r="B5261" s="47"/>
      <c r="C5261" s="14"/>
      <c r="D5261" s="14"/>
      <c r="E5261" s="14"/>
      <c r="F5261" s="14"/>
      <c r="G5261" s="18"/>
    </row>
    <row r="5262" spans="2:7" x14ac:dyDescent="0.35">
      <c r="B5262" s="47"/>
      <c r="C5262" s="14"/>
      <c r="D5262" s="14"/>
      <c r="E5262" s="14"/>
      <c r="F5262" s="14"/>
      <c r="G5262" s="18"/>
    </row>
    <row r="5263" spans="2:7" x14ac:dyDescent="0.35">
      <c r="B5263" s="47"/>
      <c r="C5263" s="14"/>
      <c r="D5263" s="14"/>
      <c r="E5263" s="14"/>
      <c r="F5263" s="14"/>
      <c r="G5263" s="18"/>
    </row>
    <row r="5264" spans="2:7" x14ac:dyDescent="0.35">
      <c r="B5264" s="47"/>
      <c r="C5264" s="14"/>
      <c r="D5264" s="14"/>
      <c r="E5264" s="14"/>
      <c r="F5264" s="14"/>
      <c r="G5264" s="18"/>
    </row>
    <row r="5265" spans="2:7" x14ac:dyDescent="0.35">
      <c r="B5265" s="47"/>
      <c r="C5265" s="14"/>
      <c r="D5265" s="14"/>
      <c r="E5265" s="14"/>
      <c r="F5265" s="14"/>
      <c r="G5265" s="18"/>
    </row>
    <row r="5266" spans="2:7" x14ac:dyDescent="0.35">
      <c r="B5266" s="47"/>
      <c r="C5266" s="14"/>
      <c r="D5266" s="14"/>
      <c r="E5266" s="14"/>
      <c r="F5266" s="14"/>
      <c r="G5266" s="18"/>
    </row>
    <row r="5267" spans="2:7" x14ac:dyDescent="0.35">
      <c r="B5267" s="47"/>
      <c r="C5267" s="14"/>
      <c r="D5267" s="14"/>
      <c r="E5267" s="14"/>
      <c r="F5267" s="14"/>
      <c r="G5267" s="18"/>
    </row>
    <row r="5268" spans="2:7" x14ac:dyDescent="0.35">
      <c r="B5268" s="47"/>
      <c r="C5268" s="14"/>
      <c r="D5268" s="14"/>
      <c r="E5268" s="14"/>
      <c r="F5268" s="14"/>
      <c r="G5268" s="18"/>
    </row>
    <row r="5269" spans="2:7" x14ac:dyDescent="0.35">
      <c r="B5269" s="47"/>
      <c r="C5269" s="14"/>
      <c r="D5269" s="14"/>
      <c r="E5269" s="14"/>
      <c r="F5269" s="14"/>
      <c r="G5269" s="18"/>
    </row>
    <row r="5270" spans="2:7" x14ac:dyDescent="0.35">
      <c r="B5270" s="47"/>
      <c r="C5270" s="14"/>
      <c r="D5270" s="14"/>
      <c r="E5270" s="14"/>
      <c r="F5270" s="14"/>
      <c r="G5270" s="18"/>
    </row>
    <row r="5271" spans="2:7" x14ac:dyDescent="0.35">
      <c r="B5271" s="47"/>
      <c r="C5271" s="14"/>
      <c r="D5271" s="14"/>
      <c r="E5271" s="14"/>
      <c r="F5271" s="14"/>
      <c r="G5271" s="18"/>
    </row>
    <row r="5272" spans="2:7" x14ac:dyDescent="0.35">
      <c r="B5272" s="47"/>
      <c r="C5272" s="14"/>
      <c r="D5272" s="14"/>
      <c r="E5272" s="14"/>
      <c r="F5272" s="14"/>
      <c r="G5272" s="18"/>
    </row>
    <row r="5273" spans="2:7" x14ac:dyDescent="0.35">
      <c r="B5273" s="47"/>
      <c r="C5273" s="14"/>
      <c r="D5273" s="14"/>
      <c r="E5273" s="14"/>
      <c r="F5273" s="14"/>
      <c r="G5273" s="18"/>
    </row>
    <row r="5274" spans="2:7" x14ac:dyDescent="0.35">
      <c r="B5274" s="47"/>
      <c r="C5274" s="14"/>
      <c r="D5274" s="14"/>
      <c r="E5274" s="14"/>
      <c r="F5274" s="14"/>
      <c r="G5274" s="18"/>
    </row>
    <row r="5275" spans="2:7" x14ac:dyDescent="0.35">
      <c r="B5275" s="47"/>
      <c r="C5275" s="14"/>
      <c r="D5275" s="14"/>
      <c r="E5275" s="14"/>
      <c r="F5275" s="14"/>
      <c r="G5275" s="18"/>
    </row>
    <row r="5276" spans="2:7" x14ac:dyDescent="0.35">
      <c r="B5276" s="47"/>
      <c r="C5276" s="14"/>
      <c r="D5276" s="14"/>
      <c r="E5276" s="14"/>
      <c r="F5276" s="14"/>
      <c r="G5276" s="18"/>
    </row>
    <row r="5277" spans="2:7" x14ac:dyDescent="0.35">
      <c r="B5277" s="47"/>
      <c r="C5277" s="14"/>
      <c r="D5277" s="14"/>
      <c r="E5277" s="14"/>
      <c r="F5277" s="14"/>
      <c r="G5277" s="18"/>
    </row>
    <row r="5278" spans="2:7" x14ac:dyDescent="0.35">
      <c r="B5278" s="47"/>
      <c r="C5278" s="14"/>
      <c r="D5278" s="14"/>
      <c r="E5278" s="14"/>
      <c r="F5278" s="14"/>
      <c r="G5278" s="18"/>
    </row>
    <row r="5279" spans="2:7" x14ac:dyDescent="0.35">
      <c r="B5279" s="47"/>
      <c r="C5279" s="14"/>
      <c r="D5279" s="14"/>
      <c r="E5279" s="14"/>
      <c r="F5279" s="14"/>
      <c r="G5279" s="18"/>
    </row>
    <row r="5280" spans="2:7" x14ac:dyDescent="0.35">
      <c r="B5280" s="47"/>
      <c r="C5280" s="14"/>
      <c r="D5280" s="14"/>
      <c r="E5280" s="14"/>
      <c r="F5280" s="14"/>
      <c r="G5280" s="18"/>
    </row>
    <row r="5281" spans="2:7" x14ac:dyDescent="0.35">
      <c r="B5281" s="47"/>
      <c r="C5281" s="14"/>
      <c r="D5281" s="14"/>
      <c r="E5281" s="14"/>
      <c r="F5281" s="14"/>
      <c r="G5281" s="18"/>
    </row>
    <row r="5282" spans="2:7" x14ac:dyDescent="0.35">
      <c r="B5282" s="47"/>
      <c r="C5282" s="14"/>
      <c r="D5282" s="14"/>
      <c r="E5282" s="14"/>
      <c r="F5282" s="14"/>
      <c r="G5282" s="18"/>
    </row>
    <row r="5283" spans="2:7" x14ac:dyDescent="0.35">
      <c r="B5283" s="47"/>
      <c r="C5283" s="14"/>
      <c r="D5283" s="14"/>
      <c r="E5283" s="14"/>
      <c r="F5283" s="14"/>
      <c r="G5283" s="18"/>
    </row>
    <row r="5284" spans="2:7" x14ac:dyDescent="0.35">
      <c r="B5284" s="47"/>
      <c r="C5284" s="14"/>
      <c r="D5284" s="14"/>
      <c r="E5284" s="14"/>
      <c r="F5284" s="14"/>
      <c r="G5284" s="18"/>
    </row>
    <row r="5285" spans="2:7" x14ac:dyDescent="0.35">
      <c r="B5285" s="47"/>
      <c r="C5285" s="14"/>
      <c r="D5285" s="14"/>
      <c r="E5285" s="14"/>
      <c r="F5285" s="14"/>
      <c r="G5285" s="18"/>
    </row>
    <row r="5286" spans="2:7" x14ac:dyDescent="0.35">
      <c r="B5286" s="47"/>
      <c r="C5286" s="14"/>
      <c r="D5286" s="14"/>
      <c r="E5286" s="14"/>
      <c r="F5286" s="14"/>
      <c r="G5286" s="18"/>
    </row>
    <row r="5287" spans="2:7" x14ac:dyDescent="0.35">
      <c r="B5287" s="47"/>
      <c r="C5287" s="14"/>
      <c r="D5287" s="14"/>
      <c r="E5287" s="14"/>
      <c r="F5287" s="14"/>
      <c r="G5287" s="18"/>
    </row>
    <row r="5288" spans="2:7" x14ac:dyDescent="0.35">
      <c r="B5288" s="47"/>
      <c r="C5288" s="14"/>
      <c r="D5288" s="14"/>
      <c r="E5288" s="14"/>
      <c r="F5288" s="14"/>
      <c r="G5288" s="18"/>
    </row>
    <row r="5289" spans="2:7" x14ac:dyDescent="0.35">
      <c r="B5289" s="47"/>
      <c r="C5289" s="14"/>
      <c r="D5289" s="14"/>
      <c r="E5289" s="14"/>
      <c r="F5289" s="14"/>
      <c r="G5289" s="18"/>
    </row>
    <row r="5290" spans="2:7" x14ac:dyDescent="0.35">
      <c r="B5290" s="47"/>
      <c r="C5290" s="14"/>
      <c r="D5290" s="14"/>
      <c r="E5290" s="14"/>
      <c r="F5290" s="14"/>
      <c r="G5290" s="18"/>
    </row>
    <row r="5291" spans="2:7" x14ac:dyDescent="0.35">
      <c r="B5291" s="47"/>
      <c r="C5291" s="14"/>
      <c r="D5291" s="14"/>
      <c r="E5291" s="14"/>
      <c r="F5291" s="14"/>
      <c r="G5291" s="18"/>
    </row>
    <row r="5292" spans="2:7" x14ac:dyDescent="0.35">
      <c r="B5292" s="47"/>
      <c r="C5292" s="14"/>
      <c r="D5292" s="14"/>
      <c r="E5292" s="14"/>
      <c r="F5292" s="14"/>
      <c r="G5292" s="18"/>
    </row>
    <row r="5293" spans="2:7" x14ac:dyDescent="0.35">
      <c r="B5293" s="47"/>
      <c r="C5293" s="14"/>
      <c r="D5293" s="14"/>
      <c r="E5293" s="14"/>
      <c r="F5293" s="14"/>
      <c r="G5293" s="18"/>
    </row>
    <row r="5294" spans="2:7" x14ac:dyDescent="0.35">
      <c r="B5294" s="47"/>
      <c r="C5294" s="14"/>
      <c r="D5294" s="14"/>
      <c r="E5294" s="14"/>
      <c r="F5294" s="14"/>
      <c r="G5294" s="18"/>
    </row>
    <row r="5295" spans="2:7" x14ac:dyDescent="0.35">
      <c r="B5295" s="47"/>
      <c r="C5295" s="14"/>
      <c r="D5295" s="14"/>
      <c r="E5295" s="14"/>
      <c r="F5295" s="14"/>
      <c r="G5295" s="18"/>
    </row>
    <row r="5296" spans="2:7" x14ac:dyDescent="0.35">
      <c r="B5296" s="47"/>
      <c r="C5296" s="14"/>
      <c r="D5296" s="14"/>
      <c r="E5296" s="14"/>
      <c r="F5296" s="14"/>
      <c r="G5296" s="18"/>
    </row>
    <row r="5297" spans="2:7" x14ac:dyDescent="0.35">
      <c r="B5297" s="47"/>
      <c r="C5297" s="14"/>
      <c r="D5297" s="14"/>
      <c r="E5297" s="14"/>
      <c r="F5297" s="14"/>
      <c r="G5297" s="18"/>
    </row>
    <row r="5298" spans="2:7" x14ac:dyDescent="0.35">
      <c r="B5298" s="47"/>
      <c r="C5298" s="14"/>
      <c r="D5298" s="14"/>
      <c r="E5298" s="14"/>
      <c r="F5298" s="14"/>
      <c r="G5298" s="18"/>
    </row>
    <row r="5299" spans="2:7" x14ac:dyDescent="0.35">
      <c r="B5299" s="47"/>
      <c r="C5299" s="14"/>
      <c r="D5299" s="14"/>
      <c r="E5299" s="14"/>
      <c r="F5299" s="14"/>
      <c r="G5299" s="18"/>
    </row>
    <row r="5300" spans="2:7" x14ac:dyDescent="0.35">
      <c r="B5300" s="47"/>
      <c r="C5300" s="14"/>
      <c r="D5300" s="14"/>
      <c r="E5300" s="14"/>
      <c r="F5300" s="14"/>
      <c r="G5300" s="18"/>
    </row>
    <row r="5301" spans="2:7" x14ac:dyDescent="0.35">
      <c r="B5301" s="47"/>
      <c r="C5301" s="14"/>
      <c r="D5301" s="14"/>
      <c r="E5301" s="14"/>
      <c r="F5301" s="14"/>
      <c r="G5301" s="18"/>
    </row>
    <row r="5302" spans="2:7" x14ac:dyDescent="0.35">
      <c r="B5302" s="47"/>
      <c r="C5302" s="14"/>
      <c r="D5302" s="14"/>
      <c r="E5302" s="14"/>
      <c r="F5302" s="14"/>
      <c r="G5302" s="18"/>
    </row>
    <row r="5303" spans="2:7" x14ac:dyDescent="0.35">
      <c r="B5303" s="47"/>
      <c r="C5303" s="14"/>
      <c r="D5303" s="14"/>
      <c r="E5303" s="14"/>
      <c r="F5303" s="14"/>
      <c r="G5303" s="18"/>
    </row>
    <row r="5304" spans="2:7" x14ac:dyDescent="0.35">
      <c r="B5304" s="47"/>
      <c r="C5304" s="14"/>
      <c r="D5304" s="14"/>
      <c r="E5304" s="14"/>
      <c r="F5304" s="14"/>
      <c r="G5304" s="18"/>
    </row>
    <row r="5305" spans="2:7" x14ac:dyDescent="0.35">
      <c r="B5305" s="47"/>
      <c r="C5305" s="14"/>
      <c r="D5305" s="14"/>
      <c r="E5305" s="14"/>
      <c r="F5305" s="14"/>
      <c r="G5305" s="18"/>
    </row>
    <row r="5306" spans="2:7" x14ac:dyDescent="0.35">
      <c r="B5306" s="47"/>
      <c r="C5306" s="14"/>
      <c r="D5306" s="14"/>
      <c r="E5306" s="14"/>
      <c r="F5306" s="14"/>
      <c r="G5306" s="18"/>
    </row>
    <row r="5307" spans="2:7" x14ac:dyDescent="0.35">
      <c r="B5307" s="47"/>
      <c r="C5307" s="14"/>
      <c r="D5307" s="14"/>
      <c r="E5307" s="14"/>
      <c r="F5307" s="14"/>
      <c r="G5307" s="18"/>
    </row>
    <row r="5308" spans="2:7" x14ac:dyDescent="0.35">
      <c r="B5308" s="47"/>
      <c r="C5308" s="14"/>
      <c r="D5308" s="14"/>
      <c r="E5308" s="14"/>
      <c r="F5308" s="14"/>
      <c r="G5308" s="18"/>
    </row>
    <row r="5309" spans="2:7" x14ac:dyDescent="0.35">
      <c r="B5309" s="47"/>
      <c r="C5309" s="14"/>
      <c r="D5309" s="14"/>
      <c r="E5309" s="14"/>
      <c r="F5309" s="14"/>
      <c r="G5309" s="18"/>
    </row>
    <row r="5310" spans="2:7" x14ac:dyDescent="0.35">
      <c r="B5310" s="47"/>
      <c r="C5310" s="14"/>
      <c r="D5310" s="14"/>
      <c r="E5310" s="14"/>
      <c r="F5310" s="14"/>
      <c r="G5310" s="18"/>
    </row>
    <row r="5311" spans="2:7" x14ac:dyDescent="0.35">
      <c r="B5311" s="47"/>
      <c r="C5311" s="14"/>
      <c r="D5311" s="14"/>
      <c r="E5311" s="14"/>
      <c r="F5311" s="14"/>
      <c r="G5311" s="18"/>
    </row>
    <row r="5312" spans="2:7" x14ac:dyDescent="0.35">
      <c r="B5312" s="47"/>
      <c r="C5312" s="14"/>
      <c r="D5312" s="14"/>
      <c r="E5312" s="14"/>
      <c r="F5312" s="14"/>
      <c r="G5312" s="18"/>
    </row>
    <row r="5313" spans="2:7" x14ac:dyDescent="0.35">
      <c r="B5313" s="47"/>
      <c r="C5313" s="14"/>
      <c r="D5313" s="14"/>
      <c r="E5313" s="14"/>
      <c r="F5313" s="14"/>
      <c r="G5313" s="18"/>
    </row>
    <row r="5314" spans="2:7" x14ac:dyDescent="0.35">
      <c r="B5314" s="47"/>
      <c r="C5314" s="14"/>
      <c r="D5314" s="14"/>
      <c r="E5314" s="14"/>
      <c r="F5314" s="14"/>
      <c r="G5314" s="18"/>
    </row>
    <row r="5315" spans="2:7" x14ac:dyDescent="0.35">
      <c r="B5315" s="47"/>
      <c r="C5315" s="14"/>
      <c r="D5315" s="14"/>
      <c r="E5315" s="14"/>
      <c r="F5315" s="14"/>
      <c r="G5315" s="18"/>
    </row>
    <row r="5316" spans="2:7" x14ac:dyDescent="0.35">
      <c r="B5316" s="47"/>
      <c r="C5316" s="14"/>
      <c r="D5316" s="14"/>
      <c r="E5316" s="14"/>
      <c r="F5316" s="14"/>
      <c r="G5316" s="18"/>
    </row>
    <row r="5317" spans="2:7" x14ac:dyDescent="0.35">
      <c r="B5317" s="47"/>
      <c r="C5317" s="14"/>
      <c r="D5317" s="14"/>
      <c r="E5317" s="14"/>
      <c r="F5317" s="14"/>
      <c r="G5317" s="18"/>
    </row>
    <row r="5318" spans="2:7" x14ac:dyDescent="0.35">
      <c r="B5318" s="47"/>
      <c r="C5318" s="14"/>
      <c r="D5318" s="14"/>
      <c r="E5318" s="14"/>
      <c r="F5318" s="14"/>
      <c r="G5318" s="18"/>
    </row>
    <row r="5319" spans="2:7" x14ac:dyDescent="0.35">
      <c r="B5319" s="47"/>
      <c r="C5319" s="14"/>
      <c r="D5319" s="14"/>
      <c r="E5319" s="14"/>
      <c r="F5319" s="14"/>
      <c r="G5319" s="18"/>
    </row>
    <row r="5320" spans="2:7" x14ac:dyDescent="0.35">
      <c r="B5320" s="47"/>
      <c r="C5320" s="14"/>
      <c r="D5320" s="14"/>
      <c r="E5320" s="14"/>
      <c r="F5320" s="14"/>
      <c r="G5320" s="18"/>
    </row>
    <row r="5321" spans="2:7" x14ac:dyDescent="0.35">
      <c r="B5321" s="47"/>
      <c r="C5321" s="14"/>
      <c r="D5321" s="14"/>
      <c r="E5321" s="14"/>
      <c r="F5321" s="14"/>
      <c r="G5321" s="18"/>
    </row>
    <row r="5322" spans="2:7" x14ac:dyDescent="0.35">
      <c r="B5322" s="47"/>
      <c r="C5322" s="14"/>
      <c r="D5322" s="14"/>
      <c r="E5322" s="14"/>
      <c r="F5322" s="14"/>
      <c r="G5322" s="18"/>
    </row>
    <row r="5323" spans="2:7" x14ac:dyDescent="0.35">
      <c r="B5323" s="47"/>
      <c r="C5323" s="14"/>
      <c r="D5323" s="14"/>
      <c r="E5323" s="14"/>
      <c r="F5323" s="14"/>
      <c r="G5323" s="18"/>
    </row>
    <row r="5324" spans="2:7" x14ac:dyDescent="0.35">
      <c r="B5324" s="47"/>
      <c r="C5324" s="14"/>
      <c r="D5324" s="14"/>
      <c r="E5324" s="14"/>
      <c r="F5324" s="14"/>
      <c r="G5324" s="18"/>
    </row>
    <row r="5325" spans="2:7" x14ac:dyDescent="0.35">
      <c r="B5325" s="47"/>
      <c r="C5325" s="14"/>
      <c r="D5325" s="14"/>
      <c r="E5325" s="14"/>
      <c r="F5325" s="14"/>
      <c r="G5325" s="18"/>
    </row>
    <row r="5326" spans="2:7" x14ac:dyDescent="0.35">
      <c r="B5326" s="47"/>
      <c r="C5326" s="14"/>
      <c r="D5326" s="14"/>
      <c r="E5326" s="14"/>
      <c r="F5326" s="14"/>
      <c r="G5326" s="18"/>
    </row>
    <row r="5327" spans="2:7" x14ac:dyDescent="0.35">
      <c r="B5327" s="47"/>
      <c r="C5327" s="14"/>
      <c r="D5327" s="14"/>
      <c r="E5327" s="14"/>
      <c r="F5327" s="14"/>
      <c r="G5327" s="18"/>
    </row>
    <row r="5328" spans="2:7" x14ac:dyDescent="0.35">
      <c r="B5328" s="47"/>
      <c r="C5328" s="14"/>
      <c r="D5328" s="14"/>
      <c r="E5328" s="14"/>
      <c r="F5328" s="14"/>
      <c r="G5328" s="18"/>
    </row>
    <row r="5329" spans="2:7" x14ac:dyDescent="0.35">
      <c r="B5329" s="47"/>
      <c r="C5329" s="14"/>
      <c r="D5329" s="14"/>
      <c r="E5329" s="14"/>
      <c r="F5329" s="14"/>
      <c r="G5329" s="18"/>
    </row>
    <row r="5330" spans="2:7" x14ac:dyDescent="0.35">
      <c r="B5330" s="47"/>
      <c r="C5330" s="14"/>
      <c r="D5330" s="14"/>
      <c r="E5330" s="14"/>
      <c r="F5330" s="14"/>
      <c r="G5330" s="18"/>
    </row>
    <row r="5331" spans="2:7" x14ac:dyDescent="0.35">
      <c r="B5331" s="47"/>
      <c r="C5331" s="14"/>
      <c r="D5331" s="14"/>
      <c r="E5331" s="14"/>
      <c r="F5331" s="14"/>
      <c r="G5331" s="18"/>
    </row>
    <row r="5332" spans="2:7" x14ac:dyDescent="0.35">
      <c r="B5332" s="47"/>
      <c r="C5332" s="14"/>
      <c r="D5332" s="14"/>
      <c r="E5332" s="14"/>
      <c r="F5332" s="14"/>
      <c r="G5332" s="18"/>
    </row>
    <row r="5333" spans="2:7" x14ac:dyDescent="0.35">
      <c r="B5333" s="47"/>
      <c r="C5333" s="14"/>
      <c r="D5333" s="14"/>
      <c r="E5333" s="14"/>
      <c r="F5333" s="14"/>
      <c r="G5333" s="18"/>
    </row>
    <row r="5334" spans="2:7" x14ac:dyDescent="0.35">
      <c r="B5334" s="47"/>
      <c r="C5334" s="14"/>
      <c r="D5334" s="14"/>
      <c r="E5334" s="14"/>
      <c r="F5334" s="14"/>
      <c r="G5334" s="18"/>
    </row>
    <row r="5335" spans="2:7" x14ac:dyDescent="0.35">
      <c r="B5335" s="47"/>
      <c r="C5335" s="14"/>
      <c r="D5335" s="14"/>
      <c r="E5335" s="14"/>
      <c r="F5335" s="14"/>
      <c r="G5335" s="18"/>
    </row>
    <row r="5336" spans="2:7" x14ac:dyDescent="0.35">
      <c r="B5336" s="47"/>
      <c r="C5336" s="14"/>
      <c r="D5336" s="14"/>
      <c r="E5336" s="14"/>
      <c r="F5336" s="14"/>
      <c r="G5336" s="18"/>
    </row>
    <row r="5337" spans="2:7" x14ac:dyDescent="0.35">
      <c r="B5337" s="47"/>
      <c r="C5337" s="14"/>
      <c r="D5337" s="14"/>
      <c r="E5337" s="14"/>
      <c r="F5337" s="14"/>
      <c r="G5337" s="18"/>
    </row>
    <row r="5338" spans="2:7" x14ac:dyDescent="0.35">
      <c r="B5338" s="47"/>
      <c r="C5338" s="14"/>
      <c r="D5338" s="14"/>
      <c r="E5338" s="14"/>
      <c r="F5338" s="14"/>
      <c r="G5338" s="18"/>
    </row>
    <row r="5339" spans="2:7" x14ac:dyDescent="0.35">
      <c r="B5339" s="47"/>
      <c r="C5339" s="14"/>
      <c r="D5339" s="14"/>
      <c r="E5339" s="14"/>
      <c r="F5339" s="14"/>
      <c r="G5339" s="18"/>
    </row>
    <row r="5340" spans="2:7" x14ac:dyDescent="0.35">
      <c r="B5340" s="47"/>
      <c r="C5340" s="14"/>
      <c r="D5340" s="14"/>
      <c r="E5340" s="14"/>
      <c r="F5340" s="14"/>
      <c r="G5340" s="18"/>
    </row>
    <row r="5341" spans="2:7" x14ac:dyDescent="0.35">
      <c r="B5341" s="47"/>
      <c r="C5341" s="14"/>
      <c r="D5341" s="14"/>
      <c r="E5341" s="14"/>
      <c r="F5341" s="14"/>
      <c r="G5341" s="18"/>
    </row>
    <row r="5342" spans="2:7" x14ac:dyDescent="0.35">
      <c r="B5342" s="47"/>
      <c r="C5342" s="14"/>
      <c r="D5342" s="14"/>
      <c r="E5342" s="14"/>
      <c r="F5342" s="14"/>
      <c r="G5342" s="18"/>
    </row>
    <row r="5343" spans="2:7" x14ac:dyDescent="0.35">
      <c r="B5343" s="47"/>
      <c r="C5343" s="14"/>
      <c r="D5343" s="14"/>
      <c r="E5343" s="14"/>
      <c r="F5343" s="14"/>
      <c r="G5343" s="18"/>
    </row>
    <row r="5344" spans="2:7" x14ac:dyDescent="0.35">
      <c r="B5344" s="47"/>
      <c r="C5344" s="14"/>
      <c r="D5344" s="14"/>
      <c r="E5344" s="14"/>
      <c r="F5344" s="14"/>
      <c r="G5344" s="18"/>
    </row>
    <row r="5345" spans="2:7" x14ac:dyDescent="0.35">
      <c r="B5345" s="47"/>
      <c r="C5345" s="14"/>
      <c r="D5345" s="14"/>
      <c r="E5345" s="14"/>
      <c r="F5345" s="14"/>
      <c r="G5345" s="18"/>
    </row>
    <row r="5346" spans="2:7" x14ac:dyDescent="0.35">
      <c r="B5346" s="47"/>
      <c r="C5346" s="14"/>
      <c r="D5346" s="14"/>
      <c r="E5346" s="14"/>
      <c r="F5346" s="14"/>
      <c r="G5346" s="18"/>
    </row>
    <row r="5347" spans="2:7" x14ac:dyDescent="0.35">
      <c r="B5347" s="47"/>
      <c r="C5347" s="14"/>
      <c r="D5347" s="14"/>
      <c r="E5347" s="14"/>
      <c r="F5347" s="14"/>
      <c r="G5347" s="18"/>
    </row>
    <row r="5348" spans="2:7" x14ac:dyDescent="0.35">
      <c r="B5348" s="47"/>
      <c r="C5348" s="14"/>
      <c r="D5348" s="14"/>
      <c r="E5348" s="14"/>
      <c r="F5348" s="14"/>
      <c r="G5348" s="18"/>
    </row>
    <row r="5349" spans="2:7" x14ac:dyDescent="0.35">
      <c r="B5349" s="47"/>
      <c r="C5349" s="14"/>
      <c r="D5349" s="14"/>
      <c r="E5349" s="14"/>
      <c r="F5349" s="14"/>
      <c r="G5349" s="18"/>
    </row>
    <row r="5350" spans="2:7" x14ac:dyDescent="0.35">
      <c r="B5350" s="47"/>
      <c r="C5350" s="14"/>
      <c r="D5350" s="14"/>
      <c r="E5350" s="14"/>
      <c r="F5350" s="14"/>
      <c r="G5350" s="18"/>
    </row>
    <row r="5351" spans="2:7" x14ac:dyDescent="0.35">
      <c r="B5351" s="47"/>
      <c r="C5351" s="14"/>
      <c r="D5351" s="14"/>
      <c r="E5351" s="14"/>
      <c r="F5351" s="14"/>
      <c r="G5351" s="18"/>
    </row>
    <row r="5352" spans="2:7" x14ac:dyDescent="0.35">
      <c r="B5352" s="47"/>
      <c r="C5352" s="14"/>
      <c r="D5352" s="14"/>
      <c r="E5352" s="14"/>
      <c r="F5352" s="14"/>
      <c r="G5352" s="18"/>
    </row>
    <row r="5353" spans="2:7" x14ac:dyDescent="0.35">
      <c r="B5353" s="47"/>
      <c r="C5353" s="14"/>
      <c r="D5353" s="14"/>
      <c r="E5353" s="14"/>
      <c r="F5353" s="14"/>
      <c r="G5353" s="18"/>
    </row>
    <row r="5354" spans="2:7" x14ac:dyDescent="0.35">
      <c r="B5354" s="47"/>
      <c r="C5354" s="14"/>
      <c r="D5354" s="14"/>
      <c r="E5354" s="14"/>
      <c r="F5354" s="14"/>
      <c r="G5354" s="18"/>
    </row>
    <row r="5355" spans="2:7" x14ac:dyDescent="0.35">
      <c r="B5355" s="47"/>
      <c r="C5355" s="14"/>
      <c r="D5355" s="14"/>
      <c r="E5355" s="14"/>
      <c r="F5355" s="14"/>
      <c r="G5355" s="18"/>
    </row>
    <row r="5356" spans="2:7" x14ac:dyDescent="0.35">
      <c r="B5356" s="47"/>
      <c r="C5356" s="14"/>
      <c r="D5356" s="14"/>
      <c r="E5356" s="14"/>
      <c r="F5356" s="14"/>
      <c r="G5356" s="18"/>
    </row>
    <row r="5357" spans="2:7" x14ac:dyDescent="0.35">
      <c r="B5357" s="47"/>
      <c r="C5357" s="14"/>
      <c r="D5357" s="14"/>
      <c r="E5357" s="14"/>
      <c r="F5357" s="14"/>
      <c r="G5357" s="18"/>
    </row>
    <row r="5358" spans="2:7" x14ac:dyDescent="0.35">
      <c r="B5358" s="47"/>
      <c r="C5358" s="14"/>
      <c r="D5358" s="14"/>
      <c r="E5358" s="14"/>
      <c r="F5358" s="14"/>
      <c r="G5358" s="18"/>
    </row>
    <row r="5359" spans="2:7" x14ac:dyDescent="0.35">
      <c r="B5359" s="47"/>
      <c r="C5359" s="14"/>
      <c r="D5359" s="14"/>
      <c r="E5359" s="14"/>
      <c r="F5359" s="14"/>
      <c r="G5359" s="18"/>
    </row>
    <row r="5360" spans="2:7" x14ac:dyDescent="0.35">
      <c r="B5360" s="47"/>
      <c r="C5360" s="14"/>
      <c r="D5360" s="14"/>
      <c r="E5360" s="14"/>
      <c r="F5360" s="14"/>
      <c r="G5360" s="18"/>
    </row>
    <row r="5361" spans="2:7" x14ac:dyDescent="0.35">
      <c r="B5361" s="47"/>
      <c r="C5361" s="14"/>
      <c r="D5361" s="14"/>
      <c r="E5361" s="14"/>
      <c r="F5361" s="14"/>
      <c r="G5361" s="18"/>
    </row>
    <row r="5362" spans="2:7" x14ac:dyDescent="0.35">
      <c r="B5362" s="47"/>
      <c r="C5362" s="14"/>
      <c r="D5362" s="14"/>
      <c r="E5362" s="14"/>
      <c r="F5362" s="14"/>
      <c r="G5362" s="18"/>
    </row>
    <row r="5363" spans="2:7" x14ac:dyDescent="0.35">
      <c r="B5363" s="47"/>
      <c r="C5363" s="14"/>
      <c r="D5363" s="14"/>
      <c r="E5363" s="14"/>
      <c r="F5363" s="14"/>
      <c r="G5363" s="18"/>
    </row>
    <row r="5364" spans="2:7" x14ac:dyDescent="0.35">
      <c r="B5364" s="47"/>
      <c r="C5364" s="14"/>
      <c r="D5364" s="14"/>
      <c r="E5364" s="14"/>
      <c r="F5364" s="14"/>
      <c r="G5364" s="18"/>
    </row>
    <row r="5365" spans="2:7" x14ac:dyDescent="0.35">
      <c r="B5365" s="47"/>
      <c r="C5365" s="14"/>
      <c r="D5365" s="14"/>
      <c r="E5365" s="14"/>
      <c r="F5365" s="14"/>
      <c r="G5365" s="18"/>
    </row>
    <row r="5366" spans="2:7" x14ac:dyDescent="0.35">
      <c r="B5366" s="47"/>
      <c r="C5366" s="14"/>
      <c r="D5366" s="14"/>
      <c r="E5366" s="14"/>
      <c r="F5366" s="14"/>
      <c r="G5366" s="18"/>
    </row>
    <row r="5367" spans="2:7" x14ac:dyDescent="0.35">
      <c r="B5367" s="47"/>
      <c r="C5367" s="14"/>
      <c r="D5367" s="14"/>
      <c r="E5367" s="14"/>
      <c r="F5367" s="14"/>
      <c r="G5367" s="18"/>
    </row>
    <row r="5368" spans="2:7" x14ac:dyDescent="0.35">
      <c r="B5368" s="47"/>
      <c r="C5368" s="14"/>
      <c r="D5368" s="14"/>
      <c r="E5368" s="14"/>
      <c r="F5368" s="14"/>
      <c r="G5368" s="18"/>
    </row>
    <row r="5369" spans="2:7" x14ac:dyDescent="0.35">
      <c r="B5369" s="47"/>
      <c r="C5369" s="14"/>
      <c r="D5369" s="14"/>
      <c r="E5369" s="14"/>
      <c r="F5369" s="14"/>
      <c r="G5369" s="18"/>
    </row>
    <row r="5370" spans="2:7" x14ac:dyDescent="0.35">
      <c r="B5370" s="47"/>
      <c r="C5370" s="14"/>
      <c r="D5370" s="14"/>
      <c r="E5370" s="14"/>
      <c r="F5370" s="14"/>
      <c r="G5370" s="18"/>
    </row>
    <row r="5371" spans="2:7" x14ac:dyDescent="0.35">
      <c r="B5371" s="47"/>
      <c r="C5371" s="14"/>
      <c r="D5371" s="14"/>
      <c r="E5371" s="14"/>
      <c r="F5371" s="14"/>
      <c r="G5371" s="18"/>
    </row>
    <row r="5372" spans="2:7" x14ac:dyDescent="0.35">
      <c r="B5372" s="47"/>
      <c r="C5372" s="14"/>
      <c r="D5372" s="14"/>
      <c r="E5372" s="14"/>
      <c r="F5372" s="14"/>
      <c r="G5372" s="18"/>
    </row>
    <row r="5373" spans="2:7" x14ac:dyDescent="0.35">
      <c r="B5373" s="47"/>
      <c r="C5373" s="14"/>
      <c r="D5373" s="14"/>
      <c r="E5373" s="14"/>
      <c r="F5373" s="14"/>
      <c r="G5373" s="18"/>
    </row>
    <row r="5374" spans="2:7" x14ac:dyDescent="0.35">
      <c r="B5374" s="47"/>
      <c r="C5374" s="14"/>
      <c r="D5374" s="14"/>
      <c r="E5374" s="14"/>
      <c r="F5374" s="14"/>
      <c r="G5374" s="18"/>
    </row>
    <row r="5375" spans="2:7" x14ac:dyDescent="0.35">
      <c r="B5375" s="47"/>
      <c r="C5375" s="14"/>
      <c r="D5375" s="14"/>
      <c r="E5375" s="14"/>
      <c r="F5375" s="14"/>
      <c r="G5375" s="18"/>
    </row>
    <row r="5376" spans="2:7" x14ac:dyDescent="0.35">
      <c r="B5376" s="47"/>
      <c r="C5376" s="14"/>
      <c r="D5376" s="14"/>
      <c r="E5376" s="14"/>
      <c r="F5376" s="14"/>
      <c r="G5376" s="18"/>
    </row>
    <row r="5377" spans="2:7" x14ac:dyDescent="0.35">
      <c r="B5377" s="47"/>
      <c r="C5377" s="14"/>
      <c r="D5377" s="14"/>
      <c r="E5377" s="14"/>
      <c r="F5377" s="14"/>
      <c r="G5377" s="18"/>
    </row>
    <row r="5378" spans="2:7" x14ac:dyDescent="0.35">
      <c r="B5378" s="47"/>
      <c r="C5378" s="14"/>
      <c r="D5378" s="14"/>
      <c r="E5378" s="14"/>
      <c r="F5378" s="14"/>
      <c r="G5378" s="18"/>
    </row>
    <row r="5379" spans="2:7" x14ac:dyDescent="0.35">
      <c r="B5379" s="47"/>
      <c r="C5379" s="14"/>
      <c r="D5379" s="14"/>
      <c r="E5379" s="14"/>
      <c r="F5379" s="14"/>
      <c r="G5379" s="18"/>
    </row>
    <row r="5380" spans="2:7" x14ac:dyDescent="0.35">
      <c r="B5380" s="47"/>
      <c r="C5380" s="14"/>
      <c r="D5380" s="14"/>
      <c r="E5380" s="14"/>
      <c r="F5380" s="14"/>
      <c r="G5380" s="18"/>
    </row>
    <row r="5381" spans="2:7" x14ac:dyDescent="0.35">
      <c r="B5381" s="47"/>
      <c r="C5381" s="14"/>
      <c r="D5381" s="14"/>
      <c r="E5381" s="14"/>
      <c r="F5381" s="14"/>
      <c r="G5381" s="18"/>
    </row>
    <row r="5382" spans="2:7" x14ac:dyDescent="0.35">
      <c r="B5382" s="47"/>
      <c r="C5382" s="14"/>
      <c r="D5382" s="14"/>
      <c r="E5382" s="14"/>
      <c r="F5382" s="14"/>
      <c r="G5382" s="18"/>
    </row>
    <row r="5383" spans="2:7" x14ac:dyDescent="0.35">
      <c r="B5383" s="47"/>
      <c r="C5383" s="14"/>
      <c r="D5383" s="14"/>
      <c r="E5383" s="14"/>
      <c r="F5383" s="14"/>
      <c r="G5383" s="18"/>
    </row>
    <row r="5384" spans="2:7" x14ac:dyDescent="0.35">
      <c r="B5384" s="47"/>
      <c r="C5384" s="14"/>
      <c r="D5384" s="14"/>
      <c r="E5384" s="14"/>
      <c r="F5384" s="14"/>
      <c r="G5384" s="18"/>
    </row>
    <row r="5385" spans="2:7" x14ac:dyDescent="0.35">
      <c r="B5385" s="47"/>
      <c r="C5385" s="14"/>
      <c r="D5385" s="14"/>
      <c r="E5385" s="14"/>
      <c r="F5385" s="14"/>
      <c r="G5385" s="18"/>
    </row>
    <row r="5386" spans="2:7" x14ac:dyDescent="0.35">
      <c r="B5386" s="47"/>
      <c r="C5386" s="14"/>
      <c r="D5386" s="14"/>
      <c r="E5386" s="14"/>
      <c r="F5386" s="14"/>
      <c r="G5386" s="18"/>
    </row>
    <row r="5387" spans="2:7" x14ac:dyDescent="0.35">
      <c r="B5387" s="47"/>
      <c r="C5387" s="14"/>
      <c r="D5387" s="14"/>
      <c r="E5387" s="14"/>
      <c r="F5387" s="14"/>
      <c r="G5387" s="18"/>
    </row>
    <row r="5388" spans="2:7" x14ac:dyDescent="0.35">
      <c r="B5388" s="47"/>
      <c r="C5388" s="14"/>
      <c r="D5388" s="14"/>
      <c r="E5388" s="14"/>
      <c r="F5388" s="14"/>
      <c r="G5388" s="18"/>
    </row>
    <row r="5389" spans="2:7" x14ac:dyDescent="0.35">
      <c r="B5389" s="47"/>
      <c r="C5389" s="14"/>
      <c r="D5389" s="14"/>
      <c r="E5389" s="14"/>
      <c r="F5389" s="14"/>
      <c r="G5389" s="18"/>
    </row>
    <row r="5390" spans="2:7" x14ac:dyDescent="0.35">
      <c r="B5390" s="47"/>
      <c r="C5390" s="14"/>
      <c r="D5390" s="14"/>
      <c r="E5390" s="14"/>
      <c r="F5390" s="14"/>
      <c r="G5390" s="18"/>
    </row>
    <row r="5391" spans="2:7" x14ac:dyDescent="0.35">
      <c r="B5391" s="47"/>
      <c r="C5391" s="14"/>
      <c r="D5391" s="14"/>
      <c r="E5391" s="14"/>
      <c r="F5391" s="14"/>
      <c r="G5391" s="18"/>
    </row>
    <row r="5392" spans="2:7" x14ac:dyDescent="0.35">
      <c r="B5392" s="47"/>
      <c r="C5392" s="14"/>
      <c r="D5392" s="14"/>
      <c r="E5392" s="14"/>
      <c r="F5392" s="14"/>
      <c r="G5392" s="18"/>
    </row>
    <row r="5393" spans="2:7" x14ac:dyDescent="0.35">
      <c r="B5393" s="47"/>
      <c r="C5393" s="14"/>
      <c r="D5393" s="14"/>
      <c r="E5393" s="14"/>
      <c r="F5393" s="14"/>
      <c r="G5393" s="18"/>
    </row>
    <row r="5394" spans="2:7" x14ac:dyDescent="0.35">
      <c r="B5394" s="47"/>
      <c r="C5394" s="14"/>
      <c r="D5394" s="14"/>
      <c r="E5394" s="14"/>
      <c r="F5394" s="14"/>
      <c r="G5394" s="18"/>
    </row>
    <row r="5395" spans="2:7" x14ac:dyDescent="0.35">
      <c r="B5395" s="47"/>
      <c r="C5395" s="14"/>
      <c r="D5395" s="14"/>
      <c r="E5395" s="14"/>
      <c r="F5395" s="14"/>
      <c r="G5395" s="18"/>
    </row>
    <row r="5396" spans="2:7" x14ac:dyDescent="0.35">
      <c r="B5396" s="47"/>
      <c r="C5396" s="14"/>
      <c r="D5396" s="14"/>
      <c r="E5396" s="14"/>
      <c r="F5396" s="14"/>
      <c r="G5396" s="18"/>
    </row>
    <row r="5397" spans="2:7" x14ac:dyDescent="0.35">
      <c r="B5397" s="47"/>
      <c r="C5397" s="14"/>
      <c r="D5397" s="14"/>
      <c r="E5397" s="14"/>
      <c r="F5397" s="14"/>
      <c r="G5397" s="18"/>
    </row>
    <row r="5398" spans="2:7" x14ac:dyDescent="0.35">
      <c r="B5398" s="47"/>
      <c r="C5398" s="14"/>
      <c r="D5398" s="14"/>
      <c r="E5398" s="14"/>
      <c r="F5398" s="14"/>
      <c r="G5398" s="18"/>
    </row>
    <row r="5399" spans="2:7" x14ac:dyDescent="0.35">
      <c r="B5399" s="47"/>
      <c r="C5399" s="14"/>
      <c r="D5399" s="14"/>
      <c r="E5399" s="14"/>
      <c r="F5399" s="14"/>
      <c r="G5399" s="18"/>
    </row>
    <row r="5400" spans="2:7" x14ac:dyDescent="0.35">
      <c r="B5400" s="47"/>
      <c r="C5400" s="14"/>
      <c r="D5400" s="14"/>
      <c r="E5400" s="14"/>
      <c r="F5400" s="14"/>
      <c r="G5400" s="18"/>
    </row>
    <row r="5401" spans="2:7" x14ac:dyDescent="0.35">
      <c r="B5401" s="47"/>
      <c r="C5401" s="14"/>
      <c r="D5401" s="14"/>
      <c r="E5401" s="14"/>
      <c r="F5401" s="14"/>
      <c r="G5401" s="18"/>
    </row>
    <row r="5402" spans="2:7" x14ac:dyDescent="0.35">
      <c r="B5402" s="47"/>
      <c r="C5402" s="14"/>
      <c r="D5402" s="14"/>
      <c r="E5402" s="14"/>
      <c r="F5402" s="14"/>
      <c r="G5402" s="18"/>
    </row>
    <row r="5403" spans="2:7" x14ac:dyDescent="0.35">
      <c r="B5403" s="47"/>
      <c r="C5403" s="14"/>
      <c r="D5403" s="14"/>
      <c r="E5403" s="14"/>
      <c r="F5403" s="14"/>
      <c r="G5403" s="18"/>
    </row>
    <row r="5404" spans="2:7" x14ac:dyDescent="0.35">
      <c r="B5404" s="47"/>
      <c r="C5404" s="14"/>
      <c r="D5404" s="14"/>
      <c r="E5404" s="14"/>
      <c r="F5404" s="14"/>
      <c r="G5404" s="18"/>
    </row>
    <row r="5405" spans="2:7" x14ac:dyDescent="0.35">
      <c r="B5405" s="47"/>
      <c r="C5405" s="14"/>
      <c r="D5405" s="14"/>
      <c r="E5405" s="14"/>
      <c r="F5405" s="14"/>
      <c r="G5405" s="18"/>
    </row>
    <row r="5406" spans="2:7" x14ac:dyDescent="0.35">
      <c r="B5406" s="47"/>
      <c r="C5406" s="14"/>
      <c r="D5406" s="14"/>
      <c r="E5406" s="14"/>
      <c r="F5406" s="14"/>
      <c r="G5406" s="18"/>
    </row>
    <row r="5407" spans="2:7" x14ac:dyDescent="0.35">
      <c r="B5407" s="47"/>
      <c r="C5407" s="14"/>
      <c r="D5407" s="14"/>
      <c r="E5407" s="14"/>
      <c r="F5407" s="14"/>
      <c r="G5407" s="18"/>
    </row>
    <row r="5408" spans="2:7" x14ac:dyDescent="0.35">
      <c r="B5408" s="47"/>
      <c r="C5408" s="14"/>
      <c r="D5408" s="14"/>
      <c r="E5408" s="14"/>
      <c r="F5408" s="14"/>
      <c r="G5408" s="18"/>
    </row>
    <row r="5409" spans="2:7" x14ac:dyDescent="0.35">
      <c r="B5409" s="47"/>
      <c r="C5409" s="14"/>
      <c r="D5409" s="14"/>
      <c r="E5409" s="14"/>
      <c r="F5409" s="14"/>
      <c r="G5409" s="18"/>
    </row>
    <row r="5410" spans="2:7" x14ac:dyDescent="0.35">
      <c r="B5410" s="47"/>
      <c r="C5410" s="14"/>
      <c r="D5410" s="14"/>
      <c r="E5410" s="14"/>
      <c r="F5410" s="14"/>
      <c r="G5410" s="18"/>
    </row>
    <row r="5411" spans="2:7" x14ac:dyDescent="0.35">
      <c r="B5411" s="47"/>
      <c r="C5411" s="14"/>
      <c r="D5411" s="14"/>
      <c r="E5411" s="14"/>
      <c r="F5411" s="14"/>
      <c r="G5411" s="18"/>
    </row>
    <row r="5412" spans="2:7" x14ac:dyDescent="0.35">
      <c r="B5412" s="47"/>
      <c r="C5412" s="14"/>
      <c r="D5412" s="14"/>
      <c r="E5412" s="14"/>
      <c r="F5412" s="14"/>
      <c r="G5412" s="18"/>
    </row>
    <row r="5413" spans="2:7" x14ac:dyDescent="0.35">
      <c r="B5413" s="47"/>
      <c r="C5413" s="14"/>
      <c r="D5413" s="14"/>
      <c r="E5413" s="14"/>
      <c r="F5413" s="14"/>
      <c r="G5413" s="18"/>
    </row>
    <row r="5414" spans="2:7" x14ac:dyDescent="0.35">
      <c r="B5414" s="47"/>
      <c r="C5414" s="14"/>
      <c r="D5414" s="14"/>
      <c r="E5414" s="14"/>
      <c r="F5414" s="14"/>
      <c r="G5414" s="18"/>
    </row>
    <row r="5415" spans="2:7" x14ac:dyDescent="0.35">
      <c r="B5415" s="47"/>
      <c r="C5415" s="14"/>
      <c r="D5415" s="14"/>
      <c r="E5415" s="14"/>
      <c r="F5415" s="14"/>
      <c r="G5415" s="18"/>
    </row>
    <row r="5416" spans="2:7" x14ac:dyDescent="0.35">
      <c r="B5416" s="47"/>
      <c r="C5416" s="14"/>
      <c r="D5416" s="14"/>
      <c r="E5416" s="14"/>
      <c r="F5416" s="14"/>
      <c r="G5416" s="18"/>
    </row>
    <row r="5417" spans="2:7" x14ac:dyDescent="0.35">
      <c r="B5417" s="47"/>
      <c r="C5417" s="14"/>
      <c r="D5417" s="14"/>
      <c r="E5417" s="14"/>
      <c r="F5417" s="14"/>
      <c r="G5417" s="18"/>
    </row>
    <row r="5418" spans="2:7" x14ac:dyDescent="0.35">
      <c r="B5418" s="47"/>
      <c r="C5418" s="14"/>
      <c r="D5418" s="14"/>
      <c r="E5418" s="14"/>
      <c r="F5418" s="14"/>
      <c r="G5418" s="18"/>
    </row>
    <row r="5419" spans="2:7" x14ac:dyDescent="0.35">
      <c r="B5419" s="47"/>
      <c r="C5419" s="14"/>
      <c r="D5419" s="14"/>
      <c r="E5419" s="14"/>
      <c r="F5419" s="14"/>
      <c r="G5419" s="18"/>
    </row>
    <row r="5420" spans="2:7" x14ac:dyDescent="0.35">
      <c r="B5420" s="47"/>
      <c r="C5420" s="14"/>
      <c r="D5420" s="14"/>
      <c r="E5420" s="14"/>
      <c r="F5420" s="14"/>
      <c r="G5420" s="18"/>
    </row>
    <row r="5421" spans="2:7" x14ac:dyDescent="0.35">
      <c r="B5421" s="47"/>
      <c r="C5421" s="14"/>
      <c r="D5421" s="14"/>
      <c r="E5421" s="14"/>
      <c r="F5421" s="14"/>
      <c r="G5421" s="18"/>
    </row>
    <row r="5422" spans="2:7" x14ac:dyDescent="0.35">
      <c r="B5422" s="47"/>
      <c r="C5422" s="14"/>
      <c r="D5422" s="14"/>
      <c r="E5422" s="14"/>
      <c r="F5422" s="14"/>
      <c r="G5422" s="18"/>
    </row>
    <row r="5423" spans="2:7" x14ac:dyDescent="0.35">
      <c r="B5423" s="47"/>
      <c r="C5423" s="14"/>
      <c r="D5423" s="14"/>
      <c r="E5423" s="14"/>
      <c r="F5423" s="14"/>
      <c r="G5423" s="18"/>
    </row>
    <row r="5424" spans="2:7" x14ac:dyDescent="0.35">
      <c r="B5424" s="47"/>
      <c r="C5424" s="14"/>
      <c r="D5424" s="14"/>
      <c r="E5424" s="14"/>
      <c r="F5424" s="14"/>
      <c r="G5424" s="18"/>
    </row>
    <row r="5425" spans="2:7" x14ac:dyDescent="0.35">
      <c r="B5425" s="47"/>
      <c r="C5425" s="14"/>
      <c r="D5425" s="14"/>
      <c r="E5425" s="14"/>
      <c r="F5425" s="14"/>
      <c r="G5425" s="18"/>
    </row>
    <row r="5426" spans="2:7" x14ac:dyDescent="0.35">
      <c r="B5426" s="47"/>
      <c r="C5426" s="14"/>
      <c r="D5426" s="14"/>
      <c r="E5426" s="14"/>
      <c r="F5426" s="14"/>
      <c r="G5426" s="18"/>
    </row>
    <row r="5427" spans="2:7" x14ac:dyDescent="0.35">
      <c r="B5427" s="47"/>
      <c r="C5427" s="14"/>
      <c r="D5427" s="14"/>
      <c r="E5427" s="14"/>
      <c r="F5427" s="14"/>
      <c r="G5427" s="18"/>
    </row>
    <row r="5428" spans="2:7" x14ac:dyDescent="0.35">
      <c r="B5428" s="47"/>
      <c r="C5428" s="14"/>
      <c r="D5428" s="14"/>
      <c r="E5428" s="14"/>
      <c r="F5428" s="14"/>
      <c r="G5428" s="18"/>
    </row>
    <row r="5429" spans="2:7" x14ac:dyDescent="0.35">
      <c r="B5429" s="47"/>
      <c r="C5429" s="14"/>
      <c r="D5429" s="14"/>
      <c r="E5429" s="14"/>
      <c r="F5429" s="14"/>
      <c r="G5429" s="18"/>
    </row>
    <row r="5430" spans="2:7" x14ac:dyDescent="0.35">
      <c r="B5430" s="47"/>
      <c r="C5430" s="14"/>
      <c r="D5430" s="14"/>
      <c r="E5430" s="14"/>
      <c r="F5430" s="14"/>
      <c r="G5430" s="18"/>
    </row>
    <row r="5431" spans="2:7" x14ac:dyDescent="0.35">
      <c r="B5431" s="47"/>
      <c r="C5431" s="14"/>
      <c r="D5431" s="14"/>
      <c r="E5431" s="14"/>
      <c r="F5431" s="14"/>
      <c r="G5431" s="18"/>
    </row>
    <row r="5432" spans="2:7" x14ac:dyDescent="0.35">
      <c r="B5432" s="47"/>
      <c r="C5432" s="14"/>
      <c r="D5432" s="14"/>
      <c r="E5432" s="14"/>
      <c r="F5432" s="14"/>
      <c r="G5432" s="18"/>
    </row>
    <row r="5433" spans="2:7" x14ac:dyDescent="0.35">
      <c r="B5433" s="47"/>
      <c r="C5433" s="14"/>
      <c r="D5433" s="14"/>
      <c r="E5433" s="14"/>
      <c r="F5433" s="14"/>
      <c r="G5433" s="18"/>
    </row>
    <row r="5434" spans="2:7" x14ac:dyDescent="0.35">
      <c r="B5434" s="47"/>
      <c r="C5434" s="14"/>
      <c r="D5434" s="14"/>
      <c r="E5434" s="14"/>
      <c r="F5434" s="14"/>
      <c r="G5434" s="18"/>
    </row>
    <row r="5435" spans="2:7" x14ac:dyDescent="0.35">
      <c r="B5435" s="47"/>
      <c r="C5435" s="14"/>
      <c r="D5435" s="14"/>
      <c r="E5435" s="14"/>
      <c r="F5435" s="14"/>
      <c r="G5435" s="18"/>
    </row>
    <row r="5436" spans="2:7" x14ac:dyDescent="0.35">
      <c r="B5436" s="47"/>
      <c r="C5436" s="14"/>
      <c r="D5436" s="14"/>
      <c r="E5436" s="14"/>
      <c r="F5436" s="14"/>
      <c r="G5436" s="18"/>
    </row>
    <row r="5437" spans="2:7" x14ac:dyDescent="0.35">
      <c r="B5437" s="47"/>
      <c r="C5437" s="14"/>
      <c r="D5437" s="14"/>
      <c r="E5437" s="14"/>
      <c r="F5437" s="14"/>
      <c r="G5437" s="18"/>
    </row>
    <row r="5438" spans="2:7" x14ac:dyDescent="0.35">
      <c r="B5438" s="47"/>
      <c r="C5438" s="14"/>
      <c r="D5438" s="14"/>
      <c r="E5438" s="14"/>
      <c r="F5438" s="14"/>
      <c r="G5438" s="18"/>
    </row>
    <row r="5439" spans="2:7" x14ac:dyDescent="0.35">
      <c r="B5439" s="47"/>
      <c r="C5439" s="14"/>
      <c r="D5439" s="14"/>
      <c r="E5439" s="14"/>
      <c r="F5439" s="14"/>
      <c r="G5439" s="18"/>
    </row>
    <row r="5440" spans="2:7" x14ac:dyDescent="0.35">
      <c r="B5440" s="47"/>
      <c r="C5440" s="14"/>
      <c r="D5440" s="14"/>
      <c r="E5440" s="14"/>
      <c r="F5440" s="14"/>
      <c r="G5440" s="18"/>
    </row>
    <row r="5441" spans="2:7" x14ac:dyDescent="0.35">
      <c r="B5441" s="47"/>
      <c r="C5441" s="14"/>
      <c r="D5441" s="14"/>
      <c r="E5441" s="14"/>
      <c r="F5441" s="14"/>
      <c r="G5441" s="18"/>
    </row>
    <row r="5442" spans="2:7" x14ac:dyDescent="0.35">
      <c r="B5442" s="47"/>
      <c r="C5442" s="14"/>
      <c r="D5442" s="14"/>
      <c r="E5442" s="14"/>
      <c r="F5442" s="14"/>
      <c r="G5442" s="18"/>
    </row>
    <row r="5443" spans="2:7" x14ac:dyDescent="0.35">
      <c r="B5443" s="47"/>
      <c r="C5443" s="14"/>
      <c r="D5443" s="14"/>
      <c r="E5443" s="14"/>
      <c r="F5443" s="14"/>
      <c r="G5443" s="18"/>
    </row>
    <row r="5444" spans="2:7" x14ac:dyDescent="0.35">
      <c r="B5444" s="47"/>
      <c r="C5444" s="14"/>
      <c r="D5444" s="14"/>
      <c r="E5444" s="14"/>
      <c r="F5444" s="14"/>
      <c r="G5444" s="18"/>
    </row>
    <row r="5445" spans="2:7" x14ac:dyDescent="0.35">
      <c r="B5445" s="47"/>
      <c r="C5445" s="14"/>
      <c r="D5445" s="14"/>
      <c r="E5445" s="14"/>
      <c r="F5445" s="14"/>
      <c r="G5445" s="18"/>
    </row>
    <row r="5446" spans="2:7" x14ac:dyDescent="0.35">
      <c r="B5446" s="47"/>
      <c r="C5446" s="14"/>
      <c r="D5446" s="14"/>
      <c r="E5446" s="14"/>
      <c r="F5446" s="14"/>
      <c r="G5446" s="18"/>
    </row>
    <row r="5447" spans="2:7" x14ac:dyDescent="0.35">
      <c r="B5447" s="47"/>
      <c r="C5447" s="14"/>
      <c r="D5447" s="14"/>
      <c r="E5447" s="14"/>
      <c r="F5447" s="14"/>
      <c r="G5447" s="18"/>
    </row>
    <row r="5448" spans="2:7" x14ac:dyDescent="0.35">
      <c r="B5448" s="47"/>
      <c r="C5448" s="14"/>
      <c r="D5448" s="14"/>
      <c r="E5448" s="14"/>
      <c r="F5448" s="14"/>
      <c r="G5448" s="18"/>
    </row>
    <row r="5449" spans="2:7" x14ac:dyDescent="0.35">
      <c r="B5449" s="47"/>
      <c r="C5449" s="14"/>
      <c r="D5449" s="14"/>
      <c r="E5449" s="14"/>
      <c r="F5449" s="14"/>
      <c r="G5449" s="18"/>
    </row>
    <row r="5450" spans="2:7" x14ac:dyDescent="0.35">
      <c r="B5450" s="47"/>
      <c r="C5450" s="14"/>
      <c r="D5450" s="14"/>
      <c r="E5450" s="14"/>
      <c r="F5450" s="14"/>
      <c r="G5450" s="18"/>
    </row>
    <row r="5451" spans="2:7" x14ac:dyDescent="0.35">
      <c r="B5451" s="47"/>
      <c r="C5451" s="14"/>
      <c r="D5451" s="14"/>
      <c r="E5451" s="14"/>
      <c r="F5451" s="14"/>
      <c r="G5451" s="18"/>
    </row>
    <row r="5452" spans="2:7" x14ac:dyDescent="0.35">
      <c r="B5452" s="47"/>
      <c r="C5452" s="14"/>
      <c r="D5452" s="14"/>
      <c r="E5452" s="14"/>
      <c r="F5452" s="14"/>
      <c r="G5452" s="18"/>
    </row>
    <row r="5453" spans="2:7" x14ac:dyDescent="0.35">
      <c r="B5453" s="47"/>
      <c r="C5453" s="14"/>
      <c r="D5453" s="14"/>
      <c r="E5453" s="14"/>
      <c r="F5453" s="14"/>
      <c r="G5453" s="18"/>
    </row>
    <row r="5454" spans="2:7" x14ac:dyDescent="0.35">
      <c r="B5454" s="47"/>
      <c r="C5454" s="14"/>
      <c r="D5454" s="14"/>
      <c r="E5454" s="14"/>
      <c r="F5454" s="14"/>
      <c r="G5454" s="18"/>
    </row>
    <row r="5455" spans="2:7" x14ac:dyDescent="0.35">
      <c r="B5455" s="47"/>
      <c r="C5455" s="14"/>
      <c r="D5455" s="14"/>
      <c r="E5455" s="14"/>
      <c r="F5455" s="14"/>
      <c r="G5455" s="18"/>
    </row>
    <row r="5456" spans="2:7" x14ac:dyDescent="0.35">
      <c r="B5456" s="47"/>
      <c r="C5456" s="14"/>
      <c r="D5456" s="14"/>
      <c r="E5456" s="14"/>
      <c r="F5456" s="14"/>
      <c r="G5456" s="18"/>
    </row>
    <row r="5457" spans="2:7" x14ac:dyDescent="0.35">
      <c r="B5457" s="47"/>
      <c r="C5457" s="14"/>
      <c r="D5457" s="14"/>
      <c r="E5457" s="14"/>
      <c r="F5457" s="14"/>
      <c r="G5457" s="18"/>
    </row>
    <row r="5458" spans="2:7" x14ac:dyDescent="0.35">
      <c r="B5458" s="47"/>
      <c r="C5458" s="14"/>
      <c r="D5458" s="14"/>
      <c r="E5458" s="14"/>
      <c r="F5458" s="14"/>
      <c r="G5458" s="18"/>
    </row>
    <row r="5459" spans="2:7" x14ac:dyDescent="0.35">
      <c r="B5459" s="47"/>
      <c r="C5459" s="14"/>
      <c r="D5459" s="14"/>
      <c r="E5459" s="14"/>
      <c r="F5459" s="14"/>
      <c r="G5459" s="18"/>
    </row>
    <row r="5460" spans="2:7" x14ac:dyDescent="0.35">
      <c r="B5460" s="47"/>
      <c r="C5460" s="14"/>
      <c r="D5460" s="14"/>
      <c r="E5460" s="14"/>
      <c r="F5460" s="14"/>
      <c r="G5460" s="18"/>
    </row>
    <row r="5461" spans="2:7" x14ac:dyDescent="0.35">
      <c r="B5461" s="47"/>
      <c r="C5461" s="14"/>
      <c r="D5461" s="14"/>
      <c r="E5461" s="14"/>
      <c r="F5461" s="14"/>
      <c r="G5461" s="18"/>
    </row>
    <row r="5462" spans="2:7" x14ac:dyDescent="0.35">
      <c r="B5462" s="47"/>
      <c r="C5462" s="14"/>
      <c r="D5462" s="14"/>
      <c r="E5462" s="14"/>
      <c r="F5462" s="14"/>
      <c r="G5462" s="18"/>
    </row>
    <row r="5463" spans="2:7" x14ac:dyDescent="0.35">
      <c r="B5463" s="47"/>
      <c r="C5463" s="14"/>
      <c r="D5463" s="14"/>
      <c r="E5463" s="14"/>
      <c r="F5463" s="14"/>
      <c r="G5463" s="18"/>
    </row>
    <row r="5464" spans="2:7" x14ac:dyDescent="0.35">
      <c r="B5464" s="47"/>
      <c r="C5464" s="14"/>
      <c r="D5464" s="14"/>
      <c r="E5464" s="14"/>
      <c r="F5464" s="14"/>
      <c r="G5464" s="18"/>
    </row>
    <row r="5465" spans="2:7" x14ac:dyDescent="0.35">
      <c r="B5465" s="47"/>
      <c r="C5465" s="14"/>
      <c r="D5465" s="14"/>
      <c r="E5465" s="14"/>
      <c r="F5465" s="14"/>
      <c r="G5465" s="18"/>
    </row>
    <row r="5466" spans="2:7" x14ac:dyDescent="0.35">
      <c r="B5466" s="47"/>
      <c r="C5466" s="14"/>
      <c r="D5466" s="14"/>
      <c r="E5466" s="14"/>
      <c r="F5466" s="14"/>
      <c r="G5466" s="18"/>
    </row>
    <row r="5467" spans="2:7" x14ac:dyDescent="0.35">
      <c r="B5467" s="47"/>
      <c r="C5467" s="14"/>
      <c r="D5467" s="14"/>
      <c r="E5467" s="14"/>
      <c r="F5467" s="14"/>
      <c r="G5467" s="18"/>
    </row>
    <row r="5468" spans="2:7" x14ac:dyDescent="0.35">
      <c r="B5468" s="47"/>
      <c r="C5468" s="14"/>
      <c r="D5468" s="14"/>
      <c r="E5468" s="14"/>
      <c r="F5468" s="14"/>
      <c r="G5468" s="18"/>
    </row>
    <row r="5469" spans="2:7" x14ac:dyDescent="0.35">
      <c r="B5469" s="47"/>
      <c r="C5469" s="14"/>
      <c r="D5469" s="14"/>
      <c r="E5469" s="14"/>
      <c r="F5469" s="14"/>
      <c r="G5469" s="18"/>
    </row>
    <row r="5470" spans="2:7" x14ac:dyDescent="0.35">
      <c r="B5470" s="47"/>
      <c r="C5470" s="14"/>
      <c r="D5470" s="14"/>
      <c r="E5470" s="14"/>
      <c r="F5470" s="14"/>
      <c r="G5470" s="18"/>
    </row>
    <row r="5471" spans="2:7" x14ac:dyDescent="0.35">
      <c r="B5471" s="47"/>
      <c r="C5471" s="14"/>
      <c r="D5471" s="14"/>
      <c r="E5471" s="14"/>
      <c r="F5471" s="14"/>
      <c r="G5471" s="18"/>
    </row>
    <row r="5472" spans="2:7" x14ac:dyDescent="0.35">
      <c r="B5472" s="47"/>
      <c r="C5472" s="14"/>
      <c r="D5472" s="14"/>
      <c r="E5472" s="14"/>
      <c r="F5472" s="14"/>
      <c r="G5472" s="18"/>
    </row>
    <row r="5473" spans="2:7" x14ac:dyDescent="0.35">
      <c r="B5473" s="47"/>
      <c r="C5473" s="14"/>
      <c r="D5473" s="14"/>
      <c r="E5473" s="14"/>
      <c r="F5473" s="14"/>
      <c r="G5473" s="18"/>
    </row>
    <row r="5474" spans="2:7" x14ac:dyDescent="0.35">
      <c r="B5474" s="47"/>
      <c r="C5474" s="14"/>
      <c r="D5474" s="14"/>
      <c r="E5474" s="14"/>
      <c r="F5474" s="14"/>
      <c r="G5474" s="18"/>
    </row>
    <row r="5475" spans="2:7" x14ac:dyDescent="0.35">
      <c r="B5475" s="47"/>
      <c r="C5475" s="14"/>
      <c r="D5475" s="14"/>
      <c r="E5475" s="14"/>
      <c r="F5475" s="14"/>
      <c r="G5475" s="18"/>
    </row>
    <row r="5476" spans="2:7" x14ac:dyDescent="0.35">
      <c r="B5476" s="47"/>
      <c r="C5476" s="14"/>
      <c r="D5476" s="14"/>
      <c r="E5476" s="14"/>
      <c r="F5476" s="14"/>
      <c r="G5476" s="18"/>
    </row>
    <row r="5477" spans="2:7" x14ac:dyDescent="0.35">
      <c r="B5477" s="47"/>
      <c r="C5477" s="14"/>
      <c r="D5477" s="14"/>
      <c r="E5477" s="14"/>
      <c r="F5477" s="14"/>
      <c r="G5477" s="18"/>
    </row>
    <row r="5478" spans="2:7" x14ac:dyDescent="0.35">
      <c r="B5478" s="47"/>
      <c r="C5478" s="14"/>
      <c r="D5478" s="14"/>
      <c r="E5478" s="14"/>
      <c r="F5478" s="14"/>
      <c r="G5478" s="18"/>
    </row>
    <row r="5479" spans="2:7" x14ac:dyDescent="0.35">
      <c r="B5479" s="47"/>
      <c r="C5479" s="14"/>
      <c r="D5479" s="14"/>
      <c r="E5479" s="14"/>
      <c r="F5479" s="14"/>
      <c r="G5479" s="18"/>
    </row>
    <row r="5480" spans="2:7" x14ac:dyDescent="0.35">
      <c r="B5480" s="47"/>
      <c r="C5480" s="14"/>
      <c r="D5480" s="14"/>
      <c r="E5480" s="14"/>
      <c r="F5480" s="14"/>
      <c r="G5480" s="18"/>
    </row>
    <row r="5481" spans="2:7" x14ac:dyDescent="0.35">
      <c r="B5481" s="47"/>
      <c r="C5481" s="14"/>
      <c r="D5481" s="14"/>
      <c r="E5481" s="14"/>
      <c r="F5481" s="14"/>
      <c r="G5481" s="18"/>
    </row>
    <row r="5482" spans="2:7" x14ac:dyDescent="0.35">
      <c r="B5482" s="47"/>
      <c r="C5482" s="14"/>
      <c r="D5482" s="14"/>
      <c r="E5482" s="14"/>
      <c r="F5482" s="14"/>
      <c r="G5482" s="18"/>
    </row>
    <row r="5483" spans="2:7" x14ac:dyDescent="0.35">
      <c r="B5483" s="47"/>
      <c r="C5483" s="14"/>
      <c r="D5483" s="14"/>
      <c r="E5483" s="14"/>
      <c r="F5483" s="14"/>
      <c r="G5483" s="18"/>
    </row>
    <row r="5484" spans="2:7" x14ac:dyDescent="0.35">
      <c r="B5484" s="47"/>
      <c r="C5484" s="14"/>
      <c r="D5484" s="14"/>
      <c r="E5484" s="14"/>
      <c r="F5484" s="14"/>
      <c r="G5484" s="18"/>
    </row>
    <row r="5485" spans="2:7" x14ac:dyDescent="0.35">
      <c r="B5485" s="47"/>
      <c r="C5485" s="14"/>
      <c r="D5485" s="14"/>
      <c r="E5485" s="14"/>
      <c r="F5485" s="14"/>
      <c r="G5485" s="18"/>
    </row>
    <row r="5486" spans="2:7" x14ac:dyDescent="0.35">
      <c r="B5486" s="47"/>
      <c r="C5486" s="14"/>
      <c r="D5486" s="14"/>
      <c r="E5486" s="14"/>
      <c r="F5486" s="14"/>
      <c r="G5486" s="18"/>
    </row>
    <row r="5487" spans="2:7" x14ac:dyDescent="0.35">
      <c r="B5487" s="47"/>
      <c r="C5487" s="14"/>
      <c r="D5487" s="14"/>
      <c r="E5487" s="14"/>
      <c r="F5487" s="14"/>
      <c r="G5487" s="18"/>
    </row>
    <row r="5488" spans="2:7" x14ac:dyDescent="0.35">
      <c r="B5488" s="47"/>
      <c r="C5488" s="14"/>
      <c r="D5488" s="14"/>
      <c r="E5488" s="14"/>
      <c r="F5488" s="14"/>
      <c r="G5488" s="18"/>
    </row>
    <row r="5489" spans="2:7" x14ac:dyDescent="0.35">
      <c r="B5489" s="47"/>
      <c r="C5489" s="14"/>
      <c r="D5489" s="14"/>
      <c r="E5489" s="14"/>
      <c r="F5489" s="14"/>
      <c r="G5489" s="18"/>
    </row>
    <row r="5490" spans="2:7" x14ac:dyDescent="0.35">
      <c r="B5490" s="47"/>
      <c r="C5490" s="14"/>
      <c r="D5490" s="14"/>
      <c r="E5490" s="14"/>
      <c r="F5490" s="14"/>
      <c r="G5490" s="18"/>
    </row>
    <row r="5491" spans="2:7" x14ac:dyDescent="0.35">
      <c r="B5491" s="47"/>
      <c r="C5491" s="14"/>
      <c r="D5491" s="14"/>
      <c r="E5491" s="14"/>
      <c r="F5491" s="14"/>
      <c r="G5491" s="18"/>
    </row>
    <row r="5492" spans="2:7" x14ac:dyDescent="0.35">
      <c r="B5492" s="47"/>
      <c r="C5492" s="14"/>
      <c r="D5492" s="14"/>
      <c r="E5492" s="14"/>
      <c r="F5492" s="14"/>
      <c r="G5492" s="18"/>
    </row>
    <row r="5493" spans="2:7" x14ac:dyDescent="0.35">
      <c r="B5493" s="47"/>
      <c r="C5493" s="14"/>
      <c r="D5493" s="14"/>
      <c r="E5493" s="14"/>
      <c r="F5493" s="14"/>
      <c r="G5493" s="18"/>
    </row>
    <row r="5494" spans="2:7" x14ac:dyDescent="0.35">
      <c r="B5494" s="47"/>
      <c r="C5494" s="14"/>
      <c r="D5494" s="14"/>
      <c r="E5494" s="14"/>
      <c r="F5494" s="14"/>
      <c r="G5494" s="18"/>
    </row>
    <row r="5495" spans="2:7" x14ac:dyDescent="0.35">
      <c r="B5495" s="47"/>
      <c r="C5495" s="14"/>
      <c r="D5495" s="14"/>
      <c r="E5495" s="14"/>
      <c r="F5495" s="14"/>
      <c r="G5495" s="18"/>
    </row>
    <row r="5496" spans="2:7" x14ac:dyDescent="0.35">
      <c r="B5496" s="47"/>
      <c r="C5496" s="14"/>
      <c r="D5496" s="14"/>
      <c r="E5496" s="14"/>
      <c r="F5496" s="14"/>
      <c r="G5496" s="18"/>
    </row>
    <row r="5497" spans="2:7" x14ac:dyDescent="0.35">
      <c r="B5497" s="47"/>
      <c r="C5497" s="14"/>
      <c r="D5497" s="14"/>
      <c r="E5497" s="14"/>
      <c r="F5497" s="14"/>
      <c r="G5497" s="18"/>
    </row>
    <row r="5498" spans="2:7" x14ac:dyDescent="0.35">
      <c r="B5498" s="47"/>
      <c r="C5498" s="14"/>
      <c r="D5498" s="14"/>
      <c r="E5498" s="14"/>
      <c r="F5498" s="14"/>
      <c r="G5498" s="18"/>
    </row>
    <row r="5499" spans="2:7" x14ac:dyDescent="0.35">
      <c r="B5499" s="47"/>
      <c r="C5499" s="14"/>
      <c r="D5499" s="14"/>
      <c r="E5499" s="14"/>
      <c r="F5499" s="14"/>
      <c r="G5499" s="18"/>
    </row>
    <row r="5500" spans="2:7" x14ac:dyDescent="0.35">
      <c r="B5500" s="47"/>
      <c r="C5500" s="14"/>
      <c r="D5500" s="14"/>
      <c r="E5500" s="14"/>
      <c r="F5500" s="14"/>
      <c r="G5500" s="18"/>
    </row>
    <row r="5501" spans="2:7" x14ac:dyDescent="0.35">
      <c r="B5501" s="47"/>
      <c r="C5501" s="14"/>
      <c r="D5501" s="14"/>
      <c r="E5501" s="14"/>
      <c r="F5501" s="14"/>
      <c r="G5501" s="18"/>
    </row>
    <row r="5502" spans="2:7" x14ac:dyDescent="0.35">
      <c r="B5502" s="47"/>
      <c r="C5502" s="14"/>
      <c r="D5502" s="14"/>
      <c r="E5502" s="14"/>
      <c r="F5502" s="14"/>
      <c r="G5502" s="18"/>
    </row>
    <row r="5503" spans="2:7" x14ac:dyDescent="0.35">
      <c r="B5503" s="47"/>
      <c r="C5503" s="14"/>
      <c r="D5503" s="14"/>
      <c r="E5503" s="14"/>
      <c r="F5503" s="14"/>
      <c r="G5503" s="18"/>
    </row>
    <row r="5504" spans="2:7" x14ac:dyDescent="0.35">
      <c r="B5504" s="47"/>
      <c r="C5504" s="14"/>
      <c r="D5504" s="14"/>
      <c r="E5504" s="14"/>
      <c r="F5504" s="14"/>
      <c r="G5504" s="18"/>
    </row>
    <row r="5505" spans="2:7" x14ac:dyDescent="0.35">
      <c r="B5505" s="47"/>
      <c r="C5505" s="14"/>
      <c r="D5505" s="14"/>
      <c r="E5505" s="14"/>
      <c r="F5505" s="14"/>
      <c r="G5505" s="18"/>
    </row>
    <row r="5506" spans="2:7" x14ac:dyDescent="0.35">
      <c r="B5506" s="47"/>
      <c r="C5506" s="14"/>
      <c r="D5506" s="14"/>
      <c r="E5506" s="14"/>
      <c r="F5506" s="14"/>
      <c r="G5506" s="18"/>
    </row>
    <row r="5507" spans="2:7" x14ac:dyDescent="0.35">
      <c r="B5507" s="47"/>
      <c r="C5507" s="14"/>
      <c r="D5507" s="14"/>
      <c r="E5507" s="14"/>
      <c r="F5507" s="14"/>
      <c r="G5507" s="18"/>
    </row>
    <row r="5508" spans="2:7" x14ac:dyDescent="0.35">
      <c r="B5508" s="47"/>
      <c r="C5508" s="14"/>
      <c r="D5508" s="14"/>
      <c r="E5508" s="14"/>
      <c r="F5508" s="14"/>
      <c r="G5508" s="18"/>
    </row>
    <row r="5509" spans="2:7" x14ac:dyDescent="0.35">
      <c r="B5509" s="47"/>
      <c r="C5509" s="14"/>
      <c r="D5509" s="14"/>
      <c r="E5509" s="14"/>
      <c r="F5509" s="14"/>
      <c r="G5509" s="18"/>
    </row>
    <row r="5510" spans="2:7" x14ac:dyDescent="0.35">
      <c r="B5510" s="47"/>
      <c r="C5510" s="14"/>
      <c r="D5510" s="14"/>
      <c r="E5510" s="14"/>
      <c r="F5510" s="14"/>
      <c r="G5510" s="18"/>
    </row>
    <row r="5511" spans="2:7" x14ac:dyDescent="0.35">
      <c r="B5511" s="47"/>
      <c r="C5511" s="14"/>
      <c r="D5511" s="14"/>
      <c r="E5511" s="14"/>
      <c r="F5511" s="14"/>
      <c r="G5511" s="18"/>
    </row>
    <row r="5512" spans="2:7" x14ac:dyDescent="0.35">
      <c r="B5512" s="47"/>
      <c r="C5512" s="14"/>
      <c r="D5512" s="14"/>
      <c r="E5512" s="14"/>
      <c r="F5512" s="14"/>
      <c r="G5512" s="18"/>
    </row>
    <row r="5513" spans="2:7" x14ac:dyDescent="0.35">
      <c r="B5513" s="47"/>
      <c r="C5513" s="14"/>
      <c r="D5513" s="14"/>
      <c r="E5513" s="14"/>
      <c r="F5513" s="14"/>
      <c r="G5513" s="18"/>
    </row>
    <row r="5514" spans="2:7" x14ac:dyDescent="0.35">
      <c r="B5514" s="47"/>
      <c r="C5514" s="14"/>
      <c r="D5514" s="14"/>
      <c r="E5514" s="14"/>
      <c r="F5514" s="14"/>
      <c r="G5514" s="18"/>
    </row>
    <row r="5515" spans="2:7" x14ac:dyDescent="0.35">
      <c r="B5515" s="47"/>
      <c r="C5515" s="14"/>
      <c r="D5515" s="14"/>
      <c r="E5515" s="14"/>
      <c r="F5515" s="14"/>
      <c r="G5515" s="18"/>
    </row>
    <row r="5516" spans="2:7" x14ac:dyDescent="0.35">
      <c r="B5516" s="47"/>
      <c r="C5516" s="14"/>
      <c r="D5516" s="14"/>
      <c r="E5516" s="14"/>
      <c r="F5516" s="14"/>
      <c r="G5516" s="18"/>
    </row>
    <row r="5517" spans="2:7" x14ac:dyDescent="0.35">
      <c r="B5517" s="47"/>
      <c r="C5517" s="14"/>
      <c r="D5517" s="14"/>
      <c r="E5517" s="14"/>
      <c r="F5517" s="14"/>
      <c r="G5517" s="18"/>
    </row>
    <row r="5518" spans="2:7" x14ac:dyDescent="0.35">
      <c r="B5518" s="47"/>
      <c r="C5518" s="14"/>
      <c r="D5518" s="14"/>
      <c r="E5518" s="14"/>
      <c r="F5518" s="14"/>
      <c r="G5518" s="18"/>
    </row>
    <row r="5519" spans="2:7" x14ac:dyDescent="0.35">
      <c r="B5519" s="47"/>
      <c r="C5519" s="14"/>
      <c r="D5519" s="14"/>
      <c r="E5519" s="14"/>
      <c r="F5519" s="14"/>
      <c r="G5519" s="18"/>
    </row>
    <row r="5520" spans="2:7" x14ac:dyDescent="0.35">
      <c r="B5520" s="47"/>
      <c r="C5520" s="14"/>
      <c r="D5520" s="14"/>
      <c r="E5520" s="14"/>
      <c r="F5520" s="14"/>
      <c r="G5520" s="18"/>
    </row>
    <row r="5521" spans="2:7" x14ac:dyDescent="0.35">
      <c r="B5521" s="47"/>
      <c r="C5521" s="14"/>
      <c r="D5521" s="14"/>
      <c r="E5521" s="14"/>
      <c r="F5521" s="14"/>
      <c r="G5521" s="18"/>
    </row>
    <row r="5522" spans="2:7" x14ac:dyDescent="0.35">
      <c r="B5522" s="47"/>
      <c r="C5522" s="14"/>
      <c r="D5522" s="14"/>
      <c r="E5522" s="14"/>
      <c r="F5522" s="14"/>
      <c r="G5522" s="18"/>
    </row>
    <row r="5523" spans="2:7" x14ac:dyDescent="0.35">
      <c r="B5523" s="47"/>
      <c r="C5523" s="14"/>
      <c r="D5523" s="14"/>
      <c r="E5523" s="14"/>
      <c r="F5523" s="14"/>
      <c r="G5523" s="18"/>
    </row>
    <row r="5524" spans="2:7" x14ac:dyDescent="0.35">
      <c r="B5524" s="47"/>
      <c r="C5524" s="14"/>
      <c r="D5524" s="14"/>
      <c r="E5524" s="14"/>
      <c r="F5524" s="14"/>
      <c r="G5524" s="18"/>
    </row>
    <row r="5525" spans="2:7" x14ac:dyDescent="0.35">
      <c r="B5525" s="47"/>
      <c r="C5525" s="14"/>
      <c r="D5525" s="14"/>
      <c r="E5525" s="14"/>
      <c r="F5525" s="14"/>
      <c r="G5525" s="18"/>
    </row>
    <row r="5526" spans="2:7" x14ac:dyDescent="0.35">
      <c r="B5526" s="47"/>
      <c r="C5526" s="14"/>
      <c r="D5526" s="14"/>
      <c r="E5526" s="14"/>
      <c r="F5526" s="14"/>
      <c r="G5526" s="18"/>
    </row>
    <row r="5527" spans="2:7" x14ac:dyDescent="0.35">
      <c r="B5527" s="47"/>
      <c r="C5527" s="14"/>
      <c r="D5527" s="14"/>
      <c r="E5527" s="14"/>
      <c r="F5527" s="14"/>
      <c r="G5527" s="18"/>
    </row>
    <row r="5528" spans="2:7" x14ac:dyDescent="0.35">
      <c r="B5528" s="47"/>
      <c r="C5528" s="14"/>
      <c r="D5528" s="14"/>
      <c r="E5528" s="14"/>
      <c r="F5528" s="14"/>
      <c r="G5528" s="18"/>
    </row>
    <row r="5529" spans="2:7" x14ac:dyDescent="0.35">
      <c r="B5529" s="47"/>
      <c r="C5529" s="14"/>
      <c r="D5529" s="14"/>
      <c r="E5529" s="14"/>
      <c r="F5529" s="14"/>
      <c r="G5529" s="18"/>
    </row>
    <row r="5530" spans="2:7" x14ac:dyDescent="0.35">
      <c r="B5530" s="47"/>
      <c r="C5530" s="14"/>
      <c r="D5530" s="14"/>
      <c r="E5530" s="14"/>
      <c r="F5530" s="14"/>
      <c r="G5530" s="18"/>
    </row>
    <row r="5531" spans="2:7" x14ac:dyDescent="0.35">
      <c r="B5531" s="47"/>
      <c r="C5531" s="14"/>
      <c r="D5531" s="14"/>
      <c r="E5531" s="14"/>
      <c r="F5531" s="14"/>
      <c r="G5531" s="18"/>
    </row>
    <row r="5532" spans="2:7" x14ac:dyDescent="0.35">
      <c r="B5532" s="47"/>
      <c r="C5532" s="14"/>
      <c r="D5532" s="14"/>
      <c r="E5532" s="14"/>
      <c r="F5532" s="14"/>
      <c r="G5532" s="18"/>
    </row>
    <row r="5533" spans="2:7" x14ac:dyDescent="0.35">
      <c r="B5533" s="47"/>
      <c r="C5533" s="14"/>
      <c r="D5533" s="14"/>
      <c r="E5533" s="14"/>
      <c r="F5533" s="14"/>
      <c r="G5533" s="18"/>
    </row>
    <row r="5534" spans="2:7" x14ac:dyDescent="0.35">
      <c r="B5534" s="47"/>
      <c r="C5534" s="14"/>
      <c r="D5534" s="14"/>
      <c r="E5534" s="14"/>
      <c r="F5534" s="14"/>
      <c r="G5534" s="18"/>
    </row>
    <row r="5535" spans="2:7" x14ac:dyDescent="0.35">
      <c r="B5535" s="47"/>
      <c r="C5535" s="14"/>
      <c r="D5535" s="14"/>
      <c r="E5535" s="14"/>
      <c r="F5535" s="14"/>
      <c r="G5535" s="18"/>
    </row>
    <row r="5536" spans="2:7" x14ac:dyDescent="0.35">
      <c r="B5536" s="47"/>
      <c r="C5536" s="14"/>
      <c r="D5536" s="14"/>
      <c r="E5536" s="14"/>
      <c r="F5536" s="14"/>
      <c r="G5536" s="18"/>
    </row>
    <row r="5537" spans="2:7" x14ac:dyDescent="0.35">
      <c r="B5537" s="47"/>
      <c r="C5537" s="14"/>
      <c r="D5537" s="14"/>
      <c r="E5537" s="14"/>
      <c r="F5537" s="14"/>
      <c r="G5537" s="18"/>
    </row>
    <row r="5538" spans="2:7" x14ac:dyDescent="0.35">
      <c r="B5538" s="47"/>
      <c r="C5538" s="14"/>
      <c r="D5538" s="14"/>
      <c r="E5538" s="14"/>
      <c r="F5538" s="14"/>
      <c r="G5538" s="18"/>
    </row>
    <row r="5539" spans="2:7" x14ac:dyDescent="0.35">
      <c r="B5539" s="47"/>
      <c r="C5539" s="14"/>
      <c r="D5539" s="14"/>
      <c r="E5539" s="14"/>
      <c r="F5539" s="14"/>
      <c r="G5539" s="18"/>
    </row>
    <row r="5540" spans="2:7" x14ac:dyDescent="0.35">
      <c r="B5540" s="47"/>
      <c r="C5540" s="14"/>
      <c r="D5540" s="14"/>
      <c r="E5540" s="14"/>
      <c r="F5540" s="14"/>
      <c r="G5540" s="18"/>
    </row>
    <row r="5541" spans="2:7" x14ac:dyDescent="0.35">
      <c r="B5541" s="47"/>
      <c r="C5541" s="14"/>
      <c r="D5541" s="14"/>
      <c r="E5541" s="14"/>
      <c r="F5541" s="14"/>
      <c r="G5541" s="18"/>
    </row>
    <row r="5542" spans="2:7" x14ac:dyDescent="0.35">
      <c r="B5542" s="47"/>
      <c r="C5542" s="14"/>
      <c r="D5542" s="14"/>
      <c r="E5542" s="14"/>
      <c r="F5542" s="14"/>
      <c r="G5542" s="18"/>
    </row>
    <row r="5543" spans="2:7" x14ac:dyDescent="0.35">
      <c r="B5543" s="47"/>
      <c r="C5543" s="14"/>
      <c r="D5543" s="14"/>
      <c r="E5543" s="14"/>
      <c r="F5543" s="14"/>
      <c r="G5543" s="18"/>
    </row>
    <row r="5544" spans="2:7" x14ac:dyDescent="0.35">
      <c r="B5544" s="47"/>
      <c r="C5544" s="14"/>
      <c r="D5544" s="14"/>
      <c r="E5544" s="14"/>
      <c r="F5544" s="14"/>
      <c r="G5544" s="18"/>
    </row>
    <row r="5545" spans="2:7" x14ac:dyDescent="0.35">
      <c r="B5545" s="47"/>
      <c r="C5545" s="14"/>
      <c r="D5545" s="14"/>
      <c r="E5545" s="14"/>
      <c r="F5545" s="14"/>
      <c r="G5545" s="18"/>
    </row>
    <row r="5546" spans="2:7" x14ac:dyDescent="0.35">
      <c r="B5546" s="47"/>
      <c r="C5546" s="14"/>
      <c r="D5546" s="14"/>
      <c r="E5546" s="14"/>
      <c r="F5546" s="14"/>
      <c r="G5546" s="18"/>
    </row>
    <row r="5547" spans="2:7" x14ac:dyDescent="0.35">
      <c r="B5547" s="47"/>
      <c r="C5547" s="14"/>
      <c r="D5547" s="14"/>
      <c r="E5547" s="14"/>
      <c r="F5547" s="14"/>
      <c r="G5547" s="18"/>
    </row>
    <row r="5548" spans="2:7" x14ac:dyDescent="0.35">
      <c r="B5548" s="47"/>
      <c r="C5548" s="14"/>
      <c r="D5548" s="14"/>
      <c r="E5548" s="14"/>
      <c r="F5548" s="14"/>
      <c r="G5548" s="18"/>
    </row>
    <row r="5549" spans="2:7" x14ac:dyDescent="0.35">
      <c r="B5549" s="47"/>
      <c r="C5549" s="14"/>
      <c r="D5549" s="14"/>
      <c r="E5549" s="14"/>
      <c r="F5549" s="14"/>
      <c r="G5549" s="18"/>
    </row>
    <row r="5550" spans="2:7" x14ac:dyDescent="0.35">
      <c r="B5550" s="47"/>
      <c r="C5550" s="14"/>
      <c r="D5550" s="14"/>
      <c r="E5550" s="14"/>
      <c r="F5550" s="14"/>
      <c r="G5550" s="18"/>
    </row>
    <row r="5551" spans="2:7" x14ac:dyDescent="0.35">
      <c r="B5551" s="47"/>
      <c r="C5551" s="14"/>
      <c r="D5551" s="14"/>
      <c r="E5551" s="14"/>
      <c r="F5551" s="14"/>
      <c r="G5551" s="18"/>
    </row>
    <row r="5552" spans="2:7" x14ac:dyDescent="0.35">
      <c r="B5552" s="47"/>
      <c r="C5552" s="14"/>
      <c r="D5552" s="14"/>
      <c r="E5552" s="14"/>
      <c r="F5552" s="14"/>
      <c r="G5552" s="18"/>
    </row>
    <row r="5553" spans="2:7" x14ac:dyDescent="0.35">
      <c r="B5553" s="47"/>
      <c r="C5553" s="14"/>
      <c r="D5553" s="14"/>
      <c r="E5553" s="14"/>
      <c r="F5553" s="14"/>
      <c r="G5553" s="18"/>
    </row>
    <row r="5554" spans="2:7" x14ac:dyDescent="0.35">
      <c r="B5554" s="47"/>
      <c r="C5554" s="14"/>
      <c r="D5554" s="14"/>
      <c r="E5554" s="14"/>
      <c r="F5554" s="14"/>
      <c r="G5554" s="18"/>
    </row>
    <row r="5555" spans="2:7" x14ac:dyDescent="0.35">
      <c r="B5555" s="47"/>
      <c r="C5555" s="14"/>
      <c r="D5555" s="14"/>
      <c r="E5555" s="14"/>
      <c r="F5555" s="14"/>
      <c r="G5555" s="18"/>
    </row>
    <row r="5556" spans="2:7" x14ac:dyDescent="0.35">
      <c r="B5556" s="47"/>
      <c r="C5556" s="14"/>
      <c r="D5556" s="14"/>
      <c r="E5556" s="14"/>
      <c r="F5556" s="14"/>
      <c r="G5556" s="18"/>
    </row>
    <row r="5557" spans="2:7" x14ac:dyDescent="0.35">
      <c r="B5557" s="47"/>
      <c r="C5557" s="14"/>
      <c r="D5557" s="14"/>
      <c r="E5557" s="14"/>
      <c r="F5557" s="14"/>
      <c r="G5557" s="18"/>
    </row>
    <row r="5558" spans="2:7" x14ac:dyDescent="0.35">
      <c r="B5558" s="47"/>
      <c r="C5558" s="14"/>
      <c r="D5558" s="14"/>
      <c r="E5558" s="14"/>
      <c r="F5558" s="14"/>
      <c r="G5558" s="18"/>
    </row>
    <row r="5559" spans="2:7" x14ac:dyDescent="0.35">
      <c r="B5559" s="47"/>
      <c r="C5559" s="14"/>
      <c r="D5559" s="14"/>
      <c r="E5559" s="14"/>
      <c r="F5559" s="14"/>
      <c r="G5559" s="18"/>
    </row>
    <row r="5560" spans="2:7" x14ac:dyDescent="0.35">
      <c r="B5560" s="47"/>
      <c r="C5560" s="14"/>
      <c r="D5560" s="14"/>
      <c r="E5560" s="14"/>
      <c r="F5560" s="14"/>
      <c r="G5560" s="18"/>
    </row>
    <row r="5561" spans="2:7" x14ac:dyDescent="0.35">
      <c r="B5561" s="47"/>
      <c r="C5561" s="14"/>
      <c r="D5561" s="14"/>
      <c r="E5561" s="14"/>
      <c r="F5561" s="14"/>
      <c r="G5561" s="18"/>
    </row>
    <row r="5562" spans="2:7" x14ac:dyDescent="0.35">
      <c r="B5562" s="47"/>
      <c r="C5562" s="14"/>
      <c r="D5562" s="14"/>
      <c r="E5562" s="14"/>
      <c r="F5562" s="14"/>
      <c r="G5562" s="18"/>
    </row>
    <row r="5563" spans="2:7" x14ac:dyDescent="0.35">
      <c r="B5563" s="47"/>
      <c r="C5563" s="14"/>
      <c r="D5563" s="14"/>
      <c r="E5563" s="14"/>
      <c r="F5563" s="14"/>
      <c r="G5563" s="18"/>
    </row>
    <row r="5564" spans="2:7" x14ac:dyDescent="0.35">
      <c r="B5564" s="47"/>
      <c r="C5564" s="14"/>
      <c r="D5564" s="14"/>
      <c r="E5564" s="14"/>
      <c r="F5564" s="14"/>
      <c r="G5564" s="18"/>
    </row>
    <row r="5565" spans="2:7" x14ac:dyDescent="0.35">
      <c r="B5565" s="47"/>
      <c r="C5565" s="14"/>
      <c r="D5565" s="14"/>
      <c r="E5565" s="14"/>
      <c r="F5565" s="14"/>
      <c r="G5565" s="18"/>
    </row>
    <row r="5566" spans="2:7" x14ac:dyDescent="0.35">
      <c r="B5566" s="47"/>
      <c r="C5566" s="14"/>
      <c r="D5566" s="14"/>
      <c r="E5566" s="14"/>
      <c r="F5566" s="14"/>
      <c r="G5566" s="18"/>
    </row>
    <row r="5567" spans="2:7" x14ac:dyDescent="0.35">
      <c r="B5567" s="47"/>
      <c r="C5567" s="14"/>
      <c r="D5567" s="14"/>
      <c r="E5567" s="14"/>
      <c r="F5567" s="14"/>
      <c r="G5567" s="18"/>
    </row>
    <row r="5568" spans="2:7" x14ac:dyDescent="0.35">
      <c r="B5568" s="47"/>
      <c r="C5568" s="14"/>
      <c r="D5568" s="14"/>
      <c r="E5568" s="14"/>
      <c r="F5568" s="14"/>
      <c r="G5568" s="18"/>
    </row>
    <row r="5569" spans="2:7" x14ac:dyDescent="0.35">
      <c r="B5569" s="47"/>
      <c r="C5569" s="14"/>
      <c r="D5569" s="14"/>
      <c r="E5569" s="14"/>
      <c r="F5569" s="14"/>
      <c r="G5569" s="18"/>
    </row>
    <row r="5570" spans="2:7" x14ac:dyDescent="0.35">
      <c r="B5570" s="47"/>
      <c r="C5570" s="14"/>
      <c r="D5570" s="14"/>
      <c r="E5570" s="14"/>
      <c r="F5570" s="14"/>
      <c r="G5570" s="18"/>
    </row>
    <row r="5571" spans="2:7" x14ac:dyDescent="0.35">
      <c r="B5571" s="47"/>
      <c r="C5571" s="14"/>
      <c r="D5571" s="14"/>
      <c r="E5571" s="14"/>
      <c r="F5571" s="14"/>
      <c r="G5571" s="18"/>
    </row>
    <row r="5572" spans="2:7" x14ac:dyDescent="0.35">
      <c r="B5572" s="47"/>
      <c r="C5572" s="14"/>
      <c r="D5572" s="14"/>
      <c r="E5572" s="14"/>
      <c r="F5572" s="14"/>
      <c r="G5572" s="18"/>
    </row>
    <row r="5573" spans="2:7" x14ac:dyDescent="0.35">
      <c r="B5573" s="47"/>
      <c r="C5573" s="14"/>
      <c r="D5573" s="14"/>
      <c r="E5573" s="14"/>
      <c r="F5573" s="14"/>
      <c r="G5573" s="18"/>
    </row>
    <row r="5574" spans="2:7" x14ac:dyDescent="0.35">
      <c r="B5574" s="47"/>
      <c r="C5574" s="14"/>
      <c r="D5574" s="14"/>
      <c r="E5574" s="14"/>
      <c r="F5574" s="14"/>
      <c r="G5574" s="18"/>
    </row>
    <row r="5575" spans="2:7" x14ac:dyDescent="0.35">
      <c r="B5575" s="47"/>
      <c r="C5575" s="14"/>
      <c r="D5575" s="14"/>
      <c r="E5575" s="14"/>
      <c r="F5575" s="14"/>
      <c r="G5575" s="18"/>
    </row>
    <row r="5576" spans="2:7" x14ac:dyDescent="0.35">
      <c r="B5576" s="47"/>
      <c r="C5576" s="14"/>
      <c r="D5576" s="14"/>
      <c r="E5576" s="14"/>
      <c r="F5576" s="14"/>
      <c r="G5576" s="18"/>
    </row>
    <row r="5577" spans="2:7" x14ac:dyDescent="0.35">
      <c r="B5577" s="47"/>
      <c r="C5577" s="14"/>
      <c r="D5577" s="14"/>
      <c r="E5577" s="14"/>
      <c r="F5577" s="14"/>
      <c r="G5577" s="18"/>
    </row>
    <row r="5578" spans="2:7" x14ac:dyDescent="0.35">
      <c r="B5578" s="47"/>
      <c r="C5578" s="14"/>
      <c r="D5578" s="14"/>
      <c r="E5578" s="14"/>
      <c r="F5578" s="14"/>
      <c r="G5578" s="18"/>
    </row>
    <row r="5579" spans="2:7" x14ac:dyDescent="0.35">
      <c r="B5579" s="47"/>
      <c r="C5579" s="14"/>
      <c r="D5579" s="14"/>
      <c r="E5579" s="14"/>
      <c r="F5579" s="14"/>
      <c r="G5579" s="18"/>
    </row>
    <row r="5580" spans="2:7" x14ac:dyDescent="0.35">
      <c r="B5580" s="47"/>
      <c r="C5580" s="14"/>
      <c r="D5580" s="14"/>
      <c r="E5580" s="14"/>
      <c r="F5580" s="14"/>
      <c r="G5580" s="18"/>
    </row>
    <row r="5581" spans="2:7" x14ac:dyDescent="0.35">
      <c r="B5581" s="47"/>
      <c r="C5581" s="14"/>
      <c r="D5581" s="14"/>
      <c r="E5581" s="14"/>
      <c r="F5581" s="14"/>
      <c r="G5581" s="18"/>
    </row>
    <row r="5582" spans="2:7" x14ac:dyDescent="0.35">
      <c r="B5582" s="47"/>
      <c r="C5582" s="14"/>
      <c r="D5582" s="14"/>
      <c r="E5582" s="14"/>
      <c r="F5582" s="14"/>
      <c r="G5582" s="18"/>
    </row>
    <row r="5583" spans="2:7" x14ac:dyDescent="0.35">
      <c r="B5583" s="47"/>
      <c r="C5583" s="14"/>
      <c r="D5583" s="14"/>
      <c r="E5583" s="14"/>
      <c r="F5583" s="14"/>
      <c r="G5583" s="18"/>
    </row>
    <row r="5584" spans="2:7" x14ac:dyDescent="0.35">
      <c r="B5584" s="47"/>
      <c r="C5584" s="14"/>
      <c r="D5584" s="14"/>
      <c r="E5584" s="14"/>
      <c r="F5584" s="14"/>
      <c r="G5584" s="18"/>
    </row>
    <row r="5585" spans="2:7" x14ac:dyDescent="0.35">
      <c r="B5585" s="47"/>
      <c r="C5585" s="14"/>
      <c r="D5585" s="14"/>
      <c r="E5585" s="14"/>
      <c r="F5585" s="14"/>
      <c r="G5585" s="18"/>
    </row>
    <row r="5586" spans="2:7" x14ac:dyDescent="0.35">
      <c r="B5586" s="47"/>
      <c r="C5586" s="14"/>
      <c r="D5586" s="14"/>
      <c r="E5586" s="14"/>
      <c r="F5586" s="14"/>
      <c r="G5586" s="18"/>
    </row>
    <row r="5587" spans="2:7" x14ac:dyDescent="0.35">
      <c r="B5587" s="47"/>
      <c r="C5587" s="14"/>
      <c r="D5587" s="14"/>
      <c r="E5587" s="14"/>
      <c r="F5587" s="14"/>
      <c r="G5587" s="18"/>
    </row>
    <row r="5588" spans="2:7" x14ac:dyDescent="0.35">
      <c r="B5588" s="47"/>
      <c r="C5588" s="14"/>
      <c r="D5588" s="14"/>
      <c r="E5588" s="14"/>
      <c r="F5588" s="14"/>
      <c r="G5588" s="18"/>
    </row>
    <row r="5589" spans="2:7" x14ac:dyDescent="0.35">
      <c r="B5589" s="47"/>
      <c r="C5589" s="14"/>
      <c r="D5589" s="14"/>
      <c r="E5589" s="14"/>
      <c r="F5589" s="14"/>
      <c r="G5589" s="18"/>
    </row>
    <row r="5590" spans="2:7" x14ac:dyDescent="0.35">
      <c r="B5590" s="47"/>
      <c r="C5590" s="14"/>
      <c r="D5590" s="14"/>
      <c r="E5590" s="14"/>
      <c r="F5590" s="14"/>
      <c r="G5590" s="18"/>
    </row>
    <row r="5591" spans="2:7" x14ac:dyDescent="0.35">
      <c r="B5591" s="47"/>
      <c r="C5591" s="14"/>
      <c r="D5591" s="14"/>
      <c r="E5591" s="14"/>
      <c r="F5591" s="14"/>
      <c r="G5591" s="18"/>
    </row>
    <row r="5592" spans="2:7" x14ac:dyDescent="0.35">
      <c r="B5592" s="47"/>
      <c r="C5592" s="14"/>
      <c r="D5592" s="14"/>
      <c r="E5592" s="14"/>
      <c r="F5592" s="14"/>
      <c r="G5592" s="18"/>
    </row>
    <row r="5593" spans="2:7" x14ac:dyDescent="0.35">
      <c r="B5593" s="47"/>
      <c r="C5593" s="14"/>
      <c r="D5593" s="14"/>
      <c r="E5593" s="14"/>
      <c r="F5593" s="14"/>
      <c r="G5593" s="18"/>
    </row>
    <row r="5594" spans="2:7" x14ac:dyDescent="0.35">
      <c r="B5594" s="47"/>
      <c r="C5594" s="14"/>
      <c r="D5594" s="14"/>
      <c r="E5594" s="14"/>
      <c r="F5594" s="14"/>
      <c r="G5594" s="18"/>
    </row>
    <row r="5595" spans="2:7" x14ac:dyDescent="0.35">
      <c r="B5595" s="47"/>
      <c r="C5595" s="14"/>
      <c r="D5595" s="14"/>
      <c r="E5595" s="14"/>
      <c r="F5595" s="14"/>
      <c r="G5595" s="18"/>
    </row>
    <row r="5596" spans="2:7" x14ac:dyDescent="0.35">
      <c r="B5596" s="47"/>
      <c r="C5596" s="14"/>
      <c r="D5596" s="14"/>
      <c r="E5596" s="14"/>
      <c r="F5596" s="14"/>
      <c r="G5596" s="18"/>
    </row>
    <row r="5597" spans="2:7" x14ac:dyDescent="0.35">
      <c r="B5597" s="47"/>
      <c r="C5597" s="14"/>
      <c r="D5597" s="14"/>
      <c r="E5597" s="14"/>
      <c r="F5597" s="14"/>
      <c r="G5597" s="18"/>
    </row>
    <row r="5598" spans="2:7" x14ac:dyDescent="0.35">
      <c r="B5598" s="47"/>
      <c r="C5598" s="14"/>
      <c r="D5598" s="14"/>
      <c r="E5598" s="14"/>
      <c r="F5598" s="14"/>
      <c r="G5598" s="18"/>
    </row>
    <row r="5599" spans="2:7" x14ac:dyDescent="0.35">
      <c r="B5599" s="47"/>
      <c r="C5599" s="14"/>
      <c r="D5599" s="14"/>
      <c r="E5599" s="14"/>
      <c r="F5599" s="14"/>
      <c r="G5599" s="18"/>
    </row>
    <row r="5600" spans="2:7" x14ac:dyDescent="0.35">
      <c r="B5600" s="47"/>
      <c r="C5600" s="14"/>
      <c r="D5600" s="14"/>
      <c r="E5600" s="14"/>
      <c r="F5600" s="14"/>
      <c r="G5600" s="18"/>
    </row>
    <row r="5601" spans="2:7" x14ac:dyDescent="0.35">
      <c r="B5601" s="47"/>
      <c r="C5601" s="14"/>
      <c r="D5601" s="14"/>
      <c r="E5601" s="14"/>
      <c r="F5601" s="14"/>
      <c r="G5601" s="18"/>
    </row>
    <row r="5602" spans="2:7" x14ac:dyDescent="0.35">
      <c r="B5602" s="47"/>
      <c r="C5602" s="14"/>
      <c r="D5602" s="14"/>
      <c r="E5602" s="14"/>
      <c r="F5602" s="14"/>
      <c r="G5602" s="18"/>
    </row>
    <row r="5603" spans="2:7" x14ac:dyDescent="0.35">
      <c r="B5603" s="47"/>
      <c r="C5603" s="14"/>
      <c r="D5603" s="14"/>
      <c r="E5603" s="14"/>
      <c r="F5603" s="14"/>
      <c r="G5603" s="18"/>
    </row>
    <row r="5604" spans="2:7" x14ac:dyDescent="0.35">
      <c r="B5604" s="47"/>
      <c r="C5604" s="14"/>
      <c r="D5604" s="14"/>
      <c r="E5604" s="14"/>
      <c r="F5604" s="14"/>
      <c r="G5604" s="18"/>
    </row>
    <row r="5605" spans="2:7" x14ac:dyDescent="0.35">
      <c r="B5605" s="47"/>
      <c r="C5605" s="14"/>
      <c r="D5605" s="14"/>
      <c r="E5605" s="14"/>
      <c r="F5605" s="14"/>
      <c r="G5605" s="18"/>
    </row>
    <row r="5606" spans="2:7" x14ac:dyDescent="0.35">
      <c r="B5606" s="47"/>
      <c r="C5606" s="14"/>
      <c r="D5606" s="14"/>
      <c r="E5606" s="14"/>
      <c r="F5606" s="14"/>
      <c r="G5606" s="18"/>
    </row>
    <row r="5607" spans="2:7" x14ac:dyDescent="0.35">
      <c r="B5607" s="47"/>
      <c r="C5607" s="14"/>
      <c r="D5607" s="14"/>
      <c r="E5607" s="14"/>
      <c r="F5607" s="14"/>
      <c r="G5607" s="18"/>
    </row>
    <row r="5608" spans="2:7" x14ac:dyDescent="0.35">
      <c r="B5608" s="47"/>
      <c r="C5608" s="14"/>
      <c r="D5608" s="14"/>
      <c r="E5608" s="14"/>
      <c r="F5608" s="14"/>
      <c r="G5608" s="18"/>
    </row>
    <row r="5609" spans="2:7" x14ac:dyDescent="0.35">
      <c r="B5609" s="47"/>
      <c r="C5609" s="14"/>
      <c r="D5609" s="14"/>
      <c r="E5609" s="14"/>
      <c r="F5609" s="14"/>
      <c r="G5609" s="18"/>
    </row>
    <row r="5610" spans="2:7" x14ac:dyDescent="0.35">
      <c r="B5610" s="47"/>
      <c r="C5610" s="14"/>
      <c r="D5610" s="14"/>
      <c r="E5610" s="14"/>
      <c r="F5610" s="14"/>
      <c r="G5610" s="18"/>
    </row>
    <row r="5611" spans="2:7" x14ac:dyDescent="0.35">
      <c r="B5611" s="47"/>
      <c r="C5611" s="14"/>
      <c r="D5611" s="14"/>
      <c r="E5611" s="14"/>
      <c r="F5611" s="14"/>
      <c r="G5611" s="18"/>
    </row>
    <row r="5612" spans="2:7" x14ac:dyDescent="0.35">
      <c r="B5612" s="47"/>
      <c r="C5612" s="14"/>
      <c r="D5612" s="14"/>
      <c r="E5612" s="14"/>
      <c r="F5612" s="14"/>
      <c r="G5612" s="18"/>
    </row>
    <row r="5613" spans="2:7" x14ac:dyDescent="0.35">
      <c r="B5613" s="47"/>
      <c r="C5613" s="14"/>
      <c r="D5613" s="14"/>
      <c r="E5613" s="14"/>
      <c r="F5613" s="14"/>
      <c r="G5613" s="18"/>
    </row>
    <row r="5614" spans="2:7" x14ac:dyDescent="0.35">
      <c r="B5614" s="47"/>
      <c r="C5614" s="14"/>
      <c r="D5614" s="14"/>
      <c r="E5614" s="14"/>
      <c r="F5614" s="14"/>
      <c r="G5614" s="18"/>
    </row>
    <row r="5615" spans="2:7" x14ac:dyDescent="0.35">
      <c r="B5615" s="47"/>
      <c r="C5615" s="14"/>
      <c r="D5615" s="14"/>
      <c r="E5615" s="14"/>
      <c r="F5615" s="14"/>
      <c r="G5615" s="18"/>
    </row>
    <row r="5616" spans="2:7" x14ac:dyDescent="0.35">
      <c r="B5616" s="47"/>
      <c r="C5616" s="14"/>
      <c r="D5616" s="14"/>
      <c r="E5616" s="14"/>
      <c r="F5616" s="14"/>
      <c r="G5616" s="18"/>
    </row>
    <row r="5617" spans="2:7" x14ac:dyDescent="0.35">
      <c r="B5617" s="47"/>
      <c r="C5617" s="14"/>
      <c r="D5617" s="14"/>
      <c r="E5617" s="14"/>
      <c r="F5617" s="14"/>
      <c r="G5617" s="18"/>
    </row>
    <row r="5618" spans="2:7" x14ac:dyDescent="0.35">
      <c r="B5618" s="47"/>
      <c r="C5618" s="14"/>
      <c r="D5618" s="14"/>
      <c r="E5618" s="14"/>
      <c r="F5618" s="14"/>
      <c r="G5618" s="18"/>
    </row>
    <row r="5619" spans="2:7" x14ac:dyDescent="0.35">
      <c r="B5619" s="47"/>
      <c r="C5619" s="14"/>
      <c r="D5619" s="14"/>
      <c r="E5619" s="14"/>
      <c r="F5619" s="14"/>
      <c r="G5619" s="18"/>
    </row>
    <row r="5620" spans="2:7" x14ac:dyDescent="0.35">
      <c r="B5620" s="47"/>
      <c r="C5620" s="14"/>
      <c r="D5620" s="14"/>
      <c r="E5620" s="14"/>
      <c r="F5620" s="14"/>
      <c r="G5620" s="18"/>
    </row>
    <row r="5621" spans="2:7" x14ac:dyDescent="0.35">
      <c r="B5621" s="47"/>
      <c r="C5621" s="14"/>
      <c r="D5621" s="14"/>
      <c r="E5621" s="14"/>
      <c r="F5621" s="14"/>
      <c r="G5621" s="18"/>
    </row>
    <row r="5622" spans="2:7" x14ac:dyDescent="0.35">
      <c r="B5622" s="47"/>
      <c r="C5622" s="14"/>
      <c r="D5622" s="14"/>
      <c r="E5622" s="14"/>
      <c r="F5622" s="14"/>
      <c r="G5622" s="18"/>
    </row>
    <row r="5623" spans="2:7" x14ac:dyDescent="0.35">
      <c r="B5623" s="47"/>
      <c r="C5623" s="14"/>
      <c r="D5623" s="14"/>
      <c r="E5623" s="14"/>
      <c r="F5623" s="14"/>
      <c r="G5623" s="18"/>
    </row>
    <row r="5624" spans="2:7" x14ac:dyDescent="0.35">
      <c r="B5624" s="47"/>
      <c r="C5624" s="14"/>
      <c r="D5624" s="14"/>
      <c r="E5624" s="14"/>
      <c r="F5624" s="14"/>
      <c r="G5624" s="18"/>
    </row>
    <row r="5625" spans="2:7" x14ac:dyDescent="0.35">
      <c r="B5625" s="47"/>
      <c r="C5625" s="14"/>
      <c r="D5625" s="14"/>
      <c r="E5625" s="14"/>
      <c r="F5625" s="14"/>
      <c r="G5625" s="18"/>
    </row>
    <row r="5626" spans="2:7" x14ac:dyDescent="0.35">
      <c r="B5626" s="47"/>
      <c r="C5626" s="14"/>
      <c r="D5626" s="14"/>
      <c r="E5626" s="14"/>
      <c r="F5626" s="14"/>
      <c r="G5626" s="18"/>
    </row>
    <row r="5627" spans="2:7" x14ac:dyDescent="0.35">
      <c r="B5627" s="47"/>
      <c r="C5627" s="14"/>
      <c r="D5627" s="14"/>
      <c r="E5627" s="14"/>
      <c r="F5627" s="14"/>
      <c r="G5627" s="18"/>
    </row>
    <row r="5628" spans="2:7" x14ac:dyDescent="0.35">
      <c r="B5628" s="47"/>
      <c r="C5628" s="14"/>
      <c r="D5628" s="14"/>
      <c r="E5628" s="14"/>
      <c r="F5628" s="14"/>
      <c r="G5628" s="18"/>
    </row>
    <row r="5629" spans="2:7" x14ac:dyDescent="0.35">
      <c r="B5629" s="47"/>
      <c r="C5629" s="14"/>
      <c r="D5629" s="14"/>
      <c r="E5629" s="14"/>
      <c r="F5629" s="14"/>
      <c r="G5629" s="18"/>
    </row>
    <row r="5630" spans="2:7" x14ac:dyDescent="0.35">
      <c r="B5630" s="47"/>
      <c r="C5630" s="14"/>
      <c r="D5630" s="14"/>
      <c r="E5630" s="14"/>
      <c r="F5630" s="14"/>
      <c r="G5630" s="18"/>
    </row>
    <row r="5631" spans="2:7" x14ac:dyDescent="0.35">
      <c r="B5631" s="47"/>
      <c r="C5631" s="14"/>
      <c r="D5631" s="14"/>
      <c r="E5631" s="14"/>
      <c r="F5631" s="14"/>
      <c r="G5631" s="18"/>
    </row>
    <row r="5632" spans="2:7" x14ac:dyDescent="0.35">
      <c r="B5632" s="47"/>
      <c r="C5632" s="14"/>
      <c r="D5632" s="14"/>
      <c r="E5632" s="14"/>
      <c r="F5632" s="14"/>
      <c r="G5632" s="18"/>
    </row>
    <row r="5633" spans="2:7" x14ac:dyDescent="0.35">
      <c r="B5633" s="47"/>
      <c r="C5633" s="14"/>
      <c r="D5633" s="14"/>
      <c r="E5633" s="14"/>
      <c r="F5633" s="14"/>
      <c r="G5633" s="18"/>
    </row>
    <row r="5634" spans="2:7" x14ac:dyDescent="0.35">
      <c r="B5634" s="47"/>
      <c r="C5634" s="14"/>
      <c r="D5634" s="14"/>
      <c r="E5634" s="14"/>
      <c r="F5634" s="14"/>
      <c r="G5634" s="18"/>
    </row>
    <row r="5635" spans="2:7" x14ac:dyDescent="0.35">
      <c r="B5635" s="47"/>
      <c r="C5635" s="14"/>
      <c r="D5635" s="14"/>
      <c r="E5635" s="14"/>
      <c r="F5635" s="14"/>
      <c r="G5635" s="18"/>
    </row>
    <row r="5636" spans="2:7" x14ac:dyDescent="0.35">
      <c r="B5636" s="47"/>
      <c r="C5636" s="14"/>
      <c r="D5636" s="14"/>
      <c r="E5636" s="14"/>
      <c r="F5636" s="14"/>
      <c r="G5636" s="18"/>
    </row>
    <row r="5637" spans="2:7" x14ac:dyDescent="0.35">
      <c r="B5637" s="47"/>
      <c r="C5637" s="14"/>
      <c r="D5637" s="14"/>
      <c r="E5637" s="14"/>
      <c r="F5637" s="14"/>
      <c r="G5637" s="18"/>
    </row>
    <row r="5638" spans="2:7" x14ac:dyDescent="0.35">
      <c r="B5638" s="47"/>
      <c r="C5638" s="14"/>
      <c r="D5638" s="14"/>
      <c r="E5638" s="14"/>
      <c r="F5638" s="14"/>
      <c r="G5638" s="18"/>
    </row>
    <row r="5639" spans="2:7" x14ac:dyDescent="0.35">
      <c r="B5639" s="47"/>
      <c r="C5639" s="14"/>
      <c r="D5639" s="14"/>
      <c r="E5639" s="14"/>
      <c r="F5639" s="14"/>
      <c r="G5639" s="18"/>
    </row>
    <row r="5640" spans="2:7" x14ac:dyDescent="0.35">
      <c r="B5640" s="47"/>
      <c r="C5640" s="14"/>
      <c r="D5640" s="14"/>
      <c r="E5640" s="14"/>
      <c r="F5640" s="14"/>
      <c r="G5640" s="18"/>
    </row>
    <row r="5641" spans="2:7" x14ac:dyDescent="0.35">
      <c r="B5641" s="47"/>
      <c r="C5641" s="14"/>
      <c r="D5641" s="14"/>
      <c r="E5641" s="14"/>
      <c r="F5641" s="14"/>
      <c r="G5641" s="18"/>
    </row>
    <row r="5642" spans="2:7" x14ac:dyDescent="0.35">
      <c r="B5642" s="47"/>
      <c r="C5642" s="14"/>
      <c r="D5642" s="14"/>
      <c r="E5642" s="14"/>
      <c r="F5642" s="14"/>
      <c r="G5642" s="18"/>
    </row>
    <row r="5643" spans="2:7" x14ac:dyDescent="0.35">
      <c r="B5643" s="47"/>
      <c r="C5643" s="14"/>
      <c r="D5643" s="14"/>
      <c r="E5643" s="14"/>
      <c r="F5643" s="14"/>
      <c r="G5643" s="18"/>
    </row>
    <row r="5644" spans="2:7" x14ac:dyDescent="0.35">
      <c r="B5644" s="47"/>
      <c r="C5644" s="14"/>
      <c r="D5644" s="14"/>
      <c r="E5644" s="14"/>
      <c r="F5644" s="14"/>
      <c r="G5644" s="18"/>
    </row>
    <row r="5645" spans="2:7" x14ac:dyDescent="0.35">
      <c r="B5645" s="47"/>
      <c r="C5645" s="14"/>
      <c r="D5645" s="14"/>
      <c r="E5645" s="14"/>
      <c r="F5645" s="14"/>
      <c r="G5645" s="18"/>
    </row>
    <row r="5646" spans="2:7" x14ac:dyDescent="0.35">
      <c r="B5646" s="47"/>
      <c r="C5646" s="14"/>
      <c r="D5646" s="14"/>
      <c r="E5646" s="14"/>
      <c r="F5646" s="14"/>
      <c r="G5646" s="18"/>
    </row>
    <row r="5647" spans="2:7" x14ac:dyDescent="0.35">
      <c r="B5647" s="47"/>
      <c r="C5647" s="14"/>
      <c r="D5647" s="14"/>
      <c r="E5647" s="14"/>
      <c r="F5647" s="14"/>
      <c r="G5647" s="18"/>
    </row>
    <row r="5648" spans="2:7" x14ac:dyDescent="0.35">
      <c r="B5648" s="47"/>
      <c r="C5648" s="14"/>
      <c r="D5648" s="14"/>
      <c r="E5648" s="14"/>
      <c r="F5648" s="14"/>
      <c r="G5648" s="18"/>
    </row>
    <row r="5649" spans="2:7" x14ac:dyDescent="0.35">
      <c r="B5649" s="47"/>
      <c r="C5649" s="14"/>
      <c r="D5649" s="14"/>
      <c r="E5649" s="14"/>
      <c r="F5649" s="14"/>
      <c r="G5649" s="18"/>
    </row>
    <row r="5650" spans="2:7" x14ac:dyDescent="0.35">
      <c r="B5650" s="47"/>
      <c r="C5650" s="14"/>
      <c r="D5650" s="14"/>
      <c r="E5650" s="14"/>
      <c r="F5650" s="14"/>
      <c r="G5650" s="18"/>
    </row>
    <row r="5651" spans="2:7" x14ac:dyDescent="0.35">
      <c r="B5651" s="47"/>
      <c r="C5651" s="14"/>
      <c r="D5651" s="14"/>
      <c r="E5651" s="14"/>
      <c r="F5651" s="14"/>
      <c r="G5651" s="18"/>
    </row>
    <row r="5652" spans="2:7" x14ac:dyDescent="0.35">
      <c r="B5652" s="47"/>
      <c r="C5652" s="14"/>
      <c r="D5652" s="14"/>
      <c r="E5652" s="14"/>
      <c r="F5652" s="14"/>
      <c r="G5652" s="18"/>
    </row>
    <row r="5653" spans="2:7" x14ac:dyDescent="0.35">
      <c r="B5653" s="47"/>
      <c r="C5653" s="14"/>
      <c r="D5653" s="14"/>
      <c r="E5653" s="14"/>
      <c r="F5653" s="14"/>
      <c r="G5653" s="18"/>
    </row>
    <row r="5654" spans="2:7" x14ac:dyDescent="0.35">
      <c r="B5654" s="47"/>
      <c r="C5654" s="14"/>
      <c r="D5654" s="14"/>
      <c r="E5654" s="14"/>
      <c r="F5654" s="14"/>
      <c r="G5654" s="18"/>
    </row>
    <row r="5655" spans="2:7" x14ac:dyDescent="0.35">
      <c r="B5655" s="47"/>
      <c r="C5655" s="14"/>
      <c r="D5655" s="14"/>
      <c r="E5655" s="14"/>
      <c r="F5655" s="14"/>
      <c r="G5655" s="18"/>
    </row>
    <row r="5656" spans="2:7" x14ac:dyDescent="0.35">
      <c r="B5656" s="47"/>
      <c r="C5656" s="14"/>
      <c r="D5656" s="14"/>
      <c r="E5656" s="14"/>
      <c r="F5656" s="14"/>
      <c r="G5656" s="18"/>
    </row>
    <row r="5657" spans="2:7" x14ac:dyDescent="0.35">
      <c r="B5657" s="47"/>
      <c r="C5657" s="14"/>
      <c r="D5657" s="14"/>
      <c r="E5657" s="14"/>
      <c r="F5657" s="14"/>
      <c r="G5657" s="18"/>
    </row>
    <row r="5658" spans="2:7" x14ac:dyDescent="0.35">
      <c r="B5658" s="47"/>
      <c r="C5658" s="14"/>
      <c r="D5658" s="14"/>
      <c r="E5658" s="14"/>
      <c r="F5658" s="14"/>
      <c r="G5658" s="18"/>
    </row>
    <row r="5659" spans="2:7" x14ac:dyDescent="0.35">
      <c r="B5659" s="47"/>
      <c r="C5659" s="14"/>
      <c r="D5659" s="14"/>
      <c r="E5659" s="14"/>
      <c r="F5659" s="14"/>
      <c r="G5659" s="18"/>
    </row>
    <row r="5660" spans="2:7" x14ac:dyDescent="0.35">
      <c r="B5660" s="47"/>
      <c r="C5660" s="14"/>
      <c r="D5660" s="14"/>
      <c r="E5660" s="14"/>
      <c r="F5660" s="14"/>
      <c r="G5660" s="18"/>
    </row>
    <row r="5661" spans="2:7" x14ac:dyDescent="0.35">
      <c r="B5661" s="47"/>
      <c r="C5661" s="14"/>
      <c r="D5661" s="14"/>
      <c r="E5661" s="14"/>
      <c r="F5661" s="14"/>
      <c r="G5661" s="18"/>
    </row>
    <row r="5662" spans="2:7" x14ac:dyDescent="0.35">
      <c r="B5662" s="47"/>
      <c r="C5662" s="14"/>
      <c r="D5662" s="14"/>
      <c r="E5662" s="14"/>
      <c r="F5662" s="14"/>
      <c r="G5662" s="18"/>
    </row>
    <row r="5663" spans="2:7" x14ac:dyDescent="0.35">
      <c r="B5663" s="47"/>
      <c r="C5663" s="14"/>
      <c r="D5663" s="14"/>
      <c r="E5663" s="14"/>
      <c r="F5663" s="14"/>
      <c r="G5663" s="18"/>
    </row>
    <row r="5664" spans="2:7" x14ac:dyDescent="0.35">
      <c r="B5664" s="47"/>
      <c r="C5664" s="14"/>
      <c r="D5664" s="14"/>
      <c r="E5664" s="14"/>
      <c r="F5664" s="14"/>
      <c r="G5664" s="18"/>
    </row>
    <row r="5665" spans="2:7" x14ac:dyDescent="0.35">
      <c r="B5665" s="47"/>
      <c r="C5665" s="14"/>
      <c r="D5665" s="14"/>
      <c r="E5665" s="14"/>
      <c r="F5665" s="14"/>
      <c r="G5665" s="18"/>
    </row>
    <row r="5666" spans="2:7" x14ac:dyDescent="0.35">
      <c r="B5666" s="47"/>
      <c r="C5666" s="14"/>
      <c r="D5666" s="14"/>
      <c r="E5666" s="14"/>
      <c r="F5666" s="14"/>
      <c r="G5666" s="18"/>
    </row>
    <row r="5667" spans="2:7" x14ac:dyDescent="0.35">
      <c r="B5667" s="47"/>
      <c r="C5667" s="14"/>
      <c r="D5667" s="14"/>
      <c r="E5667" s="14"/>
      <c r="F5667" s="14"/>
      <c r="G5667" s="18"/>
    </row>
    <row r="5668" spans="2:7" x14ac:dyDescent="0.35">
      <c r="B5668" s="47"/>
      <c r="C5668" s="14"/>
      <c r="D5668" s="14"/>
      <c r="E5668" s="14"/>
      <c r="F5668" s="14"/>
      <c r="G5668" s="18"/>
    </row>
    <row r="5669" spans="2:7" x14ac:dyDescent="0.35">
      <c r="B5669" s="47"/>
      <c r="C5669" s="14"/>
      <c r="D5669" s="14"/>
      <c r="E5669" s="14"/>
      <c r="F5669" s="14"/>
      <c r="G5669" s="18"/>
    </row>
    <row r="5670" spans="2:7" x14ac:dyDescent="0.35">
      <c r="B5670" s="47"/>
      <c r="C5670" s="14"/>
      <c r="D5670" s="14"/>
      <c r="E5670" s="14"/>
      <c r="F5670" s="14"/>
      <c r="G5670" s="18"/>
    </row>
    <row r="5671" spans="2:7" x14ac:dyDescent="0.35">
      <c r="B5671" s="47"/>
      <c r="C5671" s="14"/>
      <c r="D5671" s="14"/>
      <c r="E5671" s="14"/>
      <c r="F5671" s="14"/>
      <c r="G5671" s="18"/>
    </row>
    <row r="5672" spans="2:7" x14ac:dyDescent="0.35">
      <c r="B5672" s="47"/>
      <c r="C5672" s="14"/>
      <c r="D5672" s="14"/>
      <c r="E5672" s="14"/>
      <c r="F5672" s="14"/>
      <c r="G5672" s="18"/>
    </row>
    <row r="5673" spans="2:7" x14ac:dyDescent="0.35">
      <c r="B5673" s="47"/>
      <c r="C5673" s="14"/>
      <c r="D5673" s="14"/>
      <c r="E5673" s="14"/>
      <c r="F5673" s="14"/>
      <c r="G5673" s="18"/>
    </row>
    <row r="5674" spans="2:7" x14ac:dyDescent="0.35">
      <c r="B5674" s="47"/>
      <c r="C5674" s="14"/>
      <c r="D5674" s="14"/>
      <c r="E5674" s="14"/>
      <c r="F5674" s="14"/>
      <c r="G5674" s="18"/>
    </row>
    <row r="5675" spans="2:7" x14ac:dyDescent="0.35">
      <c r="B5675" s="47"/>
      <c r="C5675" s="14"/>
      <c r="D5675" s="14"/>
      <c r="E5675" s="14"/>
      <c r="F5675" s="14"/>
      <c r="G5675" s="18"/>
    </row>
    <row r="5676" spans="2:7" x14ac:dyDescent="0.35">
      <c r="B5676" s="47"/>
      <c r="C5676" s="14"/>
      <c r="D5676" s="14"/>
      <c r="E5676" s="14"/>
      <c r="F5676" s="14"/>
      <c r="G5676" s="18"/>
    </row>
    <row r="5677" spans="2:7" x14ac:dyDescent="0.35">
      <c r="B5677" s="47"/>
      <c r="C5677" s="14"/>
      <c r="D5677" s="14"/>
      <c r="E5677" s="14"/>
      <c r="F5677" s="14"/>
      <c r="G5677" s="18"/>
    </row>
    <row r="5678" spans="2:7" x14ac:dyDescent="0.35">
      <c r="B5678" s="47"/>
      <c r="C5678" s="14"/>
      <c r="D5678" s="14"/>
      <c r="E5678" s="14"/>
      <c r="F5678" s="14"/>
      <c r="G5678" s="18"/>
    </row>
    <row r="5679" spans="2:7" x14ac:dyDescent="0.35">
      <c r="B5679" s="47"/>
      <c r="C5679" s="14"/>
      <c r="D5679" s="14"/>
      <c r="E5679" s="14"/>
      <c r="F5679" s="14"/>
      <c r="G5679" s="18"/>
    </row>
    <row r="5680" spans="2:7" x14ac:dyDescent="0.35">
      <c r="B5680" s="47"/>
      <c r="C5680" s="14"/>
      <c r="D5680" s="14"/>
      <c r="E5680" s="14"/>
      <c r="F5680" s="14"/>
      <c r="G5680" s="18"/>
    </row>
    <row r="5681" spans="2:7" x14ac:dyDescent="0.35">
      <c r="B5681" s="47"/>
      <c r="C5681" s="14"/>
      <c r="D5681" s="14"/>
      <c r="E5681" s="14"/>
      <c r="F5681" s="14"/>
      <c r="G5681" s="18"/>
    </row>
    <row r="5682" spans="2:7" x14ac:dyDescent="0.35">
      <c r="B5682" s="47"/>
      <c r="C5682" s="14"/>
      <c r="D5682" s="14"/>
      <c r="E5682" s="14"/>
      <c r="F5682" s="14"/>
      <c r="G5682" s="18"/>
    </row>
    <row r="5683" spans="2:7" x14ac:dyDescent="0.35">
      <c r="B5683" s="47"/>
      <c r="C5683" s="14"/>
      <c r="D5683" s="14"/>
      <c r="E5683" s="14"/>
      <c r="F5683" s="14"/>
      <c r="G5683" s="18"/>
    </row>
    <row r="5684" spans="2:7" x14ac:dyDescent="0.35">
      <c r="B5684" s="47"/>
      <c r="C5684" s="14"/>
      <c r="D5684" s="14"/>
      <c r="E5684" s="14"/>
      <c r="F5684" s="14"/>
      <c r="G5684" s="18"/>
    </row>
    <row r="5685" spans="2:7" x14ac:dyDescent="0.35">
      <c r="B5685" s="47"/>
      <c r="C5685" s="14"/>
      <c r="D5685" s="14"/>
      <c r="E5685" s="14"/>
      <c r="F5685" s="14"/>
      <c r="G5685" s="18"/>
    </row>
    <row r="5686" spans="2:7" x14ac:dyDescent="0.35">
      <c r="B5686" s="47"/>
      <c r="C5686" s="14"/>
      <c r="D5686" s="14"/>
      <c r="E5686" s="14"/>
      <c r="F5686" s="14"/>
      <c r="G5686" s="18"/>
    </row>
    <row r="5687" spans="2:7" x14ac:dyDescent="0.35">
      <c r="B5687" s="47"/>
      <c r="C5687" s="14"/>
      <c r="D5687" s="14"/>
      <c r="E5687" s="14"/>
      <c r="F5687" s="14"/>
      <c r="G5687" s="18"/>
    </row>
    <row r="5688" spans="2:7" x14ac:dyDescent="0.35">
      <c r="B5688" s="47"/>
      <c r="C5688" s="14"/>
      <c r="D5688" s="14"/>
      <c r="E5688" s="14"/>
      <c r="F5688" s="14"/>
      <c r="G5688" s="18"/>
    </row>
    <row r="5689" spans="2:7" x14ac:dyDescent="0.35">
      <c r="B5689" s="47"/>
      <c r="C5689" s="14"/>
      <c r="D5689" s="14"/>
      <c r="E5689" s="14"/>
      <c r="F5689" s="14"/>
      <c r="G5689" s="18"/>
    </row>
    <row r="5690" spans="2:7" x14ac:dyDescent="0.35">
      <c r="B5690" s="47"/>
      <c r="C5690" s="14"/>
      <c r="D5690" s="14"/>
      <c r="E5690" s="14"/>
      <c r="F5690" s="14"/>
      <c r="G5690" s="18"/>
    </row>
    <row r="5691" spans="2:7" x14ac:dyDescent="0.35">
      <c r="B5691" s="47"/>
      <c r="C5691" s="14"/>
      <c r="D5691" s="14"/>
      <c r="E5691" s="14"/>
      <c r="F5691" s="14"/>
      <c r="G5691" s="18"/>
    </row>
    <row r="5692" spans="2:7" x14ac:dyDescent="0.35">
      <c r="B5692" s="47"/>
      <c r="C5692" s="14"/>
      <c r="D5692" s="14"/>
      <c r="E5692" s="14"/>
      <c r="F5692" s="14"/>
      <c r="G5692" s="18"/>
    </row>
    <row r="5693" spans="2:7" x14ac:dyDescent="0.35">
      <c r="B5693" s="47"/>
      <c r="C5693" s="14"/>
      <c r="D5693" s="14"/>
      <c r="E5693" s="14"/>
      <c r="F5693" s="14"/>
      <c r="G5693" s="18"/>
    </row>
    <row r="5694" spans="2:7" x14ac:dyDescent="0.35">
      <c r="B5694" s="47"/>
      <c r="C5694" s="14"/>
      <c r="D5694" s="14"/>
      <c r="E5694" s="14"/>
      <c r="F5694" s="14"/>
      <c r="G5694" s="18"/>
    </row>
    <row r="5695" spans="2:7" x14ac:dyDescent="0.35">
      <c r="B5695" s="47"/>
      <c r="C5695" s="14"/>
      <c r="D5695" s="14"/>
      <c r="E5695" s="14"/>
      <c r="F5695" s="14"/>
      <c r="G5695" s="18"/>
    </row>
    <row r="5696" spans="2:7" x14ac:dyDescent="0.35">
      <c r="B5696" s="47"/>
      <c r="C5696" s="14"/>
      <c r="D5696" s="14"/>
      <c r="E5696" s="14"/>
      <c r="F5696" s="14"/>
      <c r="G5696" s="18"/>
    </row>
    <row r="5697" spans="2:7" x14ac:dyDescent="0.35">
      <c r="B5697" s="47"/>
      <c r="C5697" s="14"/>
      <c r="D5697" s="14"/>
      <c r="E5697" s="14"/>
      <c r="F5697" s="14"/>
      <c r="G5697" s="18"/>
    </row>
    <row r="5698" spans="2:7" x14ac:dyDescent="0.35">
      <c r="B5698" s="47"/>
      <c r="C5698" s="14"/>
      <c r="D5698" s="14"/>
      <c r="E5698" s="14"/>
      <c r="F5698" s="14"/>
      <c r="G5698" s="18"/>
    </row>
    <row r="5699" spans="2:7" x14ac:dyDescent="0.35">
      <c r="B5699" s="47"/>
      <c r="C5699" s="14"/>
      <c r="D5699" s="14"/>
      <c r="E5699" s="14"/>
      <c r="F5699" s="14"/>
      <c r="G5699" s="18"/>
    </row>
    <row r="5700" spans="2:7" x14ac:dyDescent="0.35">
      <c r="B5700" s="47"/>
      <c r="C5700" s="14"/>
      <c r="D5700" s="14"/>
      <c r="E5700" s="14"/>
      <c r="F5700" s="14"/>
      <c r="G5700" s="18"/>
    </row>
    <row r="5701" spans="2:7" x14ac:dyDescent="0.35">
      <c r="B5701" s="47"/>
      <c r="C5701" s="14"/>
      <c r="D5701" s="14"/>
      <c r="E5701" s="14"/>
      <c r="F5701" s="14"/>
      <c r="G5701" s="18"/>
    </row>
    <row r="5702" spans="2:7" x14ac:dyDescent="0.35">
      <c r="B5702" s="47"/>
      <c r="C5702" s="14"/>
      <c r="D5702" s="14"/>
      <c r="E5702" s="14"/>
      <c r="F5702" s="14"/>
      <c r="G5702" s="18"/>
    </row>
    <row r="5703" spans="2:7" x14ac:dyDescent="0.35">
      <c r="B5703" s="47"/>
      <c r="C5703" s="14"/>
      <c r="D5703" s="14"/>
      <c r="E5703" s="14"/>
      <c r="F5703" s="14"/>
      <c r="G5703" s="18"/>
    </row>
    <row r="5704" spans="2:7" x14ac:dyDescent="0.35">
      <c r="B5704" s="47"/>
      <c r="C5704" s="14"/>
      <c r="D5704" s="14"/>
      <c r="E5704" s="14"/>
      <c r="F5704" s="14"/>
      <c r="G5704" s="18"/>
    </row>
    <row r="5705" spans="2:7" x14ac:dyDescent="0.35">
      <c r="B5705" s="47"/>
      <c r="C5705" s="14"/>
      <c r="D5705" s="14"/>
      <c r="E5705" s="14"/>
      <c r="F5705" s="14"/>
      <c r="G5705" s="18"/>
    </row>
    <row r="5706" spans="2:7" x14ac:dyDescent="0.35">
      <c r="B5706" s="47"/>
      <c r="C5706" s="14"/>
      <c r="D5706" s="14"/>
      <c r="E5706" s="14"/>
      <c r="F5706" s="14"/>
      <c r="G5706" s="18"/>
    </row>
    <row r="5707" spans="2:7" x14ac:dyDescent="0.35">
      <c r="B5707" s="47"/>
      <c r="C5707" s="14"/>
      <c r="D5707" s="14"/>
      <c r="E5707" s="14"/>
      <c r="F5707" s="14"/>
      <c r="G5707" s="18"/>
    </row>
    <row r="5708" spans="2:7" x14ac:dyDescent="0.35">
      <c r="B5708" s="47"/>
      <c r="C5708" s="14"/>
      <c r="D5708" s="14"/>
      <c r="E5708" s="14"/>
      <c r="F5708" s="14"/>
      <c r="G5708" s="18"/>
    </row>
    <row r="5709" spans="2:7" x14ac:dyDescent="0.35">
      <c r="B5709" s="47"/>
      <c r="C5709" s="14"/>
      <c r="D5709" s="14"/>
      <c r="E5709" s="14"/>
      <c r="F5709" s="14"/>
      <c r="G5709" s="18"/>
    </row>
    <row r="5710" spans="2:7" x14ac:dyDescent="0.35">
      <c r="B5710" s="47"/>
      <c r="C5710" s="14"/>
      <c r="D5710" s="14"/>
      <c r="E5710" s="14"/>
      <c r="F5710" s="14"/>
      <c r="G5710" s="18"/>
    </row>
    <row r="5711" spans="2:7" x14ac:dyDescent="0.35">
      <c r="B5711" s="47"/>
      <c r="C5711" s="14"/>
      <c r="D5711" s="14"/>
      <c r="E5711" s="14"/>
      <c r="F5711" s="14"/>
      <c r="G5711" s="18"/>
    </row>
    <row r="5712" spans="2:7" x14ac:dyDescent="0.35">
      <c r="B5712" s="47"/>
      <c r="C5712" s="14"/>
      <c r="D5712" s="14"/>
      <c r="E5712" s="14"/>
      <c r="F5712" s="14"/>
      <c r="G5712" s="18"/>
    </row>
    <row r="5713" spans="2:7" x14ac:dyDescent="0.35">
      <c r="B5713" s="47"/>
      <c r="C5713" s="14"/>
      <c r="D5713" s="14"/>
      <c r="E5713" s="14"/>
      <c r="F5713" s="14"/>
      <c r="G5713" s="18"/>
    </row>
    <row r="5714" spans="2:7" x14ac:dyDescent="0.35">
      <c r="B5714" s="47"/>
      <c r="C5714" s="14"/>
      <c r="D5714" s="14"/>
      <c r="E5714" s="14"/>
      <c r="F5714" s="14"/>
      <c r="G5714" s="18"/>
    </row>
    <row r="5715" spans="2:7" x14ac:dyDescent="0.35">
      <c r="B5715" s="47"/>
      <c r="C5715" s="14"/>
      <c r="D5715" s="14"/>
      <c r="E5715" s="14"/>
      <c r="F5715" s="14"/>
      <c r="G5715" s="18"/>
    </row>
    <row r="5716" spans="2:7" x14ac:dyDescent="0.35">
      <c r="B5716" s="47"/>
      <c r="C5716" s="14"/>
      <c r="D5716" s="14"/>
      <c r="E5716" s="14"/>
      <c r="F5716" s="14"/>
      <c r="G5716" s="18"/>
    </row>
    <row r="5717" spans="2:7" x14ac:dyDescent="0.35">
      <c r="B5717" s="47"/>
      <c r="C5717" s="14"/>
      <c r="D5717" s="14"/>
      <c r="E5717" s="14"/>
      <c r="F5717" s="14"/>
      <c r="G5717" s="18"/>
    </row>
    <row r="5718" spans="2:7" x14ac:dyDescent="0.35">
      <c r="B5718" s="47"/>
      <c r="C5718" s="14"/>
      <c r="D5718" s="14"/>
      <c r="E5718" s="14"/>
      <c r="F5718" s="14"/>
      <c r="G5718" s="18"/>
    </row>
    <row r="5719" spans="2:7" x14ac:dyDescent="0.35">
      <c r="B5719" s="47"/>
      <c r="C5719" s="14"/>
      <c r="D5719" s="14"/>
      <c r="E5719" s="14"/>
      <c r="F5719" s="14"/>
      <c r="G5719" s="18"/>
    </row>
    <row r="5720" spans="2:7" x14ac:dyDescent="0.35">
      <c r="B5720" s="47"/>
      <c r="C5720" s="14"/>
      <c r="D5720" s="14"/>
      <c r="E5720" s="14"/>
      <c r="F5720" s="14"/>
      <c r="G5720" s="18"/>
    </row>
    <row r="5721" spans="2:7" x14ac:dyDescent="0.35">
      <c r="B5721" s="47"/>
      <c r="C5721" s="14"/>
      <c r="D5721" s="14"/>
      <c r="E5721" s="14"/>
      <c r="F5721" s="14"/>
      <c r="G5721" s="18"/>
    </row>
    <row r="5722" spans="2:7" x14ac:dyDescent="0.35">
      <c r="B5722" s="47"/>
      <c r="C5722" s="14"/>
      <c r="D5722" s="14"/>
      <c r="E5722" s="14"/>
      <c r="F5722" s="14"/>
      <c r="G5722" s="18"/>
    </row>
    <row r="5723" spans="2:7" x14ac:dyDescent="0.35">
      <c r="B5723" s="47"/>
      <c r="C5723" s="14"/>
      <c r="D5723" s="14"/>
      <c r="E5723" s="14"/>
      <c r="F5723" s="14"/>
      <c r="G5723" s="18"/>
    </row>
    <row r="5724" spans="2:7" x14ac:dyDescent="0.35">
      <c r="B5724" s="47"/>
      <c r="C5724" s="14"/>
      <c r="D5724" s="14"/>
      <c r="E5724" s="14"/>
      <c r="F5724" s="14"/>
      <c r="G5724" s="18"/>
    </row>
    <row r="5725" spans="2:7" x14ac:dyDescent="0.35">
      <c r="B5725" s="47"/>
      <c r="C5725" s="14"/>
      <c r="D5725" s="14"/>
      <c r="E5725" s="14"/>
      <c r="F5725" s="14"/>
      <c r="G5725" s="18"/>
    </row>
    <row r="5726" spans="2:7" x14ac:dyDescent="0.35">
      <c r="B5726" s="47"/>
      <c r="C5726" s="14"/>
      <c r="D5726" s="14"/>
      <c r="E5726" s="14"/>
      <c r="F5726" s="14"/>
      <c r="G5726" s="18"/>
    </row>
    <row r="5727" spans="2:7" x14ac:dyDescent="0.35">
      <c r="B5727" s="47"/>
      <c r="C5727" s="14"/>
      <c r="D5727" s="14"/>
      <c r="E5727" s="14"/>
      <c r="F5727" s="14"/>
      <c r="G5727" s="18"/>
    </row>
    <row r="5728" spans="2:7" x14ac:dyDescent="0.35">
      <c r="B5728" s="47"/>
      <c r="C5728" s="14"/>
      <c r="D5728" s="14"/>
      <c r="E5728" s="14"/>
      <c r="F5728" s="14"/>
      <c r="G5728" s="18"/>
    </row>
    <row r="5729" spans="2:7" x14ac:dyDescent="0.35">
      <c r="B5729" s="47"/>
      <c r="C5729" s="14"/>
      <c r="D5729" s="14"/>
      <c r="E5729" s="14"/>
      <c r="F5729" s="14"/>
      <c r="G5729" s="18"/>
    </row>
    <row r="5730" spans="2:7" x14ac:dyDescent="0.35">
      <c r="B5730" s="47"/>
      <c r="C5730" s="14"/>
      <c r="D5730" s="14"/>
      <c r="E5730" s="14"/>
      <c r="F5730" s="14"/>
      <c r="G5730" s="18"/>
    </row>
    <row r="5731" spans="2:7" x14ac:dyDescent="0.35">
      <c r="B5731" s="47"/>
      <c r="C5731" s="14"/>
      <c r="D5731" s="14"/>
      <c r="E5731" s="14"/>
      <c r="F5731" s="14"/>
      <c r="G5731" s="18"/>
    </row>
    <row r="5732" spans="2:7" x14ac:dyDescent="0.35">
      <c r="B5732" s="47"/>
      <c r="C5732" s="14"/>
      <c r="D5732" s="14"/>
      <c r="E5732" s="14"/>
      <c r="F5732" s="14"/>
      <c r="G5732" s="18"/>
    </row>
    <row r="5733" spans="2:7" x14ac:dyDescent="0.35">
      <c r="B5733" s="47"/>
      <c r="C5733" s="14"/>
      <c r="D5733" s="14"/>
      <c r="E5733" s="14"/>
      <c r="F5733" s="14"/>
      <c r="G5733" s="18"/>
    </row>
    <row r="5734" spans="2:7" x14ac:dyDescent="0.35">
      <c r="B5734" s="47"/>
      <c r="C5734" s="14"/>
      <c r="D5734" s="14"/>
      <c r="E5734" s="14"/>
      <c r="F5734" s="14"/>
      <c r="G5734" s="18"/>
    </row>
    <row r="5735" spans="2:7" x14ac:dyDescent="0.35">
      <c r="B5735" s="47"/>
      <c r="C5735" s="14"/>
      <c r="D5735" s="14"/>
      <c r="E5735" s="14"/>
      <c r="F5735" s="14"/>
      <c r="G5735" s="18"/>
    </row>
    <row r="5736" spans="2:7" x14ac:dyDescent="0.35">
      <c r="B5736" s="47"/>
      <c r="C5736" s="14"/>
      <c r="D5736" s="14"/>
      <c r="E5736" s="14"/>
      <c r="F5736" s="14"/>
      <c r="G5736" s="18"/>
    </row>
    <row r="5737" spans="2:7" x14ac:dyDescent="0.35">
      <c r="B5737" s="47"/>
      <c r="C5737" s="14"/>
      <c r="D5737" s="14"/>
      <c r="E5737" s="14"/>
      <c r="F5737" s="14"/>
      <c r="G5737" s="18"/>
    </row>
    <row r="5738" spans="2:7" x14ac:dyDescent="0.35">
      <c r="B5738" s="47"/>
      <c r="C5738" s="14"/>
      <c r="D5738" s="14"/>
      <c r="E5738" s="14"/>
      <c r="F5738" s="14"/>
      <c r="G5738" s="18"/>
    </row>
    <row r="5739" spans="2:7" x14ac:dyDescent="0.35">
      <c r="B5739" s="47"/>
      <c r="C5739" s="14"/>
      <c r="D5739" s="14"/>
      <c r="E5739" s="14"/>
      <c r="F5739" s="14"/>
      <c r="G5739" s="18"/>
    </row>
    <row r="5740" spans="2:7" x14ac:dyDescent="0.35">
      <c r="B5740" s="47"/>
      <c r="C5740" s="14"/>
      <c r="D5740" s="14"/>
      <c r="E5740" s="14"/>
      <c r="F5740" s="14"/>
      <c r="G5740" s="18"/>
    </row>
    <row r="5741" spans="2:7" x14ac:dyDescent="0.35">
      <c r="B5741" s="47"/>
      <c r="C5741" s="14"/>
      <c r="D5741" s="14"/>
      <c r="E5741" s="14"/>
      <c r="F5741" s="14"/>
      <c r="G5741" s="18"/>
    </row>
    <row r="5742" spans="2:7" x14ac:dyDescent="0.35">
      <c r="B5742" s="47"/>
      <c r="C5742" s="14"/>
      <c r="D5742" s="14"/>
      <c r="E5742" s="14"/>
      <c r="F5742" s="14"/>
      <c r="G5742" s="18"/>
    </row>
    <row r="5743" spans="2:7" x14ac:dyDescent="0.35">
      <c r="B5743" s="47"/>
      <c r="C5743" s="14"/>
      <c r="D5743" s="14"/>
      <c r="E5743" s="14"/>
      <c r="F5743" s="14"/>
      <c r="G5743" s="18"/>
    </row>
    <row r="5744" spans="2:7" x14ac:dyDescent="0.35">
      <c r="B5744" s="47"/>
      <c r="C5744" s="14"/>
      <c r="D5744" s="14"/>
      <c r="E5744" s="14"/>
      <c r="F5744" s="14"/>
      <c r="G5744" s="18"/>
    </row>
    <row r="5745" spans="2:7" x14ac:dyDescent="0.35">
      <c r="B5745" s="47"/>
      <c r="C5745" s="14"/>
      <c r="D5745" s="14"/>
      <c r="E5745" s="14"/>
      <c r="F5745" s="14"/>
      <c r="G5745" s="18"/>
    </row>
    <row r="5746" spans="2:7" x14ac:dyDescent="0.35">
      <c r="B5746" s="47"/>
      <c r="C5746" s="14"/>
      <c r="D5746" s="14"/>
      <c r="E5746" s="14"/>
      <c r="F5746" s="14"/>
      <c r="G5746" s="18"/>
    </row>
    <row r="5747" spans="2:7" x14ac:dyDescent="0.35">
      <c r="B5747" s="47"/>
      <c r="C5747" s="14"/>
      <c r="D5747" s="14"/>
      <c r="E5747" s="14"/>
      <c r="F5747" s="14"/>
      <c r="G5747" s="18"/>
    </row>
    <row r="5748" spans="2:7" x14ac:dyDescent="0.35">
      <c r="B5748" s="47"/>
      <c r="C5748" s="14"/>
      <c r="D5748" s="14"/>
      <c r="E5748" s="14"/>
      <c r="F5748" s="14"/>
      <c r="G5748" s="18"/>
    </row>
    <row r="5749" spans="2:7" x14ac:dyDescent="0.35">
      <c r="B5749" s="47"/>
      <c r="C5749" s="14"/>
      <c r="D5749" s="14"/>
      <c r="E5749" s="14"/>
      <c r="F5749" s="14"/>
      <c r="G5749" s="18"/>
    </row>
    <row r="5750" spans="2:7" x14ac:dyDescent="0.35">
      <c r="B5750" s="47"/>
      <c r="C5750" s="14"/>
      <c r="D5750" s="14"/>
      <c r="E5750" s="14"/>
      <c r="F5750" s="14"/>
      <c r="G5750" s="18"/>
    </row>
    <row r="5751" spans="2:7" x14ac:dyDescent="0.35">
      <c r="B5751" s="47"/>
      <c r="C5751" s="14"/>
      <c r="D5751" s="14"/>
      <c r="E5751" s="14"/>
      <c r="F5751" s="14"/>
      <c r="G5751" s="18"/>
    </row>
    <row r="5752" spans="2:7" x14ac:dyDescent="0.35">
      <c r="B5752" s="47"/>
      <c r="C5752" s="14"/>
      <c r="D5752" s="14"/>
      <c r="E5752" s="14"/>
      <c r="F5752" s="14"/>
      <c r="G5752" s="18"/>
    </row>
    <row r="5753" spans="2:7" x14ac:dyDescent="0.35">
      <c r="B5753" s="47"/>
      <c r="C5753" s="14"/>
      <c r="D5753" s="14"/>
      <c r="E5753" s="14"/>
      <c r="F5753" s="14"/>
      <c r="G5753" s="18"/>
    </row>
    <row r="5754" spans="2:7" x14ac:dyDescent="0.35">
      <c r="B5754" s="47"/>
      <c r="C5754" s="14"/>
      <c r="D5754" s="14"/>
      <c r="E5754" s="14"/>
      <c r="F5754" s="14"/>
      <c r="G5754" s="18"/>
    </row>
    <row r="5755" spans="2:7" x14ac:dyDescent="0.35">
      <c r="B5755" s="47"/>
      <c r="C5755" s="14"/>
      <c r="D5755" s="14"/>
      <c r="E5755" s="14"/>
      <c r="F5755" s="14"/>
      <c r="G5755" s="18"/>
    </row>
    <row r="5756" spans="2:7" x14ac:dyDescent="0.35">
      <c r="B5756" s="47"/>
      <c r="C5756" s="14"/>
      <c r="D5756" s="14"/>
      <c r="E5756" s="14"/>
      <c r="F5756" s="14"/>
      <c r="G5756" s="18"/>
    </row>
    <row r="5757" spans="2:7" x14ac:dyDescent="0.35">
      <c r="B5757" s="47"/>
      <c r="C5757" s="14"/>
      <c r="D5757" s="14"/>
      <c r="E5757" s="14"/>
      <c r="F5757" s="14"/>
      <c r="G5757" s="18"/>
    </row>
    <row r="5758" spans="2:7" x14ac:dyDescent="0.35">
      <c r="B5758" s="47"/>
      <c r="C5758" s="14"/>
      <c r="D5758" s="14"/>
      <c r="E5758" s="14"/>
      <c r="F5758" s="14"/>
      <c r="G5758" s="18"/>
    </row>
    <row r="5759" spans="2:7" x14ac:dyDescent="0.35">
      <c r="B5759" s="47"/>
      <c r="C5759" s="14"/>
      <c r="D5759" s="14"/>
      <c r="E5759" s="14"/>
      <c r="F5759" s="14"/>
      <c r="G5759" s="18"/>
    </row>
    <row r="5760" spans="2:7" x14ac:dyDescent="0.35">
      <c r="B5760" s="47"/>
      <c r="C5760" s="14"/>
      <c r="D5760" s="14"/>
      <c r="E5760" s="14"/>
      <c r="F5760" s="14"/>
      <c r="G5760" s="18"/>
    </row>
    <row r="5761" spans="2:7" x14ac:dyDescent="0.35">
      <c r="B5761" s="47"/>
      <c r="C5761" s="14"/>
      <c r="D5761" s="14"/>
      <c r="E5761" s="14"/>
      <c r="F5761" s="14"/>
      <c r="G5761" s="18"/>
    </row>
    <row r="5762" spans="2:7" x14ac:dyDescent="0.35">
      <c r="B5762" s="47"/>
      <c r="C5762" s="14"/>
      <c r="D5762" s="14"/>
      <c r="E5762" s="14"/>
      <c r="F5762" s="14"/>
      <c r="G5762" s="18"/>
    </row>
    <row r="5763" spans="2:7" x14ac:dyDescent="0.35">
      <c r="B5763" s="47"/>
      <c r="C5763" s="14"/>
      <c r="D5763" s="14"/>
      <c r="E5763" s="14"/>
      <c r="F5763" s="14"/>
      <c r="G5763" s="18"/>
    </row>
    <row r="5764" spans="2:7" x14ac:dyDescent="0.35">
      <c r="B5764" s="47"/>
      <c r="C5764" s="14"/>
      <c r="D5764" s="14"/>
      <c r="E5764" s="14"/>
      <c r="F5764" s="14"/>
      <c r="G5764" s="18"/>
    </row>
    <row r="5765" spans="2:7" x14ac:dyDescent="0.35">
      <c r="B5765" s="47"/>
      <c r="C5765" s="14"/>
      <c r="D5765" s="14"/>
      <c r="E5765" s="14"/>
      <c r="F5765" s="14"/>
      <c r="G5765" s="18"/>
    </row>
    <row r="5766" spans="2:7" x14ac:dyDescent="0.35">
      <c r="B5766" s="47"/>
      <c r="C5766" s="14"/>
      <c r="D5766" s="14"/>
      <c r="E5766" s="14"/>
      <c r="F5766" s="14"/>
      <c r="G5766" s="18"/>
    </row>
    <row r="5767" spans="2:7" x14ac:dyDescent="0.35">
      <c r="B5767" s="47"/>
      <c r="C5767" s="14"/>
      <c r="D5767" s="14"/>
      <c r="E5767" s="14"/>
      <c r="F5767" s="14"/>
      <c r="G5767" s="18"/>
    </row>
    <row r="5768" spans="2:7" x14ac:dyDescent="0.35">
      <c r="B5768" s="47"/>
      <c r="C5768" s="14"/>
      <c r="D5768" s="14"/>
      <c r="E5768" s="14"/>
      <c r="F5768" s="14"/>
      <c r="G5768" s="18"/>
    </row>
    <row r="5769" spans="2:7" x14ac:dyDescent="0.35">
      <c r="B5769" s="47"/>
      <c r="C5769" s="14"/>
      <c r="D5769" s="14"/>
      <c r="E5769" s="14"/>
      <c r="F5769" s="14"/>
      <c r="G5769" s="18"/>
    </row>
    <row r="5770" spans="2:7" x14ac:dyDescent="0.35">
      <c r="B5770" s="47"/>
      <c r="C5770" s="14"/>
      <c r="D5770" s="14"/>
      <c r="E5770" s="14"/>
      <c r="F5770" s="14"/>
      <c r="G5770" s="18"/>
    </row>
    <row r="5771" spans="2:7" x14ac:dyDescent="0.35">
      <c r="B5771" s="47"/>
      <c r="C5771" s="14"/>
      <c r="D5771" s="14"/>
      <c r="E5771" s="14"/>
      <c r="F5771" s="14"/>
      <c r="G5771" s="18"/>
    </row>
    <row r="5772" spans="2:7" x14ac:dyDescent="0.35">
      <c r="B5772" s="47"/>
      <c r="C5772" s="14"/>
      <c r="D5772" s="14"/>
      <c r="E5772" s="14"/>
      <c r="F5772" s="14"/>
      <c r="G5772" s="18"/>
    </row>
    <row r="5773" spans="2:7" x14ac:dyDescent="0.35">
      <c r="B5773" s="47"/>
      <c r="C5773" s="14"/>
      <c r="D5773" s="14"/>
      <c r="E5773" s="14"/>
      <c r="F5773" s="14"/>
      <c r="G5773" s="18"/>
    </row>
    <row r="5774" spans="2:7" x14ac:dyDescent="0.35">
      <c r="B5774" s="47"/>
      <c r="C5774" s="14"/>
      <c r="D5774" s="14"/>
      <c r="E5774" s="14"/>
      <c r="F5774" s="14"/>
      <c r="G5774" s="18"/>
    </row>
    <row r="5775" spans="2:7" x14ac:dyDescent="0.35">
      <c r="B5775" s="47"/>
      <c r="C5775" s="14"/>
      <c r="D5775" s="14"/>
      <c r="E5775" s="14"/>
      <c r="F5775" s="14"/>
      <c r="G5775" s="18"/>
    </row>
    <row r="5776" spans="2:7" x14ac:dyDescent="0.35">
      <c r="B5776" s="47"/>
      <c r="C5776" s="14"/>
      <c r="D5776" s="14"/>
      <c r="E5776" s="14"/>
      <c r="F5776" s="14"/>
      <c r="G5776" s="18"/>
    </row>
    <row r="5777" spans="2:7" x14ac:dyDescent="0.35">
      <c r="B5777" s="47"/>
      <c r="C5777" s="14"/>
      <c r="D5777" s="14"/>
      <c r="E5777" s="14"/>
      <c r="F5777" s="14"/>
      <c r="G5777" s="18"/>
    </row>
    <row r="5778" spans="2:7" x14ac:dyDescent="0.35">
      <c r="B5778" s="47"/>
      <c r="C5778" s="14"/>
      <c r="D5778" s="14"/>
      <c r="E5778" s="14"/>
      <c r="F5778" s="14"/>
      <c r="G5778" s="18"/>
    </row>
    <row r="5779" spans="2:7" x14ac:dyDescent="0.35">
      <c r="B5779" s="47"/>
      <c r="C5779" s="14"/>
      <c r="D5779" s="14"/>
      <c r="E5779" s="14"/>
      <c r="F5779" s="14"/>
      <c r="G5779" s="18"/>
    </row>
    <row r="5780" spans="2:7" x14ac:dyDescent="0.35">
      <c r="B5780" s="47"/>
      <c r="C5780" s="14"/>
      <c r="D5780" s="14"/>
      <c r="E5780" s="14"/>
      <c r="F5780" s="14"/>
      <c r="G5780" s="18"/>
    </row>
    <row r="5781" spans="2:7" x14ac:dyDescent="0.35">
      <c r="B5781" s="47"/>
      <c r="C5781" s="14"/>
      <c r="D5781" s="14"/>
      <c r="E5781" s="14"/>
      <c r="F5781" s="14"/>
      <c r="G5781" s="18"/>
    </row>
    <row r="5782" spans="2:7" x14ac:dyDescent="0.35">
      <c r="B5782" s="47"/>
      <c r="C5782" s="14"/>
      <c r="D5782" s="14"/>
      <c r="E5782" s="14"/>
      <c r="F5782" s="14"/>
      <c r="G5782" s="18"/>
    </row>
    <row r="5783" spans="2:7" x14ac:dyDescent="0.35">
      <c r="B5783" s="47"/>
      <c r="C5783" s="14"/>
      <c r="D5783" s="14"/>
      <c r="E5783" s="14"/>
      <c r="F5783" s="14"/>
      <c r="G5783" s="18"/>
    </row>
    <row r="5784" spans="2:7" x14ac:dyDescent="0.35">
      <c r="B5784" s="47"/>
      <c r="C5784" s="14"/>
      <c r="D5784" s="14"/>
      <c r="E5784" s="14"/>
      <c r="F5784" s="14"/>
      <c r="G5784" s="18"/>
    </row>
    <row r="5785" spans="2:7" x14ac:dyDescent="0.35">
      <c r="B5785" s="47"/>
      <c r="C5785" s="14"/>
      <c r="D5785" s="14"/>
      <c r="E5785" s="14"/>
      <c r="F5785" s="14"/>
      <c r="G5785" s="18"/>
    </row>
    <row r="5786" spans="2:7" x14ac:dyDescent="0.35">
      <c r="B5786" s="47"/>
      <c r="C5786" s="14"/>
      <c r="D5786" s="14"/>
      <c r="E5786" s="14"/>
      <c r="F5786" s="14"/>
      <c r="G5786" s="18"/>
    </row>
    <row r="5787" spans="2:7" x14ac:dyDescent="0.35">
      <c r="B5787" s="47"/>
      <c r="C5787" s="14"/>
      <c r="D5787" s="14"/>
      <c r="E5787" s="14"/>
      <c r="F5787" s="14"/>
      <c r="G5787" s="18"/>
    </row>
    <row r="5788" spans="2:7" x14ac:dyDescent="0.35">
      <c r="B5788" s="47"/>
      <c r="C5788" s="14"/>
      <c r="D5788" s="14"/>
      <c r="E5788" s="14"/>
      <c r="F5788" s="14"/>
      <c r="G5788" s="18"/>
    </row>
    <row r="5789" spans="2:7" x14ac:dyDescent="0.35">
      <c r="B5789" s="47"/>
      <c r="C5789" s="14"/>
      <c r="D5789" s="14"/>
      <c r="E5789" s="14"/>
      <c r="F5789" s="14"/>
      <c r="G5789" s="18"/>
    </row>
    <row r="5790" spans="2:7" x14ac:dyDescent="0.35">
      <c r="B5790" s="47"/>
      <c r="C5790" s="14"/>
      <c r="D5790" s="14"/>
      <c r="E5790" s="14"/>
      <c r="F5790" s="14"/>
      <c r="G5790" s="18"/>
    </row>
    <row r="5791" spans="2:7" x14ac:dyDescent="0.35">
      <c r="B5791" s="47"/>
      <c r="C5791" s="14"/>
      <c r="D5791" s="14"/>
      <c r="E5791" s="14"/>
      <c r="F5791" s="14"/>
      <c r="G5791" s="18"/>
    </row>
    <row r="5792" spans="2:7" x14ac:dyDescent="0.35">
      <c r="B5792" s="47"/>
      <c r="C5792" s="14"/>
      <c r="D5792" s="14"/>
      <c r="E5792" s="14"/>
      <c r="F5792" s="14"/>
      <c r="G5792" s="18"/>
    </row>
    <row r="5793" spans="2:7" x14ac:dyDescent="0.35">
      <c r="B5793" s="47"/>
      <c r="C5793" s="14"/>
      <c r="D5793" s="14"/>
      <c r="E5793" s="14"/>
      <c r="F5793" s="14"/>
      <c r="G5793" s="18"/>
    </row>
    <row r="5794" spans="2:7" x14ac:dyDescent="0.35">
      <c r="B5794" s="47"/>
      <c r="C5794" s="14"/>
      <c r="D5794" s="14"/>
      <c r="E5794" s="14"/>
      <c r="F5794" s="14"/>
      <c r="G5794" s="18"/>
    </row>
    <row r="5795" spans="2:7" x14ac:dyDescent="0.35">
      <c r="B5795" s="47"/>
      <c r="C5795" s="14"/>
      <c r="D5795" s="14"/>
      <c r="E5795" s="14"/>
      <c r="F5795" s="14"/>
      <c r="G5795" s="18"/>
    </row>
    <row r="5796" spans="2:7" x14ac:dyDescent="0.35">
      <c r="B5796" s="47"/>
      <c r="C5796" s="14"/>
      <c r="D5796" s="14"/>
      <c r="E5796" s="14"/>
      <c r="F5796" s="14"/>
      <c r="G5796" s="18"/>
    </row>
    <row r="5797" spans="2:7" x14ac:dyDescent="0.35">
      <c r="B5797" s="47"/>
      <c r="C5797" s="14"/>
      <c r="D5797" s="14"/>
      <c r="E5797" s="14"/>
      <c r="F5797" s="14"/>
      <c r="G5797" s="18"/>
    </row>
    <row r="5798" spans="2:7" x14ac:dyDescent="0.35">
      <c r="B5798" s="47"/>
      <c r="C5798" s="14"/>
      <c r="D5798" s="14"/>
      <c r="E5798" s="14"/>
      <c r="F5798" s="14"/>
      <c r="G5798" s="18"/>
    </row>
    <row r="5799" spans="2:7" x14ac:dyDescent="0.35">
      <c r="B5799" s="47"/>
      <c r="C5799" s="14"/>
      <c r="D5799" s="14"/>
      <c r="E5799" s="14"/>
      <c r="F5799" s="14"/>
      <c r="G5799" s="18"/>
    </row>
    <row r="5800" spans="2:7" x14ac:dyDescent="0.35">
      <c r="B5800" s="47"/>
      <c r="C5800" s="14"/>
      <c r="D5800" s="14"/>
      <c r="E5800" s="14"/>
      <c r="F5800" s="14"/>
      <c r="G5800" s="18"/>
    </row>
    <row r="5801" spans="2:7" x14ac:dyDescent="0.35">
      <c r="B5801" s="47"/>
      <c r="C5801" s="14"/>
      <c r="D5801" s="14"/>
      <c r="E5801" s="14"/>
      <c r="F5801" s="14"/>
      <c r="G5801" s="18"/>
    </row>
    <row r="5802" spans="2:7" x14ac:dyDescent="0.35">
      <c r="B5802" s="47"/>
      <c r="C5802" s="14"/>
      <c r="D5802" s="14"/>
      <c r="E5802" s="14"/>
      <c r="F5802" s="14"/>
      <c r="G5802" s="18"/>
    </row>
    <row r="5803" spans="2:7" x14ac:dyDescent="0.35">
      <c r="B5803" s="47"/>
      <c r="C5803" s="14"/>
      <c r="D5803" s="14"/>
      <c r="E5803" s="14"/>
      <c r="F5803" s="14"/>
      <c r="G5803" s="18"/>
    </row>
    <row r="5804" spans="2:7" x14ac:dyDescent="0.35">
      <c r="B5804" s="47"/>
      <c r="C5804" s="14"/>
      <c r="D5804" s="14"/>
      <c r="E5804" s="14"/>
      <c r="F5804" s="14"/>
      <c r="G5804" s="18"/>
    </row>
    <row r="5805" spans="2:7" x14ac:dyDescent="0.35">
      <c r="B5805" s="47"/>
      <c r="C5805" s="14"/>
      <c r="D5805" s="14"/>
      <c r="E5805" s="14"/>
      <c r="F5805" s="14"/>
      <c r="G5805" s="18"/>
    </row>
    <row r="5806" spans="2:7" x14ac:dyDescent="0.35">
      <c r="B5806" s="47"/>
      <c r="C5806" s="14"/>
      <c r="D5806" s="14"/>
      <c r="E5806" s="14"/>
      <c r="F5806" s="14"/>
      <c r="G5806" s="18"/>
    </row>
    <row r="5807" spans="2:7" x14ac:dyDescent="0.35">
      <c r="B5807" s="47"/>
      <c r="C5807" s="14"/>
      <c r="D5807" s="14"/>
      <c r="E5807" s="14"/>
      <c r="F5807" s="14"/>
      <c r="G5807" s="18"/>
    </row>
    <row r="5808" spans="2:7" x14ac:dyDescent="0.35">
      <c r="B5808" s="47"/>
      <c r="C5808" s="14"/>
      <c r="D5808" s="14"/>
      <c r="E5808" s="14"/>
      <c r="F5808" s="14"/>
      <c r="G5808" s="18"/>
    </row>
    <row r="5809" spans="2:7" x14ac:dyDescent="0.35">
      <c r="B5809" s="47"/>
      <c r="C5809" s="14"/>
      <c r="D5809" s="14"/>
      <c r="E5809" s="14"/>
      <c r="F5809" s="14"/>
      <c r="G5809" s="18"/>
    </row>
    <row r="5810" spans="2:7" x14ac:dyDescent="0.35">
      <c r="B5810" s="47"/>
      <c r="C5810" s="14"/>
      <c r="D5810" s="14"/>
      <c r="E5810" s="14"/>
      <c r="F5810" s="14"/>
      <c r="G5810" s="18"/>
    </row>
    <row r="5811" spans="2:7" x14ac:dyDescent="0.35">
      <c r="B5811" s="47"/>
      <c r="C5811" s="14"/>
      <c r="D5811" s="14"/>
      <c r="E5811" s="14"/>
      <c r="F5811" s="14"/>
      <c r="G5811" s="18"/>
    </row>
    <row r="5812" spans="2:7" x14ac:dyDescent="0.35">
      <c r="B5812" s="47"/>
      <c r="C5812" s="14"/>
      <c r="D5812" s="14"/>
      <c r="E5812" s="14"/>
      <c r="F5812" s="14"/>
      <c r="G5812" s="18"/>
    </row>
    <row r="5813" spans="2:7" x14ac:dyDescent="0.35">
      <c r="B5813" s="47"/>
      <c r="C5813" s="14"/>
      <c r="D5813" s="14"/>
      <c r="E5813" s="14"/>
      <c r="F5813" s="14"/>
      <c r="G5813" s="18"/>
    </row>
    <row r="5814" spans="2:7" x14ac:dyDescent="0.35">
      <c r="B5814" s="47"/>
      <c r="C5814" s="14"/>
      <c r="D5814" s="14"/>
      <c r="E5814" s="14"/>
      <c r="F5814" s="14"/>
      <c r="G5814" s="18"/>
    </row>
    <row r="5815" spans="2:7" x14ac:dyDescent="0.35">
      <c r="B5815" s="47"/>
      <c r="C5815" s="14"/>
      <c r="D5815" s="14"/>
      <c r="E5815" s="14"/>
      <c r="F5815" s="14"/>
      <c r="G5815" s="18"/>
    </row>
    <row r="5816" spans="2:7" x14ac:dyDescent="0.35">
      <c r="B5816" s="47"/>
      <c r="C5816" s="14"/>
      <c r="D5816" s="14"/>
      <c r="E5816" s="14"/>
      <c r="F5816" s="14"/>
      <c r="G5816" s="18"/>
    </row>
    <row r="5817" spans="2:7" x14ac:dyDescent="0.35">
      <c r="B5817" s="47"/>
      <c r="C5817" s="14"/>
      <c r="D5817" s="14"/>
      <c r="E5817" s="14"/>
      <c r="F5817" s="14"/>
      <c r="G5817" s="18"/>
    </row>
    <row r="5818" spans="2:7" x14ac:dyDescent="0.35">
      <c r="B5818" s="47"/>
      <c r="C5818" s="14"/>
      <c r="D5818" s="14"/>
      <c r="E5818" s="14"/>
      <c r="F5818" s="14"/>
      <c r="G5818" s="18"/>
    </row>
    <row r="5819" spans="2:7" x14ac:dyDescent="0.35">
      <c r="B5819" s="47"/>
      <c r="C5819" s="14"/>
      <c r="D5819" s="14"/>
      <c r="E5819" s="14"/>
      <c r="F5819" s="14"/>
      <c r="G5819" s="18"/>
    </row>
    <row r="5820" spans="2:7" x14ac:dyDescent="0.35">
      <c r="B5820" s="47"/>
      <c r="C5820" s="14"/>
      <c r="D5820" s="14"/>
      <c r="E5820" s="14"/>
      <c r="F5820" s="14"/>
      <c r="G5820" s="18"/>
    </row>
    <row r="5821" spans="2:7" x14ac:dyDescent="0.35">
      <c r="B5821" s="47"/>
      <c r="C5821" s="14"/>
      <c r="D5821" s="14"/>
      <c r="E5821" s="14"/>
      <c r="F5821" s="14"/>
      <c r="G5821" s="18"/>
    </row>
    <row r="5822" spans="2:7" x14ac:dyDescent="0.35">
      <c r="B5822" s="47"/>
      <c r="C5822" s="14"/>
      <c r="D5822" s="14"/>
      <c r="E5822" s="14"/>
      <c r="F5822" s="14"/>
      <c r="G5822" s="18"/>
    </row>
    <row r="5823" spans="2:7" x14ac:dyDescent="0.35">
      <c r="B5823" s="47"/>
      <c r="C5823" s="14"/>
      <c r="D5823" s="14"/>
      <c r="E5823" s="14"/>
      <c r="F5823" s="14"/>
      <c r="G5823" s="18"/>
    </row>
    <row r="5824" spans="2:7" x14ac:dyDescent="0.35">
      <c r="B5824" s="47"/>
      <c r="C5824" s="14"/>
      <c r="D5824" s="14"/>
      <c r="E5824" s="14"/>
      <c r="F5824" s="14"/>
      <c r="G5824" s="18"/>
    </row>
    <row r="5825" spans="2:7" x14ac:dyDescent="0.35">
      <c r="B5825" s="47"/>
      <c r="C5825" s="14"/>
      <c r="D5825" s="14"/>
      <c r="E5825" s="14"/>
      <c r="F5825" s="14"/>
      <c r="G5825" s="18"/>
    </row>
    <row r="5826" spans="2:7" x14ac:dyDescent="0.35">
      <c r="B5826" s="47"/>
      <c r="C5826" s="14"/>
      <c r="D5826" s="14"/>
      <c r="E5826" s="14"/>
      <c r="F5826" s="14"/>
      <c r="G5826" s="18"/>
    </row>
    <row r="5827" spans="2:7" x14ac:dyDescent="0.35">
      <c r="B5827" s="47"/>
      <c r="C5827" s="14"/>
      <c r="D5827" s="14"/>
      <c r="E5827" s="14"/>
      <c r="F5827" s="14"/>
      <c r="G5827" s="18"/>
    </row>
    <row r="5828" spans="2:7" x14ac:dyDescent="0.35">
      <c r="B5828" s="47"/>
      <c r="C5828" s="14"/>
      <c r="D5828" s="14"/>
      <c r="E5828" s="14"/>
      <c r="F5828" s="14"/>
      <c r="G5828" s="18"/>
    </row>
    <row r="5829" spans="2:7" x14ac:dyDescent="0.35">
      <c r="B5829" s="47"/>
      <c r="C5829" s="14"/>
      <c r="D5829" s="14"/>
      <c r="E5829" s="14"/>
      <c r="F5829" s="14"/>
      <c r="G5829" s="18"/>
    </row>
    <row r="5830" spans="2:7" x14ac:dyDescent="0.35">
      <c r="B5830" s="47"/>
      <c r="C5830" s="14"/>
      <c r="D5830" s="14"/>
      <c r="E5830" s="14"/>
      <c r="F5830" s="14"/>
      <c r="G5830" s="18"/>
    </row>
    <row r="5831" spans="2:7" x14ac:dyDescent="0.35">
      <c r="B5831" s="47"/>
      <c r="C5831" s="14"/>
      <c r="D5831" s="14"/>
      <c r="E5831" s="14"/>
      <c r="F5831" s="14"/>
      <c r="G5831" s="18"/>
    </row>
    <row r="5832" spans="2:7" x14ac:dyDescent="0.35">
      <c r="B5832" s="47"/>
      <c r="C5832" s="14"/>
      <c r="D5832" s="14"/>
      <c r="E5832" s="14"/>
      <c r="F5832" s="14"/>
      <c r="G5832" s="18"/>
    </row>
    <row r="5833" spans="2:7" x14ac:dyDescent="0.35">
      <c r="B5833" s="47"/>
      <c r="C5833" s="14"/>
      <c r="D5833" s="14"/>
      <c r="E5833" s="14"/>
      <c r="F5833" s="14"/>
      <c r="G5833" s="18"/>
    </row>
    <row r="5834" spans="2:7" x14ac:dyDescent="0.35">
      <c r="B5834" s="47"/>
      <c r="C5834" s="14"/>
      <c r="D5834" s="14"/>
      <c r="E5834" s="14"/>
      <c r="F5834" s="14"/>
      <c r="G5834" s="18"/>
    </row>
    <row r="5835" spans="2:7" x14ac:dyDescent="0.35">
      <c r="B5835" s="47"/>
      <c r="C5835" s="14"/>
      <c r="D5835" s="14"/>
      <c r="E5835" s="14"/>
      <c r="F5835" s="14"/>
      <c r="G5835" s="18"/>
    </row>
    <row r="5836" spans="2:7" x14ac:dyDescent="0.35">
      <c r="B5836" s="47"/>
      <c r="C5836" s="14"/>
      <c r="D5836" s="14"/>
      <c r="E5836" s="14"/>
      <c r="F5836" s="14"/>
      <c r="G5836" s="18"/>
    </row>
    <row r="5837" spans="2:7" x14ac:dyDescent="0.35">
      <c r="B5837" s="47"/>
      <c r="C5837" s="14"/>
      <c r="D5837" s="14"/>
      <c r="E5837" s="14"/>
      <c r="F5837" s="14"/>
      <c r="G5837" s="18"/>
    </row>
    <row r="5838" spans="2:7" x14ac:dyDescent="0.35">
      <c r="B5838" s="47"/>
      <c r="C5838" s="14"/>
      <c r="D5838" s="14"/>
      <c r="E5838" s="14"/>
      <c r="F5838" s="14"/>
      <c r="G5838" s="18"/>
    </row>
    <row r="5839" spans="2:7" x14ac:dyDescent="0.35">
      <c r="B5839" s="47"/>
      <c r="C5839" s="14"/>
      <c r="D5839" s="14"/>
      <c r="E5839" s="14"/>
      <c r="F5839" s="14"/>
      <c r="G5839" s="18"/>
    </row>
    <row r="5840" spans="2:7" x14ac:dyDescent="0.35">
      <c r="B5840" s="47"/>
      <c r="C5840" s="14"/>
      <c r="D5840" s="14"/>
      <c r="E5840" s="14"/>
      <c r="F5840" s="14"/>
      <c r="G5840" s="18"/>
    </row>
    <row r="5841" spans="2:7" x14ac:dyDescent="0.35">
      <c r="B5841" s="47"/>
      <c r="C5841" s="14"/>
      <c r="D5841" s="14"/>
      <c r="E5841" s="14"/>
      <c r="F5841" s="14"/>
      <c r="G5841" s="18"/>
    </row>
    <row r="5842" spans="2:7" x14ac:dyDescent="0.35">
      <c r="B5842" s="47"/>
      <c r="C5842" s="14"/>
      <c r="D5842" s="14"/>
      <c r="E5842" s="14"/>
      <c r="F5842" s="14"/>
      <c r="G5842" s="18"/>
    </row>
    <row r="5843" spans="2:7" x14ac:dyDescent="0.35">
      <c r="B5843" s="47"/>
      <c r="C5843" s="14"/>
      <c r="D5843" s="14"/>
      <c r="E5843" s="14"/>
      <c r="F5843" s="14"/>
      <c r="G5843" s="18"/>
    </row>
    <row r="5844" spans="2:7" x14ac:dyDescent="0.35">
      <c r="B5844" s="47"/>
      <c r="C5844" s="14"/>
      <c r="D5844" s="14"/>
      <c r="E5844" s="14"/>
      <c r="F5844" s="14"/>
      <c r="G5844" s="18"/>
    </row>
    <row r="5845" spans="2:7" x14ac:dyDescent="0.35">
      <c r="B5845" s="47"/>
      <c r="C5845" s="14"/>
      <c r="D5845" s="14"/>
      <c r="E5845" s="14"/>
      <c r="F5845" s="14"/>
      <c r="G5845" s="18"/>
    </row>
    <row r="5846" spans="2:7" x14ac:dyDescent="0.35">
      <c r="B5846" s="47"/>
      <c r="C5846" s="14"/>
      <c r="D5846" s="14"/>
      <c r="E5846" s="14"/>
      <c r="F5846" s="14"/>
      <c r="G5846" s="18"/>
    </row>
    <row r="5847" spans="2:7" x14ac:dyDescent="0.35">
      <c r="B5847" s="47"/>
      <c r="C5847" s="14"/>
      <c r="D5847" s="14"/>
      <c r="E5847" s="14"/>
      <c r="F5847" s="14"/>
      <c r="G5847" s="18"/>
    </row>
    <row r="5848" spans="2:7" x14ac:dyDescent="0.35">
      <c r="B5848" s="47"/>
      <c r="C5848" s="14"/>
      <c r="D5848" s="14"/>
      <c r="E5848" s="14"/>
      <c r="F5848" s="14"/>
      <c r="G5848" s="18"/>
    </row>
    <row r="5849" spans="2:7" x14ac:dyDescent="0.35">
      <c r="B5849" s="47"/>
      <c r="C5849" s="14"/>
      <c r="D5849" s="14"/>
      <c r="E5849" s="14"/>
      <c r="F5849" s="14"/>
      <c r="G5849" s="18"/>
    </row>
    <row r="5850" spans="2:7" x14ac:dyDescent="0.35">
      <c r="B5850" s="47"/>
      <c r="C5850" s="14"/>
      <c r="D5850" s="14"/>
      <c r="E5850" s="14"/>
      <c r="F5850" s="14"/>
      <c r="G5850" s="18"/>
    </row>
    <row r="5851" spans="2:7" x14ac:dyDescent="0.35">
      <c r="B5851" s="47"/>
      <c r="C5851" s="14"/>
      <c r="D5851" s="14"/>
      <c r="E5851" s="14"/>
      <c r="F5851" s="14"/>
      <c r="G5851" s="18"/>
    </row>
    <row r="5852" spans="2:7" x14ac:dyDescent="0.35">
      <c r="B5852" s="47"/>
      <c r="C5852" s="14"/>
      <c r="D5852" s="14"/>
      <c r="E5852" s="14"/>
      <c r="F5852" s="14"/>
      <c r="G5852" s="18"/>
    </row>
    <row r="5853" spans="2:7" x14ac:dyDescent="0.35">
      <c r="B5853" s="47"/>
      <c r="C5853" s="14"/>
      <c r="D5853" s="14"/>
      <c r="E5853" s="14"/>
      <c r="F5853" s="14"/>
      <c r="G5853" s="18"/>
    </row>
    <row r="5854" spans="2:7" x14ac:dyDescent="0.35">
      <c r="B5854" s="47"/>
      <c r="C5854" s="14"/>
      <c r="D5854" s="14"/>
      <c r="E5854" s="14"/>
      <c r="F5854" s="14"/>
      <c r="G5854" s="18"/>
    </row>
    <row r="5855" spans="2:7" x14ac:dyDescent="0.35">
      <c r="B5855" s="47"/>
      <c r="C5855" s="14"/>
      <c r="D5855" s="14"/>
      <c r="E5855" s="14"/>
      <c r="F5855" s="14"/>
      <c r="G5855" s="18"/>
    </row>
    <row r="5856" spans="2:7" x14ac:dyDescent="0.35">
      <c r="B5856" s="47"/>
      <c r="C5856" s="14"/>
      <c r="D5856" s="14"/>
      <c r="E5856" s="14"/>
      <c r="F5856" s="14"/>
      <c r="G5856" s="18"/>
    </row>
    <row r="5857" spans="2:7" x14ac:dyDescent="0.35">
      <c r="B5857" s="47"/>
      <c r="C5857" s="14"/>
      <c r="D5857" s="14"/>
      <c r="E5857" s="14"/>
      <c r="F5857" s="14"/>
      <c r="G5857" s="18"/>
    </row>
    <row r="5858" spans="2:7" x14ac:dyDescent="0.35">
      <c r="B5858" s="47"/>
      <c r="C5858" s="14"/>
      <c r="D5858" s="14"/>
      <c r="E5858" s="14"/>
      <c r="F5858" s="14"/>
      <c r="G5858" s="18"/>
    </row>
    <row r="5859" spans="2:7" x14ac:dyDescent="0.35">
      <c r="B5859" s="47"/>
      <c r="C5859" s="14"/>
      <c r="D5859" s="14"/>
      <c r="E5859" s="14"/>
      <c r="F5859" s="14"/>
      <c r="G5859" s="18"/>
    </row>
    <row r="5860" spans="2:7" x14ac:dyDescent="0.35">
      <c r="B5860" s="47"/>
      <c r="C5860" s="14"/>
      <c r="D5860" s="14"/>
      <c r="E5860" s="14"/>
      <c r="F5860" s="14"/>
      <c r="G5860" s="18"/>
    </row>
    <row r="5861" spans="2:7" x14ac:dyDescent="0.35">
      <c r="B5861" s="47"/>
      <c r="C5861" s="14"/>
      <c r="D5861" s="14"/>
      <c r="E5861" s="14"/>
      <c r="F5861" s="14"/>
      <c r="G5861" s="18"/>
    </row>
    <row r="5862" spans="2:7" x14ac:dyDescent="0.35">
      <c r="B5862" s="47"/>
      <c r="C5862" s="14"/>
      <c r="D5862" s="14"/>
      <c r="E5862" s="14"/>
      <c r="F5862" s="14"/>
      <c r="G5862" s="18"/>
    </row>
    <row r="5863" spans="2:7" x14ac:dyDescent="0.35">
      <c r="B5863" s="47"/>
      <c r="C5863" s="14"/>
      <c r="D5863" s="14"/>
      <c r="E5863" s="14"/>
      <c r="F5863" s="14"/>
      <c r="G5863" s="18"/>
    </row>
    <row r="5864" spans="2:7" x14ac:dyDescent="0.35">
      <c r="B5864" s="47"/>
      <c r="C5864" s="14"/>
      <c r="D5864" s="14"/>
      <c r="E5864" s="14"/>
      <c r="F5864" s="14"/>
      <c r="G5864" s="18"/>
    </row>
    <row r="5865" spans="2:7" x14ac:dyDescent="0.35">
      <c r="B5865" s="47"/>
      <c r="C5865" s="14"/>
      <c r="D5865" s="14"/>
      <c r="E5865" s="14"/>
      <c r="F5865" s="14"/>
      <c r="G5865" s="18"/>
    </row>
    <row r="5866" spans="2:7" x14ac:dyDescent="0.35">
      <c r="B5866" s="47"/>
      <c r="C5866" s="14"/>
      <c r="D5866" s="14"/>
      <c r="E5866" s="14"/>
      <c r="F5866" s="14"/>
      <c r="G5866" s="18"/>
    </row>
    <row r="5867" spans="2:7" x14ac:dyDescent="0.35">
      <c r="B5867" s="47"/>
      <c r="C5867" s="14"/>
      <c r="D5867" s="14"/>
      <c r="E5867" s="14"/>
      <c r="F5867" s="14"/>
      <c r="G5867" s="18"/>
    </row>
    <row r="5868" spans="2:7" x14ac:dyDescent="0.35">
      <c r="B5868" s="47"/>
      <c r="C5868" s="14"/>
      <c r="D5868" s="14"/>
      <c r="E5868" s="14"/>
      <c r="F5868" s="14"/>
      <c r="G5868" s="18"/>
    </row>
    <row r="5869" spans="2:7" x14ac:dyDescent="0.35">
      <c r="B5869" s="47"/>
      <c r="C5869" s="14"/>
      <c r="D5869" s="14"/>
      <c r="E5869" s="14"/>
      <c r="F5869" s="14"/>
      <c r="G5869" s="18"/>
    </row>
    <row r="5870" spans="2:7" x14ac:dyDescent="0.35">
      <c r="B5870" s="47"/>
      <c r="C5870" s="14"/>
      <c r="D5870" s="14"/>
      <c r="E5870" s="14"/>
      <c r="F5870" s="14"/>
      <c r="G5870" s="18"/>
    </row>
    <row r="5871" spans="2:7" x14ac:dyDescent="0.35">
      <c r="B5871" s="47"/>
      <c r="C5871" s="14"/>
      <c r="D5871" s="14"/>
      <c r="E5871" s="14"/>
      <c r="F5871" s="14"/>
      <c r="G5871" s="18"/>
    </row>
    <row r="5872" spans="2:7" x14ac:dyDescent="0.35">
      <c r="B5872" s="47"/>
      <c r="C5872" s="14"/>
      <c r="D5872" s="14"/>
      <c r="E5872" s="14"/>
      <c r="F5872" s="14"/>
      <c r="G5872" s="18"/>
    </row>
    <row r="5873" spans="2:7" x14ac:dyDescent="0.35">
      <c r="B5873" s="47"/>
      <c r="C5873" s="14"/>
      <c r="D5873" s="14"/>
      <c r="E5873" s="14"/>
      <c r="F5873" s="14"/>
      <c r="G5873" s="18"/>
    </row>
    <row r="5874" spans="2:7" x14ac:dyDescent="0.35">
      <c r="B5874" s="47"/>
      <c r="C5874" s="14"/>
      <c r="D5874" s="14"/>
      <c r="E5874" s="14"/>
      <c r="F5874" s="14"/>
      <c r="G5874" s="18"/>
    </row>
    <row r="5875" spans="2:7" x14ac:dyDescent="0.35">
      <c r="B5875" s="47"/>
      <c r="C5875" s="14"/>
      <c r="D5875" s="14"/>
      <c r="E5875" s="14"/>
      <c r="F5875" s="14"/>
      <c r="G5875" s="18"/>
    </row>
    <row r="5876" spans="2:7" x14ac:dyDescent="0.35">
      <c r="B5876" s="47"/>
      <c r="C5876" s="14"/>
      <c r="D5876" s="14"/>
      <c r="E5876" s="14"/>
      <c r="F5876" s="14"/>
      <c r="G5876" s="18"/>
    </row>
    <row r="5877" spans="2:7" x14ac:dyDescent="0.35">
      <c r="B5877" s="47"/>
      <c r="C5877" s="14"/>
      <c r="D5877" s="14"/>
      <c r="E5877" s="14"/>
      <c r="F5877" s="14"/>
      <c r="G5877" s="18"/>
    </row>
    <row r="5878" spans="2:7" x14ac:dyDescent="0.35">
      <c r="B5878" s="47"/>
      <c r="C5878" s="14"/>
      <c r="D5878" s="14"/>
      <c r="E5878" s="14"/>
      <c r="F5878" s="14"/>
      <c r="G5878" s="18"/>
    </row>
    <row r="5879" spans="2:7" x14ac:dyDescent="0.35">
      <c r="B5879" s="47"/>
      <c r="C5879" s="14"/>
      <c r="D5879" s="14"/>
      <c r="E5879" s="14"/>
      <c r="F5879" s="14"/>
      <c r="G5879" s="18"/>
    </row>
    <row r="5880" spans="2:7" x14ac:dyDescent="0.35">
      <c r="B5880" s="47"/>
      <c r="C5880" s="14"/>
      <c r="D5880" s="14"/>
      <c r="E5880" s="14"/>
      <c r="F5880" s="14"/>
      <c r="G5880" s="18"/>
    </row>
    <row r="5881" spans="2:7" x14ac:dyDescent="0.35">
      <c r="B5881" s="47"/>
      <c r="C5881" s="14"/>
      <c r="D5881" s="14"/>
      <c r="E5881" s="14"/>
      <c r="F5881" s="14"/>
      <c r="G5881" s="18"/>
    </row>
    <row r="5882" spans="2:7" x14ac:dyDescent="0.35">
      <c r="B5882" s="47"/>
      <c r="C5882" s="14"/>
      <c r="D5882" s="14"/>
      <c r="E5882" s="14"/>
      <c r="F5882" s="14"/>
      <c r="G5882" s="18"/>
    </row>
    <row r="5883" spans="2:7" x14ac:dyDescent="0.35">
      <c r="B5883" s="47"/>
      <c r="C5883" s="14"/>
      <c r="D5883" s="14"/>
      <c r="E5883" s="14"/>
      <c r="F5883" s="14"/>
      <c r="G5883" s="18"/>
    </row>
    <row r="5884" spans="2:7" x14ac:dyDescent="0.35">
      <c r="B5884" s="47"/>
      <c r="C5884" s="14"/>
      <c r="D5884" s="14"/>
      <c r="E5884" s="14"/>
      <c r="F5884" s="14"/>
      <c r="G5884" s="18"/>
    </row>
    <row r="5885" spans="2:7" x14ac:dyDescent="0.35">
      <c r="B5885" s="47"/>
      <c r="C5885" s="14"/>
      <c r="D5885" s="14"/>
      <c r="E5885" s="14"/>
      <c r="F5885" s="14"/>
      <c r="G5885" s="18"/>
    </row>
    <row r="5886" spans="2:7" x14ac:dyDescent="0.35">
      <c r="B5886" s="47"/>
      <c r="C5886" s="14"/>
      <c r="D5886" s="14"/>
      <c r="E5886" s="14"/>
      <c r="F5886" s="14"/>
      <c r="G5886" s="18"/>
    </row>
    <row r="5887" spans="2:7" x14ac:dyDescent="0.35">
      <c r="B5887" s="47"/>
      <c r="C5887" s="14"/>
      <c r="D5887" s="14"/>
      <c r="E5887" s="14"/>
      <c r="F5887" s="14"/>
      <c r="G5887" s="18"/>
    </row>
    <row r="5888" spans="2:7" x14ac:dyDescent="0.35">
      <c r="B5888" s="47"/>
      <c r="C5888" s="14"/>
      <c r="D5888" s="14"/>
      <c r="E5888" s="14"/>
      <c r="F5888" s="14"/>
      <c r="G5888" s="18"/>
    </row>
    <row r="5889" spans="2:7" x14ac:dyDescent="0.35">
      <c r="B5889" s="47"/>
      <c r="C5889" s="14"/>
      <c r="D5889" s="14"/>
      <c r="E5889" s="14"/>
      <c r="F5889" s="14"/>
      <c r="G5889" s="18"/>
    </row>
    <row r="5890" spans="2:7" x14ac:dyDescent="0.35">
      <c r="B5890" s="47"/>
      <c r="C5890" s="14"/>
      <c r="D5890" s="14"/>
      <c r="E5890" s="14"/>
      <c r="F5890" s="14"/>
      <c r="G5890" s="18"/>
    </row>
    <row r="5891" spans="2:7" x14ac:dyDescent="0.35">
      <c r="B5891" s="47"/>
      <c r="C5891" s="14"/>
      <c r="D5891" s="14"/>
      <c r="E5891" s="14"/>
      <c r="F5891" s="14"/>
      <c r="G5891" s="18"/>
    </row>
    <row r="5892" spans="2:7" x14ac:dyDescent="0.35">
      <c r="B5892" s="47"/>
      <c r="C5892" s="14"/>
      <c r="D5892" s="14"/>
      <c r="E5892" s="14"/>
      <c r="F5892" s="14"/>
      <c r="G5892" s="18"/>
    </row>
    <row r="5893" spans="2:7" x14ac:dyDescent="0.35">
      <c r="B5893" s="47"/>
      <c r="C5893" s="14"/>
      <c r="D5893" s="14"/>
      <c r="E5893" s="14"/>
      <c r="F5893" s="14"/>
      <c r="G5893" s="18"/>
    </row>
    <row r="5894" spans="2:7" x14ac:dyDescent="0.35">
      <c r="B5894" s="47"/>
      <c r="C5894" s="14"/>
      <c r="D5894" s="14"/>
      <c r="E5894" s="14"/>
      <c r="F5894" s="14"/>
      <c r="G5894" s="18"/>
    </row>
    <row r="5895" spans="2:7" x14ac:dyDescent="0.35">
      <c r="B5895" s="47"/>
      <c r="C5895" s="14"/>
      <c r="D5895" s="14"/>
      <c r="E5895" s="14"/>
      <c r="F5895" s="14"/>
      <c r="G5895" s="18"/>
    </row>
    <row r="5896" spans="2:7" x14ac:dyDescent="0.35">
      <c r="B5896" s="47"/>
      <c r="C5896" s="14"/>
      <c r="D5896" s="14"/>
      <c r="E5896" s="14"/>
      <c r="F5896" s="14"/>
      <c r="G5896" s="18"/>
    </row>
    <row r="5897" spans="2:7" x14ac:dyDescent="0.35">
      <c r="B5897" s="47"/>
      <c r="C5897" s="14"/>
      <c r="D5897" s="14"/>
      <c r="E5897" s="14"/>
      <c r="F5897" s="14"/>
      <c r="G5897" s="18"/>
    </row>
    <row r="5898" spans="2:7" x14ac:dyDescent="0.35">
      <c r="B5898" s="47"/>
      <c r="C5898" s="14"/>
      <c r="D5898" s="14"/>
      <c r="E5898" s="14"/>
      <c r="F5898" s="14"/>
      <c r="G5898" s="18"/>
    </row>
    <row r="5899" spans="2:7" x14ac:dyDescent="0.35">
      <c r="B5899" s="47"/>
      <c r="C5899" s="14"/>
      <c r="D5899" s="14"/>
      <c r="E5899" s="14"/>
      <c r="F5899" s="14"/>
      <c r="G5899" s="18"/>
    </row>
    <row r="5900" spans="2:7" x14ac:dyDescent="0.35">
      <c r="B5900" s="47"/>
      <c r="C5900" s="14"/>
      <c r="D5900" s="14"/>
      <c r="E5900" s="14"/>
      <c r="F5900" s="14"/>
      <c r="G5900" s="18"/>
    </row>
    <row r="5901" spans="2:7" x14ac:dyDescent="0.35">
      <c r="B5901" s="47"/>
      <c r="C5901" s="14"/>
      <c r="D5901" s="14"/>
      <c r="E5901" s="14"/>
      <c r="F5901" s="14"/>
      <c r="G5901" s="18"/>
    </row>
    <row r="5902" spans="2:7" x14ac:dyDescent="0.35">
      <c r="B5902" s="47"/>
      <c r="C5902" s="14"/>
      <c r="D5902" s="14"/>
      <c r="E5902" s="14"/>
      <c r="F5902" s="14"/>
      <c r="G5902" s="18"/>
    </row>
    <row r="5903" spans="2:7" x14ac:dyDescent="0.35">
      <c r="B5903" s="47"/>
      <c r="C5903" s="14"/>
      <c r="D5903" s="14"/>
      <c r="E5903" s="14"/>
      <c r="F5903" s="14"/>
      <c r="G5903" s="18"/>
    </row>
    <row r="5904" spans="2:7" x14ac:dyDescent="0.35">
      <c r="B5904" s="47"/>
      <c r="C5904" s="14"/>
      <c r="D5904" s="14"/>
      <c r="E5904" s="14"/>
      <c r="F5904" s="14"/>
      <c r="G5904" s="18"/>
    </row>
    <row r="5905" spans="2:7" x14ac:dyDescent="0.35">
      <c r="B5905" s="47"/>
      <c r="C5905" s="14"/>
      <c r="D5905" s="14"/>
      <c r="E5905" s="14"/>
      <c r="F5905" s="14"/>
      <c r="G5905" s="18"/>
    </row>
    <row r="5906" spans="2:7" x14ac:dyDescent="0.35">
      <c r="B5906" s="47"/>
      <c r="C5906" s="14"/>
      <c r="D5906" s="14"/>
      <c r="E5906" s="14"/>
      <c r="F5906" s="14"/>
      <c r="G5906" s="18"/>
    </row>
    <row r="5907" spans="2:7" x14ac:dyDescent="0.35">
      <c r="B5907" s="47"/>
      <c r="C5907" s="14"/>
      <c r="D5907" s="14"/>
      <c r="E5907" s="14"/>
      <c r="F5907" s="14"/>
      <c r="G5907" s="18"/>
    </row>
    <row r="5908" spans="2:7" x14ac:dyDescent="0.35">
      <c r="B5908" s="47"/>
      <c r="C5908" s="14"/>
      <c r="D5908" s="14"/>
      <c r="E5908" s="14"/>
      <c r="F5908" s="14"/>
      <c r="G5908" s="18"/>
    </row>
    <row r="5909" spans="2:7" x14ac:dyDescent="0.35">
      <c r="B5909" s="47"/>
      <c r="C5909" s="14"/>
      <c r="D5909" s="14"/>
      <c r="E5909" s="14"/>
      <c r="F5909" s="14"/>
      <c r="G5909" s="18"/>
    </row>
    <row r="5910" spans="2:7" x14ac:dyDescent="0.35">
      <c r="B5910" s="47"/>
      <c r="C5910" s="14"/>
      <c r="D5910" s="14"/>
      <c r="E5910" s="14"/>
      <c r="F5910" s="14"/>
      <c r="G5910" s="18"/>
    </row>
    <row r="5911" spans="2:7" x14ac:dyDescent="0.35">
      <c r="B5911" s="47"/>
      <c r="C5911" s="14"/>
      <c r="D5911" s="14"/>
      <c r="E5911" s="14"/>
      <c r="F5911" s="14"/>
      <c r="G5911" s="18"/>
    </row>
    <row r="5912" spans="2:7" x14ac:dyDescent="0.35">
      <c r="B5912" s="47"/>
      <c r="C5912" s="14"/>
      <c r="D5912" s="14"/>
      <c r="E5912" s="14"/>
      <c r="F5912" s="14"/>
      <c r="G5912" s="18"/>
    </row>
    <row r="5913" spans="2:7" x14ac:dyDescent="0.35">
      <c r="B5913" s="47"/>
      <c r="C5913" s="14"/>
      <c r="D5913" s="14"/>
      <c r="E5913" s="14"/>
      <c r="F5913" s="14"/>
      <c r="G5913" s="18"/>
    </row>
    <row r="5914" spans="2:7" x14ac:dyDescent="0.35">
      <c r="B5914" s="47"/>
      <c r="C5914" s="14"/>
      <c r="D5914" s="14"/>
      <c r="E5914" s="14"/>
      <c r="F5914" s="14"/>
      <c r="G5914" s="18"/>
    </row>
    <row r="5915" spans="2:7" x14ac:dyDescent="0.35">
      <c r="B5915" s="47"/>
      <c r="C5915" s="14"/>
      <c r="D5915" s="14"/>
      <c r="E5915" s="14"/>
      <c r="F5915" s="14"/>
      <c r="G5915" s="18"/>
    </row>
    <row r="5916" spans="2:7" x14ac:dyDescent="0.35">
      <c r="B5916" s="47"/>
      <c r="C5916" s="14"/>
      <c r="D5916" s="14"/>
      <c r="E5916" s="14"/>
      <c r="F5916" s="14"/>
      <c r="G5916" s="18"/>
    </row>
    <row r="5917" spans="2:7" x14ac:dyDescent="0.35">
      <c r="B5917" s="47"/>
      <c r="C5917" s="14"/>
      <c r="D5917" s="14"/>
      <c r="E5917" s="14"/>
      <c r="F5917" s="14"/>
      <c r="G5917" s="18"/>
    </row>
    <row r="5918" spans="2:7" x14ac:dyDescent="0.35">
      <c r="B5918" s="47"/>
      <c r="C5918" s="14"/>
      <c r="D5918" s="14"/>
      <c r="E5918" s="14"/>
      <c r="F5918" s="14"/>
      <c r="G5918" s="18"/>
    </row>
    <row r="5919" spans="2:7" x14ac:dyDescent="0.35">
      <c r="B5919" s="47"/>
      <c r="C5919" s="14"/>
      <c r="D5919" s="14"/>
      <c r="E5919" s="14"/>
      <c r="F5919" s="14"/>
      <c r="G5919" s="18"/>
    </row>
    <row r="5920" spans="2:7" x14ac:dyDescent="0.35">
      <c r="B5920" s="47"/>
      <c r="C5920" s="14"/>
      <c r="D5920" s="14"/>
      <c r="E5920" s="14"/>
      <c r="F5920" s="14"/>
      <c r="G5920" s="18"/>
    </row>
    <row r="5921" spans="2:7" x14ac:dyDescent="0.35">
      <c r="B5921" s="47"/>
      <c r="C5921" s="14"/>
      <c r="D5921" s="14"/>
      <c r="E5921" s="14"/>
      <c r="F5921" s="14"/>
      <c r="G5921" s="18"/>
    </row>
    <row r="5922" spans="2:7" x14ac:dyDescent="0.35">
      <c r="B5922" s="47"/>
      <c r="C5922" s="14"/>
      <c r="D5922" s="14"/>
      <c r="E5922" s="14"/>
      <c r="F5922" s="14"/>
      <c r="G5922" s="18"/>
    </row>
    <row r="5923" spans="2:7" x14ac:dyDescent="0.35">
      <c r="B5923" s="47"/>
      <c r="C5923" s="14"/>
      <c r="D5923" s="14"/>
      <c r="E5923" s="14"/>
      <c r="F5923" s="14"/>
      <c r="G5923" s="18"/>
    </row>
    <row r="5924" spans="2:7" x14ac:dyDescent="0.35">
      <c r="B5924" s="47"/>
      <c r="C5924" s="14"/>
      <c r="D5924" s="14"/>
      <c r="E5924" s="14"/>
      <c r="F5924" s="14"/>
      <c r="G5924" s="18"/>
    </row>
    <row r="5925" spans="2:7" x14ac:dyDescent="0.35">
      <c r="B5925" s="47"/>
      <c r="C5925" s="14"/>
      <c r="D5925" s="14"/>
      <c r="E5925" s="14"/>
      <c r="F5925" s="14"/>
      <c r="G5925" s="18"/>
    </row>
    <row r="5926" spans="2:7" x14ac:dyDescent="0.35">
      <c r="B5926" s="47"/>
      <c r="C5926" s="14"/>
      <c r="D5926" s="14"/>
      <c r="E5926" s="14"/>
      <c r="F5926" s="14"/>
      <c r="G5926" s="18"/>
    </row>
    <row r="5927" spans="2:7" x14ac:dyDescent="0.35">
      <c r="B5927" s="47"/>
      <c r="C5927" s="14"/>
      <c r="D5927" s="14"/>
      <c r="E5927" s="14"/>
      <c r="F5927" s="14"/>
      <c r="G5927" s="18"/>
    </row>
    <row r="5928" spans="2:7" x14ac:dyDescent="0.35">
      <c r="B5928" s="47"/>
      <c r="C5928" s="14"/>
      <c r="D5928" s="14"/>
      <c r="E5928" s="14"/>
      <c r="F5928" s="14"/>
      <c r="G5928" s="18"/>
    </row>
    <row r="5929" spans="2:7" x14ac:dyDescent="0.35">
      <c r="B5929" s="47"/>
      <c r="C5929" s="14"/>
      <c r="D5929" s="14"/>
      <c r="E5929" s="14"/>
      <c r="F5929" s="14"/>
      <c r="G5929" s="18"/>
    </row>
    <row r="5930" spans="2:7" x14ac:dyDescent="0.35">
      <c r="B5930" s="47"/>
      <c r="C5930" s="14"/>
      <c r="D5930" s="14"/>
      <c r="E5930" s="14"/>
      <c r="F5930" s="14"/>
      <c r="G5930" s="18"/>
    </row>
    <row r="5931" spans="2:7" x14ac:dyDescent="0.35">
      <c r="B5931" s="47"/>
      <c r="C5931" s="14"/>
      <c r="D5931" s="14"/>
      <c r="E5931" s="14"/>
      <c r="F5931" s="14"/>
      <c r="G5931" s="18"/>
    </row>
    <row r="5932" spans="2:7" x14ac:dyDescent="0.35">
      <c r="B5932" s="47"/>
      <c r="C5932" s="14"/>
      <c r="D5932" s="14"/>
      <c r="E5932" s="14"/>
      <c r="F5932" s="14"/>
      <c r="G5932" s="18"/>
    </row>
    <row r="5933" spans="2:7" x14ac:dyDescent="0.35">
      <c r="B5933" s="47"/>
      <c r="C5933" s="14"/>
      <c r="D5933" s="14"/>
      <c r="E5933" s="14"/>
      <c r="F5933" s="14"/>
      <c r="G5933" s="18"/>
    </row>
    <row r="5934" spans="2:7" x14ac:dyDescent="0.35">
      <c r="B5934" s="47"/>
      <c r="C5934" s="14"/>
      <c r="D5934" s="14"/>
      <c r="E5934" s="14"/>
      <c r="F5934" s="14"/>
      <c r="G5934" s="18"/>
    </row>
    <row r="5935" spans="2:7" x14ac:dyDescent="0.35">
      <c r="B5935" s="47"/>
      <c r="C5935" s="14"/>
      <c r="D5935" s="14"/>
      <c r="E5935" s="14"/>
      <c r="F5935" s="14"/>
      <c r="G5935" s="18"/>
    </row>
    <row r="5936" spans="2:7" x14ac:dyDescent="0.35">
      <c r="B5936" s="47"/>
      <c r="C5936" s="14"/>
      <c r="D5936" s="14"/>
      <c r="E5936" s="14"/>
      <c r="F5936" s="14"/>
      <c r="G5936" s="18"/>
    </row>
    <row r="5937" spans="2:7" x14ac:dyDescent="0.35">
      <c r="B5937" s="47"/>
      <c r="C5937" s="14"/>
      <c r="D5937" s="14"/>
      <c r="E5937" s="14"/>
      <c r="F5937" s="14"/>
      <c r="G5937" s="18"/>
    </row>
    <row r="5938" spans="2:7" x14ac:dyDescent="0.35">
      <c r="B5938" s="47"/>
      <c r="C5938" s="14"/>
      <c r="D5938" s="14"/>
      <c r="E5938" s="14"/>
      <c r="F5938" s="14"/>
      <c r="G5938" s="18"/>
    </row>
    <row r="5939" spans="2:7" x14ac:dyDescent="0.35">
      <c r="B5939" s="47"/>
      <c r="C5939" s="14"/>
      <c r="D5939" s="14"/>
      <c r="E5939" s="14"/>
      <c r="F5939" s="14"/>
      <c r="G5939" s="18"/>
    </row>
    <row r="5940" spans="2:7" x14ac:dyDescent="0.35">
      <c r="B5940" s="47"/>
      <c r="C5940" s="14"/>
      <c r="D5940" s="14"/>
      <c r="E5940" s="14"/>
      <c r="F5940" s="14"/>
      <c r="G5940" s="18"/>
    </row>
    <row r="5941" spans="2:7" x14ac:dyDescent="0.35">
      <c r="B5941" s="47"/>
      <c r="C5941" s="14"/>
      <c r="D5941" s="14"/>
      <c r="E5941" s="14"/>
      <c r="F5941" s="14"/>
      <c r="G5941" s="18"/>
    </row>
    <row r="5942" spans="2:7" x14ac:dyDescent="0.35">
      <c r="B5942" s="47"/>
      <c r="C5942" s="14"/>
      <c r="D5942" s="14"/>
      <c r="E5942" s="14"/>
      <c r="F5942" s="14"/>
      <c r="G5942" s="18"/>
    </row>
    <row r="5943" spans="2:7" x14ac:dyDescent="0.35">
      <c r="B5943" s="47"/>
      <c r="C5943" s="14"/>
      <c r="D5943" s="14"/>
      <c r="E5943" s="14"/>
      <c r="F5943" s="14"/>
      <c r="G5943" s="18"/>
    </row>
    <row r="5944" spans="2:7" x14ac:dyDescent="0.35">
      <c r="B5944" s="47"/>
      <c r="C5944" s="14"/>
      <c r="D5944" s="14"/>
      <c r="E5944" s="14"/>
      <c r="F5944" s="14"/>
      <c r="G5944" s="18"/>
    </row>
    <row r="5945" spans="2:7" x14ac:dyDescent="0.35">
      <c r="B5945" s="47"/>
      <c r="C5945" s="14"/>
      <c r="D5945" s="14"/>
      <c r="E5945" s="14"/>
      <c r="F5945" s="14"/>
      <c r="G5945" s="18"/>
    </row>
    <row r="5946" spans="2:7" x14ac:dyDescent="0.35">
      <c r="B5946" s="47"/>
      <c r="C5946" s="14"/>
      <c r="D5946" s="14"/>
      <c r="E5946" s="14"/>
      <c r="F5946" s="14"/>
      <c r="G5946" s="18"/>
    </row>
    <row r="5947" spans="2:7" x14ac:dyDescent="0.35">
      <c r="B5947" s="47"/>
      <c r="C5947" s="14"/>
      <c r="D5947" s="14"/>
      <c r="E5947" s="14"/>
      <c r="F5947" s="14"/>
      <c r="G5947" s="18"/>
    </row>
    <row r="5948" spans="2:7" x14ac:dyDescent="0.35">
      <c r="B5948" s="47"/>
      <c r="C5948" s="14"/>
      <c r="D5948" s="14"/>
      <c r="E5948" s="14"/>
      <c r="F5948" s="14"/>
      <c r="G5948" s="18"/>
    </row>
    <row r="5949" spans="2:7" x14ac:dyDescent="0.35">
      <c r="B5949" s="47"/>
      <c r="C5949" s="14"/>
      <c r="D5949" s="14"/>
      <c r="E5949" s="14"/>
      <c r="F5949" s="14"/>
      <c r="G5949" s="18"/>
    </row>
    <row r="5950" spans="2:7" x14ac:dyDescent="0.35">
      <c r="B5950" s="47"/>
      <c r="C5950" s="14"/>
      <c r="D5950" s="14"/>
      <c r="E5950" s="14"/>
      <c r="F5950" s="14"/>
      <c r="G5950" s="18"/>
    </row>
    <row r="5951" spans="2:7" x14ac:dyDescent="0.35">
      <c r="B5951" s="47"/>
      <c r="C5951" s="14"/>
      <c r="D5951" s="14"/>
      <c r="E5951" s="14"/>
      <c r="F5951" s="14"/>
      <c r="G5951" s="18"/>
    </row>
    <row r="5952" spans="2:7" x14ac:dyDescent="0.35">
      <c r="B5952" s="47"/>
      <c r="C5952" s="14"/>
      <c r="D5952" s="14"/>
      <c r="E5952" s="14"/>
      <c r="F5952" s="14"/>
      <c r="G5952" s="18"/>
    </row>
    <row r="5953" spans="2:7" x14ac:dyDescent="0.35">
      <c r="B5953" s="47"/>
      <c r="C5953" s="14"/>
      <c r="D5953" s="14"/>
      <c r="E5953" s="14"/>
      <c r="F5953" s="14"/>
      <c r="G5953" s="18"/>
    </row>
    <row r="5954" spans="2:7" x14ac:dyDescent="0.35">
      <c r="B5954" s="47"/>
      <c r="C5954" s="14"/>
      <c r="D5954" s="14"/>
      <c r="E5954" s="14"/>
      <c r="F5954" s="14"/>
      <c r="G5954" s="18"/>
    </row>
    <row r="5955" spans="2:7" x14ac:dyDescent="0.35">
      <c r="B5955" s="47"/>
      <c r="C5955" s="14"/>
      <c r="D5955" s="14"/>
      <c r="E5955" s="14"/>
      <c r="F5955" s="14"/>
      <c r="G5955" s="18"/>
    </row>
    <row r="5956" spans="2:7" x14ac:dyDescent="0.35">
      <c r="B5956" s="47"/>
      <c r="C5956" s="14"/>
      <c r="D5956" s="14"/>
      <c r="E5956" s="14"/>
      <c r="F5956" s="14"/>
      <c r="G5956" s="18"/>
    </row>
    <row r="5957" spans="2:7" x14ac:dyDescent="0.35">
      <c r="B5957" s="47"/>
      <c r="C5957" s="14"/>
      <c r="D5957" s="14"/>
      <c r="E5957" s="14"/>
      <c r="F5957" s="14"/>
      <c r="G5957" s="18"/>
    </row>
    <row r="5958" spans="2:7" x14ac:dyDescent="0.35">
      <c r="B5958" s="47"/>
      <c r="C5958" s="14"/>
      <c r="D5958" s="14"/>
      <c r="E5958" s="14"/>
      <c r="F5958" s="14"/>
      <c r="G5958" s="18"/>
    </row>
    <row r="5959" spans="2:7" x14ac:dyDescent="0.35">
      <c r="B5959" s="47"/>
      <c r="C5959" s="14"/>
      <c r="D5959" s="14"/>
      <c r="E5959" s="14"/>
      <c r="F5959" s="14"/>
      <c r="G5959" s="18"/>
    </row>
    <row r="5960" spans="2:7" x14ac:dyDescent="0.35">
      <c r="B5960" s="47"/>
      <c r="C5960" s="14"/>
      <c r="D5960" s="14"/>
      <c r="E5960" s="14"/>
      <c r="F5960" s="14"/>
      <c r="G5960" s="18"/>
    </row>
    <row r="5961" spans="2:7" x14ac:dyDescent="0.35">
      <c r="B5961" s="47"/>
      <c r="C5961" s="14"/>
      <c r="D5961" s="14"/>
      <c r="E5961" s="14"/>
      <c r="F5961" s="14"/>
      <c r="G5961" s="18"/>
    </row>
    <row r="5962" spans="2:7" x14ac:dyDescent="0.35">
      <c r="B5962" s="47"/>
      <c r="C5962" s="14"/>
      <c r="D5962" s="14"/>
      <c r="E5962" s="14"/>
      <c r="F5962" s="14"/>
      <c r="G5962" s="18"/>
    </row>
    <row r="5963" spans="2:7" x14ac:dyDescent="0.35">
      <c r="B5963" s="47"/>
      <c r="C5963" s="14"/>
      <c r="D5963" s="14"/>
      <c r="E5963" s="14"/>
      <c r="F5963" s="14"/>
      <c r="G5963" s="18"/>
    </row>
    <row r="5964" spans="2:7" x14ac:dyDescent="0.35">
      <c r="B5964" s="47"/>
      <c r="C5964" s="14"/>
      <c r="D5964" s="14"/>
      <c r="E5964" s="14"/>
      <c r="F5964" s="14"/>
      <c r="G5964" s="18"/>
    </row>
    <row r="5965" spans="2:7" x14ac:dyDescent="0.35">
      <c r="B5965" s="47"/>
      <c r="C5965" s="14"/>
      <c r="D5965" s="14"/>
      <c r="E5965" s="14"/>
      <c r="F5965" s="14"/>
      <c r="G5965" s="18"/>
    </row>
    <row r="5966" spans="2:7" x14ac:dyDescent="0.35">
      <c r="B5966" s="47"/>
      <c r="C5966" s="14"/>
      <c r="D5966" s="14"/>
      <c r="E5966" s="14"/>
      <c r="F5966" s="14"/>
      <c r="G5966" s="18"/>
    </row>
    <row r="5967" spans="2:7" x14ac:dyDescent="0.35">
      <c r="B5967" s="47"/>
      <c r="C5967" s="14"/>
      <c r="D5967" s="14"/>
      <c r="E5967" s="14"/>
      <c r="F5967" s="14"/>
      <c r="G5967" s="18"/>
    </row>
    <row r="5968" spans="2:7" x14ac:dyDescent="0.35">
      <c r="B5968" s="47"/>
      <c r="C5968" s="14"/>
      <c r="D5968" s="14"/>
      <c r="E5968" s="14"/>
      <c r="F5968" s="14"/>
      <c r="G5968" s="18"/>
    </row>
    <row r="5969" spans="2:7" x14ac:dyDescent="0.35">
      <c r="B5969" s="47"/>
      <c r="C5969" s="14"/>
      <c r="D5969" s="14"/>
      <c r="E5969" s="14"/>
      <c r="F5969" s="14"/>
      <c r="G5969" s="18"/>
    </row>
    <row r="5970" spans="2:7" x14ac:dyDescent="0.35">
      <c r="B5970" s="47"/>
      <c r="C5970" s="14"/>
      <c r="D5970" s="14"/>
      <c r="E5970" s="14"/>
      <c r="F5970" s="14"/>
      <c r="G5970" s="18"/>
    </row>
    <row r="5971" spans="2:7" x14ac:dyDescent="0.35">
      <c r="B5971" s="47"/>
      <c r="C5971" s="14"/>
      <c r="D5971" s="14"/>
      <c r="E5971" s="14"/>
      <c r="F5971" s="14"/>
      <c r="G5971" s="18"/>
    </row>
    <row r="5972" spans="2:7" x14ac:dyDescent="0.35">
      <c r="B5972" s="47"/>
      <c r="C5972" s="14"/>
      <c r="D5972" s="14"/>
      <c r="E5972" s="14"/>
      <c r="F5972" s="14"/>
      <c r="G5972" s="18"/>
    </row>
    <row r="5973" spans="2:7" x14ac:dyDescent="0.35">
      <c r="B5973" s="47"/>
      <c r="C5973" s="14"/>
      <c r="D5973" s="14"/>
      <c r="E5973" s="14"/>
      <c r="F5973" s="14"/>
      <c r="G5973" s="18"/>
    </row>
    <row r="5974" spans="2:7" x14ac:dyDescent="0.35">
      <c r="B5974" s="47"/>
      <c r="C5974" s="14"/>
      <c r="D5974" s="14"/>
      <c r="E5974" s="14"/>
      <c r="F5974" s="14"/>
      <c r="G5974" s="18"/>
    </row>
    <row r="5975" spans="2:7" x14ac:dyDescent="0.35">
      <c r="B5975" s="47"/>
      <c r="C5975" s="14"/>
      <c r="D5975" s="14"/>
      <c r="E5975" s="14"/>
      <c r="F5975" s="14"/>
      <c r="G5975" s="18"/>
    </row>
    <row r="5976" spans="2:7" x14ac:dyDescent="0.35">
      <c r="B5976" s="47"/>
      <c r="C5976" s="14"/>
      <c r="D5976" s="14"/>
      <c r="E5976" s="14"/>
      <c r="F5976" s="14"/>
      <c r="G5976" s="18"/>
    </row>
    <row r="5977" spans="2:7" x14ac:dyDescent="0.35">
      <c r="B5977" s="47"/>
      <c r="C5977" s="14"/>
      <c r="D5977" s="14"/>
      <c r="E5977" s="14"/>
      <c r="F5977" s="14"/>
      <c r="G5977" s="18"/>
    </row>
    <row r="5978" spans="2:7" x14ac:dyDescent="0.35">
      <c r="B5978" s="47"/>
      <c r="C5978" s="14"/>
      <c r="D5978" s="14"/>
      <c r="E5978" s="14"/>
      <c r="F5978" s="14"/>
      <c r="G5978" s="18"/>
    </row>
    <row r="5979" spans="2:7" x14ac:dyDescent="0.35">
      <c r="B5979" s="47"/>
      <c r="C5979" s="14"/>
      <c r="D5979" s="14"/>
      <c r="E5979" s="14"/>
      <c r="F5979" s="14"/>
      <c r="G5979" s="18"/>
    </row>
    <row r="5980" spans="2:7" x14ac:dyDescent="0.35">
      <c r="B5980" s="47"/>
      <c r="C5980" s="14"/>
      <c r="D5980" s="14"/>
      <c r="E5980" s="14"/>
      <c r="F5980" s="14"/>
      <c r="G5980" s="18"/>
    </row>
    <row r="5981" spans="2:7" x14ac:dyDescent="0.35">
      <c r="B5981" s="47"/>
      <c r="C5981" s="14"/>
      <c r="D5981" s="14"/>
      <c r="E5981" s="14"/>
      <c r="F5981" s="14"/>
      <c r="G5981" s="18"/>
    </row>
    <row r="5982" spans="2:7" x14ac:dyDescent="0.35">
      <c r="B5982" s="47"/>
      <c r="C5982" s="14"/>
      <c r="D5982" s="14"/>
      <c r="E5982" s="14"/>
      <c r="F5982" s="14"/>
      <c r="G5982" s="18"/>
    </row>
    <row r="5983" spans="2:7" x14ac:dyDescent="0.35">
      <c r="B5983" s="47"/>
      <c r="C5983" s="14"/>
      <c r="D5983" s="14"/>
      <c r="E5983" s="14"/>
      <c r="F5983" s="14"/>
      <c r="G5983" s="18"/>
    </row>
    <row r="5984" spans="2:7" x14ac:dyDescent="0.35">
      <c r="B5984" s="47"/>
      <c r="C5984" s="14"/>
      <c r="D5984" s="14"/>
      <c r="E5984" s="14"/>
      <c r="F5984" s="14"/>
      <c r="G5984" s="18"/>
    </row>
    <row r="5985" spans="2:7" x14ac:dyDescent="0.35">
      <c r="B5985" s="47"/>
      <c r="C5985" s="14"/>
      <c r="D5985" s="14"/>
      <c r="E5985" s="14"/>
      <c r="F5985" s="14"/>
      <c r="G5985" s="18"/>
    </row>
    <row r="5986" spans="2:7" x14ac:dyDescent="0.35">
      <c r="B5986" s="47"/>
      <c r="C5986" s="14"/>
      <c r="D5986" s="14"/>
      <c r="E5986" s="14"/>
      <c r="F5986" s="14"/>
      <c r="G5986" s="18"/>
    </row>
    <row r="5987" spans="2:7" x14ac:dyDescent="0.35">
      <c r="B5987" s="47"/>
      <c r="C5987" s="14"/>
      <c r="D5987" s="14"/>
      <c r="E5987" s="14"/>
      <c r="F5987" s="14"/>
      <c r="G5987" s="18"/>
    </row>
    <row r="5988" spans="2:7" x14ac:dyDescent="0.35">
      <c r="B5988" s="47"/>
      <c r="C5988" s="14"/>
      <c r="D5988" s="14"/>
      <c r="E5988" s="14"/>
      <c r="F5988" s="14"/>
      <c r="G5988" s="18"/>
    </row>
    <row r="5989" spans="2:7" x14ac:dyDescent="0.35">
      <c r="B5989" s="47"/>
      <c r="C5989" s="14"/>
      <c r="D5989" s="14"/>
      <c r="E5989" s="14"/>
      <c r="F5989" s="14"/>
      <c r="G5989" s="18"/>
    </row>
    <row r="5990" spans="2:7" x14ac:dyDescent="0.35">
      <c r="B5990" s="47"/>
      <c r="C5990" s="14"/>
      <c r="D5990" s="14"/>
      <c r="E5990" s="14"/>
      <c r="F5990" s="14"/>
      <c r="G5990" s="18"/>
    </row>
    <row r="5991" spans="2:7" x14ac:dyDescent="0.35">
      <c r="B5991" s="47"/>
      <c r="C5991" s="14"/>
      <c r="D5991" s="14"/>
      <c r="E5991" s="14"/>
      <c r="F5991" s="14"/>
      <c r="G5991" s="18"/>
    </row>
    <row r="5992" spans="2:7" x14ac:dyDescent="0.35">
      <c r="B5992" s="47"/>
      <c r="C5992" s="14"/>
      <c r="D5992" s="14"/>
      <c r="E5992" s="14"/>
      <c r="F5992" s="14"/>
      <c r="G5992" s="18"/>
    </row>
    <row r="5993" spans="2:7" x14ac:dyDescent="0.35">
      <c r="B5993" s="47"/>
      <c r="C5993" s="14"/>
      <c r="D5993" s="14"/>
      <c r="E5993" s="14"/>
      <c r="F5993" s="14"/>
      <c r="G5993" s="18"/>
    </row>
    <row r="5994" spans="2:7" x14ac:dyDescent="0.35">
      <c r="B5994" s="47"/>
      <c r="C5994" s="14"/>
      <c r="D5994" s="14"/>
      <c r="E5994" s="14"/>
      <c r="F5994" s="14"/>
      <c r="G5994" s="18"/>
    </row>
    <row r="5995" spans="2:7" x14ac:dyDescent="0.35">
      <c r="B5995" s="47"/>
      <c r="C5995" s="14"/>
      <c r="D5995" s="14"/>
      <c r="E5995" s="14"/>
      <c r="F5995" s="14"/>
      <c r="G5995" s="18"/>
    </row>
    <row r="5996" spans="2:7" x14ac:dyDescent="0.35">
      <c r="B5996" s="47"/>
      <c r="C5996" s="14"/>
      <c r="D5996" s="14"/>
      <c r="E5996" s="14"/>
      <c r="F5996" s="14"/>
      <c r="G5996" s="18"/>
    </row>
    <row r="5997" spans="2:7" x14ac:dyDescent="0.35">
      <c r="B5997" s="47"/>
      <c r="C5997" s="14"/>
      <c r="D5997" s="14"/>
      <c r="E5997" s="14"/>
      <c r="F5997" s="14"/>
      <c r="G5997" s="18"/>
    </row>
    <row r="5998" spans="2:7" x14ac:dyDescent="0.35">
      <c r="B5998" s="47"/>
      <c r="C5998" s="14"/>
      <c r="D5998" s="14"/>
      <c r="E5998" s="14"/>
      <c r="F5998" s="14"/>
      <c r="G5998" s="18"/>
    </row>
    <row r="5999" spans="2:7" x14ac:dyDescent="0.35">
      <c r="B5999" s="47"/>
      <c r="C5999" s="14"/>
      <c r="D5999" s="14"/>
      <c r="E5999" s="14"/>
      <c r="F5999" s="14"/>
      <c r="G5999" s="18"/>
    </row>
    <row r="6000" spans="2:7" x14ac:dyDescent="0.35">
      <c r="B6000" s="47"/>
      <c r="C6000" s="14"/>
      <c r="D6000" s="14"/>
      <c r="E6000" s="14"/>
      <c r="F6000" s="14"/>
      <c r="G6000" s="18"/>
    </row>
    <row r="6001" spans="2:7" x14ac:dyDescent="0.35">
      <c r="B6001" s="47"/>
      <c r="C6001" s="14"/>
      <c r="D6001" s="14"/>
      <c r="E6001" s="14"/>
      <c r="F6001" s="14"/>
      <c r="G6001" s="18"/>
    </row>
    <row r="6002" spans="2:7" x14ac:dyDescent="0.35">
      <c r="B6002" s="47"/>
      <c r="C6002" s="14"/>
      <c r="D6002" s="14"/>
      <c r="E6002" s="14"/>
      <c r="F6002" s="14"/>
      <c r="G6002" s="18"/>
    </row>
    <row r="6003" spans="2:7" x14ac:dyDescent="0.35">
      <c r="B6003" s="47"/>
      <c r="C6003" s="14"/>
      <c r="D6003" s="14"/>
      <c r="E6003" s="14"/>
      <c r="F6003" s="14"/>
      <c r="G6003" s="18"/>
    </row>
    <row r="6004" spans="2:7" x14ac:dyDescent="0.35">
      <c r="B6004" s="47"/>
      <c r="C6004" s="14"/>
      <c r="D6004" s="14"/>
      <c r="E6004" s="14"/>
      <c r="F6004" s="14"/>
      <c r="G6004" s="18"/>
    </row>
    <row r="6005" spans="2:7" x14ac:dyDescent="0.35">
      <c r="B6005" s="47"/>
      <c r="C6005" s="14"/>
      <c r="D6005" s="14"/>
      <c r="E6005" s="14"/>
      <c r="F6005" s="14"/>
      <c r="G6005" s="18"/>
    </row>
    <row r="6006" spans="2:7" x14ac:dyDescent="0.35">
      <c r="B6006" s="47"/>
      <c r="C6006" s="14"/>
      <c r="D6006" s="14"/>
      <c r="E6006" s="14"/>
      <c r="F6006" s="14"/>
      <c r="G6006" s="18"/>
    </row>
    <row r="6007" spans="2:7" x14ac:dyDescent="0.35">
      <c r="B6007" s="47"/>
      <c r="C6007" s="14"/>
      <c r="D6007" s="14"/>
      <c r="E6007" s="14"/>
      <c r="F6007" s="14"/>
      <c r="G6007" s="18"/>
    </row>
    <row r="6008" spans="2:7" x14ac:dyDescent="0.35">
      <c r="B6008" s="47"/>
      <c r="C6008" s="14"/>
      <c r="D6008" s="14"/>
      <c r="E6008" s="14"/>
      <c r="F6008" s="14"/>
      <c r="G6008" s="18"/>
    </row>
    <row r="6009" spans="2:7" x14ac:dyDescent="0.35">
      <c r="B6009" s="47"/>
      <c r="C6009" s="14"/>
      <c r="D6009" s="14"/>
      <c r="E6009" s="14"/>
      <c r="F6009" s="14"/>
      <c r="G6009" s="18"/>
    </row>
    <row r="6010" spans="2:7" x14ac:dyDescent="0.35">
      <c r="B6010" s="47"/>
      <c r="C6010" s="14"/>
      <c r="D6010" s="14"/>
      <c r="E6010" s="14"/>
      <c r="F6010" s="14"/>
      <c r="G6010" s="18"/>
    </row>
    <row r="6011" spans="2:7" x14ac:dyDescent="0.35">
      <c r="B6011" s="47"/>
      <c r="C6011" s="14"/>
      <c r="D6011" s="14"/>
      <c r="E6011" s="14"/>
      <c r="F6011" s="14"/>
      <c r="G6011" s="18"/>
    </row>
    <row r="6012" spans="2:7" x14ac:dyDescent="0.35">
      <c r="B6012" s="47"/>
      <c r="C6012" s="14"/>
      <c r="D6012" s="14"/>
      <c r="E6012" s="14"/>
      <c r="F6012" s="14"/>
      <c r="G6012" s="18"/>
    </row>
    <row r="6013" spans="2:7" x14ac:dyDescent="0.35">
      <c r="B6013" s="47"/>
      <c r="C6013" s="14"/>
      <c r="D6013" s="14"/>
      <c r="E6013" s="14"/>
      <c r="F6013" s="14"/>
      <c r="G6013" s="18"/>
    </row>
    <row r="6014" spans="2:7" x14ac:dyDescent="0.35">
      <c r="B6014" s="47"/>
      <c r="C6014" s="14"/>
      <c r="D6014" s="14"/>
      <c r="E6014" s="14"/>
      <c r="F6014" s="14"/>
      <c r="G6014" s="18"/>
    </row>
    <row r="6015" spans="2:7" x14ac:dyDescent="0.35">
      <c r="B6015" s="47"/>
      <c r="C6015" s="14"/>
      <c r="D6015" s="14"/>
      <c r="E6015" s="14"/>
      <c r="F6015" s="14"/>
      <c r="G6015" s="18"/>
    </row>
    <row r="6016" spans="2:7" x14ac:dyDescent="0.35">
      <c r="B6016" s="47"/>
      <c r="C6016" s="14"/>
      <c r="D6016" s="14"/>
      <c r="E6016" s="14"/>
      <c r="F6016" s="14"/>
      <c r="G6016" s="18"/>
    </row>
    <row r="6017" spans="2:7" x14ac:dyDescent="0.35">
      <c r="B6017" s="47"/>
      <c r="C6017" s="14"/>
      <c r="D6017" s="14"/>
      <c r="E6017" s="14"/>
      <c r="F6017" s="14"/>
      <c r="G6017" s="18"/>
    </row>
    <row r="6018" spans="2:7" x14ac:dyDescent="0.35">
      <c r="B6018" s="47"/>
      <c r="C6018" s="14"/>
      <c r="D6018" s="14"/>
      <c r="E6018" s="14"/>
      <c r="F6018" s="14"/>
      <c r="G6018" s="18"/>
    </row>
    <row r="6019" spans="2:7" x14ac:dyDescent="0.35">
      <c r="B6019" s="47"/>
      <c r="C6019" s="14"/>
      <c r="D6019" s="14"/>
      <c r="E6019" s="14"/>
      <c r="F6019" s="14"/>
      <c r="G6019" s="18"/>
    </row>
    <row r="6020" spans="2:7" x14ac:dyDescent="0.35">
      <c r="B6020" s="47"/>
      <c r="C6020" s="14"/>
      <c r="D6020" s="14"/>
      <c r="E6020" s="14"/>
      <c r="F6020" s="14"/>
      <c r="G6020" s="18"/>
    </row>
    <row r="6021" spans="2:7" x14ac:dyDescent="0.35">
      <c r="B6021" s="47"/>
      <c r="C6021" s="14"/>
      <c r="D6021" s="14"/>
      <c r="E6021" s="14"/>
      <c r="F6021" s="14"/>
      <c r="G6021" s="18"/>
    </row>
    <row r="6022" spans="2:7" x14ac:dyDescent="0.35">
      <c r="B6022" s="47"/>
      <c r="C6022" s="14"/>
      <c r="D6022" s="14"/>
      <c r="E6022" s="14"/>
      <c r="F6022" s="14"/>
      <c r="G6022" s="18"/>
    </row>
    <row r="6023" spans="2:7" x14ac:dyDescent="0.35">
      <c r="B6023" s="47"/>
      <c r="C6023" s="14"/>
      <c r="D6023" s="14"/>
      <c r="E6023" s="14"/>
      <c r="F6023" s="14"/>
      <c r="G6023" s="18"/>
    </row>
    <row r="6024" spans="2:7" x14ac:dyDescent="0.35">
      <c r="B6024" s="47"/>
      <c r="C6024" s="14"/>
      <c r="D6024" s="14"/>
      <c r="E6024" s="14"/>
      <c r="F6024" s="14"/>
      <c r="G6024" s="18"/>
    </row>
    <row r="6025" spans="2:7" x14ac:dyDescent="0.35">
      <c r="B6025" s="47"/>
      <c r="C6025" s="14"/>
      <c r="D6025" s="14"/>
      <c r="E6025" s="14"/>
      <c r="F6025" s="14"/>
      <c r="G6025" s="18"/>
    </row>
    <row r="6026" spans="2:7" x14ac:dyDescent="0.35">
      <c r="B6026" s="47"/>
      <c r="C6026" s="14"/>
      <c r="D6026" s="14"/>
      <c r="E6026" s="14"/>
      <c r="F6026" s="14"/>
      <c r="G6026" s="18"/>
    </row>
    <row r="6027" spans="2:7" x14ac:dyDescent="0.35">
      <c r="B6027" s="47"/>
      <c r="C6027" s="14"/>
      <c r="D6027" s="14"/>
      <c r="E6027" s="14"/>
      <c r="F6027" s="14"/>
      <c r="G6027" s="18"/>
    </row>
    <row r="6028" spans="2:7" x14ac:dyDescent="0.35">
      <c r="B6028" s="47"/>
      <c r="C6028" s="14"/>
      <c r="D6028" s="14"/>
      <c r="E6028" s="14"/>
      <c r="F6028" s="14"/>
      <c r="G6028" s="18"/>
    </row>
    <row r="6029" spans="2:7" x14ac:dyDescent="0.35">
      <c r="B6029" s="47"/>
      <c r="C6029" s="14"/>
      <c r="D6029" s="14"/>
      <c r="E6029" s="14"/>
      <c r="F6029" s="14"/>
      <c r="G6029" s="18"/>
    </row>
    <row r="6030" spans="2:7" x14ac:dyDescent="0.35">
      <c r="B6030" s="47"/>
      <c r="C6030" s="14"/>
      <c r="D6030" s="14"/>
      <c r="E6030" s="14"/>
      <c r="F6030" s="14"/>
      <c r="G6030" s="18"/>
    </row>
    <row r="6031" spans="2:7" x14ac:dyDescent="0.35">
      <c r="B6031" s="47"/>
      <c r="C6031" s="14"/>
      <c r="D6031" s="14"/>
      <c r="E6031" s="14"/>
      <c r="F6031" s="14"/>
      <c r="G6031" s="18"/>
    </row>
    <row r="6032" spans="2:7" x14ac:dyDescent="0.35">
      <c r="B6032" s="47"/>
      <c r="C6032" s="14"/>
      <c r="D6032" s="14"/>
      <c r="E6032" s="14"/>
      <c r="F6032" s="14"/>
      <c r="G6032" s="18"/>
    </row>
    <row r="6033" spans="2:7" x14ac:dyDescent="0.35">
      <c r="B6033" s="47"/>
      <c r="C6033" s="14"/>
      <c r="D6033" s="14"/>
      <c r="E6033" s="14"/>
      <c r="F6033" s="14"/>
      <c r="G6033" s="18"/>
    </row>
    <row r="6034" spans="2:7" x14ac:dyDescent="0.35">
      <c r="B6034" s="47"/>
      <c r="C6034" s="14"/>
      <c r="D6034" s="14"/>
      <c r="E6034" s="14"/>
      <c r="F6034" s="14"/>
      <c r="G6034" s="18"/>
    </row>
    <row r="6035" spans="2:7" x14ac:dyDescent="0.35">
      <c r="B6035" s="47"/>
      <c r="C6035" s="14"/>
      <c r="D6035" s="14"/>
      <c r="E6035" s="14"/>
      <c r="F6035" s="14"/>
      <c r="G6035" s="18"/>
    </row>
    <row r="6036" spans="2:7" x14ac:dyDescent="0.35">
      <c r="B6036" s="47"/>
      <c r="C6036" s="14"/>
      <c r="D6036" s="14"/>
      <c r="E6036" s="14"/>
      <c r="F6036" s="14"/>
      <c r="G6036" s="18"/>
    </row>
    <row r="6037" spans="2:7" x14ac:dyDescent="0.35">
      <c r="B6037" s="47"/>
      <c r="C6037" s="14"/>
      <c r="D6037" s="14"/>
      <c r="E6037" s="14"/>
      <c r="F6037" s="14"/>
      <c r="G6037" s="18"/>
    </row>
    <row r="6038" spans="2:7" x14ac:dyDescent="0.35">
      <c r="B6038" s="47"/>
      <c r="C6038" s="14"/>
      <c r="D6038" s="14"/>
      <c r="E6038" s="14"/>
      <c r="F6038" s="14"/>
      <c r="G6038" s="18"/>
    </row>
    <row r="6039" spans="2:7" x14ac:dyDescent="0.35">
      <c r="B6039" s="47"/>
      <c r="C6039" s="14"/>
      <c r="D6039" s="14"/>
      <c r="E6039" s="14"/>
      <c r="F6039" s="14"/>
      <c r="G6039" s="18"/>
    </row>
    <row r="6040" spans="2:7" x14ac:dyDescent="0.35">
      <c r="B6040" s="47"/>
      <c r="C6040" s="14"/>
      <c r="D6040" s="14"/>
      <c r="E6040" s="14"/>
      <c r="F6040" s="14"/>
      <c r="G6040" s="18"/>
    </row>
    <row r="6041" spans="2:7" x14ac:dyDescent="0.35">
      <c r="B6041" s="47"/>
      <c r="C6041" s="14"/>
      <c r="D6041" s="14"/>
      <c r="E6041" s="14"/>
      <c r="F6041" s="14"/>
      <c r="G6041" s="18"/>
    </row>
    <row r="6042" spans="2:7" x14ac:dyDescent="0.35">
      <c r="B6042" s="47"/>
      <c r="C6042" s="14"/>
      <c r="D6042" s="14"/>
      <c r="E6042" s="14"/>
      <c r="F6042" s="14"/>
      <c r="G6042" s="18"/>
    </row>
    <row r="6043" spans="2:7" x14ac:dyDescent="0.35">
      <c r="B6043" s="47"/>
      <c r="C6043" s="14"/>
      <c r="D6043" s="14"/>
      <c r="E6043" s="14"/>
      <c r="F6043" s="14"/>
      <c r="G6043" s="18"/>
    </row>
    <row r="6044" spans="2:7" x14ac:dyDescent="0.35">
      <c r="B6044" s="47"/>
      <c r="C6044" s="14"/>
      <c r="D6044" s="14"/>
      <c r="E6044" s="14"/>
      <c r="F6044" s="14"/>
      <c r="G6044" s="18"/>
    </row>
    <row r="6045" spans="2:7" x14ac:dyDescent="0.35">
      <c r="B6045" s="47"/>
      <c r="C6045" s="14"/>
      <c r="D6045" s="14"/>
      <c r="E6045" s="14"/>
      <c r="F6045" s="14"/>
      <c r="G6045" s="18"/>
    </row>
    <row r="6046" spans="2:7" x14ac:dyDescent="0.35">
      <c r="B6046" s="47"/>
      <c r="C6046" s="14"/>
      <c r="D6046" s="14"/>
      <c r="E6046" s="14"/>
      <c r="F6046" s="14"/>
      <c r="G6046" s="18"/>
    </row>
    <row r="6047" spans="2:7" x14ac:dyDescent="0.35">
      <c r="B6047" s="47"/>
      <c r="C6047" s="14"/>
      <c r="D6047" s="14"/>
      <c r="E6047" s="14"/>
      <c r="F6047" s="14"/>
      <c r="G6047" s="18"/>
    </row>
    <row r="6048" spans="2:7" x14ac:dyDescent="0.35">
      <c r="B6048" s="47"/>
      <c r="C6048" s="14"/>
      <c r="D6048" s="14"/>
      <c r="E6048" s="14"/>
      <c r="F6048" s="14"/>
      <c r="G6048" s="18"/>
    </row>
    <row r="6049" spans="2:7" x14ac:dyDescent="0.35">
      <c r="B6049" s="47"/>
      <c r="C6049" s="14"/>
      <c r="D6049" s="14"/>
      <c r="E6049" s="14"/>
      <c r="F6049" s="14"/>
      <c r="G6049" s="18"/>
    </row>
    <row r="6050" spans="2:7" x14ac:dyDescent="0.35">
      <c r="B6050" s="47"/>
      <c r="C6050" s="14"/>
      <c r="D6050" s="14"/>
      <c r="E6050" s="14"/>
      <c r="F6050" s="14"/>
      <c r="G6050" s="18"/>
    </row>
    <row r="6051" spans="2:7" x14ac:dyDescent="0.35">
      <c r="B6051" s="47"/>
      <c r="C6051" s="14"/>
      <c r="D6051" s="14"/>
      <c r="E6051" s="14"/>
      <c r="F6051" s="14"/>
      <c r="G6051" s="18"/>
    </row>
    <row r="6052" spans="2:7" x14ac:dyDescent="0.35">
      <c r="B6052" s="47"/>
      <c r="C6052" s="14"/>
      <c r="D6052" s="14"/>
      <c r="E6052" s="14"/>
      <c r="F6052" s="14"/>
      <c r="G6052" s="18"/>
    </row>
    <row r="6053" spans="2:7" x14ac:dyDescent="0.35">
      <c r="B6053" s="47"/>
      <c r="C6053" s="14"/>
      <c r="D6053" s="14"/>
      <c r="E6053" s="14"/>
      <c r="F6053" s="14"/>
      <c r="G6053" s="18"/>
    </row>
    <row r="6054" spans="2:7" x14ac:dyDescent="0.35">
      <c r="B6054" s="47"/>
      <c r="C6054" s="14"/>
      <c r="D6054" s="14"/>
      <c r="E6054" s="14"/>
      <c r="F6054" s="14"/>
      <c r="G6054" s="18"/>
    </row>
    <row r="6055" spans="2:7" x14ac:dyDescent="0.35">
      <c r="B6055" s="47"/>
      <c r="C6055" s="14"/>
      <c r="D6055" s="14"/>
      <c r="E6055" s="14"/>
      <c r="F6055" s="14"/>
      <c r="G6055" s="18"/>
    </row>
    <row r="6056" spans="2:7" x14ac:dyDescent="0.35">
      <c r="B6056" s="47"/>
      <c r="C6056" s="14"/>
      <c r="D6056" s="14"/>
      <c r="E6056" s="14"/>
      <c r="F6056" s="14"/>
      <c r="G6056" s="18"/>
    </row>
    <row r="6057" spans="2:7" x14ac:dyDescent="0.35">
      <c r="B6057" s="47"/>
      <c r="C6057" s="14"/>
      <c r="D6057" s="14"/>
      <c r="E6057" s="14"/>
      <c r="F6057" s="14"/>
      <c r="G605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392B"/>
    <pageSetUpPr fitToPage="1"/>
  </sheetPr>
  <dimension ref="A1:H6055"/>
  <sheetViews>
    <sheetView showGridLines="0" zoomScale="80" zoomScaleNormal="80" workbookViewId="0">
      <pane xSplit="1" ySplit="1" topLeftCell="B2" activePane="bottomRight" state="frozen"/>
      <selection pane="topRight" activeCell="B1" sqref="B1"/>
      <selection pane="bottomLeft" activeCell="A12" sqref="A12"/>
      <selection pane="bottomRight" activeCell="D2" sqref="D2"/>
    </sheetView>
  </sheetViews>
  <sheetFormatPr defaultColWidth="8.54296875" defaultRowHeight="32.25" customHeight="1" x14ac:dyDescent="0.35"/>
  <cols>
    <col min="1" max="1" width="2.453125" style="63" customWidth="1"/>
    <col min="2" max="2" width="4" style="63" customWidth="1"/>
    <col min="3" max="3" width="26" style="63" customWidth="1"/>
    <col min="4" max="4" width="62" style="63" customWidth="1"/>
    <col min="5" max="5" width="10.54296875" style="63" customWidth="1"/>
    <col min="6" max="6" width="48" style="63" customWidth="1"/>
    <col min="7" max="7" width="26" style="63" customWidth="1"/>
    <col min="8" max="8" width="12.26953125" style="63" customWidth="1"/>
    <col min="9" max="16384" width="8.54296875" style="63"/>
  </cols>
  <sheetData>
    <row r="1" spans="1:8" s="42" customFormat="1" ht="32.25" customHeight="1" thickBot="1" x14ac:dyDescent="0.4">
      <c r="A1" s="42" t="s">
        <v>1169</v>
      </c>
      <c r="B1" s="43" t="s">
        <v>139</v>
      </c>
      <c r="C1" s="43" t="s">
        <v>140</v>
      </c>
      <c r="D1" s="43" t="s">
        <v>141</v>
      </c>
      <c r="E1" s="43" t="s">
        <v>142</v>
      </c>
      <c r="F1" s="43" t="s">
        <v>143</v>
      </c>
      <c r="G1" s="43" t="s">
        <v>144</v>
      </c>
      <c r="H1" s="19" t="s">
        <v>1170</v>
      </c>
    </row>
    <row r="2" spans="1:8" ht="118.5" customHeight="1" x14ac:dyDescent="0.35">
      <c r="A2" s="59"/>
      <c r="B2" s="53">
        <v>1</v>
      </c>
      <c r="C2" s="53" t="s">
        <v>145</v>
      </c>
      <c r="D2" s="53" t="s">
        <v>1159</v>
      </c>
      <c r="E2" s="60" t="s">
        <v>60</v>
      </c>
      <c r="F2" s="53" t="s">
        <v>146</v>
      </c>
      <c r="G2" s="61" t="s">
        <v>147</v>
      </c>
      <c r="H2" s="62" t="s">
        <v>1171</v>
      </c>
    </row>
    <row r="3" spans="1:8" ht="87.75" customHeight="1" x14ac:dyDescent="0.35">
      <c r="A3" s="59"/>
      <c r="B3" s="53">
        <v>2</v>
      </c>
      <c r="C3" s="53" t="s">
        <v>148</v>
      </c>
      <c r="D3" s="53" t="s">
        <v>149</v>
      </c>
      <c r="E3" s="60" t="s">
        <v>60</v>
      </c>
      <c r="F3" s="53" t="s">
        <v>150</v>
      </c>
      <c r="G3" s="61" t="s">
        <v>151</v>
      </c>
      <c r="H3" s="64" t="s">
        <v>1171</v>
      </c>
    </row>
    <row r="4" spans="1:8" ht="148.5" customHeight="1" x14ac:dyDescent="0.35">
      <c r="A4" s="59"/>
      <c r="B4" s="53">
        <v>3</v>
      </c>
      <c r="C4" s="53" t="s">
        <v>152</v>
      </c>
      <c r="D4" s="53" t="s">
        <v>153</v>
      </c>
      <c r="E4" s="60" t="s">
        <v>60</v>
      </c>
      <c r="F4" s="53" t="s">
        <v>154</v>
      </c>
      <c r="G4" s="61" t="s">
        <v>155</v>
      </c>
      <c r="H4" s="64" t="s">
        <v>1171</v>
      </c>
    </row>
    <row r="5" spans="1:8" ht="210" customHeight="1" x14ac:dyDescent="0.35">
      <c r="A5" s="59"/>
      <c r="B5" s="53">
        <v>4</v>
      </c>
      <c r="C5" s="53" t="s">
        <v>156</v>
      </c>
      <c r="D5" s="53" t="s">
        <v>157</v>
      </c>
      <c r="E5" s="60" t="s">
        <v>60</v>
      </c>
      <c r="F5" s="53" t="s">
        <v>158</v>
      </c>
      <c r="G5" s="61" t="s">
        <v>159</v>
      </c>
      <c r="H5" s="64" t="s">
        <v>1171</v>
      </c>
    </row>
    <row r="6" spans="1:8" ht="66.75" customHeight="1" x14ac:dyDescent="0.35">
      <c r="A6" s="59"/>
      <c r="B6" s="53">
        <v>5</v>
      </c>
      <c r="C6" s="53" t="s">
        <v>160</v>
      </c>
      <c r="D6" s="53" t="s">
        <v>161</v>
      </c>
      <c r="E6" s="60" t="s">
        <v>60</v>
      </c>
      <c r="F6" s="53" t="s">
        <v>162</v>
      </c>
      <c r="G6" s="61" t="s">
        <v>163</v>
      </c>
      <c r="H6" s="64" t="s">
        <v>1171</v>
      </c>
    </row>
    <row r="7" spans="1:8" ht="114.75" customHeight="1" x14ac:dyDescent="0.35">
      <c r="A7" s="59"/>
      <c r="B7" s="53">
        <v>6</v>
      </c>
      <c r="C7" s="53" t="s">
        <v>164</v>
      </c>
      <c r="D7" s="53" t="s">
        <v>165</v>
      </c>
      <c r="E7" s="60" t="s">
        <v>60</v>
      </c>
      <c r="F7" s="53" t="s">
        <v>166</v>
      </c>
      <c r="G7" s="61" t="s">
        <v>167</v>
      </c>
      <c r="H7" s="64" t="s">
        <v>1171</v>
      </c>
    </row>
    <row r="8" spans="1:8" ht="88.5" customHeight="1" x14ac:dyDescent="0.35">
      <c r="A8" s="59"/>
      <c r="B8" s="53">
        <v>7</v>
      </c>
      <c r="C8" s="53" t="s">
        <v>168</v>
      </c>
      <c r="D8" s="53" t="s">
        <v>169</v>
      </c>
      <c r="E8" s="60" t="s">
        <v>60</v>
      </c>
      <c r="F8" s="53" t="s">
        <v>170</v>
      </c>
      <c r="G8" s="61" t="s">
        <v>171</v>
      </c>
      <c r="H8" s="64" t="s">
        <v>1171</v>
      </c>
    </row>
    <row r="9" spans="1:8" ht="303" customHeight="1" x14ac:dyDescent="0.35">
      <c r="A9" s="59"/>
      <c r="B9" s="53">
        <v>8</v>
      </c>
      <c r="C9" s="53" t="s">
        <v>172</v>
      </c>
      <c r="D9" s="53" t="s">
        <v>173</v>
      </c>
      <c r="E9" s="60" t="s">
        <v>60</v>
      </c>
      <c r="F9" s="53" t="s">
        <v>174</v>
      </c>
      <c r="G9" s="61" t="s">
        <v>175</v>
      </c>
      <c r="H9" s="64" t="s">
        <v>1171</v>
      </c>
    </row>
    <row r="10" spans="1:8" ht="196.5" customHeight="1" x14ac:dyDescent="0.35">
      <c r="A10" s="59"/>
      <c r="B10" s="53">
        <v>9</v>
      </c>
      <c r="C10" s="53" t="s">
        <v>176</v>
      </c>
      <c r="D10" s="53" t="s">
        <v>177</v>
      </c>
      <c r="E10" s="60" t="s">
        <v>60</v>
      </c>
      <c r="F10" s="53" t="s">
        <v>178</v>
      </c>
      <c r="G10" s="61" t="s">
        <v>179</v>
      </c>
      <c r="H10" s="64" t="s">
        <v>1171</v>
      </c>
    </row>
    <row r="11" spans="1:8" ht="208.5" customHeight="1" x14ac:dyDescent="0.35">
      <c r="A11" s="59"/>
      <c r="B11" s="53">
        <v>10</v>
      </c>
      <c r="C11" s="53" t="s">
        <v>180</v>
      </c>
      <c r="D11" s="53" t="s">
        <v>181</v>
      </c>
      <c r="E11" s="60" t="s">
        <v>60</v>
      </c>
      <c r="F11" s="53" t="s">
        <v>182</v>
      </c>
      <c r="G11" s="61" t="s">
        <v>183</v>
      </c>
      <c r="H11" s="64" t="s">
        <v>1171</v>
      </c>
    </row>
    <row r="12" spans="1:8" ht="132" customHeight="1" x14ac:dyDescent="0.35">
      <c r="A12" s="59"/>
      <c r="B12" s="53">
        <v>11</v>
      </c>
      <c r="C12" s="53" t="s">
        <v>184</v>
      </c>
      <c r="D12" s="65" t="s">
        <v>185</v>
      </c>
      <c r="E12" s="60" t="s">
        <v>60</v>
      </c>
      <c r="F12" s="53" t="s">
        <v>186</v>
      </c>
      <c r="G12" s="61" t="s">
        <v>187</v>
      </c>
      <c r="H12" s="64" t="s">
        <v>1171</v>
      </c>
    </row>
    <row r="13" spans="1:8" ht="294" customHeight="1" x14ac:dyDescent="0.35">
      <c r="A13" s="59"/>
      <c r="B13" s="53">
        <v>12</v>
      </c>
      <c r="C13" s="53" t="s">
        <v>188</v>
      </c>
      <c r="D13" s="53" t="s">
        <v>189</v>
      </c>
      <c r="E13" s="60" t="s">
        <v>60</v>
      </c>
      <c r="F13" s="53" t="s">
        <v>190</v>
      </c>
      <c r="G13" s="61" t="s">
        <v>191</v>
      </c>
      <c r="H13" s="64" t="s">
        <v>1171</v>
      </c>
    </row>
    <row r="14" spans="1:8" ht="153.75" customHeight="1" x14ac:dyDescent="0.35">
      <c r="A14" s="59"/>
      <c r="B14" s="53">
        <v>13</v>
      </c>
      <c r="C14" s="53" t="s">
        <v>192</v>
      </c>
      <c r="D14" s="53" t="s">
        <v>193</v>
      </c>
      <c r="E14" s="60" t="s">
        <v>60</v>
      </c>
      <c r="F14" s="53" t="s">
        <v>194</v>
      </c>
      <c r="G14" s="61" t="s">
        <v>195</v>
      </c>
      <c r="H14" s="64" t="s">
        <v>1171</v>
      </c>
    </row>
    <row r="15" spans="1:8" ht="272.25" customHeight="1" x14ac:dyDescent="0.35">
      <c r="A15" s="59"/>
      <c r="B15" s="53">
        <v>14</v>
      </c>
      <c r="C15" s="53" t="s">
        <v>196</v>
      </c>
      <c r="D15" s="53" t="s">
        <v>197</v>
      </c>
      <c r="E15" s="60" t="s">
        <v>60</v>
      </c>
      <c r="F15" s="53" t="s">
        <v>198</v>
      </c>
      <c r="G15" s="61" t="s">
        <v>199</v>
      </c>
      <c r="H15" s="64" t="s">
        <v>1171</v>
      </c>
    </row>
    <row r="16" spans="1:8" ht="228.75" customHeight="1" x14ac:dyDescent="0.35">
      <c r="A16" s="59"/>
      <c r="B16" s="53">
        <v>15</v>
      </c>
      <c r="C16" s="53" t="s">
        <v>200</v>
      </c>
      <c r="D16" s="53" t="s">
        <v>201</v>
      </c>
      <c r="E16" s="60" t="s">
        <v>60</v>
      </c>
      <c r="F16" s="53" t="s">
        <v>202</v>
      </c>
      <c r="G16" s="61" t="s">
        <v>203</v>
      </c>
      <c r="H16" s="64" t="s">
        <v>1171</v>
      </c>
    </row>
    <row r="17" spans="1:8" ht="227.25" customHeight="1" x14ac:dyDescent="0.35">
      <c r="A17" s="59"/>
      <c r="B17" s="53">
        <v>16</v>
      </c>
      <c r="C17" s="53" t="s">
        <v>204</v>
      </c>
      <c r="D17" s="53" t="s">
        <v>205</v>
      </c>
      <c r="E17" s="60" t="s">
        <v>60</v>
      </c>
      <c r="F17" s="53" t="s">
        <v>206</v>
      </c>
      <c r="G17" s="61" t="s">
        <v>207</v>
      </c>
      <c r="H17" s="64" t="s">
        <v>1171</v>
      </c>
    </row>
    <row r="18" spans="1:8" ht="32.25" customHeight="1" thickBot="1" x14ac:dyDescent="0.4">
      <c r="A18" s="59"/>
      <c r="B18" s="53">
        <v>17</v>
      </c>
      <c r="C18" s="53" t="s">
        <v>208</v>
      </c>
      <c r="D18" s="53" t="s">
        <v>209</v>
      </c>
      <c r="E18" s="60" t="s">
        <v>60</v>
      </c>
      <c r="F18" s="53" t="s">
        <v>210</v>
      </c>
      <c r="G18" s="61" t="s">
        <v>211</v>
      </c>
      <c r="H18" s="64" t="s">
        <v>1171</v>
      </c>
    </row>
    <row r="19" spans="1:8" ht="105" customHeight="1" thickBot="1" x14ac:dyDescent="0.4">
      <c r="A19" s="59"/>
      <c r="B19" s="53">
        <v>18</v>
      </c>
      <c r="C19" s="49" t="s">
        <v>212</v>
      </c>
      <c r="D19" s="50" t="s">
        <v>213</v>
      </c>
      <c r="E19" s="66" t="s">
        <v>137</v>
      </c>
      <c r="F19" s="50" t="s">
        <v>214</v>
      </c>
      <c r="G19" s="52" t="s">
        <v>215</v>
      </c>
      <c r="H19" s="64" t="s">
        <v>1171</v>
      </c>
    </row>
    <row r="20" spans="1:8" ht="116.25" customHeight="1" thickBot="1" x14ac:dyDescent="0.4">
      <c r="A20" s="59"/>
      <c r="B20" s="53">
        <v>19</v>
      </c>
      <c r="C20" s="54" t="s">
        <v>216</v>
      </c>
      <c r="D20" s="55" t="s">
        <v>217</v>
      </c>
      <c r="E20" s="67" t="s">
        <v>137</v>
      </c>
      <c r="F20" s="55" t="s">
        <v>218</v>
      </c>
      <c r="G20" s="56" t="s">
        <v>219</v>
      </c>
      <c r="H20" s="64" t="s">
        <v>1171</v>
      </c>
    </row>
    <row r="21" spans="1:8" ht="151.5" customHeight="1" thickBot="1" x14ac:dyDescent="0.4">
      <c r="A21" s="59"/>
      <c r="B21" s="53">
        <v>20</v>
      </c>
      <c r="C21" s="54" t="s">
        <v>220</v>
      </c>
      <c r="D21" s="55" t="s">
        <v>221</v>
      </c>
      <c r="E21" s="67" t="s">
        <v>137</v>
      </c>
      <c r="F21" s="55" t="s">
        <v>222</v>
      </c>
      <c r="G21" s="56" t="s">
        <v>223</v>
      </c>
      <c r="H21" s="64" t="s">
        <v>1171</v>
      </c>
    </row>
    <row r="22" spans="1:8" ht="117.75" customHeight="1" thickBot="1" x14ac:dyDescent="0.4">
      <c r="A22" s="59"/>
      <c r="B22" s="53">
        <v>21</v>
      </c>
      <c r="C22" s="54" t="s">
        <v>224</v>
      </c>
      <c r="D22" s="55" t="s">
        <v>225</v>
      </c>
      <c r="E22" s="67" t="s">
        <v>137</v>
      </c>
      <c r="F22" s="55" t="s">
        <v>226</v>
      </c>
      <c r="G22" s="56" t="s">
        <v>227</v>
      </c>
      <c r="H22" s="64" t="s">
        <v>1171</v>
      </c>
    </row>
    <row r="23" spans="1:8" ht="99" customHeight="1" thickBot="1" x14ac:dyDescent="0.4">
      <c r="A23" s="59"/>
      <c r="B23" s="53">
        <v>22</v>
      </c>
      <c r="C23" s="54" t="s">
        <v>228</v>
      </c>
      <c r="D23" s="55" t="s">
        <v>229</v>
      </c>
      <c r="E23" s="67" t="s">
        <v>137</v>
      </c>
      <c r="F23" s="55" t="s">
        <v>230</v>
      </c>
      <c r="G23" s="56" t="s">
        <v>231</v>
      </c>
      <c r="H23" s="64" t="s">
        <v>1171</v>
      </c>
    </row>
    <row r="24" spans="1:8" ht="91.5" customHeight="1" thickBot="1" x14ac:dyDescent="0.4">
      <c r="A24" s="59"/>
      <c r="B24" s="53">
        <v>23</v>
      </c>
      <c r="C24" s="54" t="s">
        <v>232</v>
      </c>
      <c r="D24" s="55" t="s">
        <v>233</v>
      </c>
      <c r="E24" s="67" t="s">
        <v>137</v>
      </c>
      <c r="F24" s="55" t="s">
        <v>234</v>
      </c>
      <c r="G24" s="56" t="s">
        <v>235</v>
      </c>
      <c r="H24" s="64" t="s">
        <v>1171</v>
      </c>
    </row>
    <row r="25" spans="1:8" ht="180.75" customHeight="1" thickBot="1" x14ac:dyDescent="0.4">
      <c r="A25" s="59"/>
      <c r="B25" s="53">
        <v>24</v>
      </c>
      <c r="C25" s="54" t="s">
        <v>236</v>
      </c>
      <c r="D25" s="55" t="s">
        <v>237</v>
      </c>
      <c r="E25" s="67" t="s">
        <v>137</v>
      </c>
      <c r="F25" s="55" t="s">
        <v>238</v>
      </c>
      <c r="G25" s="56" t="s">
        <v>239</v>
      </c>
      <c r="H25" s="64" t="s">
        <v>1171</v>
      </c>
    </row>
    <row r="26" spans="1:8" ht="116.25" customHeight="1" thickBot="1" x14ac:dyDescent="0.4">
      <c r="A26" s="59"/>
      <c r="B26" s="53">
        <v>25</v>
      </c>
      <c r="C26" s="54" t="s">
        <v>240</v>
      </c>
      <c r="D26" s="55" t="s">
        <v>241</v>
      </c>
      <c r="E26" s="67" t="s">
        <v>137</v>
      </c>
      <c r="F26" s="55" t="s">
        <v>242</v>
      </c>
      <c r="G26" s="56" t="s">
        <v>243</v>
      </c>
      <c r="H26" s="64" t="s">
        <v>1171</v>
      </c>
    </row>
    <row r="27" spans="1:8" ht="114" customHeight="1" thickBot="1" x14ac:dyDescent="0.4">
      <c r="A27" s="59"/>
      <c r="B27" s="53">
        <v>26</v>
      </c>
      <c r="C27" s="54" t="s">
        <v>244</v>
      </c>
      <c r="D27" s="55" t="s">
        <v>245</v>
      </c>
      <c r="E27" s="67" t="s">
        <v>137</v>
      </c>
      <c r="F27" s="55" t="s">
        <v>246</v>
      </c>
      <c r="G27" s="56" t="s">
        <v>247</v>
      </c>
      <c r="H27" s="64" t="s">
        <v>1171</v>
      </c>
    </row>
    <row r="28" spans="1:8" ht="124.5" customHeight="1" thickBot="1" x14ac:dyDescent="0.4">
      <c r="A28" s="59"/>
      <c r="B28" s="53">
        <v>27</v>
      </c>
      <c r="C28" s="54" t="s">
        <v>248</v>
      </c>
      <c r="D28" s="55" t="s">
        <v>249</v>
      </c>
      <c r="E28" s="67" t="s">
        <v>137</v>
      </c>
      <c r="F28" s="55" t="s">
        <v>250</v>
      </c>
      <c r="G28" s="56" t="s">
        <v>251</v>
      </c>
      <c r="H28" s="64" t="s">
        <v>1171</v>
      </c>
    </row>
    <row r="29" spans="1:8" ht="147" customHeight="1" thickBot="1" x14ac:dyDescent="0.4">
      <c r="A29" s="59"/>
      <c r="B29" s="53">
        <v>28</v>
      </c>
      <c r="C29" s="54" t="s">
        <v>252</v>
      </c>
      <c r="D29" s="55" t="s">
        <v>253</v>
      </c>
      <c r="E29" s="67" t="s">
        <v>137</v>
      </c>
      <c r="F29" s="55" t="s">
        <v>254</v>
      </c>
      <c r="G29" s="56" t="s">
        <v>255</v>
      </c>
      <c r="H29" s="64" t="s">
        <v>1171</v>
      </c>
    </row>
    <row r="30" spans="1:8" ht="115.5" customHeight="1" thickBot="1" x14ac:dyDescent="0.4">
      <c r="A30" s="59"/>
      <c r="B30" s="53">
        <v>29</v>
      </c>
      <c r="C30" s="54" t="s">
        <v>256</v>
      </c>
      <c r="D30" s="55" t="s">
        <v>257</v>
      </c>
      <c r="E30" s="67" t="s">
        <v>137</v>
      </c>
      <c r="F30" s="55" t="s">
        <v>258</v>
      </c>
      <c r="G30" s="56" t="s">
        <v>259</v>
      </c>
      <c r="H30" s="64" t="s">
        <v>1171</v>
      </c>
    </row>
    <row r="31" spans="1:8" ht="177.75" customHeight="1" thickBot="1" x14ac:dyDescent="0.4">
      <c r="A31" s="59"/>
      <c r="B31" s="53">
        <v>30</v>
      </c>
      <c r="C31" s="54" t="s">
        <v>260</v>
      </c>
      <c r="D31" s="55" t="s">
        <v>261</v>
      </c>
      <c r="E31" s="67" t="s">
        <v>137</v>
      </c>
      <c r="F31" s="55" t="s">
        <v>262</v>
      </c>
      <c r="G31" s="56" t="s">
        <v>263</v>
      </c>
      <c r="H31" s="64" t="s">
        <v>1171</v>
      </c>
    </row>
    <row r="32" spans="1:8" ht="180" customHeight="1" thickBot="1" x14ac:dyDescent="0.4">
      <c r="A32" s="59"/>
      <c r="B32" s="53">
        <v>31</v>
      </c>
      <c r="C32" s="54" t="s">
        <v>264</v>
      </c>
      <c r="D32" s="55" t="s">
        <v>265</v>
      </c>
      <c r="E32" s="67" t="s">
        <v>137</v>
      </c>
      <c r="F32" s="55" t="s">
        <v>266</v>
      </c>
      <c r="G32" s="56" t="s">
        <v>267</v>
      </c>
      <c r="H32" s="64" t="s">
        <v>1171</v>
      </c>
    </row>
    <row r="33" spans="1:8" ht="137.25" customHeight="1" thickBot="1" x14ac:dyDescent="0.4">
      <c r="A33" s="59"/>
      <c r="B33" s="53">
        <v>32</v>
      </c>
      <c r="C33" s="54" t="s">
        <v>268</v>
      </c>
      <c r="D33" s="55" t="s">
        <v>269</v>
      </c>
      <c r="E33" s="67" t="s">
        <v>137</v>
      </c>
      <c r="F33" s="55" t="s">
        <v>270</v>
      </c>
      <c r="G33" s="56" t="s">
        <v>271</v>
      </c>
      <c r="H33" s="64" t="s">
        <v>1171</v>
      </c>
    </row>
    <row r="34" spans="1:8" ht="112.5" customHeight="1" thickBot="1" x14ac:dyDescent="0.4">
      <c r="A34" s="59"/>
      <c r="B34" s="53">
        <v>33</v>
      </c>
      <c r="C34" s="54" t="s">
        <v>272</v>
      </c>
      <c r="D34" s="55" t="s">
        <v>273</v>
      </c>
      <c r="E34" s="67" t="s">
        <v>137</v>
      </c>
      <c r="F34" s="55" t="s">
        <v>274</v>
      </c>
      <c r="G34" s="56" t="s">
        <v>275</v>
      </c>
      <c r="H34" s="64" t="s">
        <v>1171</v>
      </c>
    </row>
    <row r="35" spans="1:8" ht="228.75" customHeight="1" thickBot="1" x14ac:dyDescent="0.4">
      <c r="A35" s="59"/>
      <c r="B35" s="53">
        <v>34</v>
      </c>
      <c r="C35" s="54" t="s">
        <v>276</v>
      </c>
      <c r="D35" s="55" t="s">
        <v>277</v>
      </c>
      <c r="E35" s="67" t="s">
        <v>137</v>
      </c>
      <c r="F35" s="55" t="s">
        <v>278</v>
      </c>
      <c r="G35" s="56" t="s">
        <v>279</v>
      </c>
      <c r="H35" s="64" t="s">
        <v>1171</v>
      </c>
    </row>
    <row r="36" spans="1:8" ht="147.75" customHeight="1" thickBot="1" x14ac:dyDescent="0.4">
      <c r="A36" s="59"/>
      <c r="B36" s="53">
        <v>35</v>
      </c>
      <c r="C36" s="54" t="s">
        <v>280</v>
      </c>
      <c r="D36" s="55" t="s">
        <v>281</v>
      </c>
      <c r="E36" s="67" t="s">
        <v>137</v>
      </c>
      <c r="F36" s="55" t="s">
        <v>282</v>
      </c>
      <c r="G36" s="56" t="s">
        <v>283</v>
      </c>
      <c r="H36" s="64" t="s">
        <v>1171</v>
      </c>
    </row>
    <row r="37" spans="1:8" ht="123.75" customHeight="1" thickBot="1" x14ac:dyDescent="0.4">
      <c r="A37" s="59"/>
      <c r="B37" s="53">
        <v>36</v>
      </c>
      <c r="C37" s="54" t="s">
        <v>284</v>
      </c>
      <c r="D37" s="55" t="s">
        <v>285</v>
      </c>
      <c r="E37" s="67" t="s">
        <v>137</v>
      </c>
      <c r="F37" s="55" t="s">
        <v>286</v>
      </c>
      <c r="G37" s="56" t="s">
        <v>287</v>
      </c>
      <c r="H37" s="64" t="s">
        <v>1171</v>
      </c>
    </row>
    <row r="38" spans="1:8" ht="104.25" customHeight="1" thickBot="1" x14ac:dyDescent="0.4">
      <c r="A38" s="59"/>
      <c r="B38" s="53">
        <v>37</v>
      </c>
      <c r="C38" s="54" t="s">
        <v>288</v>
      </c>
      <c r="D38" s="55" t="s">
        <v>289</v>
      </c>
      <c r="E38" s="67" t="s">
        <v>137</v>
      </c>
      <c r="F38" s="55" t="s">
        <v>290</v>
      </c>
      <c r="G38" s="56" t="s">
        <v>291</v>
      </c>
      <c r="H38" s="64" t="s">
        <v>1171</v>
      </c>
    </row>
    <row r="39" spans="1:8" ht="116.25" customHeight="1" thickBot="1" x14ac:dyDescent="0.4">
      <c r="A39" s="59"/>
      <c r="B39" s="53">
        <v>38</v>
      </c>
      <c r="C39" s="54" t="s">
        <v>292</v>
      </c>
      <c r="D39" s="55" t="s">
        <v>293</v>
      </c>
      <c r="E39" s="67" t="s">
        <v>137</v>
      </c>
      <c r="F39" s="55" t="s">
        <v>294</v>
      </c>
      <c r="G39" s="56" t="s">
        <v>295</v>
      </c>
      <c r="H39" s="64" t="s">
        <v>1171</v>
      </c>
    </row>
    <row r="40" spans="1:8" ht="137.25" customHeight="1" thickBot="1" x14ac:dyDescent="0.4">
      <c r="A40" s="59"/>
      <c r="B40" s="53">
        <v>39</v>
      </c>
      <c r="C40" s="54" t="s">
        <v>296</v>
      </c>
      <c r="D40" s="55" t="s">
        <v>297</v>
      </c>
      <c r="E40" s="67" t="s">
        <v>137</v>
      </c>
      <c r="F40" s="55" t="s">
        <v>298</v>
      </c>
      <c r="G40" s="56" t="s">
        <v>299</v>
      </c>
      <c r="H40" s="64" t="s">
        <v>1171</v>
      </c>
    </row>
    <row r="41" spans="1:8" ht="113.25" customHeight="1" thickBot="1" x14ac:dyDescent="0.4">
      <c r="A41" s="59"/>
      <c r="B41" s="53">
        <v>40</v>
      </c>
      <c r="C41" s="54" t="s">
        <v>300</v>
      </c>
      <c r="D41" s="55" t="s">
        <v>301</v>
      </c>
      <c r="E41" s="67" t="s">
        <v>137</v>
      </c>
      <c r="F41" s="55" t="s">
        <v>302</v>
      </c>
      <c r="G41" s="56" t="s">
        <v>303</v>
      </c>
      <c r="H41" s="64" t="s">
        <v>1171</v>
      </c>
    </row>
    <row r="42" spans="1:8" ht="84.75" customHeight="1" thickBot="1" x14ac:dyDescent="0.4">
      <c r="A42" s="59"/>
      <c r="B42" s="53">
        <v>41</v>
      </c>
      <c r="C42" s="54" t="s">
        <v>304</v>
      </c>
      <c r="D42" s="55" t="s">
        <v>305</v>
      </c>
      <c r="E42" s="67" t="s">
        <v>137</v>
      </c>
      <c r="F42" s="55" t="s">
        <v>306</v>
      </c>
      <c r="G42" s="56" t="s">
        <v>307</v>
      </c>
      <c r="H42" s="64" t="s">
        <v>1171</v>
      </c>
    </row>
    <row r="43" spans="1:8" ht="166.5" customHeight="1" thickBot="1" x14ac:dyDescent="0.4">
      <c r="A43" s="59"/>
      <c r="B43" s="53">
        <v>42</v>
      </c>
      <c r="C43" s="54" t="s">
        <v>308</v>
      </c>
      <c r="D43" s="49" t="s">
        <v>1161</v>
      </c>
      <c r="E43" s="67" t="s">
        <v>137</v>
      </c>
      <c r="F43" s="55" t="s">
        <v>309</v>
      </c>
      <c r="G43" s="56" t="s">
        <v>310</v>
      </c>
      <c r="H43" s="64" t="s">
        <v>1171</v>
      </c>
    </row>
    <row r="44" spans="1:8" ht="134.25" customHeight="1" thickBot="1" x14ac:dyDescent="0.4">
      <c r="A44" s="59"/>
      <c r="B44" s="53">
        <v>43</v>
      </c>
      <c r="C44" s="54" t="s">
        <v>311</v>
      </c>
      <c r="D44" s="55" t="s">
        <v>312</v>
      </c>
      <c r="E44" s="67" t="s">
        <v>137</v>
      </c>
      <c r="F44" s="55" t="s">
        <v>313</v>
      </c>
      <c r="G44" s="56" t="s">
        <v>314</v>
      </c>
      <c r="H44" s="64" t="s">
        <v>1171</v>
      </c>
    </row>
    <row r="45" spans="1:8" ht="115.5" customHeight="1" thickBot="1" x14ac:dyDescent="0.4">
      <c r="A45" s="59"/>
      <c r="B45" s="53">
        <v>44</v>
      </c>
      <c r="C45" s="54" t="s">
        <v>315</v>
      </c>
      <c r="D45" s="55" t="s">
        <v>316</v>
      </c>
      <c r="E45" s="67" t="s">
        <v>137</v>
      </c>
      <c r="F45" s="55" t="s">
        <v>317</v>
      </c>
      <c r="G45" s="56" t="s">
        <v>318</v>
      </c>
      <c r="H45" s="64" t="s">
        <v>1171</v>
      </c>
    </row>
    <row r="46" spans="1:8" ht="99" customHeight="1" thickBot="1" x14ac:dyDescent="0.4">
      <c r="A46" s="59"/>
      <c r="B46" s="53">
        <v>45</v>
      </c>
      <c r="C46" s="54" t="s">
        <v>319</v>
      </c>
      <c r="D46" s="55" t="s">
        <v>320</v>
      </c>
      <c r="E46" s="67" t="s">
        <v>137</v>
      </c>
      <c r="F46" s="55" t="s">
        <v>321</v>
      </c>
      <c r="G46" s="56" t="s">
        <v>322</v>
      </c>
      <c r="H46" s="64" t="s">
        <v>1171</v>
      </c>
    </row>
    <row r="47" spans="1:8" ht="101.25" customHeight="1" thickBot="1" x14ac:dyDescent="0.4">
      <c r="A47" s="59"/>
      <c r="B47" s="53">
        <v>46</v>
      </c>
      <c r="C47" s="54" t="s">
        <v>323</v>
      </c>
      <c r="D47" s="55" t="s">
        <v>324</v>
      </c>
      <c r="E47" s="67" t="s">
        <v>137</v>
      </c>
      <c r="F47" s="55" t="s">
        <v>325</v>
      </c>
      <c r="G47" s="56" t="s">
        <v>326</v>
      </c>
      <c r="H47" s="64" t="s">
        <v>1171</v>
      </c>
    </row>
    <row r="48" spans="1:8" ht="130.5" customHeight="1" thickBot="1" x14ac:dyDescent="0.4">
      <c r="A48" s="59"/>
      <c r="B48" s="53">
        <v>47</v>
      </c>
      <c r="C48" s="54" t="s">
        <v>327</v>
      </c>
      <c r="D48" s="55" t="s">
        <v>328</v>
      </c>
      <c r="E48" s="67" t="s">
        <v>137</v>
      </c>
      <c r="F48" s="55" t="s">
        <v>329</v>
      </c>
      <c r="G48" s="56" t="s">
        <v>330</v>
      </c>
      <c r="H48" s="64" t="s">
        <v>1171</v>
      </c>
    </row>
    <row r="49" spans="1:8" ht="110.25" customHeight="1" thickBot="1" x14ac:dyDescent="0.4">
      <c r="A49" s="59"/>
      <c r="B49" s="53">
        <v>48</v>
      </c>
      <c r="C49" s="54" t="s">
        <v>331</v>
      </c>
      <c r="D49" s="55" t="s">
        <v>332</v>
      </c>
      <c r="E49" s="67" t="s">
        <v>137</v>
      </c>
      <c r="F49" s="55" t="s">
        <v>333</v>
      </c>
      <c r="G49" s="56" t="s">
        <v>334</v>
      </c>
      <c r="H49" s="64" t="s">
        <v>1171</v>
      </c>
    </row>
    <row r="50" spans="1:8" ht="118.5" customHeight="1" thickBot="1" x14ac:dyDescent="0.4">
      <c r="A50" s="59"/>
      <c r="B50" s="53">
        <v>49</v>
      </c>
      <c r="C50" s="54" t="s">
        <v>335</v>
      </c>
      <c r="D50" s="55" t="s">
        <v>336</v>
      </c>
      <c r="E50" s="68" t="s">
        <v>137</v>
      </c>
      <c r="F50" s="55" t="s">
        <v>337</v>
      </c>
      <c r="G50" s="56" t="s">
        <v>338</v>
      </c>
      <c r="H50" s="64" t="s">
        <v>1171</v>
      </c>
    </row>
    <row r="51" spans="1:8" ht="205.5" customHeight="1" thickBot="1" x14ac:dyDescent="0.4">
      <c r="A51" s="59"/>
      <c r="B51" s="53">
        <v>50</v>
      </c>
      <c r="C51" s="54" t="s">
        <v>339</v>
      </c>
      <c r="D51" s="69" t="s">
        <v>340</v>
      </c>
      <c r="E51" s="70" t="s">
        <v>137</v>
      </c>
      <c r="F51" s="55" t="s">
        <v>341</v>
      </c>
      <c r="G51" s="56" t="s">
        <v>342</v>
      </c>
      <c r="H51" s="64" t="s">
        <v>1171</v>
      </c>
    </row>
    <row r="52" spans="1:8" ht="261" customHeight="1" thickBot="1" x14ac:dyDescent="0.4">
      <c r="A52" s="59"/>
      <c r="B52" s="53">
        <v>51</v>
      </c>
      <c r="C52" s="54" t="s">
        <v>1160</v>
      </c>
      <c r="D52" s="49" t="s">
        <v>1166</v>
      </c>
      <c r="E52" s="70" t="s">
        <v>137</v>
      </c>
      <c r="F52" s="49" t="s">
        <v>1167</v>
      </c>
      <c r="G52" s="71" t="s">
        <v>1168</v>
      </c>
      <c r="H52" s="64" t="s">
        <v>1171</v>
      </c>
    </row>
    <row r="53" spans="1:8" ht="212.25" customHeight="1" thickBot="1" x14ac:dyDescent="0.4">
      <c r="A53" s="59"/>
      <c r="B53" s="53">
        <v>52</v>
      </c>
      <c r="C53" s="54" t="s">
        <v>343</v>
      </c>
      <c r="D53" s="71" t="s">
        <v>1162</v>
      </c>
      <c r="E53" s="70" t="s">
        <v>137</v>
      </c>
      <c r="F53" s="55" t="s">
        <v>1163</v>
      </c>
      <c r="G53" s="56" t="s">
        <v>344</v>
      </c>
      <c r="H53" s="64" t="s">
        <v>1171</v>
      </c>
    </row>
    <row r="54" spans="1:8" ht="124.5" customHeight="1" thickBot="1" x14ac:dyDescent="0.4">
      <c r="A54" s="59"/>
      <c r="B54" s="53">
        <v>53</v>
      </c>
      <c r="C54" s="54" t="s">
        <v>345</v>
      </c>
      <c r="D54" s="49" t="s">
        <v>346</v>
      </c>
      <c r="E54" s="67" t="s">
        <v>137</v>
      </c>
      <c r="F54" s="55" t="s">
        <v>347</v>
      </c>
      <c r="G54" s="56" t="s">
        <v>348</v>
      </c>
      <c r="H54" s="64" t="s">
        <v>1171</v>
      </c>
    </row>
    <row r="55" spans="1:8" ht="152.25" customHeight="1" thickBot="1" x14ac:dyDescent="0.4">
      <c r="A55" s="59"/>
      <c r="B55" s="53">
        <v>54</v>
      </c>
      <c r="C55" s="54" t="s">
        <v>349</v>
      </c>
      <c r="D55" s="55" t="s">
        <v>350</v>
      </c>
      <c r="E55" s="67" t="s">
        <v>137</v>
      </c>
      <c r="F55" s="55" t="s">
        <v>351</v>
      </c>
      <c r="G55" s="56" t="s">
        <v>352</v>
      </c>
      <c r="H55" s="64" t="s">
        <v>1171</v>
      </c>
    </row>
    <row r="56" spans="1:8" ht="133.5" customHeight="1" thickBot="1" x14ac:dyDescent="0.4">
      <c r="A56" s="59"/>
      <c r="B56" s="53">
        <v>55</v>
      </c>
      <c r="C56" s="54" t="s">
        <v>353</v>
      </c>
      <c r="D56" s="55" t="s">
        <v>354</v>
      </c>
      <c r="E56" s="67" t="s">
        <v>137</v>
      </c>
      <c r="F56" s="55" t="s">
        <v>355</v>
      </c>
      <c r="G56" s="56" t="s">
        <v>356</v>
      </c>
      <c r="H56" s="64" t="s">
        <v>1171</v>
      </c>
    </row>
    <row r="57" spans="1:8" ht="308.25" customHeight="1" thickBot="1" x14ac:dyDescent="0.4">
      <c r="A57" s="59"/>
      <c r="B57" s="53">
        <v>56</v>
      </c>
      <c r="C57" s="54" t="s">
        <v>357</v>
      </c>
      <c r="D57" s="55" t="s">
        <v>358</v>
      </c>
      <c r="E57" s="67" t="s">
        <v>137</v>
      </c>
      <c r="F57" s="55" t="s">
        <v>359</v>
      </c>
      <c r="G57" s="56" t="s">
        <v>360</v>
      </c>
      <c r="H57" s="64" t="s">
        <v>1171</v>
      </c>
    </row>
    <row r="58" spans="1:8" ht="179.25" customHeight="1" thickBot="1" x14ac:dyDescent="0.4">
      <c r="A58" s="59"/>
      <c r="B58" s="53">
        <v>57</v>
      </c>
      <c r="C58" s="54" t="s">
        <v>361</v>
      </c>
      <c r="D58" s="55" t="s">
        <v>362</v>
      </c>
      <c r="E58" s="67" t="s">
        <v>137</v>
      </c>
      <c r="F58" s="55" t="s">
        <v>363</v>
      </c>
      <c r="G58" s="56" t="s">
        <v>364</v>
      </c>
      <c r="H58" s="64" t="s">
        <v>1171</v>
      </c>
    </row>
    <row r="59" spans="1:8" ht="292.5" customHeight="1" thickBot="1" x14ac:dyDescent="0.4">
      <c r="A59" s="59"/>
      <c r="B59" s="53">
        <v>58</v>
      </c>
      <c r="C59" s="54" t="s">
        <v>365</v>
      </c>
      <c r="D59" s="55" t="s">
        <v>366</v>
      </c>
      <c r="E59" s="67" t="s">
        <v>137</v>
      </c>
      <c r="F59" s="55" t="s">
        <v>367</v>
      </c>
      <c r="G59" s="56" t="s">
        <v>368</v>
      </c>
      <c r="H59" s="64" t="s">
        <v>1171</v>
      </c>
    </row>
    <row r="60" spans="1:8" ht="204" customHeight="1" thickBot="1" x14ac:dyDescent="0.4">
      <c r="A60" s="59"/>
      <c r="B60" s="53">
        <v>59</v>
      </c>
      <c r="C60" s="54" t="s">
        <v>369</v>
      </c>
      <c r="D60" s="71" t="s">
        <v>1164</v>
      </c>
      <c r="E60" s="67" t="s">
        <v>137</v>
      </c>
      <c r="F60" s="55" t="s">
        <v>370</v>
      </c>
      <c r="G60" s="56" t="s">
        <v>371</v>
      </c>
      <c r="H60" s="64" t="s">
        <v>1171</v>
      </c>
    </row>
    <row r="61" spans="1:8" ht="147.75" customHeight="1" thickBot="1" x14ac:dyDescent="0.4">
      <c r="A61" s="59"/>
      <c r="B61" s="53">
        <v>60</v>
      </c>
      <c r="C61" s="54" t="s">
        <v>372</v>
      </c>
      <c r="D61" s="55" t="s">
        <v>373</v>
      </c>
      <c r="E61" s="67" t="s">
        <v>137</v>
      </c>
      <c r="F61" s="55" t="s">
        <v>374</v>
      </c>
      <c r="G61" s="56" t="s">
        <v>375</v>
      </c>
      <c r="H61" s="64" t="s">
        <v>1171</v>
      </c>
    </row>
    <row r="62" spans="1:8" ht="308.25" customHeight="1" thickBot="1" x14ac:dyDescent="0.4">
      <c r="A62" s="59"/>
      <c r="B62" s="53">
        <v>61</v>
      </c>
      <c r="C62" s="54" t="s">
        <v>376</v>
      </c>
      <c r="D62" s="55" t="s">
        <v>377</v>
      </c>
      <c r="E62" s="67" t="s">
        <v>137</v>
      </c>
      <c r="F62" s="55" t="s">
        <v>378</v>
      </c>
      <c r="G62" s="56" t="s">
        <v>379</v>
      </c>
      <c r="H62" s="64" t="s">
        <v>1171</v>
      </c>
    </row>
    <row r="63" spans="1:8" ht="238.5" customHeight="1" thickBot="1" x14ac:dyDescent="0.4">
      <c r="A63" s="59"/>
      <c r="B63" s="53">
        <v>62</v>
      </c>
      <c r="C63" s="54" t="s">
        <v>380</v>
      </c>
      <c r="D63" s="71" t="s">
        <v>1165</v>
      </c>
      <c r="E63" s="67" t="s">
        <v>137</v>
      </c>
      <c r="F63" s="55" t="s">
        <v>381</v>
      </c>
      <c r="G63" s="56" t="s">
        <v>382</v>
      </c>
      <c r="H63" s="64" t="s">
        <v>1171</v>
      </c>
    </row>
    <row r="64" spans="1:8" ht="181.5" customHeight="1" thickBot="1" x14ac:dyDescent="0.4">
      <c r="A64" s="59"/>
      <c r="B64" s="53">
        <v>63</v>
      </c>
      <c r="C64" s="54" t="s">
        <v>383</v>
      </c>
      <c r="D64" s="55" t="s">
        <v>384</v>
      </c>
      <c r="E64" s="67" t="s">
        <v>137</v>
      </c>
      <c r="F64" s="55" t="s">
        <v>385</v>
      </c>
      <c r="G64" s="56" t="s">
        <v>386</v>
      </c>
      <c r="H64" s="64" t="s">
        <v>1171</v>
      </c>
    </row>
    <row r="65" spans="1:8" ht="232.5" customHeight="1" thickBot="1" x14ac:dyDescent="0.4">
      <c r="A65" s="59"/>
      <c r="B65" s="53">
        <v>64</v>
      </c>
      <c r="C65" s="54" t="s">
        <v>387</v>
      </c>
      <c r="D65" s="55" t="s">
        <v>388</v>
      </c>
      <c r="E65" s="67" t="s">
        <v>137</v>
      </c>
      <c r="F65" s="55" t="s">
        <v>389</v>
      </c>
      <c r="G65" s="56" t="s">
        <v>390</v>
      </c>
      <c r="H65" s="64" t="s">
        <v>1171</v>
      </c>
    </row>
    <row r="66" spans="1:8" ht="168" customHeight="1" thickBot="1" x14ac:dyDescent="0.4">
      <c r="A66" s="59"/>
      <c r="B66" s="53">
        <v>65</v>
      </c>
      <c r="C66" s="54" t="s">
        <v>391</v>
      </c>
      <c r="D66" s="55" t="s">
        <v>392</v>
      </c>
      <c r="E66" s="67" t="s">
        <v>137</v>
      </c>
      <c r="F66" s="55" t="s">
        <v>393</v>
      </c>
      <c r="G66" s="56" t="s">
        <v>394</v>
      </c>
      <c r="H66" s="64" t="s">
        <v>1171</v>
      </c>
    </row>
    <row r="67" spans="1:8" ht="121.5" customHeight="1" thickBot="1" x14ac:dyDescent="0.4">
      <c r="A67" s="59"/>
      <c r="B67" s="53">
        <v>66</v>
      </c>
      <c r="C67" s="54" t="s">
        <v>395</v>
      </c>
      <c r="D67" s="55" t="s">
        <v>396</v>
      </c>
      <c r="E67" s="67" t="s">
        <v>137</v>
      </c>
      <c r="F67" s="55" t="s">
        <v>397</v>
      </c>
      <c r="G67" s="56" t="s">
        <v>398</v>
      </c>
      <c r="H67" s="64" t="s">
        <v>1171</v>
      </c>
    </row>
    <row r="68" spans="1:8" ht="98.25" customHeight="1" thickBot="1" x14ac:dyDescent="0.4">
      <c r="A68" s="59"/>
      <c r="B68" s="53">
        <v>67</v>
      </c>
      <c r="C68" s="54" t="s">
        <v>399</v>
      </c>
      <c r="D68" s="55" t="s">
        <v>400</v>
      </c>
      <c r="E68" s="67" t="s">
        <v>137</v>
      </c>
      <c r="F68" s="55" t="s">
        <v>401</v>
      </c>
      <c r="G68" s="56" t="s">
        <v>402</v>
      </c>
      <c r="H68" s="64" t="s">
        <v>1171</v>
      </c>
    </row>
    <row r="69" spans="1:8" ht="168" customHeight="1" thickBot="1" x14ac:dyDescent="0.4">
      <c r="A69" s="59"/>
      <c r="B69" s="53">
        <v>68</v>
      </c>
      <c r="C69" s="54" t="s">
        <v>403</v>
      </c>
      <c r="D69" s="55" t="s">
        <v>404</v>
      </c>
      <c r="E69" s="67" t="s">
        <v>137</v>
      </c>
      <c r="F69" s="55" t="s">
        <v>405</v>
      </c>
      <c r="G69" s="56" t="s">
        <v>406</v>
      </c>
      <c r="H69" s="64" t="s">
        <v>1171</v>
      </c>
    </row>
    <row r="70" spans="1:8" ht="194.25" customHeight="1" thickBot="1" x14ac:dyDescent="0.4">
      <c r="A70" s="59"/>
      <c r="B70" s="53">
        <v>69</v>
      </c>
      <c r="C70" s="54" t="s">
        <v>407</v>
      </c>
      <c r="D70" s="55" t="s">
        <v>408</v>
      </c>
      <c r="E70" s="67" t="s">
        <v>137</v>
      </c>
      <c r="F70" s="55" t="s">
        <v>409</v>
      </c>
      <c r="G70" s="56" t="s">
        <v>410</v>
      </c>
      <c r="H70" s="64" t="s">
        <v>1171</v>
      </c>
    </row>
    <row r="71" spans="1:8" ht="116.25" customHeight="1" thickBot="1" x14ac:dyDescent="0.4">
      <c r="A71" s="59"/>
      <c r="B71" s="53">
        <v>70</v>
      </c>
      <c r="C71" s="54" t="s">
        <v>411</v>
      </c>
      <c r="D71" s="55" t="s">
        <v>412</v>
      </c>
      <c r="E71" s="67" t="s">
        <v>137</v>
      </c>
      <c r="F71" s="55" t="s">
        <v>413</v>
      </c>
      <c r="G71" s="56" t="s">
        <v>414</v>
      </c>
      <c r="H71" s="64" t="s">
        <v>1171</v>
      </c>
    </row>
    <row r="72" spans="1:8" ht="118.5" customHeight="1" thickBot="1" x14ac:dyDescent="0.4">
      <c r="A72" s="59"/>
      <c r="B72" s="53">
        <v>71</v>
      </c>
      <c r="C72" s="54" t="s">
        <v>415</v>
      </c>
      <c r="D72" s="55" t="s">
        <v>416</v>
      </c>
      <c r="E72" s="67" t="s">
        <v>137</v>
      </c>
      <c r="F72" s="55" t="s">
        <v>417</v>
      </c>
      <c r="G72" s="56" t="s">
        <v>418</v>
      </c>
      <c r="H72" s="64" t="s">
        <v>1171</v>
      </c>
    </row>
    <row r="73" spans="1:8" ht="108.75" customHeight="1" thickBot="1" x14ac:dyDescent="0.4">
      <c r="A73" s="59"/>
      <c r="B73" s="53">
        <v>72</v>
      </c>
      <c r="C73" s="54" t="s">
        <v>419</v>
      </c>
      <c r="D73" s="55" t="s">
        <v>420</v>
      </c>
      <c r="E73" s="67" t="s">
        <v>137</v>
      </c>
      <c r="F73" s="55" t="s">
        <v>421</v>
      </c>
      <c r="G73" s="56" t="s">
        <v>422</v>
      </c>
      <c r="H73" s="64" t="s">
        <v>1171</v>
      </c>
    </row>
    <row r="74" spans="1:8" ht="95.25" customHeight="1" thickBot="1" x14ac:dyDescent="0.4">
      <c r="A74" s="59"/>
      <c r="B74" s="53">
        <v>73</v>
      </c>
      <c r="C74" s="54" t="s">
        <v>423</v>
      </c>
      <c r="D74" s="55" t="s">
        <v>424</v>
      </c>
      <c r="E74" s="67" t="s">
        <v>137</v>
      </c>
      <c r="F74" s="55" t="s">
        <v>425</v>
      </c>
      <c r="G74" s="56" t="s">
        <v>426</v>
      </c>
      <c r="H74" s="64" t="s">
        <v>1171</v>
      </c>
    </row>
    <row r="75" spans="1:8" ht="95.25" customHeight="1" thickBot="1" x14ac:dyDescent="0.4">
      <c r="A75" s="59"/>
      <c r="B75" s="53">
        <v>74</v>
      </c>
      <c r="C75" s="54" t="s">
        <v>427</v>
      </c>
      <c r="D75" s="55" t="s">
        <v>428</v>
      </c>
      <c r="E75" s="67" t="s">
        <v>137</v>
      </c>
      <c r="F75" s="55" t="s">
        <v>429</v>
      </c>
      <c r="G75" s="56" t="s">
        <v>430</v>
      </c>
      <c r="H75" s="64" t="s">
        <v>1171</v>
      </c>
    </row>
    <row r="76" spans="1:8" ht="120" customHeight="1" thickBot="1" x14ac:dyDescent="0.4">
      <c r="A76" s="59"/>
      <c r="B76" s="53">
        <v>75</v>
      </c>
      <c r="C76" s="54" t="s">
        <v>431</v>
      </c>
      <c r="D76" s="55" t="s">
        <v>432</v>
      </c>
      <c r="E76" s="67" t="s">
        <v>137</v>
      </c>
      <c r="F76" s="55" t="s">
        <v>433</v>
      </c>
      <c r="G76" s="56" t="s">
        <v>434</v>
      </c>
      <c r="H76" s="64" t="s">
        <v>1171</v>
      </c>
    </row>
    <row r="77" spans="1:8" ht="100.5" customHeight="1" thickBot="1" x14ac:dyDescent="0.4">
      <c r="A77" s="59"/>
      <c r="B77" s="53">
        <v>76</v>
      </c>
      <c r="C77" s="54" t="s">
        <v>435</v>
      </c>
      <c r="D77" s="55" t="s">
        <v>436</v>
      </c>
      <c r="E77" s="67" t="s">
        <v>137</v>
      </c>
      <c r="F77" s="55" t="s">
        <v>437</v>
      </c>
      <c r="G77" s="56" t="s">
        <v>438</v>
      </c>
      <c r="H77" s="64" t="s">
        <v>1171</v>
      </c>
    </row>
    <row r="78" spans="1:8" ht="85.5" customHeight="1" thickBot="1" x14ac:dyDescent="0.4">
      <c r="A78" s="59"/>
      <c r="B78" s="53">
        <v>77</v>
      </c>
      <c r="C78" s="54" t="s">
        <v>439</v>
      </c>
      <c r="D78" s="55" t="s">
        <v>440</v>
      </c>
      <c r="E78" s="67" t="s">
        <v>137</v>
      </c>
      <c r="F78" s="55" t="s">
        <v>441</v>
      </c>
      <c r="G78" s="56" t="s">
        <v>442</v>
      </c>
      <c r="H78" s="64" t="s">
        <v>1171</v>
      </c>
    </row>
    <row r="79" spans="1:8" ht="89.25" customHeight="1" thickBot="1" x14ac:dyDescent="0.4">
      <c r="A79" s="59"/>
      <c r="B79" s="53">
        <v>78</v>
      </c>
      <c r="C79" s="54" t="s">
        <v>443</v>
      </c>
      <c r="D79" s="55" t="s">
        <v>444</v>
      </c>
      <c r="E79" s="67" t="s">
        <v>137</v>
      </c>
      <c r="F79" s="55" t="s">
        <v>445</v>
      </c>
      <c r="G79" s="56" t="s">
        <v>446</v>
      </c>
      <c r="H79" s="64" t="s">
        <v>1171</v>
      </c>
    </row>
    <row r="80" spans="1:8" ht="153" customHeight="1" thickBot="1" x14ac:dyDescent="0.4">
      <c r="A80" s="59"/>
      <c r="B80" s="53">
        <v>79</v>
      </c>
      <c r="C80" s="54" t="s">
        <v>447</v>
      </c>
      <c r="D80" s="55" t="s">
        <v>448</v>
      </c>
      <c r="E80" s="67" t="s">
        <v>137</v>
      </c>
      <c r="F80" s="55" t="s">
        <v>449</v>
      </c>
      <c r="G80" s="56" t="s">
        <v>450</v>
      </c>
      <c r="H80" s="64" t="s">
        <v>1171</v>
      </c>
    </row>
    <row r="81" spans="1:8" ht="103.5" customHeight="1" thickBot="1" x14ac:dyDescent="0.4">
      <c r="A81" s="59"/>
      <c r="B81" s="53">
        <v>80</v>
      </c>
      <c r="C81" s="54" t="s">
        <v>451</v>
      </c>
      <c r="D81" s="55" t="s">
        <v>452</v>
      </c>
      <c r="E81" s="67" t="s">
        <v>137</v>
      </c>
      <c r="F81" s="55" t="s">
        <v>453</v>
      </c>
      <c r="G81" s="56" t="s">
        <v>454</v>
      </c>
      <c r="H81" s="64" t="s">
        <v>1171</v>
      </c>
    </row>
    <row r="82" spans="1:8" ht="116.25" customHeight="1" thickBot="1" x14ac:dyDescent="0.4">
      <c r="A82" s="59"/>
      <c r="B82" s="53">
        <v>81</v>
      </c>
      <c r="C82" s="54" t="s">
        <v>455</v>
      </c>
      <c r="D82" s="55" t="s">
        <v>456</v>
      </c>
      <c r="E82" s="67" t="s">
        <v>137</v>
      </c>
      <c r="F82" s="55" t="s">
        <v>457</v>
      </c>
      <c r="G82" s="56" t="s">
        <v>458</v>
      </c>
      <c r="H82" s="64" t="s">
        <v>1171</v>
      </c>
    </row>
    <row r="83" spans="1:8" ht="108.75" customHeight="1" thickBot="1" x14ac:dyDescent="0.4">
      <c r="A83" s="59"/>
      <c r="B83" s="53">
        <v>82</v>
      </c>
      <c r="C83" s="54" t="s">
        <v>459</v>
      </c>
      <c r="D83" s="55" t="s">
        <v>460</v>
      </c>
      <c r="E83" s="67" t="s">
        <v>137</v>
      </c>
      <c r="F83" s="55" t="s">
        <v>461</v>
      </c>
      <c r="G83" s="56" t="s">
        <v>462</v>
      </c>
      <c r="H83" s="64" t="s">
        <v>1171</v>
      </c>
    </row>
    <row r="84" spans="1:8" ht="116.25" customHeight="1" thickBot="1" x14ac:dyDescent="0.4">
      <c r="A84" s="59"/>
      <c r="B84" s="53">
        <v>83</v>
      </c>
      <c r="C84" s="54" t="s">
        <v>463</v>
      </c>
      <c r="D84" s="55" t="s">
        <v>464</v>
      </c>
      <c r="E84" s="67" t="s">
        <v>137</v>
      </c>
      <c r="F84" s="55" t="s">
        <v>465</v>
      </c>
      <c r="G84" s="56" t="s">
        <v>466</v>
      </c>
      <c r="H84" s="64" t="s">
        <v>1171</v>
      </c>
    </row>
    <row r="85" spans="1:8" ht="119.25" customHeight="1" thickBot="1" x14ac:dyDescent="0.4">
      <c r="A85" s="59"/>
      <c r="B85" s="53">
        <v>84</v>
      </c>
      <c r="C85" s="54" t="s">
        <v>467</v>
      </c>
      <c r="D85" s="55" t="s">
        <v>468</v>
      </c>
      <c r="E85" s="67" t="s">
        <v>137</v>
      </c>
      <c r="F85" s="55" t="s">
        <v>469</v>
      </c>
      <c r="G85" s="56" t="s">
        <v>470</v>
      </c>
      <c r="H85" s="64" t="s">
        <v>1171</v>
      </c>
    </row>
    <row r="86" spans="1:8" ht="149.25" customHeight="1" thickBot="1" x14ac:dyDescent="0.4">
      <c r="A86" s="59"/>
      <c r="B86" s="53">
        <v>85</v>
      </c>
      <c r="C86" s="54" t="s">
        <v>471</v>
      </c>
      <c r="D86" s="55" t="s">
        <v>472</v>
      </c>
      <c r="E86" s="67" t="s">
        <v>137</v>
      </c>
      <c r="F86" s="55" t="s">
        <v>473</v>
      </c>
      <c r="G86" s="56" t="s">
        <v>474</v>
      </c>
      <c r="H86" s="64" t="s">
        <v>1171</v>
      </c>
    </row>
    <row r="87" spans="1:8" ht="149.25" customHeight="1" thickBot="1" x14ac:dyDescent="0.4">
      <c r="A87" s="59"/>
      <c r="B87" s="53">
        <v>86</v>
      </c>
      <c r="C87" s="54" t="s">
        <v>475</v>
      </c>
      <c r="D87" s="55" t="s">
        <v>476</v>
      </c>
      <c r="E87" s="67" t="s">
        <v>137</v>
      </c>
      <c r="F87" s="55" t="s">
        <v>477</v>
      </c>
      <c r="G87" s="56" t="s">
        <v>478</v>
      </c>
      <c r="H87" s="64" t="s">
        <v>1171</v>
      </c>
    </row>
    <row r="88" spans="1:8" ht="118.5" customHeight="1" thickBot="1" x14ac:dyDescent="0.4">
      <c r="A88" s="59"/>
      <c r="B88" s="53">
        <v>87</v>
      </c>
      <c r="C88" s="54" t="s">
        <v>479</v>
      </c>
      <c r="D88" s="55" t="s">
        <v>480</v>
      </c>
      <c r="E88" s="67" t="s">
        <v>137</v>
      </c>
      <c r="F88" s="55" t="s">
        <v>481</v>
      </c>
      <c r="G88" s="56" t="s">
        <v>482</v>
      </c>
      <c r="H88" s="64" t="s">
        <v>1171</v>
      </c>
    </row>
    <row r="89" spans="1:8" ht="115.5" customHeight="1" thickBot="1" x14ac:dyDescent="0.4">
      <c r="A89" s="59"/>
      <c r="B89" s="53">
        <v>88</v>
      </c>
      <c r="C89" s="54" t="s">
        <v>483</v>
      </c>
      <c r="D89" s="55" t="s">
        <v>484</v>
      </c>
      <c r="E89" s="67" t="s">
        <v>137</v>
      </c>
      <c r="F89" s="55" t="s">
        <v>485</v>
      </c>
      <c r="G89" s="56" t="s">
        <v>486</v>
      </c>
      <c r="H89" s="64" t="s">
        <v>1171</v>
      </c>
    </row>
    <row r="90" spans="1:8" ht="82.5" customHeight="1" thickBot="1" x14ac:dyDescent="0.4">
      <c r="A90" s="59"/>
      <c r="B90" s="53">
        <v>89</v>
      </c>
      <c r="C90" s="54" t="s">
        <v>487</v>
      </c>
      <c r="D90" s="55" t="s">
        <v>488</v>
      </c>
      <c r="E90" s="67" t="s">
        <v>137</v>
      </c>
      <c r="F90" s="55" t="s">
        <v>489</v>
      </c>
      <c r="G90" s="56" t="s">
        <v>490</v>
      </c>
      <c r="H90" s="64" t="s">
        <v>1171</v>
      </c>
    </row>
    <row r="91" spans="1:8" ht="119.25" customHeight="1" thickBot="1" x14ac:dyDescent="0.4">
      <c r="A91" s="59"/>
      <c r="B91" s="53">
        <v>90</v>
      </c>
      <c r="C91" s="54" t="s">
        <v>491</v>
      </c>
      <c r="D91" s="55" t="s">
        <v>492</v>
      </c>
      <c r="E91" s="67" t="s">
        <v>137</v>
      </c>
      <c r="F91" s="55" t="s">
        <v>493</v>
      </c>
      <c r="G91" s="56" t="s">
        <v>494</v>
      </c>
      <c r="H91" s="64" t="s">
        <v>1171</v>
      </c>
    </row>
    <row r="92" spans="1:8" ht="87.75" customHeight="1" thickBot="1" x14ac:dyDescent="0.4">
      <c r="A92" s="59"/>
      <c r="B92" s="53">
        <v>91</v>
      </c>
      <c r="C92" s="54" t="s">
        <v>495</v>
      </c>
      <c r="D92" s="55" t="s">
        <v>496</v>
      </c>
      <c r="E92" s="67" t="s">
        <v>137</v>
      </c>
      <c r="F92" s="55" t="s">
        <v>497</v>
      </c>
      <c r="G92" s="56" t="s">
        <v>498</v>
      </c>
      <c r="H92" s="64" t="s">
        <v>1171</v>
      </c>
    </row>
    <row r="93" spans="1:8" ht="102.75" customHeight="1" thickBot="1" x14ac:dyDescent="0.4">
      <c r="A93" s="59"/>
      <c r="B93" s="53">
        <v>92</v>
      </c>
      <c r="C93" s="54" t="s">
        <v>499</v>
      </c>
      <c r="D93" s="55" t="s">
        <v>500</v>
      </c>
      <c r="E93" s="67" t="s">
        <v>137</v>
      </c>
      <c r="F93" s="55" t="s">
        <v>501</v>
      </c>
      <c r="G93" s="56" t="s">
        <v>502</v>
      </c>
      <c r="H93" s="64" t="s">
        <v>1171</v>
      </c>
    </row>
    <row r="94" spans="1:8" ht="177" customHeight="1" thickBot="1" x14ac:dyDescent="0.4">
      <c r="A94" s="59"/>
      <c r="B94" s="53">
        <v>93</v>
      </c>
      <c r="C94" s="54" t="s">
        <v>503</v>
      </c>
      <c r="D94" s="55" t="s">
        <v>504</v>
      </c>
      <c r="E94" s="67" t="s">
        <v>137</v>
      </c>
      <c r="F94" s="55" t="s">
        <v>505</v>
      </c>
      <c r="G94" s="56" t="s">
        <v>506</v>
      </c>
      <c r="H94" s="64" t="s">
        <v>1171</v>
      </c>
    </row>
    <row r="95" spans="1:8" ht="84.75" customHeight="1" thickBot="1" x14ac:dyDescent="0.4">
      <c r="A95" s="59"/>
      <c r="B95" s="53">
        <v>94</v>
      </c>
      <c r="C95" s="54" t="s">
        <v>507</v>
      </c>
      <c r="D95" s="55" t="s">
        <v>508</v>
      </c>
      <c r="E95" s="67" t="s">
        <v>137</v>
      </c>
      <c r="F95" s="55" t="s">
        <v>509</v>
      </c>
      <c r="G95" s="56" t="s">
        <v>510</v>
      </c>
      <c r="H95" s="64" t="s">
        <v>1171</v>
      </c>
    </row>
    <row r="96" spans="1:8" ht="130.5" customHeight="1" thickBot="1" x14ac:dyDescent="0.4">
      <c r="A96" s="59"/>
      <c r="B96" s="53">
        <v>95</v>
      </c>
      <c r="C96" s="54" t="s">
        <v>511</v>
      </c>
      <c r="D96" s="55" t="s">
        <v>512</v>
      </c>
      <c r="E96" s="67" t="s">
        <v>137</v>
      </c>
      <c r="F96" s="55" t="s">
        <v>513</v>
      </c>
      <c r="G96" s="56" t="s">
        <v>514</v>
      </c>
      <c r="H96" s="64" t="s">
        <v>1171</v>
      </c>
    </row>
    <row r="97" spans="1:8" ht="132" customHeight="1" thickBot="1" x14ac:dyDescent="0.4">
      <c r="A97" s="59"/>
      <c r="B97" s="53">
        <v>96</v>
      </c>
      <c r="C97" s="54" t="s">
        <v>515</v>
      </c>
      <c r="D97" s="55" t="s">
        <v>516</v>
      </c>
      <c r="E97" s="67" t="s">
        <v>137</v>
      </c>
      <c r="F97" s="55" t="s">
        <v>517</v>
      </c>
      <c r="G97" s="56" t="s">
        <v>518</v>
      </c>
      <c r="H97" s="64" t="s">
        <v>1171</v>
      </c>
    </row>
    <row r="98" spans="1:8" ht="115.5" customHeight="1" thickBot="1" x14ac:dyDescent="0.4">
      <c r="A98" s="59"/>
      <c r="B98" s="53">
        <v>97</v>
      </c>
      <c r="C98" s="54" t="s">
        <v>519</v>
      </c>
      <c r="D98" s="55" t="s">
        <v>520</v>
      </c>
      <c r="E98" s="67" t="s">
        <v>137</v>
      </c>
      <c r="F98" s="55" t="s">
        <v>521</v>
      </c>
      <c r="G98" s="56" t="s">
        <v>522</v>
      </c>
      <c r="H98" s="64" t="s">
        <v>1171</v>
      </c>
    </row>
    <row r="99" spans="1:8" ht="112.5" customHeight="1" thickBot="1" x14ac:dyDescent="0.4">
      <c r="A99" s="59"/>
      <c r="B99" s="53">
        <v>98</v>
      </c>
      <c r="C99" s="54" t="s">
        <v>523</v>
      </c>
      <c r="D99" s="55" t="s">
        <v>524</v>
      </c>
      <c r="E99" s="67" t="s">
        <v>137</v>
      </c>
      <c r="F99" s="55" t="s">
        <v>525</v>
      </c>
      <c r="G99" s="56" t="s">
        <v>526</v>
      </c>
      <c r="H99" s="64" t="s">
        <v>1171</v>
      </c>
    </row>
    <row r="100" spans="1:8" ht="116.25" customHeight="1" thickBot="1" x14ac:dyDescent="0.4">
      <c r="A100" s="59"/>
      <c r="B100" s="53">
        <v>99</v>
      </c>
      <c r="C100" s="54" t="s">
        <v>527</v>
      </c>
      <c r="D100" s="55" t="s">
        <v>528</v>
      </c>
      <c r="E100" s="67" t="s">
        <v>137</v>
      </c>
      <c r="F100" s="55" t="s">
        <v>529</v>
      </c>
      <c r="G100" s="56" t="s">
        <v>530</v>
      </c>
      <c r="H100" s="64" t="s">
        <v>1171</v>
      </c>
    </row>
    <row r="101" spans="1:8" ht="101.25" customHeight="1" thickBot="1" x14ac:dyDescent="0.4">
      <c r="A101" s="59"/>
      <c r="B101" s="53">
        <v>100</v>
      </c>
      <c r="C101" s="54" t="s">
        <v>531</v>
      </c>
      <c r="D101" s="55" t="s">
        <v>532</v>
      </c>
      <c r="E101" s="67" t="s">
        <v>137</v>
      </c>
      <c r="F101" s="55" t="s">
        <v>533</v>
      </c>
      <c r="G101" s="56" t="s">
        <v>534</v>
      </c>
      <c r="H101" s="64" t="s">
        <v>1171</v>
      </c>
    </row>
    <row r="102" spans="1:8" ht="98.25" customHeight="1" thickBot="1" x14ac:dyDescent="0.4">
      <c r="A102" s="59"/>
      <c r="B102" s="53">
        <v>101</v>
      </c>
      <c r="C102" s="54" t="s">
        <v>535</v>
      </c>
      <c r="D102" s="55" t="s">
        <v>536</v>
      </c>
      <c r="E102" s="67" t="s">
        <v>137</v>
      </c>
      <c r="F102" s="55" t="s">
        <v>537</v>
      </c>
      <c r="G102" s="56" t="s">
        <v>538</v>
      </c>
      <c r="H102" s="64" t="s">
        <v>1171</v>
      </c>
    </row>
    <row r="103" spans="1:8" ht="101.25" customHeight="1" thickBot="1" x14ac:dyDescent="0.4">
      <c r="A103" s="59"/>
      <c r="B103" s="53">
        <v>102</v>
      </c>
      <c r="C103" s="54" t="s">
        <v>539</v>
      </c>
      <c r="D103" s="55" t="s">
        <v>540</v>
      </c>
      <c r="E103" s="67" t="s">
        <v>137</v>
      </c>
      <c r="F103" s="55" t="s">
        <v>541</v>
      </c>
      <c r="G103" s="56" t="s">
        <v>542</v>
      </c>
      <c r="H103" s="64" t="s">
        <v>1171</v>
      </c>
    </row>
    <row r="104" spans="1:8" ht="100.5" customHeight="1" thickBot="1" x14ac:dyDescent="0.4">
      <c r="A104" s="59"/>
      <c r="B104" s="53">
        <v>103</v>
      </c>
      <c r="C104" s="54" t="s">
        <v>543</v>
      </c>
      <c r="D104" s="55" t="s">
        <v>544</v>
      </c>
      <c r="E104" s="67" t="s">
        <v>137</v>
      </c>
      <c r="F104" s="55" t="s">
        <v>545</v>
      </c>
      <c r="G104" s="56" t="s">
        <v>546</v>
      </c>
      <c r="H104" s="64" t="s">
        <v>1171</v>
      </c>
    </row>
    <row r="105" spans="1:8" ht="102.75" customHeight="1" thickBot="1" x14ac:dyDescent="0.4">
      <c r="A105" s="59"/>
      <c r="B105" s="53">
        <v>104</v>
      </c>
      <c r="C105" s="54" t="s">
        <v>547</v>
      </c>
      <c r="D105" s="55" t="s">
        <v>548</v>
      </c>
      <c r="E105" s="67" t="s">
        <v>137</v>
      </c>
      <c r="F105" s="55" t="s">
        <v>549</v>
      </c>
      <c r="G105" s="56" t="s">
        <v>550</v>
      </c>
      <c r="H105" s="64" t="s">
        <v>1171</v>
      </c>
    </row>
    <row r="106" spans="1:8" ht="114.75" customHeight="1" thickBot="1" x14ac:dyDescent="0.4">
      <c r="A106" s="59"/>
      <c r="B106" s="53">
        <v>105</v>
      </c>
      <c r="C106" s="54" t="s">
        <v>551</v>
      </c>
      <c r="D106" s="55" t="s">
        <v>552</v>
      </c>
      <c r="E106" s="67" t="s">
        <v>137</v>
      </c>
      <c r="F106" s="55" t="s">
        <v>553</v>
      </c>
      <c r="G106" s="56" t="s">
        <v>554</v>
      </c>
      <c r="H106" s="64" t="s">
        <v>1171</v>
      </c>
    </row>
    <row r="107" spans="1:8" ht="108" customHeight="1" thickBot="1" x14ac:dyDescent="0.4">
      <c r="A107" s="59"/>
      <c r="B107" s="53">
        <v>106</v>
      </c>
      <c r="C107" s="54" t="s">
        <v>555</v>
      </c>
      <c r="D107" s="55" t="s">
        <v>556</v>
      </c>
      <c r="E107" s="67" t="s">
        <v>137</v>
      </c>
      <c r="F107" s="55" t="s">
        <v>557</v>
      </c>
      <c r="G107" s="56" t="s">
        <v>558</v>
      </c>
      <c r="H107" s="64" t="s">
        <v>1171</v>
      </c>
    </row>
    <row r="108" spans="1:8" ht="155.25" customHeight="1" thickBot="1" x14ac:dyDescent="0.4">
      <c r="A108" s="59"/>
      <c r="B108" s="53">
        <v>107</v>
      </c>
      <c r="C108" s="54" t="s">
        <v>559</v>
      </c>
      <c r="D108" s="55" t="s">
        <v>560</v>
      </c>
      <c r="E108" s="67" t="s">
        <v>137</v>
      </c>
      <c r="F108" s="55" t="s">
        <v>561</v>
      </c>
      <c r="G108" s="56" t="s">
        <v>562</v>
      </c>
      <c r="H108" s="72" t="s">
        <v>1171</v>
      </c>
    </row>
    <row r="109" spans="1:8" ht="32.25" customHeight="1" x14ac:dyDescent="0.35">
      <c r="B109" s="73"/>
      <c r="C109" s="73"/>
      <c r="D109" s="73"/>
      <c r="E109" s="73"/>
      <c r="F109" s="73"/>
      <c r="G109" s="73"/>
    </row>
    <row r="110" spans="1:8" ht="32.25" customHeight="1" x14ac:dyDescent="0.35">
      <c r="B110" s="73"/>
      <c r="C110" s="73"/>
      <c r="D110" s="73"/>
      <c r="E110" s="73"/>
      <c r="F110" s="73"/>
      <c r="G110" s="73"/>
    </row>
    <row r="111" spans="1:8" ht="32.25" customHeight="1" x14ac:dyDescent="0.35">
      <c r="B111" s="73"/>
      <c r="C111" s="73"/>
      <c r="D111" s="73"/>
      <c r="E111" s="73"/>
      <c r="F111" s="73"/>
      <c r="G111" s="73"/>
    </row>
    <row r="112" spans="1:8" ht="32.25" customHeight="1" x14ac:dyDescent="0.35">
      <c r="B112" s="73"/>
      <c r="C112" s="73"/>
      <c r="D112" s="73"/>
      <c r="E112" s="73"/>
      <c r="F112" s="73"/>
      <c r="G112" s="73"/>
    </row>
    <row r="113" spans="2:7" ht="32.25" customHeight="1" x14ac:dyDescent="0.35">
      <c r="B113" s="73"/>
      <c r="C113" s="73"/>
      <c r="D113" s="73"/>
      <c r="E113" s="73"/>
      <c r="F113" s="73"/>
      <c r="G113" s="73"/>
    </row>
    <row r="114" spans="2:7" ht="32.25" customHeight="1" x14ac:dyDescent="0.35">
      <c r="B114" s="73"/>
      <c r="C114" s="73"/>
      <c r="D114" s="73"/>
      <c r="E114" s="73"/>
      <c r="F114" s="73"/>
      <c r="G114" s="73"/>
    </row>
    <row r="115" spans="2:7" ht="32.25" customHeight="1" x14ac:dyDescent="0.35">
      <c r="B115" s="73"/>
      <c r="C115" s="73"/>
      <c r="D115" s="73"/>
      <c r="E115" s="73"/>
      <c r="F115" s="73"/>
      <c r="G115" s="73"/>
    </row>
    <row r="116" spans="2:7" ht="32.25" customHeight="1" x14ac:dyDescent="0.35">
      <c r="B116" s="73"/>
      <c r="C116" s="73"/>
      <c r="D116" s="73"/>
      <c r="E116" s="73"/>
      <c r="F116" s="73"/>
      <c r="G116" s="73"/>
    </row>
    <row r="117" spans="2:7" ht="32.25" customHeight="1" x14ac:dyDescent="0.35">
      <c r="B117" s="73"/>
      <c r="C117" s="73"/>
      <c r="D117" s="73"/>
      <c r="E117" s="73"/>
      <c r="F117" s="73"/>
      <c r="G117" s="73"/>
    </row>
    <row r="118" spans="2:7" ht="32.25" customHeight="1" x14ac:dyDescent="0.35">
      <c r="B118" s="73"/>
      <c r="C118" s="73"/>
      <c r="D118" s="73"/>
      <c r="E118" s="73"/>
      <c r="F118" s="73"/>
      <c r="G118" s="73"/>
    </row>
    <row r="119" spans="2:7" ht="32.25" customHeight="1" x14ac:dyDescent="0.35">
      <c r="B119" s="73"/>
      <c r="C119" s="73"/>
      <c r="D119" s="73"/>
      <c r="E119" s="73"/>
      <c r="F119" s="73"/>
      <c r="G119" s="73"/>
    </row>
    <row r="120" spans="2:7" ht="32.25" customHeight="1" x14ac:dyDescent="0.35">
      <c r="B120" s="73"/>
      <c r="C120" s="73"/>
      <c r="D120" s="73"/>
      <c r="E120" s="73"/>
      <c r="F120" s="73"/>
      <c r="G120" s="73"/>
    </row>
    <row r="121" spans="2:7" ht="32.25" customHeight="1" x14ac:dyDescent="0.35">
      <c r="B121" s="73"/>
      <c r="C121" s="73"/>
      <c r="D121" s="73"/>
      <c r="E121" s="73"/>
      <c r="F121" s="73"/>
      <c r="G121" s="73"/>
    </row>
    <row r="122" spans="2:7" ht="32.25" customHeight="1" x14ac:dyDescent="0.35">
      <c r="B122" s="73"/>
      <c r="C122" s="73"/>
      <c r="D122" s="73"/>
      <c r="E122" s="73"/>
      <c r="F122" s="73"/>
      <c r="G122" s="73"/>
    </row>
    <row r="123" spans="2:7" ht="32.25" customHeight="1" x14ac:dyDescent="0.35">
      <c r="B123" s="73"/>
      <c r="C123" s="73"/>
      <c r="D123" s="73"/>
      <c r="E123" s="73"/>
      <c r="F123" s="73"/>
      <c r="G123" s="73"/>
    </row>
    <row r="124" spans="2:7" ht="32.25" customHeight="1" x14ac:dyDescent="0.35">
      <c r="B124" s="73"/>
      <c r="C124" s="73"/>
      <c r="D124" s="73"/>
      <c r="E124" s="73"/>
      <c r="F124" s="73"/>
      <c r="G124" s="73"/>
    </row>
    <row r="125" spans="2:7" ht="32.25" customHeight="1" x14ac:dyDescent="0.35">
      <c r="B125" s="73"/>
      <c r="C125" s="73"/>
      <c r="D125" s="73"/>
      <c r="E125" s="73"/>
      <c r="F125" s="73"/>
      <c r="G125" s="73"/>
    </row>
    <row r="126" spans="2:7" ht="32.25" customHeight="1" x14ac:dyDescent="0.35">
      <c r="B126" s="73"/>
      <c r="C126" s="73"/>
      <c r="D126" s="73"/>
      <c r="E126" s="73"/>
      <c r="F126" s="73"/>
      <c r="G126" s="73"/>
    </row>
    <row r="127" spans="2:7" ht="32.25" customHeight="1" x14ac:dyDescent="0.35">
      <c r="B127" s="73"/>
      <c r="C127" s="73"/>
      <c r="D127" s="73"/>
      <c r="E127" s="73"/>
      <c r="F127" s="73"/>
      <c r="G127" s="73"/>
    </row>
    <row r="128" spans="2:7" ht="32.25" customHeight="1" x14ac:dyDescent="0.35">
      <c r="B128" s="73"/>
      <c r="C128" s="73"/>
      <c r="D128" s="73"/>
      <c r="E128" s="73"/>
      <c r="F128" s="73"/>
      <c r="G128" s="73"/>
    </row>
    <row r="129" spans="2:7" ht="32.25" customHeight="1" x14ac:dyDescent="0.35">
      <c r="B129" s="73"/>
      <c r="C129" s="73"/>
      <c r="D129" s="73"/>
      <c r="E129" s="73"/>
      <c r="F129" s="73"/>
      <c r="G129" s="73"/>
    </row>
    <row r="130" spans="2:7" ht="32.25" customHeight="1" x14ac:dyDescent="0.35">
      <c r="B130" s="73"/>
      <c r="C130" s="73"/>
      <c r="D130" s="73"/>
      <c r="E130" s="73"/>
      <c r="F130" s="73"/>
      <c r="G130" s="73"/>
    </row>
    <row r="131" spans="2:7" ht="32.25" customHeight="1" x14ac:dyDescent="0.35">
      <c r="B131" s="73"/>
      <c r="C131" s="73"/>
      <c r="D131" s="73"/>
      <c r="E131" s="73"/>
      <c r="F131" s="73"/>
      <c r="G131" s="73"/>
    </row>
    <row r="132" spans="2:7" ht="32.25" customHeight="1" x14ac:dyDescent="0.35">
      <c r="B132" s="73"/>
      <c r="C132" s="73"/>
      <c r="D132" s="73"/>
      <c r="E132" s="73"/>
      <c r="F132" s="73"/>
      <c r="G132" s="73"/>
    </row>
    <row r="133" spans="2:7" ht="32.25" customHeight="1" x14ac:dyDescent="0.35">
      <c r="B133" s="73"/>
      <c r="C133" s="73"/>
      <c r="D133" s="73"/>
      <c r="E133" s="73"/>
      <c r="F133" s="73"/>
      <c r="G133" s="73"/>
    </row>
    <row r="134" spans="2:7" ht="32.25" customHeight="1" x14ac:dyDescent="0.35">
      <c r="B134" s="73"/>
      <c r="C134" s="73"/>
      <c r="D134" s="73"/>
      <c r="E134" s="73"/>
      <c r="F134" s="73"/>
      <c r="G134" s="73"/>
    </row>
    <row r="135" spans="2:7" ht="32.25" customHeight="1" x14ac:dyDescent="0.35">
      <c r="B135" s="73"/>
      <c r="C135" s="73"/>
      <c r="D135" s="73"/>
      <c r="E135" s="73"/>
      <c r="F135" s="73"/>
      <c r="G135" s="73"/>
    </row>
    <row r="136" spans="2:7" ht="32.25" customHeight="1" x14ac:dyDescent="0.35">
      <c r="B136" s="73"/>
      <c r="C136" s="73"/>
      <c r="D136" s="73"/>
      <c r="E136" s="73"/>
      <c r="F136" s="73"/>
      <c r="G136" s="73"/>
    </row>
    <row r="137" spans="2:7" ht="32.25" customHeight="1" x14ac:dyDescent="0.35">
      <c r="B137" s="73"/>
      <c r="C137" s="73"/>
      <c r="D137" s="73"/>
      <c r="E137" s="73"/>
      <c r="F137" s="73"/>
      <c r="G137" s="73"/>
    </row>
    <row r="138" spans="2:7" ht="32.25" customHeight="1" x14ac:dyDescent="0.35">
      <c r="B138" s="73"/>
      <c r="C138" s="73"/>
      <c r="D138" s="73"/>
      <c r="E138" s="73"/>
      <c r="F138" s="73"/>
      <c r="G138" s="73"/>
    </row>
    <row r="139" spans="2:7" ht="32.25" customHeight="1" x14ac:dyDescent="0.35">
      <c r="B139" s="73"/>
      <c r="C139" s="73"/>
      <c r="D139" s="73"/>
      <c r="E139" s="73"/>
      <c r="F139" s="73"/>
      <c r="G139" s="73"/>
    </row>
    <row r="140" spans="2:7" ht="32.25" customHeight="1" x14ac:dyDescent="0.35">
      <c r="B140" s="73"/>
      <c r="C140" s="73"/>
      <c r="D140" s="73"/>
      <c r="E140" s="73"/>
      <c r="F140" s="73"/>
      <c r="G140" s="73"/>
    </row>
    <row r="141" spans="2:7" ht="32.25" customHeight="1" x14ac:dyDescent="0.35">
      <c r="B141" s="73"/>
      <c r="C141" s="73"/>
      <c r="D141" s="73"/>
      <c r="E141" s="73"/>
      <c r="F141" s="73"/>
      <c r="G141" s="73"/>
    </row>
    <row r="142" spans="2:7" ht="32.25" customHeight="1" x14ac:dyDescent="0.35">
      <c r="B142" s="73"/>
      <c r="C142" s="73"/>
      <c r="D142" s="73"/>
      <c r="E142" s="73"/>
      <c r="F142" s="73"/>
      <c r="G142" s="73"/>
    </row>
    <row r="143" spans="2:7" ht="32.25" customHeight="1" x14ac:dyDescent="0.35">
      <c r="B143" s="73"/>
      <c r="C143" s="73"/>
      <c r="D143" s="73"/>
      <c r="E143" s="73"/>
      <c r="F143" s="73"/>
      <c r="G143" s="73"/>
    </row>
    <row r="144" spans="2:7" ht="32.25" customHeight="1" x14ac:dyDescent="0.35">
      <c r="B144" s="73"/>
      <c r="C144" s="73"/>
      <c r="D144" s="73"/>
      <c r="E144" s="73"/>
      <c r="F144" s="73"/>
      <c r="G144" s="73"/>
    </row>
    <row r="145" spans="2:7" ht="32.25" customHeight="1" x14ac:dyDescent="0.35">
      <c r="B145" s="73"/>
      <c r="C145" s="73"/>
      <c r="D145" s="73"/>
      <c r="E145" s="73"/>
      <c r="F145" s="73"/>
      <c r="G145" s="73"/>
    </row>
    <row r="146" spans="2:7" ht="32.25" customHeight="1" x14ac:dyDescent="0.35">
      <c r="B146" s="73"/>
      <c r="C146" s="73"/>
      <c r="D146" s="73"/>
      <c r="E146" s="73"/>
      <c r="F146" s="73"/>
      <c r="G146" s="73"/>
    </row>
    <row r="147" spans="2:7" ht="32.25" customHeight="1" x14ac:dyDescent="0.35">
      <c r="B147" s="73"/>
      <c r="C147" s="73"/>
      <c r="D147" s="73"/>
      <c r="E147" s="73"/>
      <c r="F147" s="73"/>
      <c r="G147" s="73"/>
    </row>
    <row r="148" spans="2:7" ht="32.25" customHeight="1" x14ac:dyDescent="0.35">
      <c r="B148" s="73"/>
      <c r="C148" s="73"/>
      <c r="D148" s="73"/>
      <c r="E148" s="73"/>
      <c r="F148" s="73"/>
      <c r="G148" s="73"/>
    </row>
    <row r="149" spans="2:7" ht="32.25" customHeight="1" x14ac:dyDescent="0.35">
      <c r="B149" s="73"/>
      <c r="C149" s="73"/>
      <c r="D149" s="73"/>
      <c r="E149" s="73"/>
      <c r="F149" s="73"/>
      <c r="G149" s="73"/>
    </row>
    <row r="150" spans="2:7" ht="32.25" customHeight="1" x14ac:dyDescent="0.35">
      <c r="B150" s="73"/>
      <c r="C150" s="73"/>
      <c r="D150" s="73"/>
      <c r="E150" s="73"/>
      <c r="F150" s="73"/>
      <c r="G150" s="73"/>
    </row>
    <row r="151" spans="2:7" ht="32.25" customHeight="1" x14ac:dyDescent="0.35">
      <c r="B151" s="73"/>
      <c r="C151" s="73"/>
      <c r="D151" s="73"/>
      <c r="E151" s="73"/>
      <c r="F151" s="73"/>
      <c r="G151" s="73"/>
    </row>
    <row r="152" spans="2:7" ht="32.25" customHeight="1" x14ac:dyDescent="0.35">
      <c r="B152" s="73"/>
      <c r="C152" s="73"/>
      <c r="D152" s="73"/>
      <c r="E152" s="73"/>
      <c r="F152" s="73"/>
      <c r="G152" s="73"/>
    </row>
    <row r="153" spans="2:7" ht="32.25" customHeight="1" x14ac:dyDescent="0.35">
      <c r="B153" s="73"/>
      <c r="C153" s="73"/>
      <c r="D153" s="73"/>
      <c r="E153" s="73"/>
      <c r="F153" s="73"/>
      <c r="G153" s="73"/>
    </row>
    <row r="154" spans="2:7" ht="32.25" customHeight="1" x14ac:dyDescent="0.35">
      <c r="B154" s="73"/>
      <c r="C154" s="73"/>
      <c r="D154" s="73"/>
      <c r="E154" s="73"/>
      <c r="F154" s="73"/>
      <c r="G154" s="73"/>
    </row>
    <row r="155" spans="2:7" ht="32.25" customHeight="1" x14ac:dyDescent="0.35">
      <c r="B155" s="73"/>
      <c r="C155" s="73"/>
      <c r="D155" s="73"/>
      <c r="E155" s="73"/>
      <c r="F155" s="73"/>
      <c r="G155" s="73"/>
    </row>
    <row r="156" spans="2:7" ht="32.25" customHeight="1" x14ac:dyDescent="0.35">
      <c r="B156" s="73"/>
      <c r="C156" s="73"/>
      <c r="D156" s="73"/>
      <c r="E156" s="73"/>
      <c r="F156" s="73"/>
      <c r="G156" s="73"/>
    </row>
    <row r="157" spans="2:7" ht="32.25" customHeight="1" x14ac:dyDescent="0.35">
      <c r="B157" s="73"/>
      <c r="C157" s="73"/>
      <c r="D157" s="73"/>
      <c r="E157" s="73"/>
      <c r="F157" s="73"/>
      <c r="G157" s="73"/>
    </row>
    <row r="158" spans="2:7" ht="32.25" customHeight="1" x14ac:dyDescent="0.35">
      <c r="B158" s="73"/>
      <c r="C158" s="73"/>
      <c r="D158" s="73"/>
      <c r="E158" s="73"/>
      <c r="F158" s="73"/>
      <c r="G158" s="73"/>
    </row>
    <row r="159" spans="2:7" ht="32.25" customHeight="1" x14ac:dyDescent="0.35">
      <c r="B159" s="73"/>
      <c r="C159" s="73"/>
      <c r="D159" s="73"/>
      <c r="E159" s="73"/>
      <c r="F159" s="73"/>
      <c r="G159" s="73"/>
    </row>
    <row r="160" spans="2:7" ht="32.25" customHeight="1" x14ac:dyDescent="0.35">
      <c r="B160" s="73"/>
      <c r="C160" s="73"/>
      <c r="D160" s="73"/>
      <c r="E160" s="73"/>
      <c r="F160" s="73"/>
      <c r="G160" s="73"/>
    </row>
    <row r="161" spans="2:7" ht="32.25" customHeight="1" x14ac:dyDescent="0.35">
      <c r="B161" s="73"/>
      <c r="C161" s="73"/>
      <c r="D161" s="73"/>
      <c r="E161" s="73"/>
      <c r="F161" s="73"/>
      <c r="G161" s="73"/>
    </row>
    <row r="162" spans="2:7" ht="32.25" customHeight="1" x14ac:dyDescent="0.35">
      <c r="B162" s="73"/>
      <c r="C162" s="73"/>
      <c r="D162" s="73"/>
      <c r="E162" s="73"/>
      <c r="F162" s="73"/>
      <c r="G162" s="73"/>
    </row>
    <row r="163" spans="2:7" ht="32.25" customHeight="1" x14ac:dyDescent="0.35">
      <c r="B163" s="73"/>
      <c r="C163" s="73"/>
      <c r="D163" s="73"/>
      <c r="E163" s="73"/>
      <c r="F163" s="73"/>
      <c r="G163" s="73"/>
    </row>
    <row r="164" spans="2:7" ht="32.25" customHeight="1" x14ac:dyDescent="0.35">
      <c r="B164" s="73"/>
      <c r="C164" s="73"/>
      <c r="D164" s="73"/>
      <c r="E164" s="73"/>
      <c r="F164" s="73"/>
      <c r="G164" s="73"/>
    </row>
    <row r="165" spans="2:7" ht="32.25" customHeight="1" x14ac:dyDescent="0.35">
      <c r="B165" s="73"/>
      <c r="C165" s="73"/>
      <c r="D165" s="73"/>
      <c r="E165" s="73"/>
      <c r="F165" s="73"/>
      <c r="G165" s="73"/>
    </row>
    <row r="166" spans="2:7" ht="32.25" customHeight="1" x14ac:dyDescent="0.35">
      <c r="B166" s="73"/>
      <c r="C166" s="73"/>
      <c r="D166" s="73"/>
      <c r="E166" s="73"/>
      <c r="F166" s="73"/>
      <c r="G166" s="73"/>
    </row>
    <row r="167" spans="2:7" ht="32.25" customHeight="1" x14ac:dyDescent="0.35">
      <c r="B167" s="73"/>
      <c r="C167" s="73"/>
      <c r="D167" s="73"/>
      <c r="E167" s="73"/>
      <c r="F167" s="73"/>
      <c r="G167" s="73"/>
    </row>
    <row r="168" spans="2:7" ht="32.25" customHeight="1" x14ac:dyDescent="0.35">
      <c r="B168" s="73"/>
      <c r="C168" s="73"/>
      <c r="D168" s="73"/>
      <c r="E168" s="73"/>
      <c r="F168" s="73"/>
      <c r="G168" s="73"/>
    </row>
    <row r="169" spans="2:7" ht="32.25" customHeight="1" x14ac:dyDescent="0.35">
      <c r="B169" s="73"/>
      <c r="C169" s="73"/>
      <c r="D169" s="73"/>
      <c r="E169" s="73"/>
      <c r="F169" s="73"/>
      <c r="G169" s="73"/>
    </row>
    <row r="170" spans="2:7" ht="32.25" customHeight="1" x14ac:dyDescent="0.35">
      <c r="B170" s="73"/>
      <c r="C170" s="73"/>
      <c r="D170" s="73"/>
      <c r="E170" s="73"/>
      <c r="F170" s="73"/>
      <c r="G170" s="73"/>
    </row>
    <row r="171" spans="2:7" ht="32.25" customHeight="1" x14ac:dyDescent="0.35">
      <c r="B171" s="73"/>
      <c r="C171" s="73"/>
      <c r="D171" s="73"/>
      <c r="E171" s="73"/>
      <c r="F171" s="73"/>
      <c r="G171" s="73"/>
    </row>
    <row r="172" spans="2:7" ht="32.25" customHeight="1" x14ac:dyDescent="0.35">
      <c r="B172" s="73"/>
      <c r="C172" s="73"/>
      <c r="D172" s="73"/>
      <c r="E172" s="73"/>
      <c r="F172" s="73"/>
      <c r="G172" s="73"/>
    </row>
    <row r="173" spans="2:7" ht="32.25" customHeight="1" x14ac:dyDescent="0.35">
      <c r="B173" s="73"/>
      <c r="C173" s="73"/>
      <c r="D173" s="73"/>
      <c r="E173" s="73"/>
      <c r="F173" s="73"/>
      <c r="G173" s="73"/>
    </row>
    <row r="174" spans="2:7" ht="32.25" customHeight="1" x14ac:dyDescent="0.35">
      <c r="B174" s="73"/>
      <c r="C174" s="73"/>
      <c r="D174" s="73"/>
      <c r="E174" s="73"/>
      <c r="F174" s="73"/>
      <c r="G174" s="73"/>
    </row>
    <row r="175" spans="2:7" ht="32.25" customHeight="1" x14ac:dyDescent="0.35">
      <c r="B175" s="73"/>
      <c r="C175" s="73"/>
      <c r="D175" s="73"/>
      <c r="E175" s="73"/>
      <c r="F175" s="73"/>
      <c r="G175" s="73"/>
    </row>
    <row r="176" spans="2:7" ht="32.25" customHeight="1" x14ac:dyDescent="0.35">
      <c r="B176" s="73"/>
      <c r="C176" s="73"/>
      <c r="D176" s="73"/>
      <c r="E176" s="73"/>
      <c r="F176" s="73"/>
      <c r="G176" s="73"/>
    </row>
    <row r="177" spans="2:7" ht="32.25" customHeight="1" x14ac:dyDescent="0.35">
      <c r="B177" s="73"/>
      <c r="C177" s="73"/>
      <c r="D177" s="73"/>
      <c r="E177" s="73"/>
      <c r="F177" s="73"/>
      <c r="G177" s="73"/>
    </row>
    <row r="178" spans="2:7" ht="32.25" customHeight="1" x14ac:dyDescent="0.35">
      <c r="B178" s="73"/>
      <c r="C178" s="73"/>
      <c r="D178" s="73"/>
      <c r="E178" s="73"/>
      <c r="F178" s="73"/>
      <c r="G178" s="73"/>
    </row>
    <row r="179" spans="2:7" ht="32.25" customHeight="1" x14ac:dyDescent="0.35">
      <c r="B179" s="73"/>
      <c r="C179" s="73"/>
      <c r="D179" s="73"/>
      <c r="E179" s="73"/>
      <c r="F179" s="73"/>
      <c r="G179" s="73"/>
    </row>
    <row r="180" spans="2:7" ht="32.25" customHeight="1" x14ac:dyDescent="0.35">
      <c r="B180" s="73"/>
      <c r="C180" s="73"/>
      <c r="D180" s="73"/>
      <c r="E180" s="73"/>
      <c r="F180" s="73"/>
      <c r="G180" s="73"/>
    </row>
    <row r="181" spans="2:7" ht="32.25" customHeight="1" x14ac:dyDescent="0.35">
      <c r="B181" s="73"/>
      <c r="C181" s="73"/>
      <c r="D181" s="73"/>
      <c r="E181" s="73"/>
      <c r="F181" s="73"/>
      <c r="G181" s="73"/>
    </row>
    <row r="182" spans="2:7" ht="32.25" customHeight="1" x14ac:dyDescent="0.35">
      <c r="B182" s="73"/>
      <c r="C182" s="73"/>
      <c r="D182" s="73"/>
      <c r="E182" s="73"/>
      <c r="F182" s="73"/>
      <c r="G182" s="73"/>
    </row>
    <row r="183" spans="2:7" ht="32.25" customHeight="1" x14ac:dyDescent="0.35">
      <c r="B183" s="73"/>
      <c r="C183" s="73"/>
      <c r="D183" s="73"/>
      <c r="E183" s="73"/>
      <c r="F183" s="73"/>
      <c r="G183" s="73"/>
    </row>
    <row r="184" spans="2:7" ht="32.25" customHeight="1" x14ac:dyDescent="0.35">
      <c r="B184" s="73"/>
      <c r="C184" s="73"/>
      <c r="D184" s="73"/>
      <c r="E184" s="73"/>
      <c r="F184" s="73"/>
      <c r="G184" s="73"/>
    </row>
    <row r="185" spans="2:7" ht="32.25" customHeight="1" x14ac:dyDescent="0.35">
      <c r="B185" s="73"/>
      <c r="C185" s="73"/>
      <c r="D185" s="73"/>
      <c r="E185" s="73"/>
      <c r="F185" s="73"/>
      <c r="G185" s="73"/>
    </row>
    <row r="186" spans="2:7" ht="32.25" customHeight="1" x14ac:dyDescent="0.35">
      <c r="B186" s="73"/>
      <c r="C186" s="73"/>
      <c r="D186" s="73"/>
      <c r="E186" s="73"/>
      <c r="F186" s="73"/>
      <c r="G186" s="73"/>
    </row>
    <row r="187" spans="2:7" ht="32.25" customHeight="1" x14ac:dyDescent="0.35">
      <c r="B187" s="73"/>
      <c r="C187" s="73"/>
      <c r="D187" s="73"/>
      <c r="E187" s="73"/>
      <c r="F187" s="73"/>
      <c r="G187" s="73"/>
    </row>
    <row r="188" spans="2:7" ht="32.25" customHeight="1" x14ac:dyDescent="0.35">
      <c r="B188" s="73"/>
      <c r="C188" s="73"/>
      <c r="D188" s="73"/>
      <c r="E188" s="73"/>
      <c r="F188" s="73"/>
      <c r="G188" s="73"/>
    </row>
    <row r="189" spans="2:7" ht="32.25" customHeight="1" x14ac:dyDescent="0.35">
      <c r="B189" s="73"/>
      <c r="C189" s="73"/>
      <c r="D189" s="73"/>
      <c r="E189" s="73"/>
      <c r="F189" s="73"/>
      <c r="G189" s="73"/>
    </row>
    <row r="190" spans="2:7" ht="32.25" customHeight="1" x14ac:dyDescent="0.35">
      <c r="B190" s="73"/>
      <c r="C190" s="73"/>
      <c r="D190" s="73"/>
      <c r="E190" s="73"/>
      <c r="F190" s="73"/>
      <c r="G190" s="73"/>
    </row>
    <row r="191" spans="2:7" ht="32.25" customHeight="1" x14ac:dyDescent="0.35">
      <c r="B191" s="73"/>
      <c r="C191" s="73"/>
      <c r="D191" s="73"/>
      <c r="E191" s="73"/>
      <c r="F191" s="73"/>
      <c r="G191" s="73"/>
    </row>
    <row r="192" spans="2:7" ht="32.25" customHeight="1" x14ac:dyDescent="0.35">
      <c r="B192" s="73"/>
      <c r="C192" s="73"/>
      <c r="D192" s="73"/>
      <c r="E192" s="73"/>
      <c r="F192" s="73"/>
      <c r="G192" s="73"/>
    </row>
    <row r="193" spans="2:7" ht="32.25" customHeight="1" x14ac:dyDescent="0.35">
      <c r="B193" s="73"/>
      <c r="C193" s="73"/>
      <c r="D193" s="73"/>
      <c r="E193" s="73"/>
      <c r="F193" s="73"/>
      <c r="G193" s="73"/>
    </row>
    <row r="194" spans="2:7" ht="32.25" customHeight="1" x14ac:dyDescent="0.35">
      <c r="B194" s="73"/>
      <c r="C194" s="73"/>
      <c r="D194" s="73"/>
      <c r="E194" s="73"/>
      <c r="F194" s="73"/>
      <c r="G194" s="73"/>
    </row>
    <row r="195" spans="2:7" ht="32.25" customHeight="1" x14ac:dyDescent="0.35">
      <c r="B195" s="73"/>
      <c r="C195" s="73"/>
      <c r="D195" s="73"/>
      <c r="E195" s="73"/>
      <c r="F195" s="73"/>
      <c r="G195" s="73"/>
    </row>
    <row r="196" spans="2:7" ht="32.25" customHeight="1" x14ac:dyDescent="0.35">
      <c r="B196" s="73"/>
      <c r="C196" s="73"/>
      <c r="D196" s="73"/>
      <c r="E196" s="73"/>
      <c r="F196" s="73"/>
      <c r="G196" s="73"/>
    </row>
    <row r="197" spans="2:7" ht="32.25" customHeight="1" x14ac:dyDescent="0.35">
      <c r="B197" s="73"/>
      <c r="C197" s="73"/>
      <c r="D197" s="73"/>
      <c r="E197" s="73"/>
      <c r="F197" s="73"/>
      <c r="G197" s="73"/>
    </row>
    <row r="198" spans="2:7" ht="32.25" customHeight="1" x14ac:dyDescent="0.35">
      <c r="B198" s="73"/>
      <c r="C198" s="73"/>
      <c r="D198" s="73"/>
      <c r="E198" s="73"/>
      <c r="F198" s="73"/>
      <c r="G198" s="73"/>
    </row>
    <row r="199" spans="2:7" ht="32.25" customHeight="1" x14ac:dyDescent="0.35">
      <c r="B199" s="73"/>
      <c r="C199" s="73"/>
      <c r="D199" s="73"/>
      <c r="E199" s="73"/>
      <c r="F199" s="73"/>
      <c r="G199" s="73"/>
    </row>
    <row r="200" spans="2:7" ht="32.25" customHeight="1" x14ac:dyDescent="0.35">
      <c r="B200" s="73"/>
      <c r="C200" s="73"/>
      <c r="D200" s="73"/>
      <c r="E200" s="73"/>
      <c r="F200" s="73"/>
      <c r="G200" s="73"/>
    </row>
    <row r="201" spans="2:7" ht="32.25" customHeight="1" x14ac:dyDescent="0.35">
      <c r="B201" s="73"/>
      <c r="C201" s="73"/>
      <c r="D201" s="73"/>
      <c r="E201" s="73"/>
      <c r="F201" s="73"/>
      <c r="G201" s="73"/>
    </row>
    <row r="202" spans="2:7" ht="32.25" customHeight="1" x14ac:dyDescent="0.35">
      <c r="B202" s="73"/>
      <c r="C202" s="73"/>
      <c r="D202" s="73"/>
      <c r="E202" s="73"/>
      <c r="F202" s="73"/>
      <c r="G202" s="73"/>
    </row>
    <row r="203" spans="2:7" ht="32.25" customHeight="1" x14ac:dyDescent="0.35">
      <c r="B203" s="73"/>
      <c r="C203" s="73"/>
      <c r="D203" s="73"/>
      <c r="E203" s="73"/>
      <c r="F203" s="73"/>
      <c r="G203" s="73"/>
    </row>
    <row r="204" spans="2:7" ht="32.25" customHeight="1" x14ac:dyDescent="0.35">
      <c r="B204" s="73"/>
      <c r="C204" s="73"/>
      <c r="D204" s="73"/>
      <c r="E204" s="73"/>
      <c r="F204" s="73"/>
      <c r="G204" s="73"/>
    </row>
    <row r="205" spans="2:7" ht="32.25" customHeight="1" x14ac:dyDescent="0.35">
      <c r="B205" s="73"/>
      <c r="C205" s="73"/>
      <c r="D205" s="73"/>
      <c r="E205" s="73"/>
      <c r="F205" s="73"/>
      <c r="G205" s="73"/>
    </row>
    <row r="206" spans="2:7" ht="32.25" customHeight="1" x14ac:dyDescent="0.35">
      <c r="B206" s="73"/>
      <c r="C206" s="73"/>
      <c r="D206" s="73"/>
      <c r="E206" s="73"/>
      <c r="F206" s="73"/>
      <c r="G206" s="73"/>
    </row>
    <row r="207" spans="2:7" ht="32.25" customHeight="1" x14ac:dyDescent="0.35">
      <c r="B207" s="73"/>
      <c r="C207" s="73"/>
      <c r="D207" s="73"/>
      <c r="E207" s="73"/>
      <c r="F207" s="73"/>
      <c r="G207" s="73"/>
    </row>
    <row r="208" spans="2:7" ht="32.25" customHeight="1" x14ac:dyDescent="0.35">
      <c r="B208" s="73"/>
      <c r="C208" s="73"/>
      <c r="D208" s="73"/>
      <c r="E208" s="73"/>
      <c r="F208" s="73"/>
      <c r="G208" s="73"/>
    </row>
    <row r="209" spans="2:7" ht="32.25" customHeight="1" x14ac:dyDescent="0.35">
      <c r="B209" s="73"/>
      <c r="C209" s="73"/>
      <c r="D209" s="73"/>
      <c r="E209" s="73"/>
      <c r="F209" s="73"/>
      <c r="G209" s="73"/>
    </row>
    <row r="210" spans="2:7" ht="32.25" customHeight="1" x14ac:dyDescent="0.35">
      <c r="B210" s="73"/>
      <c r="C210" s="73"/>
      <c r="D210" s="73"/>
      <c r="E210" s="73"/>
      <c r="F210" s="73"/>
      <c r="G210" s="73"/>
    </row>
    <row r="211" spans="2:7" ht="32.25" customHeight="1" x14ac:dyDescent="0.35">
      <c r="B211" s="73"/>
      <c r="C211" s="73"/>
      <c r="D211" s="73"/>
      <c r="E211" s="73"/>
      <c r="F211" s="73"/>
      <c r="G211" s="73"/>
    </row>
    <row r="212" spans="2:7" ht="32.25" customHeight="1" x14ac:dyDescent="0.35">
      <c r="B212" s="73"/>
      <c r="C212" s="73"/>
      <c r="D212" s="73"/>
      <c r="E212" s="73"/>
      <c r="F212" s="73"/>
      <c r="G212" s="73"/>
    </row>
    <row r="213" spans="2:7" ht="32.25" customHeight="1" x14ac:dyDescent="0.35">
      <c r="B213" s="73"/>
      <c r="C213" s="73"/>
      <c r="D213" s="73"/>
      <c r="E213" s="73"/>
      <c r="F213" s="73"/>
      <c r="G213" s="73"/>
    </row>
    <row r="214" spans="2:7" ht="32.25" customHeight="1" x14ac:dyDescent="0.35">
      <c r="B214" s="73"/>
      <c r="C214" s="73"/>
      <c r="D214" s="73"/>
      <c r="E214" s="73"/>
      <c r="F214" s="73"/>
      <c r="G214" s="73"/>
    </row>
    <row r="215" spans="2:7" ht="32.25" customHeight="1" x14ac:dyDescent="0.35">
      <c r="B215" s="73"/>
      <c r="C215" s="73"/>
      <c r="D215" s="73"/>
      <c r="E215" s="73"/>
      <c r="F215" s="73"/>
      <c r="G215" s="73"/>
    </row>
    <row r="216" spans="2:7" ht="32.25" customHeight="1" x14ac:dyDescent="0.35">
      <c r="B216" s="73"/>
      <c r="C216" s="73"/>
      <c r="D216" s="73"/>
      <c r="E216" s="73"/>
      <c r="F216" s="73"/>
      <c r="G216" s="73"/>
    </row>
    <row r="217" spans="2:7" ht="32.25" customHeight="1" x14ac:dyDescent="0.35">
      <c r="B217" s="73"/>
      <c r="C217" s="73"/>
      <c r="D217" s="73"/>
      <c r="E217" s="73"/>
      <c r="F217" s="73"/>
      <c r="G217" s="73"/>
    </row>
    <row r="218" spans="2:7" ht="32.25" customHeight="1" x14ac:dyDescent="0.35">
      <c r="B218" s="73"/>
      <c r="C218" s="73"/>
      <c r="D218" s="73"/>
      <c r="E218" s="73"/>
      <c r="F218" s="73"/>
      <c r="G218" s="73"/>
    </row>
    <row r="219" spans="2:7" ht="32.25" customHeight="1" x14ac:dyDescent="0.35">
      <c r="B219" s="73"/>
      <c r="C219" s="73"/>
      <c r="D219" s="73"/>
      <c r="E219" s="73"/>
      <c r="F219" s="73"/>
      <c r="G219" s="73"/>
    </row>
    <row r="220" spans="2:7" ht="32.25" customHeight="1" x14ac:dyDescent="0.35">
      <c r="B220" s="73"/>
      <c r="C220" s="73"/>
      <c r="D220" s="73"/>
      <c r="E220" s="73"/>
      <c r="F220" s="73"/>
      <c r="G220" s="73"/>
    </row>
    <row r="221" spans="2:7" ht="32.25" customHeight="1" x14ac:dyDescent="0.35">
      <c r="B221" s="73"/>
      <c r="C221" s="73"/>
      <c r="D221" s="73"/>
      <c r="E221" s="73"/>
      <c r="F221" s="73"/>
      <c r="G221" s="73"/>
    </row>
    <row r="222" spans="2:7" ht="32.25" customHeight="1" x14ac:dyDescent="0.35">
      <c r="B222" s="73"/>
      <c r="C222" s="73"/>
      <c r="D222" s="73"/>
      <c r="E222" s="73"/>
      <c r="F222" s="73"/>
      <c r="G222" s="73"/>
    </row>
    <row r="223" spans="2:7" ht="32.25" customHeight="1" x14ac:dyDescent="0.35">
      <c r="B223" s="73"/>
      <c r="C223" s="73"/>
      <c r="D223" s="73"/>
      <c r="E223" s="73"/>
      <c r="F223" s="73"/>
      <c r="G223" s="73"/>
    </row>
    <row r="224" spans="2:7" ht="32.25" customHeight="1" x14ac:dyDescent="0.35">
      <c r="B224" s="73"/>
      <c r="C224" s="73"/>
      <c r="D224" s="73"/>
      <c r="E224" s="73"/>
      <c r="F224" s="73"/>
      <c r="G224" s="73"/>
    </row>
    <row r="225" spans="2:7" ht="32.25" customHeight="1" x14ac:dyDescent="0.35">
      <c r="B225" s="73"/>
      <c r="C225" s="73"/>
      <c r="D225" s="73"/>
      <c r="E225" s="73"/>
      <c r="F225" s="73"/>
      <c r="G225" s="73"/>
    </row>
    <row r="226" spans="2:7" ht="32.25" customHeight="1" x14ac:dyDescent="0.35">
      <c r="B226" s="73"/>
      <c r="C226" s="73"/>
      <c r="D226" s="73"/>
      <c r="E226" s="73"/>
      <c r="F226" s="73"/>
      <c r="G226" s="73"/>
    </row>
    <row r="227" spans="2:7" ht="32.25" customHeight="1" x14ac:dyDescent="0.35">
      <c r="B227" s="73"/>
      <c r="C227" s="73"/>
      <c r="D227" s="73"/>
      <c r="E227" s="73"/>
      <c r="F227" s="73"/>
      <c r="G227" s="73"/>
    </row>
    <row r="228" spans="2:7" ht="32.25" customHeight="1" x14ac:dyDescent="0.35">
      <c r="B228" s="73"/>
      <c r="C228" s="73"/>
      <c r="D228" s="73"/>
      <c r="E228" s="73"/>
      <c r="F228" s="73"/>
      <c r="G228" s="73"/>
    </row>
    <row r="229" spans="2:7" ht="32.25" customHeight="1" x14ac:dyDescent="0.35">
      <c r="B229" s="73"/>
      <c r="C229" s="73"/>
      <c r="D229" s="73"/>
      <c r="E229" s="73"/>
      <c r="F229" s="73"/>
      <c r="G229" s="73"/>
    </row>
    <row r="230" spans="2:7" ht="32.25" customHeight="1" x14ac:dyDescent="0.35">
      <c r="B230" s="73"/>
      <c r="C230" s="73"/>
      <c r="D230" s="73"/>
      <c r="E230" s="73"/>
      <c r="F230" s="73"/>
      <c r="G230" s="73"/>
    </row>
    <row r="231" spans="2:7" ht="32.25" customHeight="1" x14ac:dyDescent="0.35">
      <c r="B231" s="73"/>
      <c r="C231" s="73"/>
      <c r="D231" s="73"/>
      <c r="E231" s="73"/>
      <c r="F231" s="73"/>
      <c r="G231" s="73"/>
    </row>
    <row r="232" spans="2:7" ht="32.25" customHeight="1" x14ac:dyDescent="0.35">
      <c r="B232" s="73"/>
      <c r="C232" s="73"/>
      <c r="D232" s="73"/>
      <c r="E232" s="73"/>
      <c r="F232" s="73"/>
      <c r="G232" s="73"/>
    </row>
    <row r="233" spans="2:7" ht="32.25" customHeight="1" x14ac:dyDescent="0.35">
      <c r="B233" s="73"/>
      <c r="C233" s="73"/>
      <c r="D233" s="73"/>
      <c r="E233" s="73"/>
      <c r="F233" s="73"/>
      <c r="G233" s="73"/>
    </row>
    <row r="234" spans="2:7" ht="32.25" customHeight="1" x14ac:dyDescent="0.35">
      <c r="B234" s="73"/>
      <c r="C234" s="73"/>
      <c r="D234" s="73"/>
      <c r="E234" s="73"/>
      <c r="F234" s="73"/>
      <c r="G234" s="73"/>
    </row>
    <row r="235" spans="2:7" ht="32.25" customHeight="1" x14ac:dyDescent="0.35">
      <c r="B235" s="73"/>
      <c r="C235" s="73"/>
      <c r="D235" s="73"/>
      <c r="E235" s="73"/>
      <c r="F235" s="73"/>
      <c r="G235" s="73"/>
    </row>
    <row r="236" spans="2:7" ht="32.25" customHeight="1" x14ac:dyDescent="0.35">
      <c r="B236" s="73"/>
      <c r="C236" s="73"/>
      <c r="D236" s="73"/>
      <c r="E236" s="73"/>
      <c r="F236" s="73"/>
      <c r="G236" s="73"/>
    </row>
    <row r="237" spans="2:7" ht="32.25" customHeight="1" x14ac:dyDescent="0.35">
      <c r="B237" s="73"/>
      <c r="C237" s="73"/>
      <c r="D237" s="73"/>
      <c r="E237" s="73"/>
      <c r="F237" s="73"/>
      <c r="G237" s="73"/>
    </row>
    <row r="238" spans="2:7" ht="32.25" customHeight="1" x14ac:dyDescent="0.35">
      <c r="B238" s="73"/>
      <c r="C238" s="73"/>
      <c r="D238" s="73"/>
      <c r="E238" s="73"/>
      <c r="F238" s="73"/>
      <c r="G238" s="73"/>
    </row>
    <row r="239" spans="2:7" ht="32.25" customHeight="1" x14ac:dyDescent="0.35">
      <c r="B239" s="73"/>
      <c r="C239" s="73"/>
      <c r="D239" s="73"/>
      <c r="E239" s="73"/>
      <c r="F239" s="73"/>
      <c r="G239" s="73"/>
    </row>
    <row r="240" spans="2:7" ht="32.25" customHeight="1" x14ac:dyDescent="0.35">
      <c r="B240" s="73"/>
      <c r="C240" s="73"/>
      <c r="D240" s="73"/>
      <c r="E240" s="73"/>
      <c r="F240" s="73"/>
      <c r="G240" s="73"/>
    </row>
    <row r="241" spans="2:7" ht="32.25" customHeight="1" x14ac:dyDescent="0.35">
      <c r="B241" s="73"/>
      <c r="C241" s="73"/>
      <c r="D241" s="73"/>
      <c r="E241" s="73"/>
      <c r="F241" s="73"/>
      <c r="G241" s="73"/>
    </row>
    <row r="242" spans="2:7" ht="32.25" customHeight="1" x14ac:dyDescent="0.35">
      <c r="B242" s="73"/>
      <c r="C242" s="73"/>
      <c r="D242" s="73"/>
      <c r="E242" s="73"/>
      <c r="F242" s="73"/>
      <c r="G242" s="73"/>
    </row>
    <row r="243" spans="2:7" ht="32.25" customHeight="1" x14ac:dyDescent="0.35">
      <c r="B243" s="73"/>
      <c r="C243" s="73"/>
      <c r="D243" s="73"/>
      <c r="E243" s="73"/>
      <c r="F243" s="73"/>
      <c r="G243" s="73"/>
    </row>
    <row r="244" spans="2:7" ht="32.25" customHeight="1" x14ac:dyDescent="0.35">
      <c r="B244" s="73"/>
      <c r="C244" s="73"/>
      <c r="D244" s="73"/>
      <c r="E244" s="73"/>
      <c r="F244" s="73"/>
      <c r="G244" s="73"/>
    </row>
    <row r="245" spans="2:7" ht="32.25" customHeight="1" x14ac:dyDescent="0.35">
      <c r="B245" s="73"/>
      <c r="C245" s="73"/>
      <c r="D245" s="73"/>
      <c r="E245" s="73"/>
      <c r="F245" s="73"/>
      <c r="G245" s="73"/>
    </row>
    <row r="246" spans="2:7" ht="32.25" customHeight="1" x14ac:dyDescent="0.35">
      <c r="B246" s="73"/>
      <c r="C246" s="73"/>
      <c r="D246" s="73"/>
      <c r="E246" s="73"/>
      <c r="F246" s="73"/>
      <c r="G246" s="73"/>
    </row>
    <row r="247" spans="2:7" ht="32.25" customHeight="1" x14ac:dyDescent="0.35">
      <c r="B247" s="73"/>
      <c r="C247" s="73"/>
      <c r="D247" s="73"/>
      <c r="E247" s="73"/>
      <c r="F247" s="73"/>
      <c r="G247" s="73"/>
    </row>
    <row r="248" spans="2:7" ht="32.25" customHeight="1" x14ac:dyDescent="0.35">
      <c r="B248" s="73"/>
      <c r="C248" s="73"/>
      <c r="D248" s="73"/>
      <c r="E248" s="73"/>
      <c r="F248" s="73"/>
      <c r="G248" s="73"/>
    </row>
    <row r="249" spans="2:7" ht="32.25" customHeight="1" x14ac:dyDescent="0.35">
      <c r="B249" s="73"/>
      <c r="C249" s="73"/>
      <c r="D249" s="73"/>
      <c r="E249" s="73"/>
      <c r="F249" s="73"/>
      <c r="G249" s="73"/>
    </row>
    <row r="250" spans="2:7" ht="32.25" customHeight="1" x14ac:dyDescent="0.35">
      <c r="B250" s="73"/>
      <c r="C250" s="73"/>
      <c r="D250" s="73"/>
      <c r="E250" s="73"/>
      <c r="F250" s="73"/>
      <c r="G250" s="73"/>
    </row>
    <row r="251" spans="2:7" ht="32.25" customHeight="1" x14ac:dyDescent="0.35">
      <c r="B251" s="73"/>
      <c r="C251" s="73"/>
      <c r="D251" s="73"/>
      <c r="E251" s="73"/>
      <c r="F251" s="73"/>
      <c r="G251" s="73"/>
    </row>
    <row r="252" spans="2:7" ht="32.25" customHeight="1" x14ac:dyDescent="0.35">
      <c r="B252" s="73"/>
      <c r="C252" s="73"/>
      <c r="D252" s="73"/>
      <c r="E252" s="73"/>
      <c r="F252" s="73"/>
      <c r="G252" s="73"/>
    </row>
    <row r="253" spans="2:7" ht="32.25" customHeight="1" x14ac:dyDescent="0.35">
      <c r="B253" s="73"/>
      <c r="C253" s="73"/>
      <c r="D253" s="73"/>
      <c r="E253" s="73"/>
      <c r="F253" s="73"/>
      <c r="G253" s="73"/>
    </row>
    <row r="254" spans="2:7" ht="32.25" customHeight="1" x14ac:dyDescent="0.35">
      <c r="B254" s="73"/>
      <c r="C254" s="73"/>
      <c r="D254" s="73"/>
      <c r="E254" s="73"/>
      <c r="F254" s="73"/>
      <c r="G254" s="73"/>
    </row>
    <row r="255" spans="2:7" ht="32.25" customHeight="1" x14ac:dyDescent="0.35">
      <c r="B255" s="73"/>
      <c r="C255" s="73"/>
      <c r="D255" s="73"/>
      <c r="E255" s="73"/>
      <c r="F255" s="73"/>
      <c r="G255" s="73"/>
    </row>
    <row r="256" spans="2:7" ht="32.25" customHeight="1" x14ac:dyDescent="0.35">
      <c r="B256" s="73"/>
      <c r="C256" s="73"/>
      <c r="D256" s="73"/>
      <c r="E256" s="73"/>
      <c r="F256" s="73"/>
      <c r="G256" s="73"/>
    </row>
    <row r="257" spans="2:7" ht="32.25" customHeight="1" x14ac:dyDescent="0.35">
      <c r="B257" s="73"/>
      <c r="C257" s="73"/>
      <c r="D257" s="73"/>
      <c r="E257" s="73"/>
      <c r="F257" s="73"/>
      <c r="G257" s="73"/>
    </row>
    <row r="258" spans="2:7" ht="32.25" customHeight="1" x14ac:dyDescent="0.35">
      <c r="B258" s="73"/>
      <c r="C258" s="73"/>
      <c r="D258" s="73"/>
      <c r="E258" s="73"/>
      <c r="F258" s="73"/>
      <c r="G258" s="73"/>
    </row>
    <row r="259" spans="2:7" ht="32.25" customHeight="1" x14ac:dyDescent="0.35">
      <c r="B259" s="73"/>
      <c r="C259" s="73"/>
      <c r="D259" s="73"/>
      <c r="E259" s="73"/>
      <c r="F259" s="73"/>
      <c r="G259" s="73"/>
    </row>
    <row r="260" spans="2:7" ht="32.25" customHeight="1" x14ac:dyDescent="0.35">
      <c r="B260" s="73"/>
      <c r="C260" s="73"/>
      <c r="D260" s="73"/>
      <c r="E260" s="73"/>
      <c r="F260" s="73"/>
      <c r="G260" s="73"/>
    </row>
    <row r="261" spans="2:7" ht="32.25" customHeight="1" x14ac:dyDescent="0.35">
      <c r="B261" s="73"/>
      <c r="C261" s="73"/>
      <c r="D261" s="73"/>
      <c r="E261" s="73"/>
      <c r="F261" s="73"/>
      <c r="G261" s="73"/>
    </row>
    <row r="262" spans="2:7" ht="32.25" customHeight="1" x14ac:dyDescent="0.35">
      <c r="B262" s="73"/>
      <c r="C262" s="73"/>
      <c r="D262" s="73"/>
      <c r="E262" s="73"/>
      <c r="F262" s="73"/>
      <c r="G262" s="73"/>
    </row>
    <row r="263" spans="2:7" ht="32.25" customHeight="1" x14ac:dyDescent="0.35">
      <c r="B263" s="73"/>
      <c r="C263" s="73"/>
      <c r="D263" s="73"/>
      <c r="E263" s="73"/>
      <c r="F263" s="73"/>
      <c r="G263" s="73"/>
    </row>
    <row r="264" spans="2:7" ht="32.25" customHeight="1" x14ac:dyDescent="0.35">
      <c r="B264" s="73"/>
      <c r="C264" s="73"/>
      <c r="D264" s="73"/>
      <c r="E264" s="73"/>
      <c r="F264" s="73"/>
      <c r="G264" s="73"/>
    </row>
    <row r="265" spans="2:7" ht="32.25" customHeight="1" x14ac:dyDescent="0.35">
      <c r="B265" s="73"/>
      <c r="C265" s="73"/>
      <c r="D265" s="73"/>
      <c r="E265" s="73"/>
      <c r="F265" s="73"/>
      <c r="G265" s="73"/>
    </row>
    <row r="266" spans="2:7" ht="32.25" customHeight="1" x14ac:dyDescent="0.35">
      <c r="B266" s="73"/>
      <c r="C266" s="73"/>
      <c r="D266" s="73"/>
      <c r="E266" s="73"/>
      <c r="F266" s="73"/>
      <c r="G266" s="73"/>
    </row>
    <row r="267" spans="2:7" ht="32.25" customHeight="1" x14ac:dyDescent="0.35">
      <c r="B267" s="73"/>
      <c r="C267" s="73"/>
      <c r="D267" s="73"/>
      <c r="E267" s="73"/>
      <c r="F267" s="73"/>
      <c r="G267" s="73"/>
    </row>
    <row r="268" spans="2:7" ht="32.25" customHeight="1" x14ac:dyDescent="0.35">
      <c r="B268" s="73"/>
      <c r="C268" s="73"/>
      <c r="D268" s="73"/>
      <c r="E268" s="73"/>
      <c r="F268" s="73"/>
      <c r="G268" s="73"/>
    </row>
    <row r="269" spans="2:7" ht="32.25" customHeight="1" x14ac:dyDescent="0.35">
      <c r="B269" s="73"/>
      <c r="C269" s="73"/>
      <c r="D269" s="73"/>
      <c r="E269" s="73"/>
      <c r="F269" s="73"/>
      <c r="G269" s="73"/>
    </row>
    <row r="270" spans="2:7" ht="32.25" customHeight="1" x14ac:dyDescent="0.35">
      <c r="B270" s="73"/>
      <c r="C270" s="73"/>
      <c r="D270" s="73"/>
      <c r="E270" s="73"/>
      <c r="F270" s="73"/>
      <c r="G270" s="73"/>
    </row>
    <row r="271" spans="2:7" ht="32.25" customHeight="1" x14ac:dyDescent="0.35">
      <c r="B271" s="73"/>
      <c r="C271" s="73"/>
      <c r="D271" s="73"/>
      <c r="E271" s="73"/>
      <c r="F271" s="73"/>
      <c r="G271" s="73"/>
    </row>
    <row r="272" spans="2:7" ht="32.25" customHeight="1" x14ac:dyDescent="0.35">
      <c r="B272" s="73"/>
      <c r="C272" s="73"/>
      <c r="D272" s="73"/>
      <c r="E272" s="73"/>
      <c r="F272" s="73"/>
      <c r="G272" s="73"/>
    </row>
    <row r="273" spans="2:7" ht="32.25" customHeight="1" x14ac:dyDescent="0.35">
      <c r="B273" s="73"/>
      <c r="C273" s="73"/>
      <c r="D273" s="73"/>
      <c r="E273" s="73"/>
      <c r="F273" s="73"/>
      <c r="G273" s="73"/>
    </row>
    <row r="274" spans="2:7" ht="32.25" customHeight="1" x14ac:dyDescent="0.35">
      <c r="B274" s="73"/>
      <c r="C274" s="73"/>
      <c r="D274" s="73"/>
      <c r="E274" s="73"/>
      <c r="F274" s="73"/>
      <c r="G274" s="73"/>
    </row>
    <row r="275" spans="2:7" ht="32.25" customHeight="1" x14ac:dyDescent="0.35">
      <c r="B275" s="73"/>
      <c r="C275" s="73"/>
      <c r="D275" s="73"/>
      <c r="E275" s="73"/>
      <c r="F275" s="73"/>
      <c r="G275" s="73"/>
    </row>
    <row r="276" spans="2:7" ht="32.25" customHeight="1" x14ac:dyDescent="0.35">
      <c r="B276" s="73"/>
      <c r="C276" s="73"/>
      <c r="D276" s="73"/>
      <c r="E276" s="73"/>
      <c r="F276" s="73"/>
      <c r="G276" s="73"/>
    </row>
    <row r="277" spans="2:7" ht="32.25" customHeight="1" x14ac:dyDescent="0.35">
      <c r="B277" s="73"/>
      <c r="C277" s="73"/>
      <c r="D277" s="73"/>
      <c r="E277" s="73"/>
      <c r="F277" s="73"/>
      <c r="G277" s="73"/>
    </row>
    <row r="278" spans="2:7" ht="32.25" customHeight="1" x14ac:dyDescent="0.35">
      <c r="B278" s="73"/>
      <c r="C278" s="73"/>
      <c r="D278" s="73"/>
      <c r="E278" s="73"/>
      <c r="F278" s="73"/>
      <c r="G278" s="73"/>
    </row>
    <row r="279" spans="2:7" ht="32.25" customHeight="1" x14ac:dyDescent="0.35">
      <c r="B279" s="73"/>
      <c r="C279" s="73"/>
      <c r="D279" s="73"/>
      <c r="E279" s="73"/>
      <c r="F279" s="73"/>
      <c r="G279" s="73"/>
    </row>
    <row r="280" spans="2:7" ht="32.25" customHeight="1" x14ac:dyDescent="0.35">
      <c r="B280" s="73"/>
      <c r="C280" s="73"/>
      <c r="D280" s="73"/>
      <c r="E280" s="73"/>
      <c r="F280" s="73"/>
      <c r="G280" s="73"/>
    </row>
    <row r="281" spans="2:7" ht="32.25" customHeight="1" x14ac:dyDescent="0.35">
      <c r="B281" s="73"/>
      <c r="C281" s="73"/>
      <c r="D281" s="73"/>
      <c r="E281" s="73"/>
      <c r="F281" s="73"/>
      <c r="G281" s="73"/>
    </row>
    <row r="282" spans="2:7" ht="32.25" customHeight="1" x14ac:dyDescent="0.35">
      <c r="B282" s="73"/>
      <c r="C282" s="73"/>
      <c r="D282" s="73"/>
      <c r="E282" s="73"/>
      <c r="F282" s="73"/>
      <c r="G282" s="73"/>
    </row>
    <row r="283" spans="2:7" ht="32.25" customHeight="1" x14ac:dyDescent="0.35">
      <c r="B283" s="73"/>
      <c r="C283" s="73"/>
      <c r="D283" s="73"/>
      <c r="E283" s="73"/>
      <c r="F283" s="73"/>
      <c r="G283" s="73"/>
    </row>
    <row r="284" spans="2:7" ht="32.25" customHeight="1" x14ac:dyDescent="0.35">
      <c r="B284" s="73"/>
      <c r="C284" s="73"/>
      <c r="D284" s="73"/>
      <c r="E284" s="73"/>
      <c r="F284" s="73"/>
      <c r="G284" s="73"/>
    </row>
    <row r="285" spans="2:7" ht="32.25" customHeight="1" x14ac:dyDescent="0.35">
      <c r="B285" s="73"/>
      <c r="C285" s="73"/>
      <c r="D285" s="73"/>
      <c r="E285" s="73"/>
      <c r="F285" s="73"/>
      <c r="G285" s="73"/>
    </row>
    <row r="286" spans="2:7" ht="32.25" customHeight="1" x14ac:dyDescent="0.35">
      <c r="B286" s="73"/>
      <c r="C286" s="73"/>
      <c r="D286" s="73"/>
      <c r="E286" s="73"/>
      <c r="F286" s="73"/>
      <c r="G286" s="73"/>
    </row>
    <row r="287" spans="2:7" ht="32.25" customHeight="1" x14ac:dyDescent="0.35">
      <c r="B287" s="73"/>
      <c r="C287" s="73"/>
      <c r="D287" s="73"/>
      <c r="E287" s="73"/>
      <c r="F287" s="73"/>
      <c r="G287" s="73"/>
    </row>
    <row r="288" spans="2:7" ht="32.25" customHeight="1" x14ac:dyDescent="0.35">
      <c r="B288" s="73"/>
      <c r="C288" s="73"/>
      <c r="D288" s="73"/>
      <c r="E288" s="73"/>
      <c r="F288" s="73"/>
      <c r="G288" s="73"/>
    </row>
    <row r="289" spans="2:7" ht="32.25" customHeight="1" x14ac:dyDescent="0.35">
      <c r="B289" s="73"/>
      <c r="C289" s="73"/>
      <c r="D289" s="73"/>
      <c r="E289" s="73"/>
      <c r="F289" s="73"/>
      <c r="G289" s="73"/>
    </row>
    <row r="290" spans="2:7" ht="32.25" customHeight="1" x14ac:dyDescent="0.35">
      <c r="B290" s="73"/>
      <c r="C290" s="73"/>
      <c r="D290" s="73"/>
      <c r="E290" s="73"/>
      <c r="F290" s="73"/>
      <c r="G290" s="73"/>
    </row>
    <row r="291" spans="2:7" ht="32.25" customHeight="1" x14ac:dyDescent="0.35">
      <c r="B291" s="73"/>
      <c r="C291" s="73"/>
      <c r="D291" s="73"/>
      <c r="E291" s="73"/>
      <c r="F291" s="73"/>
      <c r="G291" s="73"/>
    </row>
    <row r="292" spans="2:7" ht="32.25" customHeight="1" x14ac:dyDescent="0.35">
      <c r="B292" s="73"/>
      <c r="C292" s="73"/>
      <c r="D292" s="73"/>
      <c r="E292" s="73"/>
      <c r="F292" s="73"/>
      <c r="G292" s="73"/>
    </row>
    <row r="293" spans="2:7" ht="32.25" customHeight="1" x14ac:dyDescent="0.35">
      <c r="B293" s="73"/>
      <c r="C293" s="73"/>
      <c r="D293" s="73"/>
      <c r="E293" s="73"/>
      <c r="F293" s="73"/>
      <c r="G293" s="73"/>
    </row>
    <row r="294" spans="2:7" ht="32.25" customHeight="1" x14ac:dyDescent="0.35">
      <c r="B294" s="73"/>
      <c r="C294" s="73"/>
      <c r="D294" s="73"/>
      <c r="E294" s="73"/>
      <c r="F294" s="73"/>
      <c r="G294" s="73"/>
    </row>
    <row r="295" spans="2:7" ht="32.25" customHeight="1" x14ac:dyDescent="0.35">
      <c r="B295" s="73"/>
      <c r="C295" s="73"/>
      <c r="D295" s="73"/>
      <c r="E295" s="73"/>
      <c r="F295" s="73"/>
      <c r="G295" s="73"/>
    </row>
    <row r="296" spans="2:7" ht="32.25" customHeight="1" x14ac:dyDescent="0.35">
      <c r="B296" s="73"/>
      <c r="C296" s="73"/>
      <c r="D296" s="73"/>
      <c r="E296" s="73"/>
      <c r="F296" s="73"/>
      <c r="G296" s="73"/>
    </row>
    <row r="297" spans="2:7" ht="32.25" customHeight="1" x14ac:dyDescent="0.35">
      <c r="B297" s="73"/>
      <c r="C297" s="73"/>
      <c r="D297" s="73"/>
      <c r="E297" s="73"/>
      <c r="F297" s="73"/>
      <c r="G297" s="73"/>
    </row>
    <row r="298" spans="2:7" ht="32.25" customHeight="1" x14ac:dyDescent="0.35">
      <c r="B298" s="73"/>
      <c r="C298" s="73"/>
      <c r="D298" s="73"/>
      <c r="E298" s="73"/>
      <c r="F298" s="73"/>
      <c r="G298" s="73"/>
    </row>
    <row r="299" spans="2:7" ht="32.25" customHeight="1" x14ac:dyDescent="0.35">
      <c r="B299" s="73"/>
      <c r="C299" s="73"/>
      <c r="D299" s="73"/>
      <c r="E299" s="73"/>
      <c r="F299" s="73"/>
      <c r="G299" s="73"/>
    </row>
    <row r="300" spans="2:7" ht="32.25" customHeight="1" x14ac:dyDescent="0.35">
      <c r="B300" s="73"/>
      <c r="C300" s="73"/>
      <c r="D300" s="73"/>
      <c r="E300" s="73"/>
      <c r="F300" s="73"/>
      <c r="G300" s="73"/>
    </row>
    <row r="301" spans="2:7" ht="32.25" customHeight="1" x14ac:dyDescent="0.35">
      <c r="B301" s="73"/>
      <c r="C301" s="73"/>
      <c r="D301" s="73"/>
      <c r="E301" s="73"/>
      <c r="F301" s="73"/>
      <c r="G301" s="73"/>
    </row>
    <row r="302" spans="2:7" ht="32.25" customHeight="1" x14ac:dyDescent="0.35">
      <c r="B302" s="73"/>
      <c r="C302" s="73"/>
      <c r="D302" s="73"/>
      <c r="E302" s="73"/>
      <c r="F302" s="73"/>
      <c r="G302" s="73"/>
    </row>
    <row r="303" spans="2:7" ht="32.25" customHeight="1" x14ac:dyDescent="0.35">
      <c r="B303" s="73"/>
      <c r="C303" s="73"/>
      <c r="D303" s="73"/>
      <c r="E303" s="73"/>
      <c r="F303" s="73"/>
      <c r="G303" s="73"/>
    </row>
    <row r="304" spans="2:7" ht="32.25" customHeight="1" x14ac:dyDescent="0.35">
      <c r="B304" s="73"/>
      <c r="C304" s="73"/>
      <c r="D304" s="73"/>
      <c r="E304" s="73"/>
      <c r="F304" s="73"/>
      <c r="G304" s="73"/>
    </row>
    <row r="305" spans="2:7" ht="32.25" customHeight="1" x14ac:dyDescent="0.35">
      <c r="B305" s="73"/>
      <c r="C305" s="73"/>
      <c r="D305" s="73"/>
      <c r="E305" s="73"/>
      <c r="F305" s="73"/>
      <c r="G305" s="73"/>
    </row>
    <row r="306" spans="2:7" ht="32.25" customHeight="1" x14ac:dyDescent="0.35">
      <c r="B306" s="73"/>
      <c r="C306" s="73"/>
      <c r="D306" s="73"/>
      <c r="E306" s="73"/>
      <c r="F306" s="73"/>
      <c r="G306" s="73"/>
    </row>
    <row r="307" spans="2:7" ht="32.25" customHeight="1" x14ac:dyDescent="0.35">
      <c r="B307" s="73"/>
      <c r="C307" s="73"/>
      <c r="D307" s="73"/>
      <c r="E307" s="73"/>
      <c r="F307" s="73"/>
      <c r="G307" s="73"/>
    </row>
    <row r="308" spans="2:7" ht="32.25" customHeight="1" x14ac:dyDescent="0.35">
      <c r="B308" s="73"/>
      <c r="C308" s="73"/>
      <c r="D308" s="73"/>
      <c r="E308" s="73"/>
      <c r="F308" s="73"/>
      <c r="G308" s="73"/>
    </row>
    <row r="309" spans="2:7" ht="32.25" customHeight="1" x14ac:dyDescent="0.35">
      <c r="B309" s="73"/>
      <c r="C309" s="73"/>
      <c r="D309" s="73"/>
      <c r="E309" s="73"/>
      <c r="F309" s="73"/>
      <c r="G309" s="73"/>
    </row>
    <row r="310" spans="2:7" ht="32.25" customHeight="1" x14ac:dyDescent="0.35">
      <c r="B310" s="73"/>
      <c r="C310" s="73"/>
      <c r="D310" s="73"/>
      <c r="E310" s="73"/>
      <c r="F310" s="73"/>
      <c r="G310" s="73"/>
    </row>
    <row r="311" spans="2:7" ht="32.25" customHeight="1" x14ac:dyDescent="0.35">
      <c r="B311" s="73"/>
      <c r="C311" s="73"/>
      <c r="D311" s="73"/>
      <c r="E311" s="73"/>
      <c r="F311" s="73"/>
      <c r="G311" s="73"/>
    </row>
    <row r="312" spans="2:7" ht="32.25" customHeight="1" x14ac:dyDescent="0.35">
      <c r="B312" s="73"/>
      <c r="C312" s="73"/>
      <c r="D312" s="73"/>
      <c r="E312" s="73"/>
      <c r="F312" s="73"/>
      <c r="G312" s="73"/>
    </row>
    <row r="313" spans="2:7" ht="32.25" customHeight="1" x14ac:dyDescent="0.35">
      <c r="B313" s="73"/>
      <c r="C313" s="73"/>
      <c r="D313" s="73"/>
      <c r="E313" s="73"/>
      <c r="F313" s="73"/>
      <c r="G313" s="73"/>
    </row>
    <row r="314" spans="2:7" ht="32.25" customHeight="1" x14ac:dyDescent="0.35">
      <c r="B314" s="73"/>
      <c r="C314" s="73"/>
      <c r="D314" s="73"/>
      <c r="E314" s="73"/>
      <c r="F314" s="73"/>
      <c r="G314" s="73"/>
    </row>
    <row r="315" spans="2:7" ht="32.25" customHeight="1" x14ac:dyDescent="0.35">
      <c r="B315" s="73"/>
      <c r="C315" s="73"/>
      <c r="D315" s="73"/>
      <c r="E315" s="73"/>
      <c r="F315" s="73"/>
      <c r="G315" s="73"/>
    </row>
    <row r="316" spans="2:7" ht="32.25" customHeight="1" x14ac:dyDescent="0.35">
      <c r="B316" s="73"/>
      <c r="C316" s="73"/>
      <c r="D316" s="73"/>
      <c r="E316" s="73"/>
      <c r="F316" s="73"/>
      <c r="G316" s="73"/>
    </row>
    <row r="317" spans="2:7" ht="32.25" customHeight="1" x14ac:dyDescent="0.35">
      <c r="B317" s="73"/>
      <c r="C317" s="73"/>
      <c r="D317" s="73"/>
      <c r="E317" s="73"/>
      <c r="F317" s="73"/>
      <c r="G317" s="73"/>
    </row>
    <row r="318" spans="2:7" ht="32.25" customHeight="1" x14ac:dyDescent="0.35">
      <c r="B318" s="73"/>
      <c r="C318" s="73"/>
      <c r="D318" s="73"/>
      <c r="E318" s="73"/>
      <c r="F318" s="73"/>
      <c r="G318" s="73"/>
    </row>
    <row r="319" spans="2:7" ht="32.25" customHeight="1" x14ac:dyDescent="0.35">
      <c r="B319" s="73"/>
      <c r="C319" s="73"/>
      <c r="D319" s="73"/>
      <c r="E319" s="73"/>
      <c r="F319" s="73"/>
      <c r="G319" s="73"/>
    </row>
    <row r="320" spans="2:7" ht="32.25" customHeight="1" x14ac:dyDescent="0.35">
      <c r="B320" s="73"/>
      <c r="C320" s="73"/>
      <c r="D320" s="73"/>
      <c r="E320" s="73"/>
      <c r="F320" s="73"/>
      <c r="G320" s="73"/>
    </row>
    <row r="321" spans="2:7" ht="32.25" customHeight="1" x14ac:dyDescent="0.35">
      <c r="B321" s="73"/>
      <c r="C321" s="73"/>
      <c r="D321" s="73"/>
      <c r="E321" s="73"/>
      <c r="F321" s="73"/>
      <c r="G321" s="73"/>
    </row>
    <row r="322" spans="2:7" ht="32.25" customHeight="1" x14ac:dyDescent="0.35">
      <c r="B322" s="73"/>
      <c r="C322" s="73"/>
      <c r="D322" s="73"/>
      <c r="E322" s="73"/>
      <c r="F322" s="73"/>
      <c r="G322" s="73"/>
    </row>
    <row r="323" spans="2:7" ht="32.25" customHeight="1" x14ac:dyDescent="0.35">
      <c r="B323" s="73"/>
      <c r="C323" s="73"/>
      <c r="D323" s="73"/>
      <c r="E323" s="73"/>
      <c r="F323" s="73"/>
      <c r="G323" s="73"/>
    </row>
    <row r="324" spans="2:7" ht="32.25" customHeight="1" x14ac:dyDescent="0.35">
      <c r="B324" s="73"/>
      <c r="C324" s="73"/>
      <c r="D324" s="73"/>
      <c r="E324" s="73"/>
      <c r="F324" s="73"/>
      <c r="G324" s="73"/>
    </row>
    <row r="325" spans="2:7" ht="32.25" customHeight="1" x14ac:dyDescent="0.35">
      <c r="B325" s="73"/>
      <c r="C325" s="73"/>
      <c r="D325" s="73"/>
      <c r="E325" s="73"/>
      <c r="F325" s="73"/>
      <c r="G325" s="73"/>
    </row>
    <row r="326" spans="2:7" ht="32.25" customHeight="1" x14ac:dyDescent="0.35">
      <c r="B326" s="73"/>
      <c r="C326" s="73"/>
      <c r="D326" s="73"/>
      <c r="E326" s="73"/>
      <c r="F326" s="73"/>
      <c r="G326" s="73"/>
    </row>
    <row r="327" spans="2:7" ht="32.25" customHeight="1" x14ac:dyDescent="0.35">
      <c r="B327" s="73"/>
      <c r="C327" s="73"/>
      <c r="D327" s="73"/>
      <c r="E327" s="73"/>
      <c r="F327" s="73"/>
      <c r="G327" s="73"/>
    </row>
    <row r="328" spans="2:7" ht="32.25" customHeight="1" x14ac:dyDescent="0.35">
      <c r="B328" s="73"/>
      <c r="C328" s="73"/>
      <c r="D328" s="73"/>
      <c r="E328" s="73"/>
      <c r="F328" s="73"/>
      <c r="G328" s="73"/>
    </row>
    <row r="329" spans="2:7" ht="32.25" customHeight="1" x14ac:dyDescent="0.35">
      <c r="B329" s="73"/>
      <c r="C329" s="73"/>
      <c r="D329" s="73"/>
      <c r="E329" s="73"/>
      <c r="F329" s="73"/>
      <c r="G329" s="73"/>
    </row>
    <row r="330" spans="2:7" ht="32.25" customHeight="1" x14ac:dyDescent="0.35">
      <c r="B330" s="73"/>
      <c r="C330" s="73"/>
      <c r="D330" s="73"/>
      <c r="E330" s="73"/>
      <c r="F330" s="73"/>
      <c r="G330" s="73"/>
    </row>
    <row r="331" spans="2:7" ht="32.25" customHeight="1" x14ac:dyDescent="0.35">
      <c r="B331" s="73"/>
      <c r="C331" s="73"/>
      <c r="D331" s="73"/>
      <c r="E331" s="73"/>
      <c r="F331" s="73"/>
      <c r="G331" s="73"/>
    </row>
    <row r="332" spans="2:7" ht="32.25" customHeight="1" x14ac:dyDescent="0.35">
      <c r="B332" s="73"/>
      <c r="C332" s="73"/>
      <c r="D332" s="73"/>
      <c r="E332" s="73"/>
      <c r="F332" s="73"/>
      <c r="G332" s="73"/>
    </row>
    <row r="333" spans="2:7" ht="32.25" customHeight="1" x14ac:dyDescent="0.35">
      <c r="B333" s="73"/>
      <c r="C333" s="73"/>
      <c r="D333" s="73"/>
      <c r="E333" s="73"/>
      <c r="F333" s="73"/>
      <c r="G333" s="73"/>
    </row>
    <row r="334" spans="2:7" ht="32.25" customHeight="1" x14ac:dyDescent="0.35">
      <c r="B334" s="73"/>
      <c r="C334" s="73"/>
      <c r="D334" s="73"/>
      <c r="E334" s="73"/>
      <c r="F334" s="73"/>
      <c r="G334" s="73"/>
    </row>
    <row r="335" spans="2:7" ht="32.25" customHeight="1" x14ac:dyDescent="0.35">
      <c r="B335" s="73"/>
      <c r="C335" s="73"/>
      <c r="D335" s="73"/>
      <c r="E335" s="73"/>
      <c r="F335" s="73"/>
      <c r="G335" s="73"/>
    </row>
    <row r="336" spans="2:7" ht="32.25" customHeight="1" x14ac:dyDescent="0.35">
      <c r="B336" s="73"/>
      <c r="C336" s="73"/>
      <c r="D336" s="73"/>
      <c r="E336" s="73"/>
      <c r="F336" s="73"/>
      <c r="G336" s="73"/>
    </row>
    <row r="337" spans="2:7" ht="32.25" customHeight="1" x14ac:dyDescent="0.35">
      <c r="B337" s="73"/>
      <c r="C337" s="73"/>
      <c r="D337" s="73"/>
      <c r="E337" s="73"/>
      <c r="F337" s="73"/>
      <c r="G337" s="73"/>
    </row>
    <row r="338" spans="2:7" ht="32.25" customHeight="1" x14ac:dyDescent="0.35">
      <c r="B338" s="73"/>
      <c r="C338" s="73"/>
      <c r="D338" s="73"/>
      <c r="E338" s="73"/>
      <c r="F338" s="73"/>
      <c r="G338" s="73"/>
    </row>
    <row r="339" spans="2:7" ht="32.25" customHeight="1" x14ac:dyDescent="0.35">
      <c r="B339" s="73"/>
      <c r="C339" s="73"/>
      <c r="D339" s="73"/>
      <c r="E339" s="73"/>
      <c r="F339" s="73"/>
      <c r="G339" s="73"/>
    </row>
    <row r="340" spans="2:7" ht="32.25" customHeight="1" x14ac:dyDescent="0.35">
      <c r="B340" s="73"/>
      <c r="C340" s="73"/>
      <c r="D340" s="73"/>
      <c r="E340" s="73"/>
      <c r="F340" s="73"/>
      <c r="G340" s="73"/>
    </row>
    <row r="341" spans="2:7" ht="32.25" customHeight="1" x14ac:dyDescent="0.35">
      <c r="B341" s="73"/>
      <c r="C341" s="73"/>
      <c r="D341" s="73"/>
      <c r="E341" s="73"/>
      <c r="F341" s="73"/>
      <c r="G341" s="73"/>
    </row>
    <row r="342" spans="2:7" ht="32.25" customHeight="1" x14ac:dyDescent="0.35">
      <c r="B342" s="73"/>
      <c r="C342" s="73"/>
      <c r="D342" s="73"/>
      <c r="E342" s="73"/>
      <c r="F342" s="73"/>
      <c r="G342" s="73"/>
    </row>
    <row r="343" spans="2:7" ht="32.25" customHeight="1" x14ac:dyDescent="0.35">
      <c r="B343" s="73"/>
      <c r="C343" s="73"/>
      <c r="D343" s="73"/>
      <c r="E343" s="73"/>
      <c r="F343" s="73"/>
      <c r="G343" s="73"/>
    </row>
    <row r="344" spans="2:7" ht="32.25" customHeight="1" x14ac:dyDescent="0.35">
      <c r="B344" s="73"/>
      <c r="C344" s="73"/>
      <c r="D344" s="73"/>
      <c r="E344" s="73"/>
      <c r="F344" s="73"/>
      <c r="G344" s="73"/>
    </row>
    <row r="345" spans="2:7" ht="32.25" customHeight="1" x14ac:dyDescent="0.35">
      <c r="B345" s="73"/>
      <c r="C345" s="73"/>
      <c r="D345" s="73"/>
      <c r="E345" s="73"/>
      <c r="F345" s="73"/>
      <c r="G345" s="73"/>
    </row>
    <row r="346" spans="2:7" ht="32.25" customHeight="1" x14ac:dyDescent="0.35">
      <c r="B346" s="73"/>
      <c r="C346" s="73"/>
      <c r="D346" s="73"/>
      <c r="E346" s="73"/>
      <c r="F346" s="73"/>
      <c r="G346" s="73"/>
    </row>
    <row r="347" spans="2:7" ht="32.25" customHeight="1" x14ac:dyDescent="0.35">
      <c r="B347" s="73"/>
      <c r="C347" s="73"/>
      <c r="D347" s="73"/>
      <c r="E347" s="73"/>
      <c r="F347" s="73"/>
      <c r="G347" s="73"/>
    </row>
    <row r="348" spans="2:7" ht="32.25" customHeight="1" x14ac:dyDescent="0.35">
      <c r="B348" s="73"/>
      <c r="C348" s="73"/>
      <c r="D348" s="73"/>
      <c r="E348" s="73"/>
      <c r="F348" s="73"/>
      <c r="G348" s="73"/>
    </row>
    <row r="349" spans="2:7" ht="32.25" customHeight="1" x14ac:dyDescent="0.35">
      <c r="B349" s="73"/>
      <c r="C349" s="73"/>
      <c r="D349" s="73"/>
      <c r="E349" s="73"/>
      <c r="F349" s="73"/>
      <c r="G349" s="73"/>
    </row>
    <row r="350" spans="2:7" ht="32.25" customHeight="1" x14ac:dyDescent="0.35">
      <c r="B350" s="73"/>
      <c r="C350" s="73"/>
      <c r="D350" s="73"/>
      <c r="E350" s="73"/>
      <c r="F350" s="73"/>
      <c r="G350" s="73"/>
    </row>
    <row r="351" spans="2:7" ht="32.25" customHeight="1" x14ac:dyDescent="0.35">
      <c r="B351" s="73"/>
      <c r="C351" s="73"/>
      <c r="D351" s="73"/>
      <c r="E351" s="73"/>
      <c r="F351" s="73"/>
      <c r="G351" s="73"/>
    </row>
    <row r="352" spans="2:7" ht="32.25" customHeight="1" x14ac:dyDescent="0.35">
      <c r="B352" s="73"/>
      <c r="C352" s="73"/>
      <c r="D352" s="73"/>
      <c r="E352" s="73"/>
      <c r="F352" s="73"/>
      <c r="G352" s="73"/>
    </row>
    <row r="353" spans="2:7" ht="32.25" customHeight="1" x14ac:dyDescent="0.35">
      <c r="B353" s="73"/>
      <c r="C353" s="73"/>
      <c r="D353" s="73"/>
      <c r="E353" s="73"/>
      <c r="F353" s="73"/>
      <c r="G353" s="73"/>
    </row>
    <row r="354" spans="2:7" ht="32.25" customHeight="1" x14ac:dyDescent="0.35">
      <c r="B354" s="73"/>
      <c r="C354" s="73"/>
      <c r="D354" s="73"/>
      <c r="E354" s="73"/>
      <c r="F354" s="73"/>
      <c r="G354" s="73"/>
    </row>
    <row r="355" spans="2:7" ht="32.25" customHeight="1" x14ac:dyDescent="0.35">
      <c r="B355" s="73"/>
      <c r="C355" s="73"/>
      <c r="D355" s="73"/>
      <c r="E355" s="73"/>
      <c r="F355" s="73"/>
      <c r="G355" s="73"/>
    </row>
    <row r="356" spans="2:7" ht="32.25" customHeight="1" x14ac:dyDescent="0.35">
      <c r="B356" s="73"/>
      <c r="C356" s="73"/>
      <c r="D356" s="73"/>
      <c r="E356" s="73"/>
      <c r="F356" s="73"/>
      <c r="G356" s="73"/>
    </row>
    <row r="357" spans="2:7" ht="32.25" customHeight="1" x14ac:dyDescent="0.35">
      <c r="B357" s="73"/>
      <c r="C357" s="73"/>
      <c r="D357" s="73"/>
      <c r="E357" s="73"/>
      <c r="F357" s="73"/>
      <c r="G357" s="73"/>
    </row>
    <row r="358" spans="2:7" ht="32.25" customHeight="1" x14ac:dyDescent="0.35">
      <c r="B358" s="73"/>
      <c r="C358" s="73"/>
      <c r="D358" s="73"/>
      <c r="E358" s="73"/>
      <c r="F358" s="73"/>
      <c r="G358" s="73"/>
    </row>
    <row r="359" spans="2:7" ht="32.25" customHeight="1" x14ac:dyDescent="0.35">
      <c r="B359" s="73"/>
      <c r="C359" s="73"/>
      <c r="D359" s="73"/>
      <c r="E359" s="73"/>
      <c r="F359" s="73"/>
      <c r="G359" s="73"/>
    </row>
    <row r="360" spans="2:7" ht="32.25" customHeight="1" x14ac:dyDescent="0.35">
      <c r="B360" s="73"/>
      <c r="C360" s="73"/>
      <c r="D360" s="73"/>
      <c r="E360" s="73"/>
      <c r="F360" s="73"/>
      <c r="G360" s="73"/>
    </row>
    <row r="361" spans="2:7" ht="32.25" customHeight="1" x14ac:dyDescent="0.35">
      <c r="B361" s="73"/>
      <c r="C361" s="73"/>
      <c r="D361" s="73"/>
      <c r="E361" s="73"/>
      <c r="F361" s="73"/>
      <c r="G361" s="73"/>
    </row>
    <row r="362" spans="2:7" ht="32.25" customHeight="1" x14ac:dyDescent="0.35">
      <c r="B362" s="73"/>
      <c r="C362" s="73"/>
      <c r="D362" s="73"/>
      <c r="E362" s="73"/>
      <c r="F362" s="73"/>
      <c r="G362" s="73"/>
    </row>
    <row r="363" spans="2:7" ht="32.25" customHeight="1" x14ac:dyDescent="0.35">
      <c r="B363" s="73"/>
      <c r="C363" s="73"/>
      <c r="D363" s="73"/>
      <c r="E363" s="73"/>
      <c r="F363" s="73"/>
      <c r="G363" s="73"/>
    </row>
    <row r="364" spans="2:7" ht="32.25" customHeight="1" x14ac:dyDescent="0.35">
      <c r="B364" s="73"/>
      <c r="C364" s="73"/>
      <c r="D364" s="73"/>
      <c r="E364" s="73"/>
      <c r="F364" s="73"/>
      <c r="G364" s="73"/>
    </row>
    <row r="365" spans="2:7" ht="32.25" customHeight="1" x14ac:dyDescent="0.35">
      <c r="B365" s="73"/>
      <c r="C365" s="73"/>
      <c r="D365" s="73"/>
      <c r="E365" s="73"/>
      <c r="F365" s="73"/>
      <c r="G365" s="73"/>
    </row>
    <row r="366" spans="2:7" ht="32.25" customHeight="1" x14ac:dyDescent="0.35">
      <c r="B366" s="73"/>
      <c r="C366" s="73"/>
      <c r="D366" s="73"/>
      <c r="E366" s="73"/>
      <c r="F366" s="73"/>
      <c r="G366" s="73"/>
    </row>
    <row r="367" spans="2:7" ht="32.25" customHeight="1" x14ac:dyDescent="0.35">
      <c r="B367" s="73"/>
      <c r="C367" s="73"/>
      <c r="D367" s="73"/>
      <c r="E367" s="73"/>
      <c r="F367" s="73"/>
      <c r="G367" s="73"/>
    </row>
    <row r="368" spans="2:7" ht="32.25" customHeight="1" x14ac:dyDescent="0.35">
      <c r="B368" s="73"/>
      <c r="C368" s="73"/>
      <c r="D368" s="73"/>
      <c r="E368" s="73"/>
      <c r="F368" s="73"/>
      <c r="G368" s="73"/>
    </row>
    <row r="369" spans="2:7" ht="32.25" customHeight="1" x14ac:dyDescent="0.35">
      <c r="B369" s="73"/>
      <c r="C369" s="73"/>
      <c r="D369" s="73"/>
      <c r="E369" s="73"/>
      <c r="F369" s="73"/>
      <c r="G369" s="73"/>
    </row>
    <row r="370" spans="2:7" ht="32.25" customHeight="1" x14ac:dyDescent="0.35">
      <c r="B370" s="73"/>
      <c r="C370" s="73"/>
      <c r="D370" s="73"/>
      <c r="E370" s="73"/>
      <c r="F370" s="73"/>
      <c r="G370" s="73"/>
    </row>
    <row r="371" spans="2:7" ht="32.25" customHeight="1" x14ac:dyDescent="0.35">
      <c r="B371" s="73"/>
      <c r="C371" s="73"/>
      <c r="D371" s="73"/>
      <c r="E371" s="73"/>
      <c r="F371" s="73"/>
      <c r="G371" s="73"/>
    </row>
    <row r="372" spans="2:7" ht="32.25" customHeight="1" x14ac:dyDescent="0.35">
      <c r="B372" s="73"/>
      <c r="C372" s="73"/>
      <c r="D372" s="73"/>
      <c r="E372" s="73"/>
      <c r="F372" s="73"/>
      <c r="G372" s="73"/>
    </row>
    <row r="373" spans="2:7" ht="32.25" customHeight="1" x14ac:dyDescent="0.35">
      <c r="B373" s="73"/>
      <c r="C373" s="73"/>
      <c r="D373" s="73"/>
      <c r="E373" s="73"/>
      <c r="F373" s="73"/>
      <c r="G373" s="73"/>
    </row>
    <row r="374" spans="2:7" ht="32.25" customHeight="1" x14ac:dyDescent="0.35">
      <c r="B374" s="73"/>
      <c r="C374" s="73"/>
      <c r="D374" s="73"/>
      <c r="E374" s="73"/>
      <c r="F374" s="73"/>
      <c r="G374" s="73"/>
    </row>
    <row r="375" spans="2:7" ht="32.25" customHeight="1" x14ac:dyDescent="0.35">
      <c r="B375" s="73"/>
      <c r="C375" s="73"/>
      <c r="D375" s="73"/>
      <c r="E375" s="73"/>
      <c r="F375" s="73"/>
      <c r="G375" s="73"/>
    </row>
    <row r="376" spans="2:7" ht="32.25" customHeight="1" x14ac:dyDescent="0.35">
      <c r="B376" s="73"/>
      <c r="C376" s="73"/>
      <c r="D376" s="73"/>
      <c r="E376" s="73"/>
      <c r="F376" s="73"/>
      <c r="G376" s="73"/>
    </row>
    <row r="377" spans="2:7" ht="32.25" customHeight="1" x14ac:dyDescent="0.35">
      <c r="B377" s="73"/>
      <c r="C377" s="73"/>
      <c r="D377" s="73"/>
      <c r="E377" s="73"/>
      <c r="F377" s="73"/>
      <c r="G377" s="73"/>
    </row>
    <row r="378" spans="2:7" ht="32.25" customHeight="1" x14ac:dyDescent="0.35">
      <c r="B378" s="73"/>
      <c r="C378" s="73"/>
      <c r="D378" s="73"/>
      <c r="E378" s="73"/>
      <c r="F378" s="73"/>
      <c r="G378" s="73"/>
    </row>
    <row r="379" spans="2:7" ht="32.25" customHeight="1" x14ac:dyDescent="0.35">
      <c r="B379" s="73"/>
      <c r="C379" s="73"/>
      <c r="D379" s="73"/>
      <c r="E379" s="73"/>
      <c r="F379" s="73"/>
      <c r="G379" s="73"/>
    </row>
    <row r="380" spans="2:7" ht="32.25" customHeight="1" x14ac:dyDescent="0.35">
      <c r="B380" s="73"/>
      <c r="C380" s="73"/>
      <c r="D380" s="73"/>
      <c r="E380" s="73"/>
      <c r="F380" s="73"/>
      <c r="G380" s="73"/>
    </row>
    <row r="381" spans="2:7" ht="32.25" customHeight="1" x14ac:dyDescent="0.35">
      <c r="B381" s="73"/>
      <c r="C381" s="73"/>
      <c r="D381" s="73"/>
      <c r="E381" s="73"/>
      <c r="F381" s="73"/>
      <c r="G381" s="73"/>
    </row>
    <row r="382" spans="2:7" ht="32.25" customHeight="1" x14ac:dyDescent="0.35">
      <c r="B382" s="73"/>
      <c r="C382" s="73"/>
      <c r="D382" s="73"/>
      <c r="E382" s="73"/>
      <c r="F382" s="73"/>
      <c r="G382" s="73"/>
    </row>
    <row r="383" spans="2:7" ht="32.25" customHeight="1" x14ac:dyDescent="0.35">
      <c r="B383" s="73"/>
      <c r="C383" s="73"/>
      <c r="D383" s="73"/>
      <c r="E383" s="73"/>
      <c r="F383" s="73"/>
      <c r="G383" s="73"/>
    </row>
    <row r="384" spans="2:7" ht="32.25" customHeight="1" x14ac:dyDescent="0.35">
      <c r="B384" s="73"/>
      <c r="C384" s="73"/>
      <c r="D384" s="73"/>
      <c r="E384" s="73"/>
      <c r="F384" s="73"/>
      <c r="G384" s="73"/>
    </row>
    <row r="385" spans="2:7" ht="32.25" customHeight="1" x14ac:dyDescent="0.35">
      <c r="B385" s="73"/>
      <c r="C385" s="73"/>
      <c r="D385" s="73"/>
      <c r="E385" s="73"/>
      <c r="F385" s="73"/>
      <c r="G385" s="73"/>
    </row>
    <row r="386" spans="2:7" ht="32.25" customHeight="1" x14ac:dyDescent="0.35">
      <c r="B386" s="73"/>
      <c r="C386" s="73"/>
      <c r="D386" s="73"/>
      <c r="E386" s="73"/>
      <c r="F386" s="73"/>
      <c r="G386" s="73"/>
    </row>
    <row r="387" spans="2:7" ht="32.25" customHeight="1" x14ac:dyDescent="0.35">
      <c r="B387" s="73"/>
      <c r="C387" s="73"/>
      <c r="D387" s="73"/>
      <c r="E387" s="73"/>
      <c r="F387" s="73"/>
      <c r="G387" s="73"/>
    </row>
    <row r="388" spans="2:7" ht="32.25" customHeight="1" x14ac:dyDescent="0.35">
      <c r="B388" s="73"/>
      <c r="C388" s="73"/>
      <c r="D388" s="73"/>
      <c r="E388" s="73"/>
      <c r="F388" s="73"/>
      <c r="G388" s="73"/>
    </row>
    <row r="389" spans="2:7" ht="32.25" customHeight="1" x14ac:dyDescent="0.35">
      <c r="B389" s="73"/>
      <c r="C389" s="73"/>
      <c r="D389" s="73"/>
      <c r="E389" s="73"/>
      <c r="F389" s="73"/>
      <c r="G389" s="73"/>
    </row>
    <row r="390" spans="2:7" ht="32.25" customHeight="1" x14ac:dyDescent="0.35">
      <c r="B390" s="73"/>
      <c r="C390" s="73"/>
      <c r="D390" s="73"/>
      <c r="E390" s="73"/>
      <c r="F390" s="73"/>
      <c r="G390" s="73"/>
    </row>
    <row r="391" spans="2:7" ht="32.25" customHeight="1" x14ac:dyDescent="0.35">
      <c r="B391" s="73"/>
      <c r="C391" s="73"/>
      <c r="D391" s="73"/>
      <c r="E391" s="73"/>
      <c r="F391" s="73"/>
      <c r="G391" s="73"/>
    </row>
    <row r="392" spans="2:7" ht="32.25" customHeight="1" x14ac:dyDescent="0.35">
      <c r="B392" s="73"/>
      <c r="C392" s="73"/>
      <c r="D392" s="73"/>
      <c r="E392" s="73"/>
      <c r="F392" s="73"/>
      <c r="G392" s="73"/>
    </row>
    <row r="393" spans="2:7" ht="32.25" customHeight="1" x14ac:dyDescent="0.35">
      <c r="B393" s="73"/>
      <c r="C393" s="73"/>
      <c r="D393" s="73"/>
      <c r="E393" s="73"/>
      <c r="F393" s="73"/>
      <c r="G393" s="73"/>
    </row>
    <row r="394" spans="2:7" ht="32.25" customHeight="1" x14ac:dyDescent="0.35">
      <c r="B394" s="73"/>
      <c r="C394" s="73"/>
      <c r="D394" s="73"/>
      <c r="E394" s="73"/>
      <c r="F394" s="73"/>
      <c r="G394" s="73"/>
    </row>
    <row r="395" spans="2:7" ht="32.25" customHeight="1" x14ac:dyDescent="0.35">
      <c r="B395" s="73"/>
      <c r="C395" s="73"/>
      <c r="D395" s="73"/>
      <c r="E395" s="73"/>
      <c r="F395" s="73"/>
      <c r="G395" s="73"/>
    </row>
    <row r="396" spans="2:7" ht="32.25" customHeight="1" x14ac:dyDescent="0.35">
      <c r="B396" s="73"/>
      <c r="C396" s="73"/>
      <c r="D396" s="73"/>
      <c r="E396" s="73"/>
      <c r="F396" s="73"/>
      <c r="G396" s="73"/>
    </row>
    <row r="397" spans="2:7" ht="32.25" customHeight="1" x14ac:dyDescent="0.35">
      <c r="B397" s="73"/>
      <c r="C397" s="73"/>
      <c r="D397" s="73"/>
      <c r="E397" s="73"/>
      <c r="F397" s="73"/>
      <c r="G397" s="73"/>
    </row>
    <row r="398" spans="2:7" ht="32.25" customHeight="1" x14ac:dyDescent="0.35">
      <c r="B398" s="73"/>
      <c r="C398" s="73"/>
      <c r="D398" s="73"/>
      <c r="E398" s="73"/>
      <c r="F398" s="73"/>
      <c r="G398" s="73"/>
    </row>
    <row r="399" spans="2:7" ht="32.25" customHeight="1" x14ac:dyDescent="0.35">
      <c r="B399" s="73"/>
      <c r="C399" s="73"/>
      <c r="D399" s="73"/>
      <c r="E399" s="73"/>
      <c r="F399" s="73"/>
      <c r="G399" s="73"/>
    </row>
    <row r="400" spans="2:7" ht="32.25" customHeight="1" x14ac:dyDescent="0.35">
      <c r="B400" s="73"/>
      <c r="C400" s="73"/>
      <c r="D400" s="73"/>
      <c r="E400" s="73"/>
      <c r="F400" s="73"/>
      <c r="G400" s="73"/>
    </row>
    <row r="401" spans="2:7" ht="32.25" customHeight="1" x14ac:dyDescent="0.35">
      <c r="B401" s="73"/>
      <c r="C401" s="73"/>
      <c r="D401" s="73"/>
      <c r="E401" s="73"/>
      <c r="F401" s="73"/>
      <c r="G401" s="73"/>
    </row>
    <row r="402" spans="2:7" ht="32.25" customHeight="1" x14ac:dyDescent="0.35">
      <c r="B402" s="73"/>
      <c r="C402" s="73"/>
      <c r="D402" s="73"/>
      <c r="E402" s="73"/>
      <c r="F402" s="73"/>
      <c r="G402" s="73"/>
    </row>
    <row r="403" spans="2:7" ht="32.25" customHeight="1" x14ac:dyDescent="0.35">
      <c r="B403" s="73"/>
      <c r="C403" s="73"/>
      <c r="D403" s="73"/>
      <c r="E403" s="73"/>
      <c r="F403" s="73"/>
      <c r="G403" s="73"/>
    </row>
    <row r="404" spans="2:7" ht="32.25" customHeight="1" x14ac:dyDescent="0.35">
      <c r="B404" s="73"/>
      <c r="C404" s="73"/>
      <c r="D404" s="73"/>
      <c r="E404" s="73"/>
      <c r="F404" s="73"/>
      <c r="G404" s="73"/>
    </row>
    <row r="405" spans="2:7" ht="32.25" customHeight="1" x14ac:dyDescent="0.35">
      <c r="B405" s="73"/>
      <c r="C405" s="73"/>
      <c r="D405" s="73"/>
      <c r="E405" s="73"/>
      <c r="F405" s="73"/>
      <c r="G405" s="73"/>
    </row>
    <row r="406" spans="2:7" ht="32.25" customHeight="1" x14ac:dyDescent="0.35">
      <c r="B406" s="73"/>
      <c r="C406" s="73"/>
      <c r="D406" s="73"/>
      <c r="E406" s="73"/>
      <c r="F406" s="73"/>
      <c r="G406" s="73"/>
    </row>
    <row r="407" spans="2:7" ht="32.25" customHeight="1" x14ac:dyDescent="0.35">
      <c r="B407" s="73"/>
      <c r="C407" s="73"/>
      <c r="D407" s="73"/>
      <c r="E407" s="73"/>
      <c r="F407" s="73"/>
      <c r="G407" s="73"/>
    </row>
    <row r="408" spans="2:7" ht="32.25" customHeight="1" x14ac:dyDescent="0.35">
      <c r="B408" s="73"/>
      <c r="C408" s="73"/>
      <c r="D408" s="73"/>
      <c r="E408" s="73"/>
      <c r="F408" s="73"/>
      <c r="G408" s="73"/>
    </row>
    <row r="409" spans="2:7" ht="32.25" customHeight="1" x14ac:dyDescent="0.35">
      <c r="B409" s="73"/>
      <c r="C409" s="73"/>
      <c r="D409" s="73"/>
      <c r="E409" s="73"/>
      <c r="F409" s="73"/>
      <c r="G409" s="73"/>
    </row>
    <row r="410" spans="2:7" ht="32.25" customHeight="1" x14ac:dyDescent="0.35">
      <c r="B410" s="73"/>
      <c r="C410" s="73"/>
      <c r="D410" s="73"/>
      <c r="E410" s="73"/>
      <c r="F410" s="73"/>
      <c r="G410" s="73"/>
    </row>
    <row r="411" spans="2:7" ht="32.25" customHeight="1" x14ac:dyDescent="0.35">
      <c r="B411" s="73"/>
      <c r="C411" s="73"/>
      <c r="D411" s="73"/>
      <c r="E411" s="73"/>
      <c r="F411" s="73"/>
      <c r="G411" s="73"/>
    </row>
    <row r="412" spans="2:7" ht="32.25" customHeight="1" x14ac:dyDescent="0.35">
      <c r="B412" s="73"/>
      <c r="C412" s="73"/>
      <c r="D412" s="73"/>
      <c r="E412" s="73"/>
      <c r="F412" s="73"/>
      <c r="G412" s="73"/>
    </row>
    <row r="413" spans="2:7" ht="32.25" customHeight="1" x14ac:dyDescent="0.35">
      <c r="B413" s="73"/>
      <c r="C413" s="73"/>
      <c r="D413" s="73"/>
      <c r="E413" s="73"/>
      <c r="F413" s="73"/>
      <c r="G413" s="73"/>
    </row>
    <row r="414" spans="2:7" ht="32.25" customHeight="1" x14ac:dyDescent="0.35">
      <c r="B414" s="73"/>
      <c r="C414" s="73"/>
      <c r="D414" s="73"/>
      <c r="E414" s="73"/>
      <c r="F414" s="73"/>
      <c r="G414" s="73"/>
    </row>
    <row r="415" spans="2:7" ht="32.25" customHeight="1" x14ac:dyDescent="0.35">
      <c r="B415" s="73"/>
      <c r="C415" s="73"/>
      <c r="D415" s="73"/>
      <c r="E415" s="73"/>
      <c r="F415" s="73"/>
      <c r="G415" s="73"/>
    </row>
    <row r="416" spans="2:7" ht="32.25" customHeight="1" x14ac:dyDescent="0.35">
      <c r="B416" s="73"/>
      <c r="C416" s="73"/>
      <c r="D416" s="73"/>
      <c r="E416" s="73"/>
      <c r="F416" s="73"/>
      <c r="G416" s="73"/>
    </row>
    <row r="417" spans="2:7" ht="32.25" customHeight="1" x14ac:dyDescent="0.35">
      <c r="B417" s="73"/>
      <c r="C417" s="73"/>
      <c r="D417" s="73"/>
      <c r="E417" s="73"/>
      <c r="F417" s="73"/>
      <c r="G417" s="73"/>
    </row>
    <row r="418" spans="2:7" ht="32.25" customHeight="1" x14ac:dyDescent="0.35">
      <c r="B418" s="73"/>
      <c r="C418" s="73"/>
      <c r="D418" s="73"/>
      <c r="E418" s="73"/>
      <c r="F418" s="73"/>
      <c r="G418" s="73"/>
    </row>
    <row r="419" spans="2:7" ht="32.25" customHeight="1" x14ac:dyDescent="0.35">
      <c r="B419" s="73"/>
      <c r="C419" s="73"/>
      <c r="D419" s="73"/>
      <c r="E419" s="73"/>
      <c r="F419" s="73"/>
      <c r="G419" s="73"/>
    </row>
    <row r="420" spans="2:7" ht="32.25" customHeight="1" x14ac:dyDescent="0.35">
      <c r="B420" s="73"/>
      <c r="C420" s="73"/>
      <c r="D420" s="73"/>
      <c r="E420" s="73"/>
      <c r="F420" s="73"/>
      <c r="G420" s="73"/>
    </row>
    <row r="421" spans="2:7" ht="32.25" customHeight="1" x14ac:dyDescent="0.35">
      <c r="B421" s="73"/>
      <c r="C421" s="73"/>
      <c r="D421" s="73"/>
      <c r="E421" s="73"/>
      <c r="F421" s="73"/>
      <c r="G421" s="73"/>
    </row>
    <row r="422" spans="2:7" ht="32.25" customHeight="1" x14ac:dyDescent="0.35">
      <c r="B422" s="73"/>
      <c r="C422" s="73"/>
      <c r="D422" s="73"/>
      <c r="E422" s="73"/>
      <c r="F422" s="73"/>
      <c r="G422" s="73"/>
    </row>
    <row r="423" spans="2:7" ht="32.25" customHeight="1" x14ac:dyDescent="0.35">
      <c r="B423" s="73"/>
      <c r="C423" s="73"/>
      <c r="D423" s="73"/>
      <c r="E423" s="73"/>
      <c r="F423" s="73"/>
      <c r="G423" s="73"/>
    </row>
    <row r="424" spans="2:7" ht="32.25" customHeight="1" x14ac:dyDescent="0.35">
      <c r="B424" s="73"/>
      <c r="C424" s="73"/>
      <c r="D424" s="73"/>
      <c r="E424" s="73"/>
      <c r="F424" s="73"/>
      <c r="G424" s="73"/>
    </row>
    <row r="425" spans="2:7" ht="32.25" customHeight="1" x14ac:dyDescent="0.35">
      <c r="B425" s="73"/>
      <c r="C425" s="73"/>
      <c r="D425" s="73"/>
      <c r="E425" s="73"/>
      <c r="F425" s="73"/>
      <c r="G425" s="73"/>
    </row>
    <row r="426" spans="2:7" ht="32.25" customHeight="1" x14ac:dyDescent="0.35">
      <c r="B426" s="73"/>
      <c r="C426" s="73"/>
      <c r="D426" s="73"/>
      <c r="E426" s="73"/>
      <c r="F426" s="73"/>
      <c r="G426" s="73"/>
    </row>
    <row r="427" spans="2:7" ht="32.25" customHeight="1" x14ac:dyDescent="0.35">
      <c r="B427" s="73"/>
      <c r="C427" s="73"/>
      <c r="D427" s="73"/>
      <c r="E427" s="73"/>
      <c r="F427" s="73"/>
      <c r="G427" s="73"/>
    </row>
    <row r="428" spans="2:7" ht="32.25" customHeight="1" x14ac:dyDescent="0.35">
      <c r="B428" s="73"/>
      <c r="C428" s="73"/>
      <c r="D428" s="73"/>
      <c r="E428" s="73"/>
      <c r="F428" s="73"/>
      <c r="G428" s="73"/>
    </row>
    <row r="429" spans="2:7" ht="32.25" customHeight="1" x14ac:dyDescent="0.35">
      <c r="B429" s="73"/>
      <c r="C429" s="73"/>
      <c r="D429" s="73"/>
      <c r="E429" s="73"/>
      <c r="F429" s="73"/>
      <c r="G429" s="73"/>
    </row>
    <row r="430" spans="2:7" ht="32.25" customHeight="1" x14ac:dyDescent="0.35">
      <c r="B430" s="73"/>
      <c r="C430" s="73"/>
      <c r="D430" s="73"/>
      <c r="E430" s="73"/>
      <c r="F430" s="73"/>
      <c r="G430" s="73"/>
    </row>
    <row r="431" spans="2:7" ht="32.25" customHeight="1" x14ac:dyDescent="0.35">
      <c r="B431" s="73"/>
      <c r="C431" s="73"/>
      <c r="D431" s="73"/>
      <c r="E431" s="73"/>
      <c r="F431" s="73"/>
      <c r="G431" s="73"/>
    </row>
    <row r="432" spans="2:7" ht="32.25" customHeight="1" x14ac:dyDescent="0.35">
      <c r="B432" s="73"/>
      <c r="C432" s="73"/>
      <c r="D432" s="73"/>
      <c r="E432" s="73"/>
      <c r="F432" s="73"/>
      <c r="G432" s="73"/>
    </row>
    <row r="433" spans="2:7" ht="32.25" customHeight="1" x14ac:dyDescent="0.35">
      <c r="B433" s="73"/>
      <c r="C433" s="73"/>
      <c r="D433" s="73"/>
      <c r="E433" s="73"/>
      <c r="F433" s="73"/>
      <c r="G433" s="73"/>
    </row>
    <row r="434" spans="2:7" ht="32.25" customHeight="1" x14ac:dyDescent="0.35">
      <c r="B434" s="73"/>
      <c r="C434" s="73"/>
      <c r="D434" s="73"/>
      <c r="E434" s="73"/>
      <c r="F434" s="73"/>
      <c r="G434" s="73"/>
    </row>
    <row r="435" spans="2:7" ht="32.25" customHeight="1" x14ac:dyDescent="0.35">
      <c r="B435" s="73"/>
      <c r="C435" s="73"/>
      <c r="D435" s="73"/>
      <c r="E435" s="73"/>
      <c r="F435" s="73"/>
      <c r="G435" s="73"/>
    </row>
    <row r="436" spans="2:7" ht="32.25" customHeight="1" x14ac:dyDescent="0.35">
      <c r="B436" s="73"/>
      <c r="C436" s="73"/>
      <c r="D436" s="73"/>
      <c r="E436" s="73"/>
      <c r="F436" s="73"/>
      <c r="G436" s="73"/>
    </row>
    <row r="437" spans="2:7" ht="32.25" customHeight="1" x14ac:dyDescent="0.35">
      <c r="B437" s="73"/>
      <c r="C437" s="73"/>
      <c r="D437" s="73"/>
      <c r="E437" s="73"/>
      <c r="F437" s="73"/>
      <c r="G437" s="73"/>
    </row>
    <row r="438" spans="2:7" ht="32.25" customHeight="1" x14ac:dyDescent="0.35">
      <c r="B438" s="73"/>
      <c r="C438" s="73"/>
      <c r="D438" s="73"/>
      <c r="E438" s="73"/>
      <c r="F438" s="73"/>
      <c r="G438" s="73"/>
    </row>
    <row r="439" spans="2:7" ht="32.25" customHeight="1" x14ac:dyDescent="0.35">
      <c r="B439" s="73"/>
      <c r="C439" s="73"/>
      <c r="D439" s="73"/>
      <c r="E439" s="73"/>
      <c r="F439" s="73"/>
      <c r="G439" s="73"/>
    </row>
    <row r="440" spans="2:7" ht="32.25" customHeight="1" x14ac:dyDescent="0.35">
      <c r="B440" s="73"/>
      <c r="C440" s="73"/>
      <c r="D440" s="73"/>
      <c r="E440" s="73"/>
      <c r="F440" s="73"/>
      <c r="G440" s="73"/>
    </row>
    <row r="441" spans="2:7" ht="32.25" customHeight="1" x14ac:dyDescent="0.35">
      <c r="B441" s="73"/>
      <c r="C441" s="73"/>
      <c r="D441" s="73"/>
      <c r="E441" s="73"/>
      <c r="F441" s="73"/>
      <c r="G441" s="73"/>
    </row>
    <row r="442" spans="2:7" ht="32.25" customHeight="1" x14ac:dyDescent="0.35">
      <c r="B442" s="73"/>
      <c r="C442" s="73"/>
      <c r="D442" s="73"/>
      <c r="E442" s="73"/>
      <c r="F442" s="73"/>
      <c r="G442" s="73"/>
    </row>
    <row r="443" spans="2:7" ht="32.25" customHeight="1" x14ac:dyDescent="0.35">
      <c r="B443" s="73"/>
      <c r="C443" s="73"/>
      <c r="D443" s="73"/>
      <c r="E443" s="73"/>
      <c r="F443" s="73"/>
      <c r="G443" s="73"/>
    </row>
    <row r="444" spans="2:7" ht="32.25" customHeight="1" x14ac:dyDescent="0.35">
      <c r="B444" s="73"/>
      <c r="C444" s="73"/>
      <c r="D444" s="73"/>
      <c r="E444" s="73"/>
      <c r="F444" s="73"/>
      <c r="G444" s="73"/>
    </row>
    <row r="445" spans="2:7" ht="32.25" customHeight="1" x14ac:dyDescent="0.35">
      <c r="B445" s="73"/>
      <c r="C445" s="73"/>
      <c r="D445" s="73"/>
      <c r="E445" s="73"/>
      <c r="F445" s="73"/>
      <c r="G445" s="73"/>
    </row>
    <row r="446" spans="2:7" ht="32.25" customHeight="1" x14ac:dyDescent="0.35">
      <c r="B446" s="73"/>
      <c r="C446" s="73"/>
      <c r="D446" s="73"/>
      <c r="E446" s="73"/>
      <c r="F446" s="73"/>
      <c r="G446" s="73"/>
    </row>
    <row r="447" spans="2:7" ht="32.25" customHeight="1" x14ac:dyDescent="0.35">
      <c r="B447" s="73"/>
      <c r="C447" s="73"/>
      <c r="D447" s="73"/>
      <c r="E447" s="73"/>
      <c r="F447" s="73"/>
      <c r="G447" s="73"/>
    </row>
    <row r="448" spans="2:7" ht="32.25" customHeight="1" x14ac:dyDescent="0.35">
      <c r="B448" s="73"/>
      <c r="C448" s="73"/>
      <c r="D448" s="73"/>
      <c r="E448" s="73"/>
      <c r="F448" s="73"/>
      <c r="G448" s="73"/>
    </row>
    <row r="449" spans="2:7" ht="32.25" customHeight="1" x14ac:dyDescent="0.35">
      <c r="B449" s="73"/>
      <c r="C449" s="73"/>
      <c r="D449" s="73"/>
      <c r="E449" s="73"/>
      <c r="F449" s="73"/>
      <c r="G449" s="73"/>
    </row>
    <row r="450" spans="2:7" ht="32.25" customHeight="1" x14ac:dyDescent="0.35">
      <c r="B450" s="73"/>
      <c r="C450" s="73"/>
      <c r="D450" s="73"/>
      <c r="E450" s="73"/>
      <c r="F450" s="73"/>
      <c r="G450" s="73"/>
    </row>
    <row r="451" spans="2:7" ht="32.25" customHeight="1" x14ac:dyDescent="0.35">
      <c r="B451" s="73"/>
      <c r="C451" s="73"/>
      <c r="D451" s="73"/>
      <c r="E451" s="73"/>
      <c r="F451" s="73"/>
      <c r="G451" s="73"/>
    </row>
    <row r="452" spans="2:7" ht="32.25" customHeight="1" x14ac:dyDescent="0.35">
      <c r="B452" s="73"/>
      <c r="C452" s="73"/>
      <c r="D452" s="73"/>
      <c r="E452" s="73"/>
      <c r="F452" s="73"/>
      <c r="G452" s="73"/>
    </row>
    <row r="453" spans="2:7" ht="32.25" customHeight="1" x14ac:dyDescent="0.35">
      <c r="B453" s="73"/>
      <c r="C453" s="73"/>
      <c r="D453" s="73"/>
      <c r="E453" s="73"/>
      <c r="F453" s="73"/>
      <c r="G453" s="73"/>
    </row>
    <row r="454" spans="2:7" ht="32.25" customHeight="1" x14ac:dyDescent="0.35">
      <c r="B454" s="73"/>
      <c r="C454" s="73"/>
      <c r="D454" s="73"/>
      <c r="E454" s="73"/>
      <c r="F454" s="73"/>
      <c r="G454" s="73"/>
    </row>
    <row r="455" spans="2:7" ht="32.25" customHeight="1" x14ac:dyDescent="0.35">
      <c r="B455" s="73"/>
      <c r="C455" s="73"/>
      <c r="D455" s="73"/>
      <c r="E455" s="73"/>
      <c r="F455" s="73"/>
      <c r="G455" s="73"/>
    </row>
    <row r="456" spans="2:7" ht="32.25" customHeight="1" x14ac:dyDescent="0.35">
      <c r="B456" s="73"/>
      <c r="C456" s="73"/>
      <c r="D456" s="73"/>
      <c r="E456" s="73"/>
      <c r="F456" s="73"/>
      <c r="G456" s="73"/>
    </row>
    <row r="457" spans="2:7" ht="32.25" customHeight="1" x14ac:dyDescent="0.35">
      <c r="B457" s="73"/>
      <c r="C457" s="73"/>
      <c r="D457" s="73"/>
      <c r="E457" s="73"/>
      <c r="F457" s="73"/>
      <c r="G457" s="73"/>
    </row>
    <row r="458" spans="2:7" ht="32.25" customHeight="1" x14ac:dyDescent="0.35">
      <c r="B458" s="73"/>
      <c r="C458" s="73"/>
      <c r="D458" s="73"/>
      <c r="E458" s="73"/>
      <c r="F458" s="73"/>
      <c r="G458" s="73"/>
    </row>
    <row r="459" spans="2:7" ht="32.25" customHeight="1" x14ac:dyDescent="0.35">
      <c r="B459" s="73"/>
      <c r="C459" s="73"/>
      <c r="D459" s="73"/>
      <c r="E459" s="73"/>
      <c r="F459" s="73"/>
      <c r="G459" s="73"/>
    </row>
    <row r="460" spans="2:7" ht="32.25" customHeight="1" x14ac:dyDescent="0.35">
      <c r="B460" s="73"/>
      <c r="C460" s="73"/>
      <c r="D460" s="73"/>
      <c r="E460" s="73"/>
      <c r="F460" s="73"/>
      <c r="G460" s="73"/>
    </row>
    <row r="461" spans="2:7" ht="32.25" customHeight="1" x14ac:dyDescent="0.35">
      <c r="B461" s="73"/>
      <c r="C461" s="73"/>
      <c r="D461" s="73"/>
      <c r="E461" s="73"/>
      <c r="F461" s="73"/>
      <c r="G461" s="73"/>
    </row>
    <row r="462" spans="2:7" ht="32.25" customHeight="1" x14ac:dyDescent="0.35">
      <c r="B462" s="73"/>
      <c r="C462" s="73"/>
      <c r="D462" s="73"/>
      <c r="E462" s="73"/>
      <c r="F462" s="73"/>
      <c r="G462" s="73"/>
    </row>
    <row r="463" spans="2:7" ht="32.25" customHeight="1" x14ac:dyDescent="0.35">
      <c r="B463" s="73"/>
      <c r="C463" s="73"/>
      <c r="D463" s="73"/>
      <c r="E463" s="73"/>
      <c r="F463" s="73"/>
      <c r="G463" s="73"/>
    </row>
    <row r="464" spans="2:7" ht="32.25" customHeight="1" x14ac:dyDescent="0.35">
      <c r="B464" s="73"/>
      <c r="C464" s="73"/>
      <c r="D464" s="73"/>
      <c r="E464" s="73"/>
      <c r="F464" s="73"/>
      <c r="G464" s="73"/>
    </row>
    <row r="465" spans="2:7" ht="32.25" customHeight="1" x14ac:dyDescent="0.35">
      <c r="B465" s="73"/>
      <c r="C465" s="73"/>
      <c r="D465" s="73"/>
      <c r="E465" s="73"/>
      <c r="F465" s="73"/>
      <c r="G465" s="73"/>
    </row>
    <row r="466" spans="2:7" ht="32.25" customHeight="1" x14ac:dyDescent="0.35">
      <c r="B466" s="73"/>
      <c r="C466" s="73"/>
      <c r="D466" s="73"/>
      <c r="E466" s="73"/>
      <c r="F466" s="73"/>
      <c r="G466" s="73"/>
    </row>
    <row r="467" spans="2:7" ht="32.25" customHeight="1" x14ac:dyDescent="0.35">
      <c r="B467" s="73"/>
      <c r="C467" s="73"/>
      <c r="D467" s="73"/>
      <c r="E467" s="73"/>
      <c r="F467" s="73"/>
      <c r="G467" s="73"/>
    </row>
    <row r="468" spans="2:7" ht="32.25" customHeight="1" x14ac:dyDescent="0.35">
      <c r="B468" s="73"/>
      <c r="C468" s="73"/>
      <c r="D468" s="73"/>
      <c r="E468" s="73"/>
      <c r="F468" s="73"/>
      <c r="G468" s="73"/>
    </row>
    <row r="469" spans="2:7" ht="32.25" customHeight="1" x14ac:dyDescent="0.35">
      <c r="B469" s="73"/>
      <c r="C469" s="73"/>
      <c r="D469" s="73"/>
      <c r="E469" s="73"/>
      <c r="F469" s="73"/>
      <c r="G469" s="73"/>
    </row>
    <row r="470" spans="2:7" ht="32.25" customHeight="1" x14ac:dyDescent="0.35">
      <c r="B470" s="73"/>
      <c r="C470" s="73"/>
      <c r="D470" s="73"/>
      <c r="E470" s="73"/>
      <c r="F470" s="73"/>
      <c r="G470" s="73"/>
    </row>
    <row r="471" spans="2:7" ht="32.25" customHeight="1" x14ac:dyDescent="0.35">
      <c r="B471" s="73"/>
      <c r="C471" s="73"/>
      <c r="D471" s="73"/>
      <c r="E471" s="73"/>
      <c r="F471" s="73"/>
      <c r="G471" s="73"/>
    </row>
    <row r="472" spans="2:7" ht="32.25" customHeight="1" x14ac:dyDescent="0.35">
      <c r="B472" s="73"/>
      <c r="C472" s="73"/>
      <c r="D472" s="73"/>
      <c r="E472" s="73"/>
      <c r="F472" s="73"/>
      <c r="G472" s="73"/>
    </row>
    <row r="473" spans="2:7" ht="32.25" customHeight="1" x14ac:dyDescent="0.35">
      <c r="B473" s="73"/>
      <c r="C473" s="73"/>
      <c r="D473" s="73"/>
      <c r="E473" s="73"/>
      <c r="F473" s="73"/>
      <c r="G473" s="73"/>
    </row>
    <row r="474" spans="2:7" ht="32.25" customHeight="1" x14ac:dyDescent="0.35">
      <c r="B474" s="73"/>
      <c r="C474" s="73"/>
      <c r="D474" s="73"/>
      <c r="E474" s="73"/>
      <c r="F474" s="73"/>
      <c r="G474" s="73"/>
    </row>
    <row r="475" spans="2:7" ht="32.25" customHeight="1" x14ac:dyDescent="0.35">
      <c r="B475" s="73"/>
      <c r="C475" s="73"/>
      <c r="D475" s="73"/>
      <c r="E475" s="73"/>
      <c r="F475" s="73"/>
      <c r="G475" s="73"/>
    </row>
    <row r="476" spans="2:7" ht="32.25" customHeight="1" x14ac:dyDescent="0.35">
      <c r="B476" s="73"/>
      <c r="C476" s="73"/>
      <c r="D476" s="73"/>
      <c r="E476" s="73"/>
      <c r="F476" s="73"/>
      <c r="G476" s="73"/>
    </row>
    <row r="477" spans="2:7" ht="32.25" customHeight="1" x14ac:dyDescent="0.35">
      <c r="B477" s="73"/>
      <c r="C477" s="73"/>
      <c r="D477" s="73"/>
      <c r="E477" s="73"/>
      <c r="F477" s="73"/>
      <c r="G477" s="73"/>
    </row>
    <row r="478" spans="2:7" ht="32.25" customHeight="1" x14ac:dyDescent="0.35">
      <c r="B478" s="73"/>
      <c r="C478" s="73"/>
      <c r="D478" s="73"/>
      <c r="E478" s="73"/>
      <c r="F478" s="73"/>
      <c r="G478" s="73"/>
    </row>
    <row r="479" spans="2:7" ht="32.25" customHeight="1" x14ac:dyDescent="0.35">
      <c r="B479" s="73"/>
      <c r="C479" s="73"/>
      <c r="D479" s="73"/>
      <c r="E479" s="73"/>
      <c r="F479" s="73"/>
      <c r="G479" s="73"/>
    </row>
    <row r="480" spans="2:7" ht="32.25" customHeight="1" x14ac:dyDescent="0.35">
      <c r="B480" s="73"/>
      <c r="C480" s="73"/>
      <c r="D480" s="73"/>
      <c r="E480" s="73"/>
      <c r="F480" s="73"/>
      <c r="G480" s="73"/>
    </row>
    <row r="481" spans="2:7" ht="32.25" customHeight="1" x14ac:dyDescent="0.35">
      <c r="B481" s="73"/>
      <c r="C481" s="73"/>
      <c r="D481" s="73"/>
      <c r="E481" s="73"/>
      <c r="F481" s="73"/>
      <c r="G481" s="73"/>
    </row>
    <row r="482" spans="2:7" ht="32.25" customHeight="1" x14ac:dyDescent="0.35">
      <c r="B482" s="73"/>
      <c r="C482" s="73"/>
      <c r="D482" s="73"/>
      <c r="E482" s="73"/>
      <c r="F482" s="73"/>
      <c r="G482" s="73"/>
    </row>
    <row r="483" spans="2:7" ht="32.25" customHeight="1" x14ac:dyDescent="0.35">
      <c r="B483" s="73"/>
      <c r="C483" s="73"/>
      <c r="D483" s="73"/>
      <c r="E483" s="73"/>
      <c r="F483" s="73"/>
      <c r="G483" s="73"/>
    </row>
    <row r="484" spans="2:7" ht="32.25" customHeight="1" x14ac:dyDescent="0.35">
      <c r="B484" s="73"/>
      <c r="C484" s="73"/>
      <c r="D484" s="73"/>
      <c r="E484" s="73"/>
      <c r="F484" s="73"/>
      <c r="G484" s="73"/>
    </row>
    <row r="485" spans="2:7" ht="32.25" customHeight="1" x14ac:dyDescent="0.35">
      <c r="B485" s="73"/>
      <c r="C485" s="73"/>
      <c r="D485" s="73"/>
      <c r="E485" s="73"/>
      <c r="F485" s="73"/>
      <c r="G485" s="73"/>
    </row>
    <row r="486" spans="2:7" ht="32.25" customHeight="1" x14ac:dyDescent="0.35">
      <c r="B486" s="73"/>
      <c r="C486" s="73"/>
      <c r="D486" s="73"/>
      <c r="E486" s="73"/>
      <c r="F486" s="73"/>
      <c r="G486" s="73"/>
    </row>
    <row r="487" spans="2:7" ht="32.25" customHeight="1" x14ac:dyDescent="0.35">
      <c r="B487" s="73"/>
      <c r="C487" s="73"/>
      <c r="D487" s="73"/>
      <c r="E487" s="73"/>
      <c r="F487" s="73"/>
      <c r="G487" s="73"/>
    </row>
    <row r="488" spans="2:7" ht="32.25" customHeight="1" x14ac:dyDescent="0.35">
      <c r="B488" s="73"/>
      <c r="C488" s="73"/>
      <c r="D488" s="73"/>
      <c r="E488" s="73"/>
      <c r="F488" s="73"/>
      <c r="G488" s="73"/>
    </row>
    <row r="489" spans="2:7" ht="32.25" customHeight="1" x14ac:dyDescent="0.35">
      <c r="B489" s="73"/>
      <c r="C489" s="73"/>
      <c r="D489" s="73"/>
      <c r="E489" s="73"/>
      <c r="F489" s="73"/>
      <c r="G489" s="73"/>
    </row>
    <row r="490" spans="2:7" ht="32.25" customHeight="1" x14ac:dyDescent="0.35">
      <c r="B490" s="73"/>
      <c r="C490" s="73"/>
      <c r="D490" s="73"/>
      <c r="E490" s="73"/>
      <c r="F490" s="73"/>
      <c r="G490" s="73"/>
    </row>
    <row r="491" spans="2:7" ht="32.25" customHeight="1" x14ac:dyDescent="0.35">
      <c r="B491" s="73"/>
      <c r="C491" s="73"/>
      <c r="D491" s="73"/>
      <c r="E491" s="73"/>
      <c r="F491" s="73"/>
      <c r="G491" s="73"/>
    </row>
    <row r="492" spans="2:7" ht="32.25" customHeight="1" x14ac:dyDescent="0.35">
      <c r="B492" s="73"/>
      <c r="C492" s="73"/>
      <c r="D492" s="73"/>
      <c r="E492" s="73"/>
      <c r="F492" s="73"/>
      <c r="G492" s="73"/>
    </row>
    <row r="493" spans="2:7" ht="32.25" customHeight="1" x14ac:dyDescent="0.35">
      <c r="B493" s="73"/>
      <c r="C493" s="73"/>
      <c r="D493" s="73"/>
      <c r="E493" s="73"/>
      <c r="F493" s="73"/>
      <c r="G493" s="73"/>
    </row>
    <row r="494" spans="2:7" ht="32.25" customHeight="1" x14ac:dyDescent="0.35">
      <c r="B494" s="73"/>
      <c r="C494" s="73"/>
      <c r="D494" s="73"/>
      <c r="E494" s="73"/>
      <c r="F494" s="73"/>
      <c r="G494" s="73"/>
    </row>
    <row r="495" spans="2:7" ht="32.25" customHeight="1" x14ac:dyDescent="0.35">
      <c r="B495" s="73"/>
      <c r="C495" s="73"/>
      <c r="D495" s="73"/>
      <c r="E495" s="73"/>
      <c r="F495" s="73"/>
      <c r="G495" s="73"/>
    </row>
    <row r="496" spans="2:7" ht="32.25" customHeight="1" x14ac:dyDescent="0.35">
      <c r="B496" s="73"/>
      <c r="C496" s="73"/>
      <c r="D496" s="73"/>
      <c r="E496" s="73"/>
      <c r="F496" s="73"/>
      <c r="G496" s="73"/>
    </row>
    <row r="497" spans="2:7" ht="32.25" customHeight="1" x14ac:dyDescent="0.35">
      <c r="B497" s="73"/>
      <c r="C497" s="73"/>
      <c r="D497" s="73"/>
      <c r="E497" s="73"/>
      <c r="F497" s="73"/>
      <c r="G497" s="73"/>
    </row>
    <row r="498" spans="2:7" ht="32.25" customHeight="1" x14ac:dyDescent="0.35">
      <c r="B498" s="73"/>
      <c r="C498" s="73"/>
      <c r="D498" s="73"/>
      <c r="E498" s="73"/>
      <c r="F498" s="73"/>
      <c r="G498" s="73"/>
    </row>
    <row r="499" spans="2:7" ht="32.25" customHeight="1" x14ac:dyDescent="0.35">
      <c r="B499" s="73"/>
      <c r="C499" s="73"/>
      <c r="D499" s="73"/>
      <c r="E499" s="73"/>
      <c r="F499" s="73"/>
      <c r="G499" s="73"/>
    </row>
    <row r="500" spans="2:7" ht="32.25" customHeight="1" x14ac:dyDescent="0.35">
      <c r="B500" s="73"/>
      <c r="C500" s="73"/>
      <c r="D500" s="73"/>
      <c r="E500" s="73"/>
      <c r="F500" s="73"/>
      <c r="G500" s="73"/>
    </row>
    <row r="501" spans="2:7" ht="32.25" customHeight="1" x14ac:dyDescent="0.35">
      <c r="B501" s="73"/>
      <c r="C501" s="73"/>
      <c r="D501" s="73"/>
      <c r="E501" s="73"/>
      <c r="F501" s="73"/>
      <c r="G501" s="73"/>
    </row>
    <row r="502" spans="2:7" ht="32.25" customHeight="1" x14ac:dyDescent="0.35">
      <c r="B502" s="73"/>
      <c r="C502" s="73"/>
      <c r="D502" s="73"/>
      <c r="E502" s="73"/>
      <c r="F502" s="73"/>
      <c r="G502" s="73"/>
    </row>
    <row r="503" spans="2:7" ht="32.25" customHeight="1" x14ac:dyDescent="0.35">
      <c r="B503" s="73"/>
      <c r="C503" s="73"/>
      <c r="D503" s="73"/>
      <c r="E503" s="73"/>
      <c r="F503" s="73"/>
      <c r="G503" s="73"/>
    </row>
    <row r="504" spans="2:7" ht="32.25" customHeight="1" x14ac:dyDescent="0.35">
      <c r="B504" s="73"/>
      <c r="C504" s="73"/>
      <c r="D504" s="73"/>
      <c r="E504" s="73"/>
      <c r="F504" s="73"/>
      <c r="G504" s="73"/>
    </row>
    <row r="505" spans="2:7" ht="32.25" customHeight="1" x14ac:dyDescent="0.35">
      <c r="B505" s="73"/>
      <c r="C505" s="73"/>
      <c r="D505" s="73"/>
      <c r="E505" s="73"/>
      <c r="F505" s="73"/>
      <c r="G505" s="73"/>
    </row>
    <row r="506" spans="2:7" ht="32.25" customHeight="1" x14ac:dyDescent="0.35">
      <c r="B506" s="73"/>
      <c r="C506" s="73"/>
      <c r="D506" s="73"/>
      <c r="E506" s="73"/>
      <c r="F506" s="73"/>
      <c r="G506" s="73"/>
    </row>
    <row r="507" spans="2:7" ht="32.25" customHeight="1" x14ac:dyDescent="0.35">
      <c r="B507" s="73"/>
      <c r="C507" s="73"/>
      <c r="D507" s="73"/>
      <c r="E507" s="73"/>
      <c r="F507" s="73"/>
      <c r="G507" s="73"/>
    </row>
    <row r="508" spans="2:7" ht="32.25" customHeight="1" x14ac:dyDescent="0.35">
      <c r="B508" s="73"/>
      <c r="C508" s="73"/>
      <c r="D508" s="73"/>
      <c r="E508" s="73"/>
      <c r="F508" s="73"/>
      <c r="G508" s="73"/>
    </row>
    <row r="509" spans="2:7" ht="32.25" customHeight="1" x14ac:dyDescent="0.35">
      <c r="B509" s="73"/>
      <c r="C509" s="73"/>
      <c r="D509" s="73"/>
      <c r="E509" s="73"/>
      <c r="F509" s="73"/>
      <c r="G509" s="73"/>
    </row>
    <row r="510" spans="2:7" ht="32.25" customHeight="1" x14ac:dyDescent="0.35">
      <c r="B510" s="73"/>
      <c r="C510" s="73"/>
      <c r="D510" s="73"/>
      <c r="E510" s="73"/>
      <c r="F510" s="73"/>
      <c r="G510" s="73"/>
    </row>
    <row r="511" spans="2:7" ht="32.25" customHeight="1" x14ac:dyDescent="0.35">
      <c r="B511" s="73"/>
      <c r="C511" s="73"/>
      <c r="D511" s="73"/>
      <c r="E511" s="73"/>
      <c r="F511" s="73"/>
      <c r="G511" s="73"/>
    </row>
    <row r="512" spans="2:7" ht="32.25" customHeight="1" x14ac:dyDescent="0.35">
      <c r="B512" s="73"/>
      <c r="C512" s="73"/>
      <c r="D512" s="73"/>
      <c r="E512" s="73"/>
      <c r="F512" s="73"/>
      <c r="G512" s="73"/>
    </row>
    <row r="513" spans="2:7" ht="32.25" customHeight="1" x14ac:dyDescent="0.35">
      <c r="B513" s="73"/>
      <c r="C513" s="73"/>
      <c r="D513" s="73"/>
      <c r="E513" s="73"/>
      <c r="F513" s="73"/>
      <c r="G513" s="73"/>
    </row>
    <row r="514" spans="2:7" ht="32.25" customHeight="1" x14ac:dyDescent="0.35">
      <c r="B514" s="73"/>
      <c r="C514" s="73"/>
      <c r="D514" s="73"/>
      <c r="E514" s="73"/>
      <c r="F514" s="73"/>
      <c r="G514" s="73"/>
    </row>
    <row r="515" spans="2:7" ht="32.25" customHeight="1" x14ac:dyDescent="0.35">
      <c r="B515" s="73"/>
      <c r="C515" s="73"/>
      <c r="D515" s="73"/>
      <c r="E515" s="73"/>
      <c r="F515" s="73"/>
      <c r="G515" s="73"/>
    </row>
    <row r="516" spans="2:7" ht="32.25" customHeight="1" x14ac:dyDescent="0.35">
      <c r="B516" s="73"/>
      <c r="C516" s="73"/>
      <c r="D516" s="73"/>
      <c r="E516" s="73"/>
      <c r="F516" s="73"/>
      <c r="G516" s="73"/>
    </row>
    <row r="517" spans="2:7" ht="32.25" customHeight="1" x14ac:dyDescent="0.35">
      <c r="B517" s="73"/>
      <c r="C517" s="73"/>
      <c r="D517" s="73"/>
      <c r="E517" s="73"/>
      <c r="F517" s="73"/>
      <c r="G517" s="73"/>
    </row>
    <row r="518" spans="2:7" ht="32.25" customHeight="1" x14ac:dyDescent="0.35">
      <c r="B518" s="73"/>
      <c r="C518" s="73"/>
      <c r="D518" s="73"/>
      <c r="E518" s="73"/>
      <c r="F518" s="73"/>
      <c r="G518" s="73"/>
    </row>
    <row r="519" spans="2:7" ht="32.25" customHeight="1" x14ac:dyDescent="0.35">
      <c r="B519" s="73"/>
      <c r="C519" s="73"/>
      <c r="D519" s="73"/>
      <c r="E519" s="73"/>
      <c r="F519" s="73"/>
      <c r="G519" s="73"/>
    </row>
    <row r="520" spans="2:7" ht="32.25" customHeight="1" x14ac:dyDescent="0.35">
      <c r="B520" s="73"/>
      <c r="C520" s="73"/>
      <c r="D520" s="73"/>
      <c r="E520" s="73"/>
      <c r="F520" s="73"/>
      <c r="G520" s="73"/>
    </row>
    <row r="521" spans="2:7" ht="32.25" customHeight="1" x14ac:dyDescent="0.35">
      <c r="B521" s="73"/>
      <c r="C521" s="73"/>
      <c r="D521" s="73"/>
      <c r="E521" s="73"/>
      <c r="F521" s="73"/>
      <c r="G521" s="73"/>
    </row>
    <row r="522" spans="2:7" ht="32.25" customHeight="1" x14ac:dyDescent="0.35">
      <c r="B522" s="73"/>
      <c r="C522" s="73"/>
      <c r="D522" s="73"/>
      <c r="E522" s="73"/>
      <c r="F522" s="73"/>
      <c r="G522" s="73"/>
    </row>
    <row r="523" spans="2:7" ht="32.25" customHeight="1" x14ac:dyDescent="0.35">
      <c r="B523" s="73"/>
      <c r="C523" s="73"/>
      <c r="D523" s="73"/>
      <c r="E523" s="73"/>
      <c r="F523" s="73"/>
      <c r="G523" s="73"/>
    </row>
    <row r="524" spans="2:7" ht="32.25" customHeight="1" x14ac:dyDescent="0.35">
      <c r="B524" s="73"/>
      <c r="C524" s="73"/>
      <c r="D524" s="73"/>
      <c r="E524" s="73"/>
      <c r="F524" s="73"/>
      <c r="G524" s="73"/>
    </row>
    <row r="525" spans="2:7" ht="32.25" customHeight="1" x14ac:dyDescent="0.35">
      <c r="B525" s="73"/>
      <c r="C525" s="73"/>
      <c r="D525" s="73"/>
      <c r="E525" s="73"/>
      <c r="F525" s="73"/>
      <c r="G525" s="73"/>
    </row>
    <row r="526" spans="2:7" ht="32.25" customHeight="1" x14ac:dyDescent="0.35">
      <c r="B526" s="73"/>
      <c r="C526" s="73"/>
      <c r="D526" s="73"/>
      <c r="E526" s="73"/>
      <c r="F526" s="73"/>
      <c r="G526" s="73"/>
    </row>
    <row r="527" spans="2:7" ht="32.25" customHeight="1" x14ac:dyDescent="0.35">
      <c r="B527" s="73"/>
      <c r="C527" s="73"/>
      <c r="D527" s="73"/>
      <c r="E527" s="73"/>
      <c r="F527" s="73"/>
      <c r="G527" s="73"/>
    </row>
    <row r="528" spans="2:7" ht="32.25" customHeight="1" x14ac:dyDescent="0.35">
      <c r="B528" s="73"/>
      <c r="C528" s="73"/>
      <c r="D528" s="73"/>
      <c r="E528" s="73"/>
      <c r="F528" s="73"/>
      <c r="G528" s="73"/>
    </row>
    <row r="529" spans="2:7" ht="32.25" customHeight="1" x14ac:dyDescent="0.35">
      <c r="B529" s="73"/>
      <c r="C529" s="73"/>
      <c r="D529" s="73"/>
      <c r="E529" s="73"/>
      <c r="F529" s="73"/>
      <c r="G529" s="73"/>
    </row>
    <row r="530" spans="2:7" ht="32.25" customHeight="1" x14ac:dyDescent="0.35">
      <c r="B530" s="73"/>
      <c r="C530" s="73"/>
      <c r="D530" s="73"/>
      <c r="E530" s="73"/>
      <c r="F530" s="73"/>
      <c r="G530" s="73"/>
    </row>
    <row r="531" spans="2:7" ht="32.25" customHeight="1" x14ac:dyDescent="0.35">
      <c r="B531" s="73"/>
      <c r="C531" s="73"/>
      <c r="D531" s="73"/>
      <c r="E531" s="73"/>
      <c r="F531" s="73"/>
      <c r="G531" s="73"/>
    </row>
    <row r="532" spans="2:7" ht="32.25" customHeight="1" x14ac:dyDescent="0.35">
      <c r="B532" s="73"/>
      <c r="C532" s="73"/>
      <c r="D532" s="73"/>
      <c r="E532" s="73"/>
      <c r="F532" s="73"/>
      <c r="G532" s="73"/>
    </row>
    <row r="533" spans="2:7" ht="32.25" customHeight="1" x14ac:dyDescent="0.35">
      <c r="B533" s="73"/>
      <c r="C533" s="73"/>
      <c r="D533" s="73"/>
      <c r="E533" s="73"/>
      <c r="F533" s="73"/>
      <c r="G533" s="73"/>
    </row>
    <row r="534" spans="2:7" ht="32.25" customHeight="1" x14ac:dyDescent="0.35">
      <c r="B534" s="73"/>
      <c r="C534" s="73"/>
      <c r="D534" s="73"/>
      <c r="E534" s="73"/>
      <c r="F534" s="73"/>
      <c r="G534" s="73"/>
    </row>
    <row r="535" spans="2:7" ht="32.25" customHeight="1" x14ac:dyDescent="0.35">
      <c r="B535" s="73"/>
      <c r="C535" s="73"/>
      <c r="D535" s="73"/>
      <c r="E535" s="73"/>
      <c r="F535" s="73"/>
      <c r="G535" s="73"/>
    </row>
    <row r="536" spans="2:7" ht="32.25" customHeight="1" x14ac:dyDescent="0.35">
      <c r="B536" s="73"/>
      <c r="C536" s="73"/>
      <c r="D536" s="73"/>
      <c r="E536" s="73"/>
      <c r="F536" s="73"/>
      <c r="G536" s="73"/>
    </row>
    <row r="537" spans="2:7" ht="32.25" customHeight="1" x14ac:dyDescent="0.35">
      <c r="B537" s="73"/>
      <c r="C537" s="73"/>
      <c r="D537" s="73"/>
      <c r="E537" s="73"/>
      <c r="F537" s="73"/>
      <c r="G537" s="73"/>
    </row>
    <row r="538" spans="2:7" ht="32.25" customHeight="1" x14ac:dyDescent="0.35">
      <c r="B538" s="73"/>
      <c r="C538" s="73"/>
      <c r="D538" s="73"/>
      <c r="E538" s="73"/>
      <c r="F538" s="73"/>
      <c r="G538" s="73"/>
    </row>
    <row r="539" spans="2:7" ht="32.25" customHeight="1" x14ac:dyDescent="0.35">
      <c r="B539" s="73"/>
      <c r="C539" s="73"/>
      <c r="D539" s="73"/>
      <c r="E539" s="73"/>
      <c r="F539" s="73"/>
      <c r="G539" s="73"/>
    </row>
    <row r="540" spans="2:7" ht="32.25" customHeight="1" x14ac:dyDescent="0.35">
      <c r="B540" s="73"/>
      <c r="C540" s="73"/>
      <c r="D540" s="73"/>
      <c r="E540" s="73"/>
      <c r="F540" s="73"/>
      <c r="G540" s="73"/>
    </row>
    <row r="541" spans="2:7" ht="32.25" customHeight="1" x14ac:dyDescent="0.35">
      <c r="B541" s="73"/>
      <c r="C541" s="73"/>
      <c r="D541" s="73"/>
      <c r="E541" s="73"/>
      <c r="F541" s="73"/>
      <c r="G541" s="73"/>
    </row>
    <row r="542" spans="2:7" ht="32.25" customHeight="1" x14ac:dyDescent="0.35">
      <c r="B542" s="73"/>
      <c r="C542" s="73"/>
      <c r="D542" s="73"/>
      <c r="E542" s="73"/>
      <c r="F542" s="73"/>
      <c r="G542" s="73"/>
    </row>
    <row r="543" spans="2:7" ht="32.25" customHeight="1" x14ac:dyDescent="0.35">
      <c r="B543" s="73"/>
      <c r="C543" s="73"/>
      <c r="D543" s="73"/>
      <c r="E543" s="73"/>
      <c r="F543" s="73"/>
      <c r="G543" s="73"/>
    </row>
    <row r="544" spans="2:7" ht="32.25" customHeight="1" x14ac:dyDescent="0.35">
      <c r="B544" s="73"/>
      <c r="C544" s="73"/>
      <c r="D544" s="73"/>
      <c r="E544" s="73"/>
      <c r="F544" s="73"/>
      <c r="G544" s="73"/>
    </row>
    <row r="545" spans="2:7" ht="32.25" customHeight="1" x14ac:dyDescent="0.35">
      <c r="B545" s="73"/>
      <c r="C545" s="73"/>
      <c r="D545" s="73"/>
      <c r="E545" s="73"/>
      <c r="F545" s="73"/>
      <c r="G545" s="73"/>
    </row>
    <row r="546" spans="2:7" ht="32.25" customHeight="1" x14ac:dyDescent="0.35">
      <c r="B546" s="73"/>
      <c r="C546" s="73"/>
      <c r="D546" s="73"/>
      <c r="E546" s="73"/>
      <c r="F546" s="73"/>
      <c r="G546" s="73"/>
    </row>
    <row r="547" spans="2:7" ht="32.25" customHeight="1" x14ac:dyDescent="0.35">
      <c r="B547" s="73"/>
      <c r="C547" s="73"/>
      <c r="D547" s="73"/>
      <c r="E547" s="73"/>
      <c r="F547" s="73"/>
      <c r="G547" s="73"/>
    </row>
    <row r="548" spans="2:7" ht="32.25" customHeight="1" x14ac:dyDescent="0.35">
      <c r="B548" s="73"/>
      <c r="C548" s="73"/>
      <c r="D548" s="73"/>
      <c r="E548" s="73"/>
      <c r="F548" s="73"/>
      <c r="G548" s="73"/>
    </row>
    <row r="549" spans="2:7" ht="32.25" customHeight="1" x14ac:dyDescent="0.35">
      <c r="B549" s="73"/>
      <c r="C549" s="73"/>
      <c r="D549" s="73"/>
      <c r="E549" s="73"/>
      <c r="F549" s="73"/>
      <c r="G549" s="73"/>
    </row>
    <row r="550" spans="2:7" ht="32.25" customHeight="1" x14ac:dyDescent="0.35">
      <c r="B550" s="73"/>
      <c r="C550" s="73"/>
      <c r="D550" s="73"/>
      <c r="E550" s="73"/>
      <c r="F550" s="73"/>
      <c r="G550" s="73"/>
    </row>
    <row r="551" spans="2:7" ht="32.25" customHeight="1" x14ac:dyDescent="0.35">
      <c r="B551" s="73"/>
      <c r="C551" s="73"/>
      <c r="D551" s="73"/>
      <c r="E551" s="73"/>
      <c r="F551" s="73"/>
      <c r="G551" s="73"/>
    </row>
    <row r="552" spans="2:7" ht="32.25" customHeight="1" x14ac:dyDescent="0.35">
      <c r="B552" s="73"/>
      <c r="C552" s="73"/>
      <c r="D552" s="73"/>
      <c r="E552" s="73"/>
      <c r="F552" s="73"/>
      <c r="G552" s="73"/>
    </row>
    <row r="553" spans="2:7" ht="32.25" customHeight="1" x14ac:dyDescent="0.35">
      <c r="B553" s="73"/>
      <c r="C553" s="73"/>
      <c r="D553" s="73"/>
      <c r="E553" s="73"/>
      <c r="F553" s="73"/>
      <c r="G553" s="73"/>
    </row>
    <row r="554" spans="2:7" ht="32.25" customHeight="1" x14ac:dyDescent="0.35">
      <c r="B554" s="73"/>
      <c r="C554" s="73"/>
      <c r="D554" s="73"/>
      <c r="E554" s="73"/>
      <c r="F554" s="73"/>
      <c r="G554" s="73"/>
    </row>
    <row r="555" spans="2:7" ht="32.25" customHeight="1" x14ac:dyDescent="0.35">
      <c r="B555" s="73"/>
      <c r="C555" s="73"/>
      <c r="D555" s="73"/>
      <c r="E555" s="73"/>
      <c r="F555" s="73"/>
      <c r="G555" s="73"/>
    </row>
    <row r="556" spans="2:7" ht="32.25" customHeight="1" x14ac:dyDescent="0.35">
      <c r="B556" s="73"/>
      <c r="C556" s="73"/>
      <c r="D556" s="73"/>
      <c r="E556" s="73"/>
      <c r="F556" s="73"/>
      <c r="G556" s="73"/>
    </row>
    <row r="557" spans="2:7" ht="32.25" customHeight="1" x14ac:dyDescent="0.35">
      <c r="B557" s="73"/>
      <c r="C557" s="73"/>
      <c r="D557" s="73"/>
      <c r="E557" s="73"/>
      <c r="F557" s="73"/>
      <c r="G557" s="73"/>
    </row>
    <row r="558" spans="2:7" ht="32.25" customHeight="1" x14ac:dyDescent="0.35">
      <c r="B558" s="73"/>
      <c r="C558" s="73"/>
      <c r="D558" s="73"/>
      <c r="E558" s="73"/>
      <c r="F558" s="73"/>
      <c r="G558" s="73"/>
    </row>
    <row r="559" spans="2:7" ht="32.25" customHeight="1" x14ac:dyDescent="0.35">
      <c r="B559" s="73"/>
      <c r="C559" s="73"/>
      <c r="D559" s="73"/>
      <c r="E559" s="73"/>
      <c r="F559" s="73"/>
      <c r="G559" s="73"/>
    </row>
    <row r="560" spans="2:7" ht="32.25" customHeight="1" x14ac:dyDescent="0.35">
      <c r="B560" s="73"/>
      <c r="C560" s="73"/>
      <c r="D560" s="73"/>
      <c r="E560" s="73"/>
      <c r="F560" s="73"/>
      <c r="G560" s="73"/>
    </row>
    <row r="561" spans="2:7" ht="32.25" customHeight="1" x14ac:dyDescent="0.35">
      <c r="B561" s="73"/>
      <c r="C561" s="73"/>
      <c r="D561" s="73"/>
      <c r="E561" s="73"/>
      <c r="F561" s="73"/>
      <c r="G561" s="73"/>
    </row>
    <row r="562" spans="2:7" ht="32.25" customHeight="1" x14ac:dyDescent="0.35">
      <c r="B562" s="73"/>
      <c r="C562" s="73"/>
      <c r="D562" s="73"/>
      <c r="E562" s="73"/>
      <c r="F562" s="73"/>
      <c r="G562" s="73"/>
    </row>
    <row r="563" spans="2:7" ht="32.25" customHeight="1" x14ac:dyDescent="0.35">
      <c r="B563" s="73"/>
      <c r="C563" s="73"/>
      <c r="D563" s="73"/>
      <c r="E563" s="73"/>
      <c r="F563" s="73"/>
      <c r="G563" s="73"/>
    </row>
    <row r="564" spans="2:7" ht="32.25" customHeight="1" x14ac:dyDescent="0.35">
      <c r="B564" s="73"/>
      <c r="C564" s="73"/>
      <c r="D564" s="73"/>
      <c r="E564" s="73"/>
      <c r="F564" s="73"/>
      <c r="G564" s="73"/>
    </row>
    <row r="565" spans="2:7" ht="32.25" customHeight="1" x14ac:dyDescent="0.35">
      <c r="B565" s="73"/>
      <c r="C565" s="73"/>
      <c r="D565" s="73"/>
      <c r="E565" s="73"/>
      <c r="F565" s="73"/>
      <c r="G565" s="73"/>
    </row>
    <row r="566" spans="2:7" ht="32.25" customHeight="1" x14ac:dyDescent="0.35">
      <c r="B566" s="73"/>
      <c r="C566" s="73"/>
      <c r="D566" s="73"/>
      <c r="E566" s="73"/>
      <c r="F566" s="73"/>
      <c r="G566" s="73"/>
    </row>
    <row r="567" spans="2:7" ht="32.25" customHeight="1" x14ac:dyDescent="0.35">
      <c r="B567" s="73"/>
      <c r="C567" s="73"/>
      <c r="D567" s="73"/>
      <c r="E567" s="73"/>
      <c r="F567" s="73"/>
      <c r="G567" s="73"/>
    </row>
    <row r="568" spans="2:7" ht="32.25" customHeight="1" x14ac:dyDescent="0.35">
      <c r="B568" s="73"/>
      <c r="C568" s="73"/>
      <c r="D568" s="73"/>
      <c r="E568" s="73"/>
      <c r="F568" s="73"/>
      <c r="G568" s="73"/>
    </row>
    <row r="569" spans="2:7" ht="32.25" customHeight="1" x14ac:dyDescent="0.35">
      <c r="B569" s="73"/>
      <c r="C569" s="73"/>
      <c r="D569" s="73"/>
      <c r="E569" s="73"/>
      <c r="F569" s="73"/>
      <c r="G569" s="73"/>
    </row>
    <row r="570" spans="2:7" ht="32.25" customHeight="1" x14ac:dyDescent="0.35">
      <c r="B570" s="73"/>
      <c r="C570" s="73"/>
      <c r="D570" s="73"/>
      <c r="E570" s="73"/>
      <c r="F570" s="73"/>
      <c r="G570" s="73"/>
    </row>
    <row r="571" spans="2:7" ht="32.25" customHeight="1" x14ac:dyDescent="0.35">
      <c r="B571" s="73"/>
      <c r="C571" s="73"/>
      <c r="D571" s="73"/>
      <c r="E571" s="73"/>
      <c r="F571" s="73"/>
      <c r="G571" s="73"/>
    </row>
    <row r="572" spans="2:7" ht="32.25" customHeight="1" x14ac:dyDescent="0.35">
      <c r="B572" s="73"/>
      <c r="C572" s="73"/>
      <c r="D572" s="73"/>
      <c r="E572" s="73"/>
      <c r="F572" s="73"/>
      <c r="G572" s="73"/>
    </row>
    <row r="573" spans="2:7" ht="32.25" customHeight="1" x14ac:dyDescent="0.35">
      <c r="B573" s="73"/>
      <c r="C573" s="73"/>
      <c r="D573" s="73"/>
      <c r="E573" s="73"/>
      <c r="F573" s="73"/>
      <c r="G573" s="73"/>
    </row>
    <row r="574" spans="2:7" ht="32.25" customHeight="1" x14ac:dyDescent="0.35">
      <c r="B574" s="73"/>
      <c r="C574" s="73"/>
      <c r="D574" s="73"/>
      <c r="E574" s="73"/>
      <c r="F574" s="73"/>
      <c r="G574" s="73"/>
    </row>
    <row r="575" spans="2:7" ht="32.25" customHeight="1" x14ac:dyDescent="0.35">
      <c r="B575" s="73"/>
      <c r="C575" s="73"/>
      <c r="D575" s="73"/>
      <c r="E575" s="73"/>
      <c r="F575" s="73"/>
      <c r="G575" s="73"/>
    </row>
    <row r="576" spans="2:7" ht="32.25" customHeight="1" x14ac:dyDescent="0.35">
      <c r="B576" s="73"/>
      <c r="C576" s="73"/>
      <c r="D576" s="73"/>
      <c r="E576" s="73"/>
      <c r="F576" s="73"/>
      <c r="G576" s="73"/>
    </row>
    <row r="577" spans="2:7" ht="32.25" customHeight="1" x14ac:dyDescent="0.35">
      <c r="B577" s="73"/>
      <c r="C577" s="73"/>
      <c r="D577" s="73"/>
      <c r="E577" s="73"/>
      <c r="F577" s="73"/>
      <c r="G577" s="73"/>
    </row>
    <row r="578" spans="2:7" ht="32.25" customHeight="1" x14ac:dyDescent="0.35">
      <c r="B578" s="73"/>
      <c r="C578" s="73"/>
      <c r="D578" s="73"/>
      <c r="E578" s="73"/>
      <c r="F578" s="73"/>
      <c r="G578" s="73"/>
    </row>
    <row r="579" spans="2:7" ht="32.25" customHeight="1" x14ac:dyDescent="0.35">
      <c r="B579" s="73"/>
      <c r="C579" s="73"/>
      <c r="D579" s="73"/>
      <c r="E579" s="73"/>
      <c r="F579" s="73"/>
      <c r="G579" s="73"/>
    </row>
    <row r="580" spans="2:7" ht="32.25" customHeight="1" x14ac:dyDescent="0.35">
      <c r="B580" s="73"/>
      <c r="C580" s="73"/>
      <c r="D580" s="73"/>
      <c r="E580" s="73"/>
      <c r="F580" s="73"/>
      <c r="G580" s="73"/>
    </row>
    <row r="581" spans="2:7" ht="32.25" customHeight="1" x14ac:dyDescent="0.35">
      <c r="B581" s="73"/>
      <c r="C581" s="73"/>
      <c r="D581" s="73"/>
      <c r="E581" s="73"/>
      <c r="F581" s="73"/>
      <c r="G581" s="73"/>
    </row>
    <row r="582" spans="2:7" ht="32.25" customHeight="1" x14ac:dyDescent="0.35">
      <c r="B582" s="73"/>
      <c r="C582" s="73"/>
      <c r="D582" s="73"/>
      <c r="E582" s="73"/>
      <c r="F582" s="73"/>
      <c r="G582" s="73"/>
    </row>
    <row r="583" spans="2:7" ht="32.25" customHeight="1" x14ac:dyDescent="0.35">
      <c r="B583" s="73"/>
      <c r="C583" s="73"/>
      <c r="D583" s="73"/>
      <c r="E583" s="73"/>
      <c r="F583" s="73"/>
      <c r="G583" s="73"/>
    </row>
    <row r="584" spans="2:7" ht="32.25" customHeight="1" x14ac:dyDescent="0.35">
      <c r="B584" s="73"/>
      <c r="C584" s="73"/>
      <c r="D584" s="73"/>
      <c r="E584" s="73"/>
      <c r="F584" s="73"/>
      <c r="G584" s="73"/>
    </row>
    <row r="585" spans="2:7" ht="32.25" customHeight="1" x14ac:dyDescent="0.35">
      <c r="B585" s="73"/>
      <c r="C585" s="73"/>
      <c r="D585" s="73"/>
      <c r="E585" s="73"/>
      <c r="F585" s="73"/>
      <c r="G585" s="73"/>
    </row>
    <row r="586" spans="2:7" ht="32.25" customHeight="1" x14ac:dyDescent="0.35">
      <c r="B586" s="73"/>
      <c r="C586" s="73"/>
      <c r="D586" s="73"/>
      <c r="E586" s="73"/>
      <c r="F586" s="73"/>
      <c r="G586" s="73"/>
    </row>
    <row r="587" spans="2:7" ht="32.25" customHeight="1" x14ac:dyDescent="0.35">
      <c r="B587" s="73"/>
      <c r="C587" s="73"/>
      <c r="D587" s="73"/>
      <c r="E587" s="73"/>
      <c r="F587" s="73"/>
      <c r="G587" s="73"/>
    </row>
    <row r="588" spans="2:7" ht="32.25" customHeight="1" x14ac:dyDescent="0.35">
      <c r="B588" s="73"/>
      <c r="C588" s="73"/>
      <c r="D588" s="73"/>
      <c r="E588" s="73"/>
      <c r="F588" s="73"/>
      <c r="G588" s="73"/>
    </row>
    <row r="589" spans="2:7" ht="32.25" customHeight="1" x14ac:dyDescent="0.35">
      <c r="B589" s="73"/>
      <c r="C589" s="73"/>
      <c r="D589" s="73"/>
      <c r="E589" s="73"/>
      <c r="F589" s="73"/>
      <c r="G589" s="73"/>
    </row>
    <row r="590" spans="2:7" ht="32.25" customHeight="1" x14ac:dyDescent="0.35">
      <c r="B590" s="73"/>
      <c r="C590" s="73"/>
      <c r="D590" s="73"/>
      <c r="E590" s="73"/>
      <c r="F590" s="73"/>
      <c r="G590" s="73"/>
    </row>
    <row r="591" spans="2:7" ht="32.25" customHeight="1" x14ac:dyDescent="0.35">
      <c r="B591" s="73"/>
      <c r="C591" s="73"/>
      <c r="D591" s="73"/>
      <c r="E591" s="73"/>
      <c r="F591" s="73"/>
      <c r="G591" s="73"/>
    </row>
    <row r="592" spans="2:7" ht="32.25" customHeight="1" x14ac:dyDescent="0.35">
      <c r="B592" s="73"/>
      <c r="C592" s="73"/>
      <c r="D592" s="73"/>
      <c r="E592" s="73"/>
      <c r="F592" s="73"/>
      <c r="G592" s="73"/>
    </row>
    <row r="593" spans="2:7" ht="32.25" customHeight="1" x14ac:dyDescent="0.35">
      <c r="B593" s="73"/>
      <c r="C593" s="73"/>
      <c r="D593" s="73"/>
      <c r="E593" s="73"/>
      <c r="F593" s="73"/>
      <c r="G593" s="73"/>
    </row>
    <row r="594" spans="2:7" ht="32.25" customHeight="1" x14ac:dyDescent="0.35">
      <c r="B594" s="73"/>
      <c r="C594" s="73"/>
      <c r="D594" s="73"/>
      <c r="E594" s="73"/>
      <c r="F594" s="73"/>
      <c r="G594" s="73"/>
    </row>
    <row r="595" spans="2:7" ht="32.25" customHeight="1" x14ac:dyDescent="0.35">
      <c r="B595" s="73"/>
      <c r="C595" s="73"/>
      <c r="D595" s="73"/>
      <c r="E595" s="73"/>
      <c r="F595" s="73"/>
      <c r="G595" s="73"/>
    </row>
    <row r="596" spans="2:7" ht="32.25" customHeight="1" x14ac:dyDescent="0.35">
      <c r="B596" s="73"/>
      <c r="C596" s="73"/>
      <c r="D596" s="73"/>
      <c r="E596" s="73"/>
      <c r="F596" s="73"/>
      <c r="G596" s="73"/>
    </row>
    <row r="597" spans="2:7" ht="32.25" customHeight="1" x14ac:dyDescent="0.35">
      <c r="B597" s="73"/>
      <c r="C597" s="73"/>
      <c r="D597" s="73"/>
      <c r="E597" s="73"/>
      <c r="F597" s="73"/>
      <c r="G597" s="73"/>
    </row>
    <row r="598" spans="2:7" ht="32.25" customHeight="1" x14ac:dyDescent="0.35">
      <c r="B598" s="73"/>
      <c r="C598" s="73"/>
      <c r="D598" s="73"/>
      <c r="E598" s="73"/>
      <c r="F598" s="73"/>
      <c r="G598" s="73"/>
    </row>
    <row r="599" spans="2:7" ht="32.25" customHeight="1" x14ac:dyDescent="0.35">
      <c r="B599" s="73"/>
      <c r="C599" s="73"/>
      <c r="D599" s="73"/>
      <c r="E599" s="73"/>
      <c r="F599" s="73"/>
      <c r="G599" s="73"/>
    </row>
    <row r="600" spans="2:7" ht="32.25" customHeight="1" x14ac:dyDescent="0.35">
      <c r="B600" s="73"/>
      <c r="C600" s="73"/>
      <c r="D600" s="73"/>
      <c r="E600" s="73"/>
      <c r="F600" s="73"/>
      <c r="G600" s="73"/>
    </row>
    <row r="601" spans="2:7" ht="32.25" customHeight="1" x14ac:dyDescent="0.35">
      <c r="B601" s="73"/>
      <c r="C601" s="73"/>
      <c r="D601" s="73"/>
      <c r="E601" s="73"/>
      <c r="F601" s="73"/>
      <c r="G601" s="73"/>
    </row>
    <row r="602" spans="2:7" ht="32.25" customHeight="1" x14ac:dyDescent="0.35">
      <c r="B602" s="73"/>
      <c r="C602" s="73"/>
      <c r="D602" s="73"/>
      <c r="E602" s="73"/>
      <c r="F602" s="73"/>
      <c r="G602" s="73"/>
    </row>
    <row r="603" spans="2:7" ht="32.25" customHeight="1" x14ac:dyDescent="0.35">
      <c r="B603" s="73"/>
      <c r="C603" s="73"/>
      <c r="D603" s="73"/>
      <c r="E603" s="73"/>
      <c r="F603" s="73"/>
      <c r="G603" s="73"/>
    </row>
    <row r="604" spans="2:7" ht="32.25" customHeight="1" x14ac:dyDescent="0.35">
      <c r="B604" s="73"/>
      <c r="C604" s="73"/>
      <c r="D604" s="73"/>
      <c r="E604" s="73"/>
      <c r="F604" s="73"/>
      <c r="G604" s="73"/>
    </row>
    <row r="605" spans="2:7" ht="32.25" customHeight="1" x14ac:dyDescent="0.35">
      <c r="B605" s="73"/>
      <c r="C605" s="73"/>
      <c r="D605" s="73"/>
      <c r="E605" s="73"/>
      <c r="F605" s="73"/>
      <c r="G605" s="73"/>
    </row>
    <row r="606" spans="2:7" ht="32.25" customHeight="1" x14ac:dyDescent="0.35">
      <c r="B606" s="73"/>
      <c r="C606" s="73"/>
      <c r="D606" s="73"/>
      <c r="E606" s="73"/>
      <c r="F606" s="73"/>
      <c r="G606" s="73"/>
    </row>
    <row r="607" spans="2:7" ht="32.25" customHeight="1" x14ac:dyDescent="0.35">
      <c r="B607" s="73"/>
      <c r="C607" s="73"/>
      <c r="D607" s="73"/>
      <c r="E607" s="73"/>
      <c r="F607" s="73"/>
      <c r="G607" s="73"/>
    </row>
    <row r="608" spans="2:7" ht="32.25" customHeight="1" x14ac:dyDescent="0.35">
      <c r="B608" s="73"/>
      <c r="C608" s="73"/>
      <c r="D608" s="73"/>
      <c r="E608" s="73"/>
      <c r="F608" s="73"/>
      <c r="G608" s="73"/>
    </row>
    <row r="609" spans="2:7" ht="32.25" customHeight="1" x14ac:dyDescent="0.35">
      <c r="B609" s="73"/>
      <c r="C609" s="73"/>
      <c r="D609" s="73"/>
      <c r="E609" s="73"/>
      <c r="F609" s="73"/>
      <c r="G609" s="73"/>
    </row>
    <row r="610" spans="2:7" ht="32.25" customHeight="1" x14ac:dyDescent="0.35">
      <c r="B610" s="73"/>
      <c r="C610" s="73"/>
      <c r="D610" s="73"/>
      <c r="E610" s="73"/>
      <c r="F610" s="73"/>
      <c r="G610" s="73"/>
    </row>
    <row r="611" spans="2:7" ht="32.25" customHeight="1" x14ac:dyDescent="0.35">
      <c r="B611" s="73"/>
      <c r="C611" s="73"/>
      <c r="D611" s="73"/>
      <c r="E611" s="73"/>
      <c r="F611" s="73"/>
      <c r="G611" s="73"/>
    </row>
    <row r="612" spans="2:7" ht="32.25" customHeight="1" x14ac:dyDescent="0.35">
      <c r="B612" s="73"/>
      <c r="C612" s="73"/>
      <c r="D612" s="73"/>
      <c r="E612" s="73"/>
      <c r="F612" s="73"/>
      <c r="G612" s="73"/>
    </row>
    <row r="613" spans="2:7" ht="32.25" customHeight="1" x14ac:dyDescent="0.35">
      <c r="B613" s="73"/>
      <c r="C613" s="73"/>
      <c r="D613" s="73"/>
      <c r="E613" s="73"/>
      <c r="F613" s="73"/>
      <c r="G613" s="73"/>
    </row>
    <row r="614" spans="2:7" ht="32.25" customHeight="1" x14ac:dyDescent="0.35">
      <c r="B614" s="73"/>
      <c r="C614" s="73"/>
      <c r="D614" s="73"/>
      <c r="E614" s="73"/>
      <c r="F614" s="73"/>
      <c r="G614" s="73"/>
    </row>
    <row r="615" spans="2:7" ht="32.25" customHeight="1" x14ac:dyDescent="0.35">
      <c r="B615" s="73"/>
      <c r="C615" s="73"/>
      <c r="D615" s="73"/>
      <c r="E615" s="73"/>
      <c r="F615" s="73"/>
      <c r="G615" s="73"/>
    </row>
    <row r="616" spans="2:7" ht="32.25" customHeight="1" x14ac:dyDescent="0.35">
      <c r="B616" s="73"/>
      <c r="C616" s="73"/>
      <c r="D616" s="73"/>
      <c r="E616" s="73"/>
      <c r="F616" s="73"/>
      <c r="G616" s="73"/>
    </row>
    <row r="617" spans="2:7" ht="32.25" customHeight="1" x14ac:dyDescent="0.35">
      <c r="B617" s="73"/>
      <c r="C617" s="73"/>
      <c r="D617" s="73"/>
      <c r="E617" s="73"/>
      <c r="F617" s="73"/>
      <c r="G617" s="73"/>
    </row>
    <row r="618" spans="2:7" ht="32.25" customHeight="1" x14ac:dyDescent="0.35">
      <c r="B618" s="73"/>
      <c r="C618" s="73"/>
      <c r="D618" s="73"/>
      <c r="E618" s="73"/>
      <c r="F618" s="73"/>
      <c r="G618" s="73"/>
    </row>
    <row r="619" spans="2:7" ht="32.25" customHeight="1" x14ac:dyDescent="0.35">
      <c r="B619" s="73"/>
      <c r="C619" s="73"/>
      <c r="D619" s="73"/>
      <c r="E619" s="73"/>
      <c r="F619" s="73"/>
      <c r="G619" s="73"/>
    </row>
    <row r="620" spans="2:7" ht="32.25" customHeight="1" x14ac:dyDescent="0.35">
      <c r="B620" s="73"/>
      <c r="C620" s="73"/>
      <c r="D620" s="73"/>
      <c r="E620" s="73"/>
      <c r="F620" s="73"/>
      <c r="G620" s="73"/>
    </row>
    <row r="621" spans="2:7" ht="32.25" customHeight="1" x14ac:dyDescent="0.35">
      <c r="B621" s="73"/>
      <c r="C621" s="73"/>
      <c r="D621" s="73"/>
      <c r="E621" s="73"/>
      <c r="F621" s="73"/>
      <c r="G621" s="73"/>
    </row>
    <row r="622" spans="2:7" ht="32.25" customHeight="1" x14ac:dyDescent="0.35">
      <c r="B622" s="73"/>
      <c r="C622" s="73"/>
      <c r="D622" s="73"/>
      <c r="E622" s="73"/>
      <c r="F622" s="73"/>
      <c r="G622" s="73"/>
    </row>
    <row r="623" spans="2:7" ht="32.25" customHeight="1" x14ac:dyDescent="0.35">
      <c r="B623" s="73"/>
      <c r="C623" s="73"/>
      <c r="D623" s="73"/>
      <c r="E623" s="73"/>
      <c r="F623" s="73"/>
      <c r="G623" s="73"/>
    </row>
    <row r="624" spans="2:7" ht="32.25" customHeight="1" x14ac:dyDescent="0.35">
      <c r="B624" s="73"/>
      <c r="C624" s="73"/>
      <c r="D624" s="73"/>
      <c r="E624" s="73"/>
      <c r="F624" s="73"/>
      <c r="G624" s="73"/>
    </row>
    <row r="625" spans="2:7" ht="32.25" customHeight="1" x14ac:dyDescent="0.35">
      <c r="B625" s="73"/>
      <c r="C625" s="73"/>
      <c r="D625" s="73"/>
      <c r="E625" s="73"/>
      <c r="F625" s="73"/>
      <c r="G625" s="73"/>
    </row>
    <row r="626" spans="2:7" ht="32.25" customHeight="1" x14ac:dyDescent="0.35">
      <c r="B626" s="73"/>
      <c r="C626" s="73"/>
      <c r="D626" s="73"/>
      <c r="E626" s="73"/>
      <c r="F626" s="73"/>
      <c r="G626" s="73"/>
    </row>
    <row r="627" spans="2:7" ht="32.25" customHeight="1" x14ac:dyDescent="0.35">
      <c r="B627" s="73"/>
      <c r="C627" s="73"/>
      <c r="D627" s="73"/>
      <c r="E627" s="73"/>
      <c r="F627" s="73"/>
      <c r="G627" s="73"/>
    </row>
    <row r="628" spans="2:7" ht="32.25" customHeight="1" x14ac:dyDescent="0.35">
      <c r="B628" s="73"/>
      <c r="C628" s="73"/>
      <c r="D628" s="73"/>
      <c r="E628" s="73"/>
      <c r="F628" s="73"/>
      <c r="G628" s="73"/>
    </row>
    <row r="629" spans="2:7" ht="32.25" customHeight="1" x14ac:dyDescent="0.35">
      <c r="B629" s="73"/>
      <c r="C629" s="73"/>
      <c r="D629" s="73"/>
      <c r="E629" s="73"/>
      <c r="F629" s="73"/>
      <c r="G629" s="73"/>
    </row>
    <row r="630" spans="2:7" ht="32.25" customHeight="1" x14ac:dyDescent="0.35">
      <c r="B630" s="73"/>
      <c r="C630" s="73"/>
      <c r="D630" s="73"/>
      <c r="E630" s="73"/>
      <c r="F630" s="73"/>
      <c r="G630" s="73"/>
    </row>
    <row r="631" spans="2:7" ht="32.25" customHeight="1" x14ac:dyDescent="0.35">
      <c r="B631" s="73"/>
      <c r="C631" s="73"/>
      <c r="D631" s="73"/>
      <c r="E631" s="73"/>
      <c r="F631" s="73"/>
      <c r="G631" s="73"/>
    </row>
    <row r="632" spans="2:7" ht="32.25" customHeight="1" x14ac:dyDescent="0.35">
      <c r="B632" s="73"/>
      <c r="C632" s="73"/>
      <c r="D632" s="73"/>
      <c r="E632" s="73"/>
      <c r="F632" s="73"/>
      <c r="G632" s="73"/>
    </row>
    <row r="633" spans="2:7" ht="32.25" customHeight="1" x14ac:dyDescent="0.35">
      <c r="B633" s="73"/>
      <c r="C633" s="73"/>
      <c r="D633" s="73"/>
      <c r="E633" s="73"/>
      <c r="F633" s="73"/>
      <c r="G633" s="73"/>
    </row>
    <row r="634" spans="2:7" ht="32.25" customHeight="1" x14ac:dyDescent="0.35">
      <c r="B634" s="73"/>
      <c r="C634" s="73"/>
      <c r="D634" s="73"/>
      <c r="E634" s="73"/>
      <c r="F634" s="73"/>
      <c r="G634" s="73"/>
    </row>
    <row r="635" spans="2:7" ht="32.25" customHeight="1" x14ac:dyDescent="0.35">
      <c r="B635" s="73"/>
      <c r="C635" s="73"/>
      <c r="D635" s="73"/>
      <c r="E635" s="73"/>
      <c r="F635" s="73"/>
      <c r="G635" s="73"/>
    </row>
    <row r="636" spans="2:7" ht="32.25" customHeight="1" x14ac:dyDescent="0.35">
      <c r="B636" s="73"/>
      <c r="C636" s="73"/>
      <c r="D636" s="73"/>
      <c r="E636" s="73"/>
      <c r="F636" s="73"/>
      <c r="G636" s="73"/>
    </row>
    <row r="637" spans="2:7" ht="32.25" customHeight="1" x14ac:dyDescent="0.35">
      <c r="B637" s="73"/>
      <c r="C637" s="73"/>
      <c r="D637" s="73"/>
      <c r="E637" s="73"/>
      <c r="F637" s="73"/>
      <c r="G637" s="73"/>
    </row>
    <row r="638" spans="2:7" ht="32.25" customHeight="1" x14ac:dyDescent="0.35">
      <c r="B638" s="73"/>
      <c r="C638" s="73"/>
      <c r="D638" s="73"/>
      <c r="E638" s="73"/>
      <c r="F638" s="73"/>
      <c r="G638" s="73"/>
    </row>
    <row r="639" spans="2:7" ht="32.25" customHeight="1" x14ac:dyDescent="0.35">
      <c r="B639" s="73"/>
      <c r="C639" s="73"/>
      <c r="D639" s="73"/>
      <c r="E639" s="73"/>
      <c r="F639" s="73"/>
      <c r="G639" s="73"/>
    </row>
    <row r="640" spans="2:7" ht="32.25" customHeight="1" x14ac:dyDescent="0.35">
      <c r="B640" s="73"/>
      <c r="C640" s="73"/>
      <c r="D640" s="73"/>
      <c r="E640" s="73"/>
      <c r="F640" s="73"/>
      <c r="G640" s="73"/>
    </row>
    <row r="641" spans="2:7" ht="32.25" customHeight="1" x14ac:dyDescent="0.35">
      <c r="B641" s="73"/>
      <c r="C641" s="73"/>
      <c r="D641" s="73"/>
      <c r="E641" s="73"/>
      <c r="F641" s="73"/>
      <c r="G641" s="73"/>
    </row>
    <row r="642" spans="2:7" ht="32.25" customHeight="1" x14ac:dyDescent="0.35">
      <c r="B642" s="73"/>
      <c r="C642" s="73"/>
      <c r="D642" s="73"/>
      <c r="E642" s="73"/>
      <c r="F642" s="73"/>
      <c r="G642" s="73"/>
    </row>
    <row r="643" spans="2:7" ht="32.25" customHeight="1" x14ac:dyDescent="0.35">
      <c r="B643" s="73"/>
      <c r="C643" s="73"/>
      <c r="D643" s="73"/>
      <c r="E643" s="73"/>
      <c r="F643" s="73"/>
      <c r="G643" s="73"/>
    </row>
    <row r="644" spans="2:7" ht="32.25" customHeight="1" x14ac:dyDescent="0.35">
      <c r="B644" s="73"/>
      <c r="C644" s="73"/>
      <c r="D644" s="73"/>
      <c r="E644" s="73"/>
      <c r="F644" s="73"/>
      <c r="G644" s="73"/>
    </row>
    <row r="645" spans="2:7" ht="32.25" customHeight="1" x14ac:dyDescent="0.35">
      <c r="B645" s="73"/>
      <c r="C645" s="73"/>
      <c r="D645" s="73"/>
      <c r="E645" s="73"/>
      <c r="F645" s="73"/>
      <c r="G645" s="73"/>
    </row>
    <row r="646" spans="2:7" ht="32.25" customHeight="1" x14ac:dyDescent="0.35">
      <c r="B646" s="73"/>
      <c r="C646" s="73"/>
      <c r="D646" s="73"/>
      <c r="E646" s="73"/>
      <c r="F646" s="73"/>
      <c r="G646" s="73"/>
    </row>
    <row r="647" spans="2:7" ht="32.25" customHeight="1" x14ac:dyDescent="0.35">
      <c r="B647" s="73"/>
      <c r="C647" s="73"/>
      <c r="D647" s="73"/>
      <c r="E647" s="73"/>
      <c r="F647" s="73"/>
      <c r="G647" s="73"/>
    </row>
    <row r="648" spans="2:7" ht="32.25" customHeight="1" x14ac:dyDescent="0.35">
      <c r="B648" s="73"/>
      <c r="C648" s="73"/>
      <c r="D648" s="73"/>
      <c r="E648" s="73"/>
      <c r="F648" s="73"/>
      <c r="G648" s="73"/>
    </row>
    <row r="649" spans="2:7" ht="32.25" customHeight="1" x14ac:dyDescent="0.35">
      <c r="B649" s="73"/>
      <c r="C649" s="73"/>
      <c r="D649" s="73"/>
      <c r="E649" s="73"/>
      <c r="F649" s="73"/>
      <c r="G649" s="73"/>
    </row>
    <row r="650" spans="2:7" ht="32.25" customHeight="1" x14ac:dyDescent="0.35">
      <c r="B650" s="73"/>
      <c r="C650" s="73"/>
      <c r="D650" s="73"/>
      <c r="E650" s="73"/>
      <c r="F650" s="73"/>
      <c r="G650" s="73"/>
    </row>
    <row r="651" spans="2:7" ht="32.25" customHeight="1" x14ac:dyDescent="0.35">
      <c r="B651" s="73"/>
      <c r="C651" s="73"/>
      <c r="D651" s="73"/>
      <c r="E651" s="73"/>
      <c r="F651" s="73"/>
      <c r="G651" s="73"/>
    </row>
    <row r="652" spans="2:7" ht="32.25" customHeight="1" x14ac:dyDescent="0.35">
      <c r="B652" s="73"/>
      <c r="C652" s="73"/>
      <c r="D652" s="73"/>
      <c r="E652" s="73"/>
      <c r="F652" s="73"/>
      <c r="G652" s="73"/>
    </row>
    <row r="653" spans="2:7" ht="32.25" customHeight="1" x14ac:dyDescent="0.35">
      <c r="B653" s="73"/>
      <c r="C653" s="73"/>
      <c r="D653" s="73"/>
      <c r="E653" s="73"/>
      <c r="F653" s="73"/>
      <c r="G653" s="73"/>
    </row>
    <row r="654" spans="2:7" ht="32.25" customHeight="1" x14ac:dyDescent="0.35">
      <c r="B654" s="73"/>
      <c r="C654" s="73"/>
      <c r="D654" s="73"/>
      <c r="E654" s="73"/>
      <c r="F654" s="73"/>
      <c r="G654" s="73"/>
    </row>
    <row r="655" spans="2:7" ht="32.25" customHeight="1" x14ac:dyDescent="0.35">
      <c r="B655" s="73"/>
      <c r="C655" s="73"/>
      <c r="D655" s="73"/>
      <c r="E655" s="73"/>
      <c r="F655" s="73"/>
      <c r="G655" s="73"/>
    </row>
    <row r="656" spans="2:7" ht="32.25" customHeight="1" x14ac:dyDescent="0.35">
      <c r="B656" s="73"/>
      <c r="C656" s="73"/>
      <c r="D656" s="73"/>
      <c r="E656" s="73"/>
      <c r="F656" s="73"/>
      <c r="G656" s="73"/>
    </row>
    <row r="657" spans="2:7" ht="32.25" customHeight="1" x14ac:dyDescent="0.35">
      <c r="B657" s="73"/>
      <c r="C657" s="73"/>
      <c r="D657" s="73"/>
      <c r="E657" s="73"/>
      <c r="F657" s="73"/>
      <c r="G657" s="73"/>
    </row>
    <row r="658" spans="2:7" ht="32.25" customHeight="1" x14ac:dyDescent="0.35">
      <c r="B658" s="73"/>
      <c r="C658" s="73"/>
      <c r="D658" s="73"/>
      <c r="E658" s="73"/>
      <c r="F658" s="73"/>
      <c r="G658" s="73"/>
    </row>
    <row r="659" spans="2:7" ht="32.25" customHeight="1" x14ac:dyDescent="0.35">
      <c r="B659" s="73"/>
      <c r="C659" s="73"/>
      <c r="D659" s="73"/>
      <c r="E659" s="73"/>
      <c r="F659" s="73"/>
      <c r="G659" s="73"/>
    </row>
    <row r="660" spans="2:7" ht="32.25" customHeight="1" x14ac:dyDescent="0.35">
      <c r="B660" s="73"/>
      <c r="C660" s="73"/>
      <c r="D660" s="73"/>
      <c r="E660" s="73"/>
      <c r="F660" s="73"/>
      <c r="G660" s="73"/>
    </row>
    <row r="661" spans="2:7" ht="32.25" customHeight="1" x14ac:dyDescent="0.35">
      <c r="B661" s="73"/>
      <c r="C661" s="73"/>
      <c r="D661" s="73"/>
      <c r="E661" s="73"/>
      <c r="F661" s="73"/>
      <c r="G661" s="73"/>
    </row>
    <row r="662" spans="2:7" ht="32.25" customHeight="1" x14ac:dyDescent="0.35">
      <c r="B662" s="73"/>
      <c r="C662" s="73"/>
      <c r="D662" s="73"/>
      <c r="E662" s="73"/>
      <c r="F662" s="73"/>
      <c r="G662" s="73"/>
    </row>
    <row r="663" spans="2:7" ht="32.25" customHeight="1" x14ac:dyDescent="0.35">
      <c r="B663" s="73"/>
      <c r="C663" s="73"/>
      <c r="D663" s="73"/>
      <c r="E663" s="73"/>
      <c r="F663" s="73"/>
      <c r="G663" s="73"/>
    </row>
    <row r="664" spans="2:7" ht="32.25" customHeight="1" x14ac:dyDescent="0.35">
      <c r="B664" s="73"/>
      <c r="C664" s="73"/>
      <c r="D664" s="73"/>
      <c r="E664" s="73"/>
      <c r="F664" s="73"/>
      <c r="G664" s="73"/>
    </row>
    <row r="665" spans="2:7" ht="32.25" customHeight="1" x14ac:dyDescent="0.35">
      <c r="B665" s="73"/>
      <c r="C665" s="73"/>
      <c r="D665" s="73"/>
      <c r="E665" s="73"/>
      <c r="F665" s="73"/>
      <c r="G665" s="73"/>
    </row>
    <row r="666" spans="2:7" ht="32.25" customHeight="1" x14ac:dyDescent="0.35">
      <c r="B666" s="73"/>
      <c r="C666" s="73"/>
      <c r="D666" s="73"/>
      <c r="E666" s="73"/>
      <c r="F666" s="73"/>
      <c r="G666" s="73"/>
    </row>
    <row r="667" spans="2:7" ht="32.25" customHeight="1" x14ac:dyDescent="0.35">
      <c r="B667" s="73"/>
      <c r="C667" s="73"/>
      <c r="D667" s="73"/>
      <c r="E667" s="73"/>
      <c r="F667" s="73"/>
      <c r="G667" s="73"/>
    </row>
    <row r="668" spans="2:7" ht="32.25" customHeight="1" x14ac:dyDescent="0.35">
      <c r="B668" s="73"/>
      <c r="C668" s="73"/>
      <c r="D668" s="73"/>
      <c r="E668" s="73"/>
      <c r="F668" s="73"/>
      <c r="G668" s="73"/>
    </row>
    <row r="669" spans="2:7" ht="32.25" customHeight="1" x14ac:dyDescent="0.35">
      <c r="B669" s="73"/>
      <c r="C669" s="73"/>
      <c r="D669" s="73"/>
      <c r="E669" s="73"/>
      <c r="F669" s="73"/>
      <c r="G669" s="73"/>
    </row>
    <row r="670" spans="2:7" ht="32.25" customHeight="1" x14ac:dyDescent="0.35">
      <c r="B670" s="73"/>
      <c r="C670" s="73"/>
      <c r="D670" s="73"/>
      <c r="E670" s="73"/>
      <c r="F670" s="73"/>
      <c r="G670" s="73"/>
    </row>
    <row r="671" spans="2:7" ht="32.25" customHeight="1" x14ac:dyDescent="0.35">
      <c r="B671" s="73"/>
      <c r="C671" s="73"/>
      <c r="D671" s="73"/>
      <c r="E671" s="73"/>
      <c r="F671" s="73"/>
      <c r="G671" s="73"/>
    </row>
    <row r="672" spans="2:7" ht="32.25" customHeight="1" x14ac:dyDescent="0.35">
      <c r="B672" s="73"/>
      <c r="C672" s="73"/>
      <c r="D672" s="73"/>
      <c r="E672" s="73"/>
      <c r="F672" s="73"/>
      <c r="G672" s="73"/>
    </row>
    <row r="673" spans="2:7" ht="32.25" customHeight="1" x14ac:dyDescent="0.35">
      <c r="B673" s="73"/>
      <c r="C673" s="73"/>
      <c r="D673" s="73"/>
      <c r="E673" s="73"/>
      <c r="F673" s="73"/>
      <c r="G673" s="73"/>
    </row>
    <row r="674" spans="2:7" ht="32.25" customHeight="1" x14ac:dyDescent="0.35">
      <c r="B674" s="73"/>
      <c r="C674" s="73"/>
      <c r="D674" s="73"/>
      <c r="E674" s="73"/>
      <c r="F674" s="73"/>
      <c r="G674" s="73"/>
    </row>
    <row r="675" spans="2:7" ht="32.25" customHeight="1" x14ac:dyDescent="0.35">
      <c r="B675" s="73"/>
      <c r="C675" s="73"/>
      <c r="D675" s="73"/>
      <c r="E675" s="73"/>
      <c r="F675" s="73"/>
      <c r="G675" s="73"/>
    </row>
    <row r="676" spans="2:7" ht="32.25" customHeight="1" x14ac:dyDescent="0.35">
      <c r="B676" s="73"/>
      <c r="C676" s="73"/>
      <c r="D676" s="73"/>
      <c r="E676" s="73"/>
      <c r="F676" s="73"/>
      <c r="G676" s="73"/>
    </row>
    <row r="677" spans="2:7" ht="32.25" customHeight="1" x14ac:dyDescent="0.35">
      <c r="B677" s="73"/>
      <c r="C677" s="73"/>
      <c r="D677" s="73"/>
      <c r="E677" s="73"/>
      <c r="F677" s="73"/>
      <c r="G677" s="73"/>
    </row>
    <row r="678" spans="2:7" ht="32.25" customHeight="1" x14ac:dyDescent="0.35">
      <c r="B678" s="73"/>
      <c r="C678" s="73"/>
      <c r="D678" s="73"/>
      <c r="E678" s="73"/>
      <c r="F678" s="73"/>
      <c r="G678" s="73"/>
    </row>
    <row r="679" spans="2:7" ht="32.25" customHeight="1" x14ac:dyDescent="0.35">
      <c r="B679" s="73"/>
      <c r="C679" s="73"/>
      <c r="D679" s="73"/>
      <c r="E679" s="73"/>
      <c r="F679" s="73"/>
      <c r="G679" s="73"/>
    </row>
    <row r="680" spans="2:7" ht="32.25" customHeight="1" x14ac:dyDescent="0.35">
      <c r="B680" s="73"/>
      <c r="C680" s="73"/>
      <c r="D680" s="73"/>
      <c r="E680" s="73"/>
      <c r="F680" s="73"/>
      <c r="G680" s="73"/>
    </row>
    <row r="681" spans="2:7" ht="32.25" customHeight="1" x14ac:dyDescent="0.35">
      <c r="B681" s="73"/>
      <c r="C681" s="73"/>
      <c r="D681" s="73"/>
      <c r="E681" s="73"/>
      <c r="F681" s="73"/>
      <c r="G681" s="73"/>
    </row>
    <row r="682" spans="2:7" ht="32.25" customHeight="1" x14ac:dyDescent="0.35">
      <c r="B682" s="73"/>
      <c r="C682" s="73"/>
      <c r="D682" s="73"/>
      <c r="E682" s="73"/>
      <c r="F682" s="73"/>
      <c r="G682" s="73"/>
    </row>
    <row r="683" spans="2:7" ht="32.25" customHeight="1" x14ac:dyDescent="0.35">
      <c r="B683" s="73"/>
      <c r="C683" s="73"/>
      <c r="D683" s="73"/>
      <c r="E683" s="73"/>
      <c r="F683" s="73"/>
      <c r="G683" s="73"/>
    </row>
    <row r="684" spans="2:7" ht="32.25" customHeight="1" x14ac:dyDescent="0.35">
      <c r="B684" s="73"/>
      <c r="C684" s="73"/>
      <c r="D684" s="73"/>
      <c r="E684" s="73"/>
      <c r="F684" s="73"/>
      <c r="G684" s="73"/>
    </row>
    <row r="685" spans="2:7" ht="32.25" customHeight="1" x14ac:dyDescent="0.35">
      <c r="B685" s="73"/>
      <c r="C685" s="73"/>
      <c r="D685" s="73"/>
      <c r="E685" s="73"/>
      <c r="F685" s="73"/>
      <c r="G685" s="73"/>
    </row>
    <row r="686" spans="2:7" ht="32.25" customHeight="1" x14ac:dyDescent="0.35">
      <c r="B686" s="73"/>
      <c r="C686" s="73"/>
      <c r="D686" s="73"/>
      <c r="E686" s="73"/>
      <c r="F686" s="73"/>
      <c r="G686" s="73"/>
    </row>
    <row r="687" spans="2:7" ht="32.25" customHeight="1" x14ac:dyDescent="0.35">
      <c r="B687" s="73"/>
      <c r="C687" s="73"/>
      <c r="D687" s="73"/>
      <c r="E687" s="73"/>
      <c r="F687" s="73"/>
      <c r="G687" s="73"/>
    </row>
    <row r="688" spans="2:7" ht="32.25" customHeight="1" x14ac:dyDescent="0.35">
      <c r="B688" s="73"/>
      <c r="C688" s="73"/>
      <c r="D688" s="73"/>
      <c r="E688" s="73"/>
      <c r="F688" s="73"/>
      <c r="G688" s="73"/>
    </row>
    <row r="689" spans="2:7" ht="32.25" customHeight="1" x14ac:dyDescent="0.35">
      <c r="B689" s="73"/>
      <c r="C689" s="73"/>
      <c r="D689" s="73"/>
      <c r="E689" s="73"/>
      <c r="F689" s="73"/>
      <c r="G689" s="73"/>
    </row>
    <row r="690" spans="2:7" ht="32.25" customHeight="1" x14ac:dyDescent="0.35">
      <c r="B690" s="73"/>
      <c r="C690" s="73"/>
      <c r="D690" s="73"/>
      <c r="E690" s="73"/>
      <c r="F690" s="73"/>
      <c r="G690" s="73"/>
    </row>
    <row r="691" spans="2:7" ht="32.25" customHeight="1" x14ac:dyDescent="0.35">
      <c r="B691" s="73"/>
      <c r="C691" s="73"/>
      <c r="D691" s="73"/>
      <c r="E691" s="73"/>
      <c r="F691" s="73"/>
      <c r="G691" s="73"/>
    </row>
    <row r="692" spans="2:7" ht="32.25" customHeight="1" x14ac:dyDescent="0.35">
      <c r="B692" s="73"/>
      <c r="C692" s="73"/>
      <c r="D692" s="73"/>
      <c r="E692" s="73"/>
      <c r="F692" s="73"/>
      <c r="G692" s="73"/>
    </row>
    <row r="693" spans="2:7" ht="32.25" customHeight="1" x14ac:dyDescent="0.35">
      <c r="B693" s="73"/>
      <c r="C693" s="73"/>
      <c r="D693" s="73"/>
      <c r="E693" s="73"/>
      <c r="F693" s="73"/>
      <c r="G693" s="73"/>
    </row>
    <row r="694" spans="2:7" ht="32.25" customHeight="1" x14ac:dyDescent="0.35">
      <c r="B694" s="73"/>
      <c r="C694" s="73"/>
      <c r="D694" s="73"/>
      <c r="E694" s="73"/>
      <c r="F694" s="73"/>
      <c r="G694" s="73"/>
    </row>
    <row r="695" spans="2:7" ht="32.25" customHeight="1" x14ac:dyDescent="0.35">
      <c r="B695" s="73"/>
      <c r="C695" s="73"/>
      <c r="D695" s="73"/>
      <c r="E695" s="73"/>
      <c r="F695" s="73"/>
      <c r="G695" s="73"/>
    </row>
    <row r="696" spans="2:7" ht="32.25" customHeight="1" x14ac:dyDescent="0.35">
      <c r="B696" s="73"/>
      <c r="C696" s="73"/>
      <c r="D696" s="73"/>
      <c r="E696" s="73"/>
      <c r="F696" s="73"/>
      <c r="G696" s="73"/>
    </row>
    <row r="697" spans="2:7" ht="32.25" customHeight="1" x14ac:dyDescent="0.35">
      <c r="B697" s="73"/>
      <c r="C697" s="73"/>
      <c r="D697" s="73"/>
      <c r="E697" s="73"/>
      <c r="F697" s="73"/>
      <c r="G697" s="73"/>
    </row>
    <row r="698" spans="2:7" ht="32.25" customHeight="1" x14ac:dyDescent="0.35">
      <c r="B698" s="73"/>
      <c r="C698" s="73"/>
      <c r="D698" s="73"/>
      <c r="E698" s="73"/>
      <c r="F698" s="73"/>
      <c r="G698" s="73"/>
    </row>
    <row r="699" spans="2:7" ht="32.25" customHeight="1" x14ac:dyDescent="0.35">
      <c r="B699" s="73"/>
      <c r="C699" s="73"/>
      <c r="D699" s="73"/>
      <c r="E699" s="73"/>
      <c r="F699" s="73"/>
      <c r="G699" s="73"/>
    </row>
    <row r="700" spans="2:7" ht="32.25" customHeight="1" x14ac:dyDescent="0.35">
      <c r="B700" s="73"/>
      <c r="C700" s="73"/>
      <c r="D700" s="73"/>
      <c r="E700" s="73"/>
      <c r="F700" s="73"/>
      <c r="G700" s="73"/>
    </row>
    <row r="701" spans="2:7" ht="32.25" customHeight="1" x14ac:dyDescent="0.35">
      <c r="B701" s="73"/>
      <c r="C701" s="73"/>
      <c r="D701" s="73"/>
      <c r="E701" s="73"/>
      <c r="F701" s="73"/>
      <c r="G701" s="73"/>
    </row>
    <row r="702" spans="2:7" ht="32.25" customHeight="1" x14ac:dyDescent="0.35">
      <c r="B702" s="73"/>
      <c r="C702" s="73"/>
      <c r="D702" s="73"/>
      <c r="E702" s="73"/>
      <c r="F702" s="73"/>
      <c r="G702" s="73"/>
    </row>
    <row r="703" spans="2:7" ht="32.25" customHeight="1" x14ac:dyDescent="0.35">
      <c r="B703" s="73"/>
      <c r="C703" s="73"/>
      <c r="D703" s="73"/>
      <c r="E703" s="73"/>
      <c r="F703" s="73"/>
      <c r="G703" s="73"/>
    </row>
    <row r="704" spans="2:7" ht="32.25" customHeight="1" x14ac:dyDescent="0.35">
      <c r="B704" s="73"/>
      <c r="C704" s="73"/>
      <c r="D704" s="73"/>
      <c r="E704" s="73"/>
      <c r="F704" s="73"/>
      <c r="G704" s="73"/>
    </row>
    <row r="705" spans="2:7" ht="32.25" customHeight="1" x14ac:dyDescent="0.35">
      <c r="B705" s="73"/>
      <c r="C705" s="73"/>
      <c r="D705" s="73"/>
      <c r="E705" s="73"/>
      <c r="F705" s="73"/>
      <c r="G705" s="73"/>
    </row>
    <row r="706" spans="2:7" ht="32.25" customHeight="1" x14ac:dyDescent="0.35">
      <c r="B706" s="73"/>
      <c r="C706" s="73"/>
      <c r="D706" s="73"/>
      <c r="E706" s="73"/>
      <c r="F706" s="73"/>
      <c r="G706" s="73"/>
    </row>
    <row r="707" spans="2:7" ht="32.25" customHeight="1" x14ac:dyDescent="0.35">
      <c r="B707" s="73"/>
      <c r="C707" s="73"/>
      <c r="D707" s="73"/>
      <c r="E707" s="73"/>
      <c r="F707" s="73"/>
      <c r="G707" s="73"/>
    </row>
    <row r="708" spans="2:7" ht="32.25" customHeight="1" x14ac:dyDescent="0.35">
      <c r="B708" s="73"/>
      <c r="C708" s="73"/>
      <c r="D708" s="73"/>
      <c r="E708" s="73"/>
      <c r="F708" s="73"/>
      <c r="G708" s="73"/>
    </row>
    <row r="709" spans="2:7" ht="32.25" customHeight="1" x14ac:dyDescent="0.35">
      <c r="B709" s="73"/>
      <c r="C709" s="73"/>
      <c r="D709" s="73"/>
      <c r="E709" s="73"/>
      <c r="F709" s="73"/>
      <c r="G709" s="73"/>
    </row>
    <row r="710" spans="2:7" ht="32.25" customHeight="1" x14ac:dyDescent="0.35">
      <c r="B710" s="73"/>
      <c r="C710" s="73"/>
      <c r="D710" s="73"/>
      <c r="E710" s="73"/>
      <c r="F710" s="73"/>
      <c r="G710" s="73"/>
    </row>
    <row r="711" spans="2:7" ht="32.25" customHeight="1" x14ac:dyDescent="0.35">
      <c r="B711" s="73"/>
      <c r="C711" s="73"/>
      <c r="D711" s="73"/>
      <c r="E711" s="73"/>
      <c r="F711" s="73"/>
      <c r="G711" s="73"/>
    </row>
    <row r="712" spans="2:7" ht="32.25" customHeight="1" x14ac:dyDescent="0.35">
      <c r="B712" s="73"/>
      <c r="C712" s="73"/>
      <c r="D712" s="73"/>
      <c r="E712" s="73"/>
      <c r="F712" s="73"/>
      <c r="G712" s="73"/>
    </row>
    <row r="713" spans="2:7" ht="32.25" customHeight="1" x14ac:dyDescent="0.35">
      <c r="B713" s="73"/>
      <c r="C713" s="73"/>
      <c r="D713" s="73"/>
      <c r="E713" s="73"/>
      <c r="F713" s="73"/>
      <c r="G713" s="73"/>
    </row>
    <row r="714" spans="2:7" ht="32.25" customHeight="1" x14ac:dyDescent="0.35">
      <c r="B714" s="73"/>
      <c r="C714" s="73"/>
      <c r="D714" s="73"/>
      <c r="E714" s="73"/>
      <c r="F714" s="73"/>
      <c r="G714" s="73"/>
    </row>
    <row r="715" spans="2:7" ht="32.25" customHeight="1" x14ac:dyDescent="0.35">
      <c r="B715" s="73"/>
      <c r="C715" s="73"/>
      <c r="D715" s="73"/>
      <c r="E715" s="73"/>
      <c r="F715" s="73"/>
      <c r="G715" s="73"/>
    </row>
    <row r="716" spans="2:7" ht="32.25" customHeight="1" x14ac:dyDescent="0.35">
      <c r="B716" s="73"/>
      <c r="C716" s="73"/>
      <c r="D716" s="73"/>
      <c r="E716" s="73"/>
      <c r="F716" s="73"/>
      <c r="G716" s="73"/>
    </row>
    <row r="717" spans="2:7" ht="32.25" customHeight="1" x14ac:dyDescent="0.35">
      <c r="B717" s="73"/>
      <c r="C717" s="73"/>
      <c r="D717" s="73"/>
      <c r="E717" s="73"/>
      <c r="F717" s="73"/>
      <c r="G717" s="73"/>
    </row>
    <row r="718" spans="2:7" ht="32.25" customHeight="1" x14ac:dyDescent="0.35">
      <c r="B718" s="73"/>
      <c r="C718" s="73"/>
      <c r="D718" s="73"/>
      <c r="E718" s="73"/>
      <c r="F718" s="73"/>
      <c r="G718" s="73"/>
    </row>
    <row r="719" spans="2:7" ht="32.25" customHeight="1" x14ac:dyDescent="0.35">
      <c r="B719" s="73"/>
      <c r="C719" s="73"/>
      <c r="D719" s="73"/>
      <c r="E719" s="73"/>
      <c r="F719" s="73"/>
      <c r="G719" s="73"/>
    </row>
    <row r="720" spans="2:7" ht="32.25" customHeight="1" x14ac:dyDescent="0.35">
      <c r="B720" s="73"/>
      <c r="C720" s="73"/>
      <c r="D720" s="73"/>
      <c r="E720" s="73"/>
      <c r="F720" s="73"/>
      <c r="G720" s="73"/>
    </row>
    <row r="721" spans="2:7" ht="32.25" customHeight="1" x14ac:dyDescent="0.35">
      <c r="B721" s="73"/>
      <c r="C721" s="73"/>
      <c r="D721" s="73"/>
      <c r="E721" s="73"/>
      <c r="F721" s="73"/>
      <c r="G721" s="73"/>
    </row>
    <row r="722" spans="2:7" ht="32.25" customHeight="1" x14ac:dyDescent="0.35">
      <c r="B722" s="73"/>
      <c r="C722" s="73"/>
      <c r="D722" s="73"/>
      <c r="E722" s="73"/>
      <c r="F722" s="73"/>
      <c r="G722" s="73"/>
    </row>
    <row r="723" spans="2:7" ht="32.25" customHeight="1" x14ac:dyDescent="0.35">
      <c r="B723" s="73"/>
      <c r="C723" s="73"/>
      <c r="D723" s="73"/>
      <c r="E723" s="73"/>
      <c r="F723" s="73"/>
      <c r="G723" s="73"/>
    </row>
    <row r="724" spans="2:7" ht="32.25" customHeight="1" x14ac:dyDescent="0.35">
      <c r="B724" s="73"/>
      <c r="C724" s="73"/>
      <c r="D724" s="73"/>
      <c r="E724" s="73"/>
      <c r="F724" s="73"/>
      <c r="G724" s="73"/>
    </row>
    <row r="725" spans="2:7" ht="32.25" customHeight="1" x14ac:dyDescent="0.35">
      <c r="B725" s="73"/>
      <c r="C725" s="73"/>
      <c r="D725" s="73"/>
      <c r="E725" s="73"/>
      <c r="F725" s="73"/>
      <c r="G725" s="73"/>
    </row>
    <row r="726" spans="2:7" ht="32.25" customHeight="1" x14ac:dyDescent="0.35">
      <c r="B726" s="73"/>
      <c r="C726" s="73"/>
      <c r="D726" s="73"/>
      <c r="E726" s="73"/>
      <c r="F726" s="73"/>
      <c r="G726" s="73"/>
    </row>
    <row r="727" spans="2:7" ht="32.25" customHeight="1" x14ac:dyDescent="0.35">
      <c r="B727" s="73"/>
      <c r="C727" s="73"/>
      <c r="D727" s="73"/>
      <c r="E727" s="73"/>
      <c r="F727" s="73"/>
      <c r="G727" s="73"/>
    </row>
    <row r="728" spans="2:7" ht="32.25" customHeight="1" x14ac:dyDescent="0.35">
      <c r="B728" s="73"/>
      <c r="C728" s="73"/>
      <c r="D728" s="73"/>
      <c r="E728" s="73"/>
      <c r="F728" s="73"/>
      <c r="G728" s="73"/>
    </row>
    <row r="729" spans="2:7" ht="32.25" customHeight="1" x14ac:dyDescent="0.35">
      <c r="B729" s="73"/>
      <c r="C729" s="73"/>
      <c r="D729" s="73"/>
      <c r="E729" s="73"/>
      <c r="F729" s="73"/>
      <c r="G729" s="73"/>
    </row>
    <row r="730" spans="2:7" ht="32.25" customHeight="1" x14ac:dyDescent="0.35">
      <c r="B730" s="73"/>
      <c r="C730" s="73"/>
      <c r="D730" s="73"/>
      <c r="E730" s="73"/>
      <c r="F730" s="73"/>
      <c r="G730" s="73"/>
    </row>
    <row r="731" spans="2:7" ht="32.25" customHeight="1" x14ac:dyDescent="0.35">
      <c r="B731" s="73"/>
      <c r="C731" s="73"/>
      <c r="D731" s="73"/>
      <c r="E731" s="73"/>
      <c r="F731" s="73"/>
      <c r="G731" s="73"/>
    </row>
    <row r="732" spans="2:7" ht="32.25" customHeight="1" x14ac:dyDescent="0.35">
      <c r="B732" s="73"/>
      <c r="C732" s="73"/>
      <c r="D732" s="73"/>
      <c r="E732" s="73"/>
      <c r="F732" s="73"/>
      <c r="G732" s="73"/>
    </row>
    <row r="733" spans="2:7" ht="32.25" customHeight="1" x14ac:dyDescent="0.35">
      <c r="B733" s="73"/>
      <c r="C733" s="73"/>
      <c r="D733" s="73"/>
      <c r="E733" s="73"/>
      <c r="F733" s="73"/>
      <c r="G733" s="73"/>
    </row>
    <row r="734" spans="2:7" ht="32.25" customHeight="1" x14ac:dyDescent="0.35">
      <c r="B734" s="73"/>
      <c r="C734" s="73"/>
      <c r="D734" s="73"/>
      <c r="E734" s="73"/>
      <c r="F734" s="73"/>
      <c r="G734" s="73"/>
    </row>
    <row r="735" spans="2:7" ht="32.25" customHeight="1" x14ac:dyDescent="0.35">
      <c r="B735" s="73"/>
      <c r="C735" s="73"/>
      <c r="D735" s="73"/>
      <c r="E735" s="73"/>
      <c r="F735" s="73"/>
      <c r="G735" s="73"/>
    </row>
    <row r="736" spans="2:7" ht="32.25" customHeight="1" x14ac:dyDescent="0.35">
      <c r="B736" s="73"/>
      <c r="C736" s="73"/>
      <c r="D736" s="73"/>
      <c r="E736" s="73"/>
      <c r="F736" s="73"/>
      <c r="G736" s="73"/>
    </row>
    <row r="737" spans="2:7" ht="32.25" customHeight="1" x14ac:dyDescent="0.35">
      <c r="B737" s="73"/>
      <c r="C737" s="73"/>
      <c r="D737" s="73"/>
      <c r="E737" s="73"/>
      <c r="F737" s="73"/>
      <c r="G737" s="73"/>
    </row>
    <row r="738" spans="2:7" ht="32.25" customHeight="1" x14ac:dyDescent="0.35">
      <c r="B738" s="73"/>
      <c r="C738" s="73"/>
      <c r="D738" s="73"/>
      <c r="E738" s="73"/>
      <c r="F738" s="73"/>
      <c r="G738" s="73"/>
    </row>
    <row r="739" spans="2:7" ht="32.25" customHeight="1" x14ac:dyDescent="0.35">
      <c r="B739" s="73"/>
      <c r="C739" s="73"/>
      <c r="D739" s="73"/>
      <c r="E739" s="73"/>
      <c r="F739" s="73"/>
      <c r="G739" s="73"/>
    </row>
    <row r="740" spans="2:7" ht="32.25" customHeight="1" x14ac:dyDescent="0.35">
      <c r="B740" s="73"/>
      <c r="C740" s="73"/>
      <c r="D740" s="73"/>
      <c r="E740" s="73"/>
      <c r="F740" s="73"/>
      <c r="G740" s="73"/>
    </row>
    <row r="741" spans="2:7" ht="32.25" customHeight="1" x14ac:dyDescent="0.35">
      <c r="B741" s="73"/>
      <c r="C741" s="73"/>
      <c r="D741" s="73"/>
      <c r="E741" s="73"/>
      <c r="F741" s="73"/>
      <c r="G741" s="73"/>
    </row>
    <row r="742" spans="2:7" ht="32.25" customHeight="1" x14ac:dyDescent="0.35">
      <c r="B742" s="73"/>
      <c r="C742" s="73"/>
      <c r="D742" s="73"/>
      <c r="E742" s="73"/>
      <c r="F742" s="73"/>
      <c r="G742" s="73"/>
    </row>
    <row r="743" spans="2:7" ht="32.25" customHeight="1" x14ac:dyDescent="0.35">
      <c r="B743" s="73"/>
      <c r="C743" s="73"/>
      <c r="D743" s="73"/>
      <c r="E743" s="73"/>
      <c r="F743" s="73"/>
      <c r="G743" s="73"/>
    </row>
    <row r="744" spans="2:7" ht="32.25" customHeight="1" x14ac:dyDescent="0.35">
      <c r="B744" s="73"/>
      <c r="C744" s="73"/>
      <c r="D744" s="73"/>
      <c r="E744" s="73"/>
      <c r="F744" s="73"/>
      <c r="G744" s="73"/>
    </row>
    <row r="745" spans="2:7" ht="32.25" customHeight="1" x14ac:dyDescent="0.35">
      <c r="B745" s="73"/>
      <c r="C745" s="73"/>
      <c r="D745" s="73"/>
      <c r="E745" s="73"/>
      <c r="F745" s="73"/>
      <c r="G745" s="73"/>
    </row>
    <row r="746" spans="2:7" ht="32.25" customHeight="1" x14ac:dyDescent="0.35">
      <c r="B746" s="73"/>
      <c r="C746" s="73"/>
      <c r="D746" s="73"/>
      <c r="E746" s="73"/>
      <c r="F746" s="73"/>
      <c r="G746" s="73"/>
    </row>
    <row r="747" spans="2:7" ht="32.25" customHeight="1" x14ac:dyDescent="0.35">
      <c r="B747" s="73"/>
      <c r="C747" s="73"/>
      <c r="D747" s="73"/>
      <c r="E747" s="73"/>
      <c r="F747" s="73"/>
      <c r="G747" s="73"/>
    </row>
    <row r="748" spans="2:7" ht="32.25" customHeight="1" x14ac:dyDescent="0.35">
      <c r="B748" s="73"/>
      <c r="C748" s="73"/>
      <c r="D748" s="73"/>
      <c r="E748" s="73"/>
      <c r="F748" s="73"/>
      <c r="G748" s="73"/>
    </row>
    <row r="749" spans="2:7" ht="32.25" customHeight="1" x14ac:dyDescent="0.35">
      <c r="B749" s="73"/>
      <c r="C749" s="73"/>
      <c r="D749" s="73"/>
      <c r="E749" s="73"/>
      <c r="F749" s="73"/>
      <c r="G749" s="73"/>
    </row>
    <row r="750" spans="2:7" ht="32.25" customHeight="1" x14ac:dyDescent="0.35">
      <c r="B750" s="73"/>
      <c r="C750" s="73"/>
      <c r="D750" s="73"/>
      <c r="E750" s="73"/>
      <c r="F750" s="73"/>
      <c r="G750" s="73"/>
    </row>
    <row r="751" spans="2:7" ht="32.25" customHeight="1" x14ac:dyDescent="0.35">
      <c r="B751" s="73"/>
      <c r="C751" s="73"/>
      <c r="D751" s="73"/>
      <c r="E751" s="73"/>
      <c r="F751" s="73"/>
      <c r="G751" s="73"/>
    </row>
    <row r="752" spans="2:7" ht="32.25" customHeight="1" x14ac:dyDescent="0.35">
      <c r="B752" s="73"/>
      <c r="C752" s="73"/>
      <c r="D752" s="73"/>
      <c r="E752" s="73"/>
      <c r="F752" s="73"/>
      <c r="G752" s="73"/>
    </row>
    <row r="753" spans="2:7" ht="32.25" customHeight="1" x14ac:dyDescent="0.35">
      <c r="B753" s="73"/>
      <c r="C753" s="73"/>
      <c r="D753" s="73"/>
      <c r="E753" s="73"/>
      <c r="F753" s="73"/>
      <c r="G753" s="73"/>
    </row>
    <row r="754" spans="2:7" ht="32.25" customHeight="1" x14ac:dyDescent="0.35">
      <c r="B754" s="73"/>
      <c r="C754" s="73"/>
      <c r="D754" s="73"/>
      <c r="E754" s="73"/>
      <c r="F754" s="73"/>
      <c r="G754" s="73"/>
    </row>
    <row r="755" spans="2:7" ht="32.25" customHeight="1" x14ac:dyDescent="0.35">
      <c r="B755" s="73"/>
      <c r="C755" s="73"/>
      <c r="D755" s="73"/>
      <c r="E755" s="73"/>
      <c r="F755" s="73"/>
      <c r="G755" s="73"/>
    </row>
    <row r="756" spans="2:7" ht="32.25" customHeight="1" x14ac:dyDescent="0.35">
      <c r="B756" s="73"/>
      <c r="C756" s="73"/>
      <c r="D756" s="73"/>
      <c r="E756" s="73"/>
      <c r="F756" s="73"/>
      <c r="G756" s="73"/>
    </row>
    <row r="757" spans="2:7" ht="32.25" customHeight="1" x14ac:dyDescent="0.35">
      <c r="B757" s="73"/>
      <c r="C757" s="73"/>
      <c r="D757" s="73"/>
      <c r="E757" s="73"/>
      <c r="F757" s="73"/>
      <c r="G757" s="73"/>
    </row>
    <row r="758" spans="2:7" ht="32.25" customHeight="1" x14ac:dyDescent="0.35">
      <c r="B758" s="73"/>
      <c r="C758" s="73"/>
      <c r="D758" s="73"/>
      <c r="E758" s="73"/>
      <c r="F758" s="73"/>
      <c r="G758" s="73"/>
    </row>
    <row r="759" spans="2:7" ht="32.25" customHeight="1" x14ac:dyDescent="0.35">
      <c r="B759" s="73"/>
      <c r="C759" s="73"/>
      <c r="D759" s="73"/>
      <c r="E759" s="73"/>
      <c r="F759" s="73"/>
      <c r="G759" s="73"/>
    </row>
    <row r="760" spans="2:7" ht="32.25" customHeight="1" x14ac:dyDescent="0.35">
      <c r="B760" s="73"/>
      <c r="C760" s="73"/>
      <c r="D760" s="73"/>
      <c r="E760" s="73"/>
      <c r="F760" s="73"/>
      <c r="G760" s="73"/>
    </row>
    <row r="761" spans="2:7" ht="32.25" customHeight="1" x14ac:dyDescent="0.35">
      <c r="B761" s="73"/>
      <c r="C761" s="73"/>
      <c r="D761" s="73"/>
      <c r="E761" s="73"/>
      <c r="F761" s="73"/>
      <c r="G761" s="73"/>
    </row>
    <row r="762" spans="2:7" ht="32.25" customHeight="1" x14ac:dyDescent="0.35">
      <c r="B762" s="73"/>
      <c r="C762" s="73"/>
      <c r="D762" s="73"/>
      <c r="E762" s="73"/>
      <c r="F762" s="73"/>
      <c r="G762" s="73"/>
    </row>
    <row r="763" spans="2:7" ht="32.25" customHeight="1" x14ac:dyDescent="0.35">
      <c r="B763" s="73"/>
      <c r="C763" s="73"/>
      <c r="D763" s="73"/>
      <c r="E763" s="73"/>
      <c r="F763" s="73"/>
      <c r="G763" s="73"/>
    </row>
    <row r="764" spans="2:7" ht="32.25" customHeight="1" x14ac:dyDescent="0.35">
      <c r="B764" s="73"/>
      <c r="C764" s="73"/>
      <c r="D764" s="73"/>
      <c r="E764" s="73"/>
      <c r="F764" s="73"/>
      <c r="G764" s="73"/>
    </row>
    <row r="765" spans="2:7" ht="32.25" customHeight="1" x14ac:dyDescent="0.35">
      <c r="B765" s="73"/>
      <c r="C765" s="73"/>
      <c r="D765" s="73"/>
      <c r="E765" s="73"/>
      <c r="F765" s="73"/>
      <c r="G765" s="73"/>
    </row>
    <row r="766" spans="2:7" ht="32.25" customHeight="1" x14ac:dyDescent="0.35">
      <c r="B766" s="73"/>
      <c r="C766" s="73"/>
      <c r="D766" s="73"/>
      <c r="E766" s="73"/>
      <c r="F766" s="73"/>
      <c r="G766" s="73"/>
    </row>
    <row r="767" spans="2:7" ht="32.25" customHeight="1" x14ac:dyDescent="0.35">
      <c r="B767" s="73"/>
      <c r="C767" s="73"/>
      <c r="D767" s="73"/>
      <c r="E767" s="73"/>
      <c r="F767" s="73"/>
      <c r="G767" s="73"/>
    </row>
    <row r="768" spans="2:7" ht="32.25" customHeight="1" x14ac:dyDescent="0.35">
      <c r="B768" s="73"/>
      <c r="C768" s="73"/>
      <c r="D768" s="73"/>
      <c r="E768" s="73"/>
      <c r="F768" s="73"/>
      <c r="G768" s="73"/>
    </row>
    <row r="769" spans="2:7" ht="32.25" customHeight="1" x14ac:dyDescent="0.35">
      <c r="B769" s="73"/>
      <c r="C769" s="73"/>
      <c r="D769" s="73"/>
      <c r="E769" s="73"/>
      <c r="F769" s="73"/>
      <c r="G769" s="73"/>
    </row>
    <row r="770" spans="2:7" ht="32.25" customHeight="1" x14ac:dyDescent="0.35">
      <c r="B770" s="73"/>
      <c r="C770" s="73"/>
      <c r="D770" s="73"/>
      <c r="E770" s="73"/>
      <c r="F770" s="73"/>
      <c r="G770" s="73"/>
    </row>
    <row r="771" spans="2:7" ht="32.25" customHeight="1" x14ac:dyDescent="0.35">
      <c r="B771" s="73"/>
      <c r="C771" s="73"/>
      <c r="D771" s="73"/>
      <c r="E771" s="73"/>
      <c r="F771" s="73"/>
      <c r="G771" s="73"/>
    </row>
    <row r="772" spans="2:7" ht="32.25" customHeight="1" x14ac:dyDescent="0.35">
      <c r="B772" s="73"/>
      <c r="C772" s="73"/>
      <c r="D772" s="73"/>
      <c r="E772" s="73"/>
      <c r="F772" s="73"/>
      <c r="G772" s="73"/>
    </row>
    <row r="773" spans="2:7" ht="32.25" customHeight="1" x14ac:dyDescent="0.35">
      <c r="B773" s="73"/>
      <c r="C773" s="73"/>
      <c r="D773" s="73"/>
      <c r="E773" s="73"/>
      <c r="F773" s="73"/>
      <c r="G773" s="73"/>
    </row>
    <row r="774" spans="2:7" ht="32.25" customHeight="1" x14ac:dyDescent="0.35">
      <c r="B774" s="73"/>
      <c r="C774" s="73"/>
      <c r="D774" s="73"/>
      <c r="E774" s="73"/>
      <c r="F774" s="73"/>
      <c r="G774" s="73"/>
    </row>
    <row r="775" spans="2:7" ht="32.25" customHeight="1" x14ac:dyDescent="0.35">
      <c r="B775" s="73"/>
      <c r="C775" s="73"/>
      <c r="D775" s="73"/>
      <c r="E775" s="73"/>
      <c r="F775" s="73"/>
      <c r="G775" s="73"/>
    </row>
    <row r="776" spans="2:7" ht="32.25" customHeight="1" x14ac:dyDescent="0.35">
      <c r="B776" s="73"/>
      <c r="C776" s="73"/>
      <c r="D776" s="73"/>
      <c r="E776" s="73"/>
      <c r="F776" s="73"/>
      <c r="G776" s="73"/>
    </row>
    <row r="777" spans="2:7" ht="32.25" customHeight="1" x14ac:dyDescent="0.35">
      <c r="B777" s="73"/>
      <c r="C777" s="73"/>
      <c r="D777" s="73"/>
      <c r="E777" s="73"/>
      <c r="F777" s="73"/>
      <c r="G777" s="73"/>
    </row>
    <row r="778" spans="2:7" ht="32.25" customHeight="1" x14ac:dyDescent="0.35">
      <c r="B778" s="73"/>
      <c r="C778" s="73"/>
      <c r="D778" s="73"/>
      <c r="E778" s="73"/>
      <c r="F778" s="73"/>
      <c r="G778" s="73"/>
    </row>
    <row r="779" spans="2:7" ht="32.25" customHeight="1" x14ac:dyDescent="0.35">
      <c r="B779" s="73"/>
      <c r="C779" s="73"/>
      <c r="D779" s="73"/>
      <c r="E779" s="73"/>
      <c r="F779" s="73"/>
      <c r="G779" s="73"/>
    </row>
    <row r="780" spans="2:7" ht="32.25" customHeight="1" x14ac:dyDescent="0.35">
      <c r="B780" s="73"/>
      <c r="C780" s="73"/>
      <c r="D780" s="73"/>
      <c r="E780" s="73"/>
      <c r="F780" s="73"/>
      <c r="G780" s="73"/>
    </row>
    <row r="781" spans="2:7" ht="32.25" customHeight="1" x14ac:dyDescent="0.35">
      <c r="B781" s="73"/>
      <c r="C781" s="73"/>
      <c r="D781" s="73"/>
      <c r="E781" s="73"/>
      <c r="F781" s="73"/>
      <c r="G781" s="73"/>
    </row>
    <row r="782" spans="2:7" ht="32.25" customHeight="1" x14ac:dyDescent="0.35">
      <c r="B782" s="73"/>
      <c r="C782" s="73"/>
      <c r="D782" s="73"/>
      <c r="E782" s="73"/>
      <c r="F782" s="73"/>
      <c r="G782" s="73"/>
    </row>
    <row r="783" spans="2:7" ht="32.25" customHeight="1" x14ac:dyDescent="0.35">
      <c r="B783" s="73"/>
      <c r="C783" s="73"/>
      <c r="D783" s="73"/>
      <c r="E783" s="73"/>
      <c r="F783" s="73"/>
      <c r="G783" s="73"/>
    </row>
    <row r="784" spans="2:7" ht="32.25" customHeight="1" x14ac:dyDescent="0.35">
      <c r="B784" s="73"/>
      <c r="C784" s="73"/>
      <c r="D784" s="73"/>
      <c r="E784" s="73"/>
      <c r="F784" s="73"/>
      <c r="G784" s="73"/>
    </row>
    <row r="785" spans="2:7" ht="32.25" customHeight="1" x14ac:dyDescent="0.35">
      <c r="B785" s="73"/>
      <c r="C785" s="73"/>
      <c r="D785" s="73"/>
      <c r="E785" s="73"/>
      <c r="F785" s="73"/>
      <c r="G785" s="73"/>
    </row>
    <row r="786" spans="2:7" ht="32.25" customHeight="1" x14ac:dyDescent="0.35">
      <c r="B786" s="73"/>
      <c r="C786" s="73"/>
      <c r="D786" s="73"/>
      <c r="E786" s="73"/>
      <c r="F786" s="73"/>
      <c r="G786" s="73"/>
    </row>
    <row r="787" spans="2:7" ht="32.25" customHeight="1" x14ac:dyDescent="0.35">
      <c r="B787" s="73"/>
      <c r="C787" s="73"/>
      <c r="D787" s="73"/>
      <c r="E787" s="73"/>
      <c r="F787" s="73"/>
      <c r="G787" s="73"/>
    </row>
    <row r="788" spans="2:7" ht="32.25" customHeight="1" x14ac:dyDescent="0.35">
      <c r="B788" s="73"/>
      <c r="C788" s="73"/>
      <c r="D788" s="73"/>
      <c r="E788" s="73"/>
      <c r="F788" s="73"/>
      <c r="G788" s="73"/>
    </row>
    <row r="789" spans="2:7" ht="32.25" customHeight="1" x14ac:dyDescent="0.35">
      <c r="B789" s="73"/>
      <c r="C789" s="73"/>
      <c r="D789" s="73"/>
      <c r="E789" s="73"/>
      <c r="F789" s="73"/>
      <c r="G789" s="73"/>
    </row>
    <row r="790" spans="2:7" ht="32.25" customHeight="1" x14ac:dyDescent="0.35">
      <c r="B790" s="73"/>
      <c r="C790" s="73"/>
      <c r="D790" s="73"/>
      <c r="E790" s="73"/>
      <c r="F790" s="73"/>
      <c r="G790" s="73"/>
    </row>
    <row r="791" spans="2:7" ht="32.25" customHeight="1" x14ac:dyDescent="0.35">
      <c r="B791" s="73"/>
      <c r="C791" s="73"/>
      <c r="D791" s="73"/>
      <c r="E791" s="73"/>
      <c r="F791" s="73"/>
      <c r="G791" s="73"/>
    </row>
    <row r="792" spans="2:7" ht="32.25" customHeight="1" x14ac:dyDescent="0.35">
      <c r="B792" s="73"/>
      <c r="C792" s="73"/>
      <c r="D792" s="73"/>
      <c r="E792" s="73"/>
      <c r="F792" s="73"/>
      <c r="G792" s="73"/>
    </row>
    <row r="793" spans="2:7" ht="32.25" customHeight="1" x14ac:dyDescent="0.35">
      <c r="B793" s="73"/>
      <c r="C793" s="73"/>
      <c r="D793" s="73"/>
      <c r="E793" s="73"/>
      <c r="F793" s="73"/>
      <c r="G793" s="73"/>
    </row>
    <row r="794" spans="2:7" ht="32.25" customHeight="1" x14ac:dyDescent="0.35">
      <c r="B794" s="73"/>
      <c r="C794" s="73"/>
      <c r="D794" s="73"/>
      <c r="E794" s="73"/>
      <c r="F794" s="73"/>
      <c r="G794" s="73"/>
    </row>
    <row r="795" spans="2:7" ht="32.25" customHeight="1" x14ac:dyDescent="0.35">
      <c r="B795" s="73"/>
      <c r="C795" s="73"/>
      <c r="D795" s="73"/>
      <c r="E795" s="73"/>
      <c r="F795" s="73"/>
      <c r="G795" s="73"/>
    </row>
    <row r="796" spans="2:7" ht="32.25" customHeight="1" x14ac:dyDescent="0.35">
      <c r="B796" s="73"/>
      <c r="C796" s="73"/>
      <c r="D796" s="73"/>
      <c r="E796" s="73"/>
      <c r="F796" s="73"/>
      <c r="G796" s="73"/>
    </row>
    <row r="797" spans="2:7" ht="32.25" customHeight="1" x14ac:dyDescent="0.35">
      <c r="B797" s="73"/>
      <c r="C797" s="73"/>
      <c r="D797" s="73"/>
      <c r="E797" s="73"/>
      <c r="F797" s="73"/>
      <c r="G797" s="73"/>
    </row>
    <row r="798" spans="2:7" ht="32.25" customHeight="1" x14ac:dyDescent="0.35">
      <c r="B798" s="73"/>
      <c r="C798" s="73"/>
      <c r="D798" s="73"/>
      <c r="E798" s="73"/>
      <c r="F798" s="73"/>
      <c r="G798" s="73"/>
    </row>
    <row r="799" spans="2:7" ht="32.25" customHeight="1" x14ac:dyDescent="0.35">
      <c r="B799" s="73"/>
      <c r="C799" s="73"/>
      <c r="D799" s="73"/>
      <c r="E799" s="73"/>
      <c r="F799" s="73"/>
      <c r="G799" s="73"/>
    </row>
    <row r="800" spans="2:7" ht="32.25" customHeight="1" x14ac:dyDescent="0.35">
      <c r="B800" s="73"/>
      <c r="C800" s="73"/>
      <c r="D800" s="73"/>
      <c r="E800" s="73"/>
      <c r="F800" s="73"/>
      <c r="G800" s="73"/>
    </row>
    <row r="801" spans="2:7" ht="32.25" customHeight="1" x14ac:dyDescent="0.35">
      <c r="B801" s="73"/>
      <c r="C801" s="73"/>
      <c r="D801" s="73"/>
      <c r="E801" s="73"/>
      <c r="F801" s="73"/>
      <c r="G801" s="73"/>
    </row>
    <row r="802" spans="2:7" ht="32.25" customHeight="1" x14ac:dyDescent="0.35">
      <c r="B802" s="73"/>
      <c r="C802" s="73"/>
      <c r="D802" s="73"/>
      <c r="E802" s="73"/>
      <c r="F802" s="73"/>
      <c r="G802" s="73"/>
    </row>
    <row r="803" spans="2:7" ht="32.25" customHeight="1" x14ac:dyDescent="0.35">
      <c r="B803" s="73"/>
      <c r="C803" s="73"/>
      <c r="D803" s="73"/>
      <c r="E803" s="73"/>
      <c r="F803" s="73"/>
      <c r="G803" s="73"/>
    </row>
    <row r="804" spans="2:7" ht="32.25" customHeight="1" x14ac:dyDescent="0.35">
      <c r="B804" s="73"/>
      <c r="C804" s="73"/>
      <c r="D804" s="73"/>
      <c r="E804" s="73"/>
      <c r="F804" s="73"/>
      <c r="G804" s="73"/>
    </row>
    <row r="805" spans="2:7" ht="32.25" customHeight="1" x14ac:dyDescent="0.35">
      <c r="B805" s="73"/>
      <c r="C805" s="73"/>
      <c r="D805" s="73"/>
      <c r="E805" s="73"/>
      <c r="F805" s="73"/>
      <c r="G805" s="73"/>
    </row>
    <row r="806" spans="2:7" ht="32.25" customHeight="1" x14ac:dyDescent="0.35">
      <c r="B806" s="73"/>
      <c r="C806" s="73"/>
      <c r="D806" s="73"/>
      <c r="E806" s="73"/>
      <c r="F806" s="73"/>
      <c r="G806" s="73"/>
    </row>
    <row r="807" spans="2:7" ht="32.25" customHeight="1" x14ac:dyDescent="0.35">
      <c r="B807" s="73"/>
      <c r="C807" s="73"/>
      <c r="D807" s="73"/>
      <c r="E807" s="73"/>
      <c r="F807" s="73"/>
      <c r="G807" s="73"/>
    </row>
    <row r="808" spans="2:7" ht="32.25" customHeight="1" x14ac:dyDescent="0.35">
      <c r="B808" s="73"/>
      <c r="C808" s="73"/>
      <c r="D808" s="73"/>
      <c r="E808" s="73"/>
      <c r="F808" s="73"/>
      <c r="G808" s="73"/>
    </row>
    <row r="809" spans="2:7" ht="32.25" customHeight="1" x14ac:dyDescent="0.35">
      <c r="B809" s="73"/>
      <c r="C809" s="73"/>
      <c r="D809" s="73"/>
      <c r="E809" s="73"/>
      <c r="F809" s="73"/>
      <c r="G809" s="73"/>
    </row>
    <row r="810" spans="2:7" ht="32.25" customHeight="1" x14ac:dyDescent="0.35">
      <c r="B810" s="73"/>
      <c r="C810" s="73"/>
      <c r="D810" s="73"/>
      <c r="E810" s="73"/>
      <c r="F810" s="73"/>
      <c r="G810" s="73"/>
    </row>
    <row r="811" spans="2:7" ht="32.25" customHeight="1" x14ac:dyDescent="0.35">
      <c r="B811" s="73"/>
      <c r="C811" s="73"/>
      <c r="D811" s="73"/>
      <c r="E811" s="73"/>
      <c r="F811" s="73"/>
      <c r="G811" s="73"/>
    </row>
    <row r="812" spans="2:7" ht="32.25" customHeight="1" x14ac:dyDescent="0.35">
      <c r="B812" s="73"/>
      <c r="C812" s="73"/>
      <c r="D812" s="73"/>
      <c r="E812" s="73"/>
      <c r="F812" s="73"/>
      <c r="G812" s="73"/>
    </row>
    <row r="813" spans="2:7" ht="32.25" customHeight="1" x14ac:dyDescent="0.35">
      <c r="B813" s="73"/>
      <c r="C813" s="73"/>
      <c r="D813" s="73"/>
      <c r="E813" s="73"/>
      <c r="F813" s="73"/>
      <c r="G813" s="73"/>
    </row>
    <row r="814" spans="2:7" ht="32.25" customHeight="1" x14ac:dyDescent="0.35">
      <c r="B814" s="73"/>
      <c r="C814" s="73"/>
      <c r="D814" s="73"/>
      <c r="E814" s="73"/>
      <c r="F814" s="73"/>
      <c r="G814" s="73"/>
    </row>
    <row r="815" spans="2:7" ht="32.25" customHeight="1" x14ac:dyDescent="0.35">
      <c r="B815" s="73"/>
      <c r="C815" s="73"/>
      <c r="D815" s="73"/>
      <c r="E815" s="73"/>
      <c r="F815" s="73"/>
      <c r="G815" s="73"/>
    </row>
    <row r="816" spans="2:7" ht="32.25" customHeight="1" x14ac:dyDescent="0.35">
      <c r="B816" s="73"/>
      <c r="C816" s="73"/>
      <c r="D816" s="73"/>
      <c r="E816" s="73"/>
      <c r="F816" s="73"/>
      <c r="G816" s="73"/>
    </row>
    <row r="817" spans="2:7" ht="32.25" customHeight="1" x14ac:dyDescent="0.35">
      <c r="B817" s="73"/>
      <c r="C817" s="73"/>
      <c r="D817" s="73"/>
      <c r="E817" s="73"/>
      <c r="F817" s="73"/>
      <c r="G817" s="73"/>
    </row>
    <row r="818" spans="2:7" ht="32.25" customHeight="1" x14ac:dyDescent="0.35">
      <c r="B818" s="73"/>
      <c r="C818" s="73"/>
      <c r="D818" s="73"/>
      <c r="E818" s="73"/>
      <c r="F818" s="73"/>
      <c r="G818" s="73"/>
    </row>
    <row r="819" spans="2:7" ht="32.25" customHeight="1" x14ac:dyDescent="0.35">
      <c r="B819" s="73"/>
      <c r="C819" s="73"/>
      <c r="D819" s="73"/>
      <c r="E819" s="73"/>
      <c r="F819" s="73"/>
      <c r="G819" s="73"/>
    </row>
    <row r="820" spans="2:7" ht="32.25" customHeight="1" x14ac:dyDescent="0.35">
      <c r="B820" s="73"/>
      <c r="C820" s="73"/>
      <c r="D820" s="73"/>
      <c r="E820" s="73"/>
      <c r="F820" s="73"/>
      <c r="G820" s="73"/>
    </row>
    <row r="821" spans="2:7" ht="32.25" customHeight="1" x14ac:dyDescent="0.35">
      <c r="B821" s="73"/>
      <c r="C821" s="73"/>
      <c r="D821" s="73"/>
      <c r="E821" s="73"/>
      <c r="F821" s="73"/>
      <c r="G821" s="73"/>
    </row>
    <row r="822" spans="2:7" ht="32.25" customHeight="1" x14ac:dyDescent="0.35">
      <c r="B822" s="73"/>
      <c r="C822" s="73"/>
      <c r="D822" s="73"/>
      <c r="E822" s="73"/>
      <c r="F822" s="73"/>
      <c r="G822" s="73"/>
    </row>
    <row r="823" spans="2:7" ht="32.25" customHeight="1" x14ac:dyDescent="0.35">
      <c r="B823" s="73"/>
      <c r="C823" s="73"/>
      <c r="D823" s="73"/>
      <c r="E823" s="73"/>
      <c r="F823" s="73"/>
      <c r="G823" s="73"/>
    </row>
    <row r="824" spans="2:7" ht="32.25" customHeight="1" x14ac:dyDescent="0.35">
      <c r="B824" s="73"/>
      <c r="C824" s="73"/>
      <c r="D824" s="73"/>
      <c r="E824" s="73"/>
      <c r="F824" s="73"/>
      <c r="G824" s="73"/>
    </row>
    <row r="825" spans="2:7" ht="32.25" customHeight="1" x14ac:dyDescent="0.35">
      <c r="B825" s="73"/>
      <c r="C825" s="73"/>
      <c r="D825" s="73"/>
      <c r="E825" s="73"/>
      <c r="F825" s="73"/>
      <c r="G825" s="73"/>
    </row>
    <row r="826" spans="2:7" ht="32.25" customHeight="1" x14ac:dyDescent="0.35">
      <c r="B826" s="73"/>
      <c r="C826" s="73"/>
      <c r="D826" s="73"/>
      <c r="E826" s="73"/>
      <c r="F826" s="73"/>
      <c r="G826" s="73"/>
    </row>
    <row r="827" spans="2:7" ht="32.25" customHeight="1" x14ac:dyDescent="0.35">
      <c r="B827" s="73"/>
      <c r="C827" s="73"/>
      <c r="D827" s="73"/>
      <c r="E827" s="73"/>
      <c r="F827" s="73"/>
      <c r="G827" s="73"/>
    </row>
    <row r="828" spans="2:7" ht="32.25" customHeight="1" x14ac:dyDescent="0.35">
      <c r="B828" s="73"/>
      <c r="C828" s="73"/>
      <c r="D828" s="73"/>
      <c r="E828" s="73"/>
      <c r="F828" s="73"/>
      <c r="G828" s="73"/>
    </row>
    <row r="829" spans="2:7" ht="32.25" customHeight="1" x14ac:dyDescent="0.35">
      <c r="B829" s="73"/>
      <c r="C829" s="73"/>
      <c r="D829" s="73"/>
      <c r="E829" s="73"/>
      <c r="F829" s="73"/>
      <c r="G829" s="73"/>
    </row>
    <row r="830" spans="2:7" ht="32.25" customHeight="1" x14ac:dyDescent="0.35">
      <c r="B830" s="73"/>
      <c r="C830" s="73"/>
      <c r="D830" s="73"/>
      <c r="E830" s="73"/>
      <c r="F830" s="73"/>
      <c r="G830" s="73"/>
    </row>
    <row r="831" spans="2:7" ht="32.25" customHeight="1" x14ac:dyDescent="0.35">
      <c r="B831" s="73"/>
      <c r="C831" s="73"/>
      <c r="D831" s="73"/>
      <c r="E831" s="73"/>
      <c r="F831" s="73"/>
      <c r="G831" s="73"/>
    </row>
    <row r="832" spans="2:7" ht="32.25" customHeight="1" x14ac:dyDescent="0.35">
      <c r="B832" s="73"/>
      <c r="C832" s="73"/>
      <c r="D832" s="73"/>
      <c r="E832" s="73"/>
      <c r="F832" s="73"/>
      <c r="G832" s="73"/>
    </row>
    <row r="833" spans="2:7" ht="32.25" customHeight="1" x14ac:dyDescent="0.35">
      <c r="B833" s="73"/>
      <c r="C833" s="73"/>
      <c r="D833" s="73"/>
      <c r="E833" s="73"/>
      <c r="F833" s="73"/>
      <c r="G833" s="73"/>
    </row>
    <row r="834" spans="2:7" ht="32.25" customHeight="1" x14ac:dyDescent="0.35">
      <c r="B834" s="73"/>
      <c r="C834" s="73"/>
      <c r="D834" s="73"/>
      <c r="E834" s="73"/>
      <c r="F834" s="73"/>
      <c r="G834" s="73"/>
    </row>
    <row r="835" spans="2:7" ht="32.25" customHeight="1" x14ac:dyDescent="0.35">
      <c r="B835" s="73"/>
      <c r="C835" s="73"/>
      <c r="D835" s="73"/>
      <c r="E835" s="73"/>
      <c r="F835" s="73"/>
      <c r="G835" s="73"/>
    </row>
    <row r="836" spans="2:7" ht="32.25" customHeight="1" x14ac:dyDescent="0.35">
      <c r="B836" s="73"/>
      <c r="C836" s="73"/>
      <c r="D836" s="73"/>
      <c r="E836" s="73"/>
      <c r="F836" s="73"/>
      <c r="G836" s="73"/>
    </row>
    <row r="837" spans="2:7" ht="32.25" customHeight="1" x14ac:dyDescent="0.35">
      <c r="B837" s="73"/>
      <c r="C837" s="73"/>
      <c r="D837" s="73"/>
      <c r="E837" s="73"/>
      <c r="F837" s="73"/>
      <c r="G837" s="73"/>
    </row>
    <row r="838" spans="2:7" ht="32.25" customHeight="1" x14ac:dyDescent="0.35">
      <c r="B838" s="73"/>
      <c r="C838" s="73"/>
      <c r="D838" s="73"/>
      <c r="E838" s="73"/>
      <c r="F838" s="73"/>
      <c r="G838" s="73"/>
    </row>
    <row r="839" spans="2:7" ht="32.25" customHeight="1" x14ac:dyDescent="0.35">
      <c r="B839" s="73"/>
      <c r="C839" s="73"/>
      <c r="D839" s="73"/>
      <c r="E839" s="73"/>
      <c r="F839" s="73"/>
      <c r="G839" s="73"/>
    </row>
    <row r="840" spans="2:7" ht="32.25" customHeight="1" x14ac:dyDescent="0.35">
      <c r="B840" s="73"/>
      <c r="C840" s="73"/>
      <c r="D840" s="73"/>
      <c r="E840" s="73"/>
      <c r="F840" s="73"/>
      <c r="G840" s="73"/>
    </row>
    <row r="841" spans="2:7" ht="32.25" customHeight="1" x14ac:dyDescent="0.35">
      <c r="B841" s="73"/>
      <c r="C841" s="73"/>
      <c r="D841" s="73"/>
      <c r="E841" s="73"/>
      <c r="F841" s="73"/>
      <c r="G841" s="73"/>
    </row>
    <row r="842" spans="2:7" ht="32.25" customHeight="1" x14ac:dyDescent="0.35">
      <c r="B842" s="73"/>
      <c r="C842" s="73"/>
      <c r="D842" s="73"/>
      <c r="E842" s="73"/>
      <c r="F842" s="73"/>
      <c r="G842" s="73"/>
    </row>
    <row r="843" spans="2:7" ht="32.25" customHeight="1" x14ac:dyDescent="0.35">
      <c r="B843" s="73"/>
      <c r="C843" s="73"/>
      <c r="D843" s="73"/>
      <c r="E843" s="73"/>
      <c r="F843" s="73"/>
      <c r="G843" s="73"/>
    </row>
    <row r="844" spans="2:7" ht="32.25" customHeight="1" x14ac:dyDescent="0.35">
      <c r="B844" s="73"/>
      <c r="C844" s="73"/>
      <c r="D844" s="73"/>
      <c r="E844" s="73"/>
      <c r="F844" s="73"/>
      <c r="G844" s="73"/>
    </row>
    <row r="845" spans="2:7" ht="32.25" customHeight="1" x14ac:dyDescent="0.35">
      <c r="B845" s="73"/>
      <c r="C845" s="73"/>
      <c r="D845" s="73"/>
      <c r="E845" s="73"/>
      <c r="F845" s="73"/>
      <c r="G845" s="73"/>
    </row>
    <row r="846" spans="2:7" ht="32.25" customHeight="1" x14ac:dyDescent="0.35">
      <c r="B846" s="73"/>
      <c r="C846" s="73"/>
      <c r="D846" s="73"/>
      <c r="E846" s="73"/>
      <c r="F846" s="73"/>
      <c r="G846" s="73"/>
    </row>
    <row r="847" spans="2:7" ht="32.25" customHeight="1" x14ac:dyDescent="0.35">
      <c r="B847" s="73"/>
      <c r="C847" s="73"/>
      <c r="D847" s="73"/>
      <c r="E847" s="73"/>
      <c r="F847" s="73"/>
      <c r="G847" s="73"/>
    </row>
    <row r="848" spans="2:7" ht="32.25" customHeight="1" x14ac:dyDescent="0.35">
      <c r="B848" s="73"/>
      <c r="C848" s="73"/>
      <c r="D848" s="73"/>
      <c r="E848" s="73"/>
      <c r="F848" s="73"/>
      <c r="G848" s="73"/>
    </row>
    <row r="849" spans="2:7" ht="32.25" customHeight="1" x14ac:dyDescent="0.35">
      <c r="B849" s="73"/>
      <c r="C849" s="73"/>
      <c r="D849" s="73"/>
      <c r="E849" s="73"/>
      <c r="F849" s="73"/>
      <c r="G849" s="73"/>
    </row>
    <row r="850" spans="2:7" ht="32.25" customHeight="1" x14ac:dyDescent="0.35">
      <c r="B850" s="73"/>
      <c r="C850" s="73"/>
      <c r="D850" s="73"/>
      <c r="E850" s="73"/>
      <c r="F850" s="73"/>
      <c r="G850" s="73"/>
    </row>
    <row r="851" spans="2:7" ht="32.25" customHeight="1" x14ac:dyDescent="0.35">
      <c r="B851" s="73"/>
      <c r="C851" s="73"/>
      <c r="D851" s="73"/>
      <c r="E851" s="73"/>
      <c r="F851" s="73"/>
      <c r="G851" s="73"/>
    </row>
    <row r="852" spans="2:7" ht="32.25" customHeight="1" x14ac:dyDescent="0.35">
      <c r="B852" s="73"/>
      <c r="C852" s="73"/>
      <c r="D852" s="73"/>
      <c r="E852" s="73"/>
      <c r="F852" s="73"/>
      <c r="G852" s="73"/>
    </row>
    <row r="853" spans="2:7" ht="32.25" customHeight="1" x14ac:dyDescent="0.35">
      <c r="B853" s="73"/>
      <c r="C853" s="73"/>
      <c r="D853" s="73"/>
      <c r="E853" s="73"/>
      <c r="F853" s="73"/>
      <c r="G853" s="73"/>
    </row>
    <row r="854" spans="2:7" ht="32.25" customHeight="1" x14ac:dyDescent="0.35">
      <c r="B854" s="73"/>
      <c r="C854" s="73"/>
      <c r="D854" s="73"/>
      <c r="E854" s="73"/>
      <c r="F854" s="73"/>
      <c r="G854" s="73"/>
    </row>
    <row r="855" spans="2:7" ht="32.25" customHeight="1" x14ac:dyDescent="0.35">
      <c r="B855" s="73"/>
      <c r="C855" s="73"/>
      <c r="D855" s="73"/>
      <c r="E855" s="73"/>
      <c r="F855" s="73"/>
      <c r="G855" s="73"/>
    </row>
    <row r="856" spans="2:7" ht="32.25" customHeight="1" x14ac:dyDescent="0.35">
      <c r="B856" s="73"/>
      <c r="C856" s="73"/>
      <c r="D856" s="73"/>
      <c r="E856" s="73"/>
      <c r="F856" s="73"/>
      <c r="G856" s="73"/>
    </row>
    <row r="857" spans="2:7" ht="32.25" customHeight="1" x14ac:dyDescent="0.35">
      <c r="B857" s="73"/>
      <c r="C857" s="73"/>
      <c r="D857" s="73"/>
      <c r="E857" s="73"/>
      <c r="F857" s="73"/>
      <c r="G857" s="73"/>
    </row>
    <row r="858" spans="2:7" ht="32.25" customHeight="1" x14ac:dyDescent="0.35">
      <c r="B858" s="73"/>
      <c r="C858" s="73"/>
      <c r="D858" s="73"/>
      <c r="E858" s="73"/>
      <c r="F858" s="73"/>
      <c r="G858" s="73"/>
    </row>
    <row r="859" spans="2:7" ht="32.25" customHeight="1" x14ac:dyDescent="0.35">
      <c r="B859" s="73"/>
      <c r="C859" s="73"/>
      <c r="D859" s="73"/>
      <c r="E859" s="73"/>
      <c r="F859" s="73"/>
      <c r="G859" s="73"/>
    </row>
    <row r="860" spans="2:7" ht="32.25" customHeight="1" x14ac:dyDescent="0.35">
      <c r="B860" s="73"/>
      <c r="C860" s="73"/>
      <c r="D860" s="73"/>
      <c r="E860" s="73"/>
      <c r="F860" s="73"/>
      <c r="G860" s="73"/>
    </row>
    <row r="861" spans="2:7" ht="32.25" customHeight="1" x14ac:dyDescent="0.35">
      <c r="B861" s="73"/>
      <c r="C861" s="73"/>
      <c r="D861" s="73"/>
      <c r="E861" s="73"/>
      <c r="F861" s="73"/>
      <c r="G861" s="73"/>
    </row>
    <row r="862" spans="2:7" ht="32.25" customHeight="1" x14ac:dyDescent="0.35">
      <c r="B862" s="73"/>
      <c r="C862" s="73"/>
      <c r="D862" s="73"/>
      <c r="E862" s="73"/>
      <c r="F862" s="73"/>
      <c r="G862" s="73"/>
    </row>
    <row r="863" spans="2:7" ht="32.25" customHeight="1" x14ac:dyDescent="0.35">
      <c r="B863" s="73"/>
      <c r="C863" s="73"/>
      <c r="D863" s="73"/>
      <c r="E863" s="73"/>
      <c r="F863" s="73"/>
      <c r="G863" s="73"/>
    </row>
    <row r="864" spans="2:7" ht="32.25" customHeight="1" x14ac:dyDescent="0.35">
      <c r="B864" s="73"/>
      <c r="C864" s="73"/>
      <c r="D864" s="73"/>
      <c r="E864" s="73"/>
      <c r="F864" s="73"/>
      <c r="G864" s="73"/>
    </row>
    <row r="865" spans="2:7" ht="32.25" customHeight="1" x14ac:dyDescent="0.35">
      <c r="B865" s="73"/>
      <c r="C865" s="73"/>
      <c r="D865" s="73"/>
      <c r="E865" s="73"/>
      <c r="F865" s="73"/>
      <c r="G865" s="73"/>
    </row>
    <row r="866" spans="2:7" ht="32.25" customHeight="1" x14ac:dyDescent="0.35">
      <c r="B866" s="73"/>
      <c r="C866" s="73"/>
      <c r="D866" s="73"/>
      <c r="E866" s="73"/>
      <c r="F866" s="73"/>
      <c r="G866" s="73"/>
    </row>
    <row r="867" spans="2:7" ht="32.25" customHeight="1" x14ac:dyDescent="0.35">
      <c r="B867" s="73"/>
      <c r="C867" s="73"/>
      <c r="D867" s="73"/>
      <c r="E867" s="73"/>
      <c r="F867" s="73"/>
      <c r="G867" s="73"/>
    </row>
    <row r="868" spans="2:7" ht="32.25" customHeight="1" x14ac:dyDescent="0.35">
      <c r="B868" s="73"/>
      <c r="C868" s="73"/>
      <c r="D868" s="73"/>
      <c r="E868" s="73"/>
      <c r="F868" s="73"/>
      <c r="G868" s="73"/>
    </row>
    <row r="869" spans="2:7" ht="32.25" customHeight="1" x14ac:dyDescent="0.35">
      <c r="B869" s="73"/>
      <c r="C869" s="73"/>
      <c r="D869" s="73"/>
      <c r="E869" s="73"/>
      <c r="F869" s="73"/>
      <c r="G869" s="73"/>
    </row>
    <row r="870" spans="2:7" ht="32.25" customHeight="1" x14ac:dyDescent="0.35">
      <c r="B870" s="73"/>
      <c r="C870" s="73"/>
      <c r="D870" s="73"/>
      <c r="E870" s="73"/>
      <c r="F870" s="73"/>
      <c r="G870" s="73"/>
    </row>
    <row r="871" spans="2:7" ht="32.25" customHeight="1" x14ac:dyDescent="0.35">
      <c r="B871" s="73"/>
      <c r="C871" s="73"/>
      <c r="D871" s="73"/>
      <c r="E871" s="73"/>
      <c r="F871" s="73"/>
      <c r="G871" s="73"/>
    </row>
    <row r="872" spans="2:7" ht="32.25" customHeight="1" x14ac:dyDescent="0.35">
      <c r="B872" s="73"/>
      <c r="C872" s="73"/>
      <c r="D872" s="73"/>
      <c r="E872" s="73"/>
      <c r="F872" s="73"/>
      <c r="G872" s="73"/>
    </row>
    <row r="873" spans="2:7" ht="32.25" customHeight="1" x14ac:dyDescent="0.35">
      <c r="B873" s="73"/>
      <c r="C873" s="73"/>
      <c r="D873" s="73"/>
      <c r="E873" s="73"/>
      <c r="F873" s="73"/>
      <c r="G873" s="73"/>
    </row>
    <row r="874" spans="2:7" ht="32.25" customHeight="1" x14ac:dyDescent="0.35">
      <c r="B874" s="73"/>
      <c r="C874" s="73"/>
      <c r="D874" s="73"/>
      <c r="E874" s="73"/>
      <c r="F874" s="73"/>
      <c r="G874" s="73"/>
    </row>
    <row r="875" spans="2:7" ht="32.25" customHeight="1" x14ac:dyDescent="0.35">
      <c r="B875" s="73"/>
      <c r="C875" s="73"/>
      <c r="D875" s="73"/>
      <c r="E875" s="73"/>
      <c r="F875" s="73"/>
      <c r="G875" s="73"/>
    </row>
    <row r="876" spans="2:7" ht="32.25" customHeight="1" x14ac:dyDescent="0.35">
      <c r="B876" s="73"/>
      <c r="C876" s="73"/>
      <c r="D876" s="73"/>
      <c r="E876" s="73"/>
      <c r="F876" s="73"/>
      <c r="G876" s="73"/>
    </row>
    <row r="877" spans="2:7" ht="32.25" customHeight="1" x14ac:dyDescent="0.35">
      <c r="B877" s="73"/>
      <c r="C877" s="73"/>
      <c r="D877" s="73"/>
      <c r="E877" s="73"/>
      <c r="F877" s="73"/>
      <c r="G877" s="73"/>
    </row>
    <row r="878" spans="2:7" ht="32.25" customHeight="1" x14ac:dyDescent="0.35">
      <c r="B878" s="73"/>
      <c r="C878" s="73"/>
      <c r="D878" s="73"/>
      <c r="E878" s="73"/>
      <c r="F878" s="73"/>
      <c r="G878" s="73"/>
    </row>
    <row r="879" spans="2:7" ht="32.25" customHeight="1" x14ac:dyDescent="0.35">
      <c r="B879" s="73"/>
      <c r="C879" s="73"/>
      <c r="D879" s="73"/>
      <c r="E879" s="73"/>
      <c r="F879" s="73"/>
      <c r="G879" s="73"/>
    </row>
    <row r="880" spans="2:7" ht="32.25" customHeight="1" x14ac:dyDescent="0.35">
      <c r="B880" s="73"/>
      <c r="C880" s="73"/>
      <c r="D880" s="73"/>
      <c r="E880" s="73"/>
      <c r="F880" s="73"/>
      <c r="G880" s="73"/>
    </row>
    <row r="881" spans="2:7" ht="32.25" customHeight="1" x14ac:dyDescent="0.35">
      <c r="B881" s="73"/>
      <c r="C881" s="73"/>
      <c r="D881" s="73"/>
      <c r="E881" s="73"/>
      <c r="F881" s="73"/>
      <c r="G881" s="73"/>
    </row>
    <row r="882" spans="2:7" ht="32.25" customHeight="1" x14ac:dyDescent="0.35">
      <c r="B882" s="73"/>
      <c r="C882" s="73"/>
      <c r="D882" s="73"/>
      <c r="E882" s="73"/>
      <c r="F882" s="73"/>
      <c r="G882" s="73"/>
    </row>
    <row r="883" spans="2:7" ht="32.25" customHeight="1" x14ac:dyDescent="0.35">
      <c r="B883" s="73"/>
      <c r="C883" s="73"/>
      <c r="D883" s="73"/>
      <c r="E883" s="73"/>
      <c r="F883" s="73"/>
      <c r="G883" s="73"/>
    </row>
    <row r="884" spans="2:7" ht="32.25" customHeight="1" x14ac:dyDescent="0.35">
      <c r="B884" s="73"/>
      <c r="C884" s="73"/>
      <c r="D884" s="73"/>
      <c r="E884" s="73"/>
      <c r="F884" s="73"/>
      <c r="G884" s="73"/>
    </row>
    <row r="885" spans="2:7" ht="32.25" customHeight="1" x14ac:dyDescent="0.35">
      <c r="B885" s="73"/>
      <c r="C885" s="73"/>
      <c r="D885" s="73"/>
      <c r="E885" s="73"/>
      <c r="F885" s="73"/>
      <c r="G885" s="73"/>
    </row>
    <row r="886" spans="2:7" ht="32.25" customHeight="1" x14ac:dyDescent="0.35">
      <c r="B886" s="73"/>
      <c r="C886" s="73"/>
      <c r="D886" s="73"/>
      <c r="E886" s="73"/>
      <c r="F886" s="73"/>
      <c r="G886" s="73"/>
    </row>
    <row r="887" spans="2:7" ht="32.25" customHeight="1" x14ac:dyDescent="0.35">
      <c r="B887" s="73"/>
      <c r="C887" s="73"/>
      <c r="D887" s="73"/>
      <c r="E887" s="73"/>
      <c r="F887" s="73"/>
      <c r="G887" s="73"/>
    </row>
    <row r="888" spans="2:7" ht="32.25" customHeight="1" x14ac:dyDescent="0.35">
      <c r="B888" s="73"/>
      <c r="C888" s="73"/>
      <c r="D888" s="73"/>
      <c r="E888" s="73"/>
      <c r="F888" s="73"/>
      <c r="G888" s="73"/>
    </row>
    <row r="889" spans="2:7" ht="32.25" customHeight="1" x14ac:dyDescent="0.35">
      <c r="B889" s="73"/>
      <c r="C889" s="73"/>
      <c r="D889" s="73"/>
      <c r="E889" s="73"/>
      <c r="F889" s="73"/>
      <c r="G889" s="73"/>
    </row>
    <row r="890" spans="2:7" ht="32.25" customHeight="1" x14ac:dyDescent="0.35">
      <c r="B890" s="73"/>
      <c r="C890" s="73"/>
      <c r="D890" s="73"/>
      <c r="E890" s="73"/>
      <c r="F890" s="73"/>
      <c r="G890" s="73"/>
    </row>
    <row r="891" spans="2:7" ht="32.25" customHeight="1" x14ac:dyDescent="0.35">
      <c r="B891" s="73"/>
      <c r="C891" s="73"/>
      <c r="D891" s="73"/>
      <c r="E891" s="73"/>
      <c r="F891" s="73"/>
      <c r="G891" s="73"/>
    </row>
    <row r="892" spans="2:7" ht="32.25" customHeight="1" x14ac:dyDescent="0.35">
      <c r="B892" s="73"/>
      <c r="C892" s="73"/>
      <c r="D892" s="73"/>
      <c r="E892" s="73"/>
      <c r="F892" s="73"/>
      <c r="G892" s="73"/>
    </row>
    <row r="893" spans="2:7" ht="32.25" customHeight="1" x14ac:dyDescent="0.35">
      <c r="B893" s="73"/>
      <c r="C893" s="73"/>
      <c r="D893" s="73"/>
      <c r="E893" s="73"/>
      <c r="F893" s="73"/>
      <c r="G893" s="73"/>
    </row>
    <row r="894" spans="2:7" ht="32.25" customHeight="1" x14ac:dyDescent="0.35">
      <c r="B894" s="73"/>
      <c r="C894" s="73"/>
      <c r="D894" s="73"/>
      <c r="E894" s="73"/>
      <c r="F894" s="73"/>
      <c r="G894" s="73"/>
    </row>
    <row r="895" spans="2:7" ht="32.25" customHeight="1" x14ac:dyDescent="0.35">
      <c r="B895" s="73"/>
      <c r="C895" s="73"/>
      <c r="D895" s="73"/>
      <c r="E895" s="73"/>
      <c r="F895" s="73"/>
      <c r="G895" s="73"/>
    </row>
    <row r="896" spans="2:7" ht="32.25" customHeight="1" x14ac:dyDescent="0.35">
      <c r="B896" s="73"/>
      <c r="C896" s="73"/>
      <c r="D896" s="73"/>
      <c r="E896" s="73"/>
      <c r="F896" s="73"/>
      <c r="G896" s="73"/>
    </row>
    <row r="897" spans="2:7" ht="32.25" customHeight="1" x14ac:dyDescent="0.35">
      <c r="B897" s="73"/>
      <c r="C897" s="73"/>
      <c r="D897" s="73"/>
      <c r="E897" s="73"/>
      <c r="F897" s="73"/>
      <c r="G897" s="73"/>
    </row>
    <row r="898" spans="2:7" ht="32.25" customHeight="1" x14ac:dyDescent="0.35">
      <c r="B898" s="73"/>
      <c r="C898" s="73"/>
      <c r="D898" s="73"/>
      <c r="E898" s="73"/>
      <c r="F898" s="73"/>
      <c r="G898" s="73"/>
    </row>
    <row r="899" spans="2:7" ht="32.25" customHeight="1" x14ac:dyDescent="0.35">
      <c r="B899" s="73"/>
      <c r="C899" s="73"/>
      <c r="D899" s="73"/>
      <c r="E899" s="73"/>
      <c r="F899" s="73"/>
      <c r="G899" s="73"/>
    </row>
    <row r="900" spans="2:7" ht="32.25" customHeight="1" x14ac:dyDescent="0.35">
      <c r="B900" s="73"/>
      <c r="C900" s="73"/>
      <c r="D900" s="73"/>
      <c r="E900" s="73"/>
      <c r="F900" s="73"/>
      <c r="G900" s="73"/>
    </row>
    <row r="901" spans="2:7" ht="32.25" customHeight="1" x14ac:dyDescent="0.35">
      <c r="B901" s="73"/>
      <c r="C901" s="73"/>
      <c r="D901" s="73"/>
      <c r="E901" s="73"/>
      <c r="F901" s="73"/>
      <c r="G901" s="73"/>
    </row>
    <row r="902" spans="2:7" ht="32.25" customHeight="1" x14ac:dyDescent="0.35">
      <c r="B902" s="73"/>
      <c r="C902" s="73"/>
      <c r="D902" s="73"/>
      <c r="E902" s="73"/>
      <c r="F902" s="73"/>
      <c r="G902" s="73"/>
    </row>
    <row r="903" spans="2:7" ht="32.25" customHeight="1" x14ac:dyDescent="0.35">
      <c r="B903" s="73"/>
      <c r="C903" s="73"/>
      <c r="D903" s="73"/>
      <c r="E903" s="73"/>
      <c r="F903" s="73"/>
      <c r="G903" s="73"/>
    </row>
    <row r="904" spans="2:7" ht="32.25" customHeight="1" x14ac:dyDescent="0.35">
      <c r="B904" s="73"/>
      <c r="C904" s="73"/>
      <c r="D904" s="73"/>
      <c r="E904" s="73"/>
      <c r="F904" s="73"/>
      <c r="G904" s="73"/>
    </row>
    <row r="905" spans="2:7" ht="32.25" customHeight="1" x14ac:dyDescent="0.35">
      <c r="B905" s="73"/>
      <c r="C905" s="73"/>
      <c r="D905" s="73"/>
      <c r="E905" s="73"/>
      <c r="F905" s="73"/>
      <c r="G905" s="73"/>
    </row>
    <row r="906" spans="2:7" ht="32.25" customHeight="1" x14ac:dyDescent="0.35">
      <c r="B906" s="73"/>
      <c r="C906" s="73"/>
      <c r="D906" s="73"/>
      <c r="E906" s="73"/>
      <c r="F906" s="73"/>
      <c r="G906" s="73"/>
    </row>
    <row r="907" spans="2:7" ht="32.25" customHeight="1" x14ac:dyDescent="0.35">
      <c r="B907" s="73"/>
      <c r="C907" s="73"/>
      <c r="D907" s="73"/>
      <c r="E907" s="73"/>
      <c r="F907" s="73"/>
      <c r="G907" s="73"/>
    </row>
    <row r="908" spans="2:7" ht="32.25" customHeight="1" x14ac:dyDescent="0.35">
      <c r="B908" s="73"/>
      <c r="C908" s="73"/>
      <c r="D908" s="73"/>
      <c r="E908" s="73"/>
      <c r="F908" s="73"/>
      <c r="G908" s="73"/>
    </row>
    <row r="909" spans="2:7" ht="32.25" customHeight="1" x14ac:dyDescent="0.35">
      <c r="B909" s="73"/>
      <c r="C909" s="73"/>
      <c r="D909" s="73"/>
      <c r="E909" s="73"/>
      <c r="F909" s="73"/>
      <c r="G909" s="73"/>
    </row>
    <row r="910" spans="2:7" ht="32.25" customHeight="1" x14ac:dyDescent="0.35">
      <c r="B910" s="73"/>
      <c r="C910" s="73"/>
      <c r="D910" s="73"/>
      <c r="E910" s="73"/>
      <c r="F910" s="73"/>
      <c r="G910" s="73"/>
    </row>
    <row r="911" spans="2:7" ht="32.25" customHeight="1" x14ac:dyDescent="0.35">
      <c r="B911" s="73"/>
      <c r="C911" s="73"/>
      <c r="D911" s="73"/>
      <c r="E911" s="73"/>
      <c r="F911" s="73"/>
      <c r="G911" s="73"/>
    </row>
    <row r="912" spans="2:7" ht="32.25" customHeight="1" x14ac:dyDescent="0.35">
      <c r="B912" s="73"/>
      <c r="C912" s="73"/>
      <c r="D912" s="73"/>
      <c r="E912" s="73"/>
      <c r="F912" s="73"/>
      <c r="G912" s="73"/>
    </row>
    <row r="913" spans="2:7" ht="32.25" customHeight="1" x14ac:dyDescent="0.35">
      <c r="B913" s="73"/>
      <c r="C913" s="73"/>
      <c r="D913" s="73"/>
      <c r="E913" s="73"/>
      <c r="F913" s="73"/>
      <c r="G913" s="73"/>
    </row>
    <row r="914" spans="2:7" ht="32.25" customHeight="1" x14ac:dyDescent="0.35">
      <c r="B914" s="73"/>
      <c r="C914" s="73"/>
      <c r="D914" s="73"/>
      <c r="E914" s="73"/>
      <c r="F914" s="73"/>
      <c r="G914" s="73"/>
    </row>
    <row r="915" spans="2:7" ht="32.25" customHeight="1" x14ac:dyDescent="0.35">
      <c r="B915" s="73"/>
      <c r="C915" s="73"/>
      <c r="D915" s="73"/>
      <c r="E915" s="73"/>
      <c r="F915" s="73"/>
      <c r="G915" s="73"/>
    </row>
    <row r="916" spans="2:7" ht="32.25" customHeight="1" x14ac:dyDescent="0.35">
      <c r="B916" s="73"/>
      <c r="C916" s="73"/>
      <c r="D916" s="73"/>
      <c r="E916" s="73"/>
      <c r="F916" s="73"/>
      <c r="G916" s="73"/>
    </row>
    <row r="917" spans="2:7" ht="32.25" customHeight="1" x14ac:dyDescent="0.35">
      <c r="B917" s="73"/>
      <c r="C917" s="73"/>
      <c r="D917" s="73"/>
      <c r="E917" s="73"/>
      <c r="F917" s="73"/>
      <c r="G917" s="73"/>
    </row>
    <row r="918" spans="2:7" ht="32.25" customHeight="1" x14ac:dyDescent="0.35">
      <c r="B918" s="73"/>
      <c r="C918" s="73"/>
      <c r="D918" s="73"/>
      <c r="E918" s="73"/>
      <c r="F918" s="73"/>
      <c r="G918" s="73"/>
    </row>
    <row r="919" spans="2:7" ht="32.25" customHeight="1" x14ac:dyDescent="0.35">
      <c r="B919" s="73"/>
      <c r="C919" s="73"/>
      <c r="D919" s="73"/>
      <c r="E919" s="73"/>
      <c r="F919" s="73"/>
      <c r="G919" s="73"/>
    </row>
    <row r="920" spans="2:7" ht="32.25" customHeight="1" x14ac:dyDescent="0.35">
      <c r="B920" s="73"/>
      <c r="C920" s="73"/>
      <c r="D920" s="73"/>
      <c r="E920" s="73"/>
      <c r="F920" s="73"/>
      <c r="G920" s="73"/>
    </row>
    <row r="921" spans="2:7" ht="32.25" customHeight="1" x14ac:dyDescent="0.35">
      <c r="B921" s="73"/>
      <c r="C921" s="73"/>
      <c r="D921" s="73"/>
      <c r="E921" s="73"/>
      <c r="F921" s="73"/>
      <c r="G921" s="73"/>
    </row>
    <row r="922" spans="2:7" ht="32.25" customHeight="1" x14ac:dyDescent="0.35">
      <c r="B922" s="73"/>
      <c r="C922" s="73"/>
      <c r="D922" s="73"/>
      <c r="E922" s="73"/>
      <c r="F922" s="73"/>
      <c r="G922" s="73"/>
    </row>
    <row r="923" spans="2:7" ht="32.25" customHeight="1" x14ac:dyDescent="0.35">
      <c r="B923" s="73"/>
      <c r="C923" s="73"/>
      <c r="D923" s="73"/>
      <c r="E923" s="73"/>
      <c r="F923" s="73"/>
      <c r="G923" s="73"/>
    </row>
    <row r="924" spans="2:7" ht="32.25" customHeight="1" x14ac:dyDescent="0.35">
      <c r="B924" s="73"/>
      <c r="C924" s="73"/>
      <c r="D924" s="73"/>
      <c r="E924" s="73"/>
      <c r="F924" s="73"/>
      <c r="G924" s="73"/>
    </row>
    <row r="925" spans="2:7" ht="32.25" customHeight="1" x14ac:dyDescent="0.35">
      <c r="B925" s="73"/>
      <c r="C925" s="73"/>
      <c r="D925" s="73"/>
      <c r="E925" s="73"/>
      <c r="F925" s="73"/>
      <c r="G925" s="73"/>
    </row>
    <row r="926" spans="2:7" ht="32.25" customHeight="1" x14ac:dyDescent="0.35">
      <c r="B926" s="73"/>
      <c r="C926" s="73"/>
      <c r="D926" s="73"/>
      <c r="E926" s="73"/>
      <c r="F926" s="73"/>
      <c r="G926" s="73"/>
    </row>
    <row r="927" spans="2:7" ht="32.25" customHeight="1" x14ac:dyDescent="0.35">
      <c r="B927" s="73"/>
      <c r="C927" s="73"/>
      <c r="D927" s="73"/>
      <c r="E927" s="73"/>
      <c r="F927" s="73"/>
      <c r="G927" s="73"/>
    </row>
    <row r="928" spans="2:7" ht="32.25" customHeight="1" x14ac:dyDescent="0.35">
      <c r="B928" s="73"/>
      <c r="C928" s="73"/>
      <c r="D928" s="73"/>
      <c r="E928" s="73"/>
      <c r="F928" s="73"/>
      <c r="G928" s="73"/>
    </row>
    <row r="929" spans="2:7" ht="32.25" customHeight="1" x14ac:dyDescent="0.35">
      <c r="B929" s="73"/>
      <c r="C929" s="73"/>
      <c r="D929" s="73"/>
      <c r="E929" s="73"/>
      <c r="F929" s="73"/>
      <c r="G929" s="73"/>
    </row>
    <row r="930" spans="2:7" ht="32.25" customHeight="1" x14ac:dyDescent="0.35">
      <c r="B930" s="73"/>
      <c r="C930" s="73"/>
      <c r="D930" s="73"/>
      <c r="E930" s="73"/>
      <c r="F930" s="73"/>
      <c r="G930" s="73"/>
    </row>
    <row r="931" spans="2:7" ht="32.25" customHeight="1" x14ac:dyDescent="0.35">
      <c r="B931" s="73"/>
      <c r="C931" s="73"/>
      <c r="D931" s="73"/>
      <c r="E931" s="73"/>
      <c r="F931" s="73"/>
      <c r="G931" s="73"/>
    </row>
    <row r="932" spans="2:7" ht="32.25" customHeight="1" x14ac:dyDescent="0.35">
      <c r="B932" s="73"/>
      <c r="C932" s="73"/>
      <c r="D932" s="73"/>
      <c r="E932" s="73"/>
      <c r="F932" s="73"/>
      <c r="G932" s="73"/>
    </row>
    <row r="933" spans="2:7" ht="32.25" customHeight="1" x14ac:dyDescent="0.35">
      <c r="B933" s="73"/>
      <c r="C933" s="73"/>
      <c r="D933" s="73"/>
      <c r="E933" s="73"/>
      <c r="F933" s="73"/>
      <c r="G933" s="73"/>
    </row>
    <row r="934" spans="2:7" ht="32.25" customHeight="1" x14ac:dyDescent="0.35">
      <c r="B934" s="73"/>
      <c r="C934" s="73"/>
      <c r="D934" s="73"/>
      <c r="E934" s="73"/>
      <c r="F934" s="73"/>
      <c r="G934" s="73"/>
    </row>
    <row r="935" spans="2:7" ht="32.25" customHeight="1" x14ac:dyDescent="0.35">
      <c r="B935" s="73"/>
      <c r="C935" s="73"/>
      <c r="D935" s="73"/>
      <c r="E935" s="73"/>
      <c r="F935" s="73"/>
      <c r="G935" s="73"/>
    </row>
    <row r="936" spans="2:7" ht="32.25" customHeight="1" x14ac:dyDescent="0.35">
      <c r="B936" s="73"/>
      <c r="C936" s="73"/>
      <c r="D936" s="73"/>
      <c r="E936" s="73"/>
      <c r="F936" s="73"/>
      <c r="G936" s="73"/>
    </row>
    <row r="937" spans="2:7" ht="32.25" customHeight="1" x14ac:dyDescent="0.35">
      <c r="B937" s="73"/>
      <c r="C937" s="73"/>
      <c r="D937" s="73"/>
      <c r="E937" s="73"/>
      <c r="F937" s="73"/>
      <c r="G937" s="73"/>
    </row>
    <row r="938" spans="2:7" ht="32.25" customHeight="1" x14ac:dyDescent="0.35">
      <c r="B938" s="73"/>
      <c r="C938" s="73"/>
      <c r="D938" s="73"/>
      <c r="E938" s="73"/>
      <c r="F938" s="73"/>
      <c r="G938" s="73"/>
    </row>
    <row r="939" spans="2:7" ht="32.25" customHeight="1" x14ac:dyDescent="0.35">
      <c r="B939" s="73"/>
      <c r="C939" s="73"/>
      <c r="D939" s="73"/>
      <c r="E939" s="73"/>
      <c r="F939" s="73"/>
      <c r="G939" s="73"/>
    </row>
    <row r="940" spans="2:7" ht="32.25" customHeight="1" x14ac:dyDescent="0.35">
      <c r="B940" s="73"/>
      <c r="C940" s="73"/>
      <c r="D940" s="73"/>
      <c r="E940" s="73"/>
      <c r="F940" s="73"/>
      <c r="G940" s="73"/>
    </row>
    <row r="941" spans="2:7" ht="32.25" customHeight="1" x14ac:dyDescent="0.35">
      <c r="B941" s="73"/>
      <c r="C941" s="73"/>
      <c r="D941" s="73"/>
      <c r="E941" s="73"/>
      <c r="F941" s="73"/>
      <c r="G941" s="73"/>
    </row>
    <row r="942" spans="2:7" ht="32.25" customHeight="1" x14ac:dyDescent="0.35">
      <c r="B942" s="73"/>
      <c r="C942" s="73"/>
      <c r="D942" s="73"/>
      <c r="E942" s="73"/>
      <c r="F942" s="73"/>
      <c r="G942" s="73"/>
    </row>
    <row r="943" spans="2:7" ht="32.25" customHeight="1" x14ac:dyDescent="0.35">
      <c r="B943" s="73"/>
      <c r="C943" s="73"/>
      <c r="D943" s="73"/>
      <c r="E943" s="73"/>
      <c r="F943" s="73"/>
      <c r="G943" s="73"/>
    </row>
    <row r="944" spans="2:7" ht="32.25" customHeight="1" x14ac:dyDescent="0.35">
      <c r="B944" s="73"/>
      <c r="C944" s="73"/>
      <c r="D944" s="73"/>
      <c r="E944" s="73"/>
      <c r="F944" s="73"/>
      <c r="G944" s="73"/>
    </row>
    <row r="945" spans="2:7" ht="32.25" customHeight="1" x14ac:dyDescent="0.35">
      <c r="B945" s="73"/>
      <c r="C945" s="73"/>
      <c r="D945" s="73"/>
      <c r="E945" s="73"/>
      <c r="F945" s="73"/>
      <c r="G945" s="73"/>
    </row>
    <row r="946" spans="2:7" ht="32.25" customHeight="1" x14ac:dyDescent="0.35">
      <c r="B946" s="73"/>
      <c r="C946" s="73"/>
      <c r="D946" s="73"/>
      <c r="E946" s="73"/>
      <c r="F946" s="73"/>
      <c r="G946" s="73"/>
    </row>
    <row r="947" spans="2:7" ht="32.25" customHeight="1" x14ac:dyDescent="0.35">
      <c r="B947" s="73"/>
      <c r="C947" s="73"/>
      <c r="D947" s="73"/>
      <c r="E947" s="73"/>
      <c r="F947" s="73"/>
      <c r="G947" s="73"/>
    </row>
    <row r="948" spans="2:7" ht="32.25" customHeight="1" x14ac:dyDescent="0.35">
      <c r="B948" s="73"/>
      <c r="C948" s="73"/>
      <c r="D948" s="73"/>
      <c r="E948" s="73"/>
      <c r="F948" s="73"/>
      <c r="G948" s="73"/>
    </row>
    <row r="949" spans="2:7" ht="32.25" customHeight="1" x14ac:dyDescent="0.35">
      <c r="B949" s="73"/>
      <c r="C949" s="73"/>
      <c r="D949" s="73"/>
      <c r="E949" s="73"/>
      <c r="F949" s="73"/>
      <c r="G949" s="73"/>
    </row>
    <row r="950" spans="2:7" ht="32.25" customHeight="1" x14ac:dyDescent="0.35">
      <c r="B950" s="73"/>
      <c r="C950" s="73"/>
      <c r="D950" s="73"/>
      <c r="E950" s="73"/>
      <c r="F950" s="73"/>
      <c r="G950" s="73"/>
    </row>
    <row r="951" spans="2:7" ht="32.25" customHeight="1" x14ac:dyDescent="0.35">
      <c r="B951" s="73"/>
      <c r="C951" s="73"/>
      <c r="D951" s="73"/>
      <c r="E951" s="73"/>
      <c r="F951" s="73"/>
      <c r="G951" s="73"/>
    </row>
    <row r="952" spans="2:7" ht="32.25" customHeight="1" x14ac:dyDescent="0.35">
      <c r="B952" s="73"/>
      <c r="C952" s="73"/>
      <c r="D952" s="73"/>
      <c r="E952" s="73"/>
      <c r="F952" s="73"/>
      <c r="G952" s="73"/>
    </row>
    <row r="953" spans="2:7" ht="32.25" customHeight="1" x14ac:dyDescent="0.35">
      <c r="B953" s="73"/>
      <c r="C953" s="73"/>
      <c r="D953" s="73"/>
      <c r="E953" s="73"/>
      <c r="F953" s="73"/>
      <c r="G953" s="73"/>
    </row>
    <row r="954" spans="2:7" ht="32.25" customHeight="1" x14ac:dyDescent="0.35">
      <c r="B954" s="73"/>
      <c r="C954" s="73"/>
      <c r="D954" s="73"/>
      <c r="E954" s="73"/>
      <c r="F954" s="73"/>
      <c r="G954" s="73"/>
    </row>
    <row r="955" spans="2:7" ht="32.25" customHeight="1" x14ac:dyDescent="0.35">
      <c r="B955" s="73"/>
      <c r="C955" s="73"/>
      <c r="D955" s="73"/>
      <c r="E955" s="73"/>
      <c r="F955" s="73"/>
      <c r="G955" s="73"/>
    </row>
    <row r="956" spans="2:7" ht="32.25" customHeight="1" x14ac:dyDescent="0.35">
      <c r="B956" s="73"/>
      <c r="C956" s="73"/>
      <c r="D956" s="73"/>
      <c r="E956" s="73"/>
      <c r="F956" s="73"/>
      <c r="G956" s="73"/>
    </row>
    <row r="957" spans="2:7" ht="32.25" customHeight="1" x14ac:dyDescent="0.35">
      <c r="B957" s="73"/>
      <c r="C957" s="73"/>
      <c r="D957" s="73"/>
      <c r="E957" s="73"/>
      <c r="F957" s="73"/>
      <c r="G957" s="73"/>
    </row>
    <row r="958" spans="2:7" ht="32.25" customHeight="1" x14ac:dyDescent="0.35">
      <c r="B958" s="73"/>
      <c r="C958" s="73"/>
      <c r="D958" s="73"/>
      <c r="E958" s="73"/>
      <c r="F958" s="73"/>
      <c r="G958" s="73"/>
    </row>
    <row r="959" spans="2:7" ht="32.25" customHeight="1" x14ac:dyDescent="0.35">
      <c r="B959" s="73"/>
      <c r="C959" s="73"/>
      <c r="D959" s="73"/>
      <c r="E959" s="73"/>
      <c r="F959" s="73"/>
      <c r="G959" s="73"/>
    </row>
    <row r="960" spans="2:7" ht="32.25" customHeight="1" x14ac:dyDescent="0.35">
      <c r="B960" s="73"/>
      <c r="C960" s="73"/>
      <c r="D960" s="73"/>
      <c r="E960" s="73"/>
      <c r="F960" s="73"/>
      <c r="G960" s="73"/>
    </row>
    <row r="961" spans="2:7" ht="32.25" customHeight="1" x14ac:dyDescent="0.35">
      <c r="B961" s="73"/>
      <c r="C961" s="73"/>
      <c r="D961" s="73"/>
      <c r="E961" s="73"/>
      <c r="F961" s="73"/>
      <c r="G961" s="73"/>
    </row>
    <row r="962" spans="2:7" ht="32.25" customHeight="1" x14ac:dyDescent="0.35">
      <c r="B962" s="73"/>
      <c r="C962" s="73"/>
      <c r="D962" s="73"/>
      <c r="E962" s="73"/>
      <c r="F962" s="73"/>
      <c r="G962" s="73"/>
    </row>
    <row r="963" spans="2:7" ht="32.25" customHeight="1" x14ac:dyDescent="0.35">
      <c r="B963" s="73"/>
      <c r="C963" s="73"/>
      <c r="D963" s="73"/>
      <c r="E963" s="73"/>
      <c r="F963" s="73"/>
      <c r="G963" s="73"/>
    </row>
    <row r="964" spans="2:7" ht="32.25" customHeight="1" x14ac:dyDescent="0.35">
      <c r="B964" s="73"/>
      <c r="C964" s="73"/>
      <c r="D964" s="73"/>
      <c r="E964" s="73"/>
      <c r="F964" s="73"/>
      <c r="G964" s="73"/>
    </row>
    <row r="965" spans="2:7" ht="32.25" customHeight="1" x14ac:dyDescent="0.35">
      <c r="B965" s="73"/>
      <c r="C965" s="73"/>
      <c r="D965" s="73"/>
      <c r="E965" s="73"/>
      <c r="F965" s="73"/>
      <c r="G965" s="73"/>
    </row>
    <row r="966" spans="2:7" ht="32.25" customHeight="1" x14ac:dyDescent="0.35">
      <c r="B966" s="73"/>
      <c r="C966" s="73"/>
      <c r="D966" s="73"/>
      <c r="E966" s="73"/>
      <c r="F966" s="73"/>
      <c r="G966" s="73"/>
    </row>
    <row r="967" spans="2:7" ht="32.25" customHeight="1" x14ac:dyDescent="0.35">
      <c r="B967" s="73"/>
      <c r="C967" s="73"/>
      <c r="D967" s="73"/>
      <c r="E967" s="73"/>
      <c r="F967" s="73"/>
      <c r="G967" s="73"/>
    </row>
    <row r="968" spans="2:7" ht="32.25" customHeight="1" x14ac:dyDescent="0.35">
      <c r="B968" s="73"/>
      <c r="C968" s="73"/>
      <c r="D968" s="73"/>
      <c r="E968" s="73"/>
      <c r="F968" s="73"/>
      <c r="G968" s="73"/>
    </row>
    <row r="969" spans="2:7" ht="32.25" customHeight="1" x14ac:dyDescent="0.35">
      <c r="B969" s="73"/>
      <c r="C969" s="73"/>
      <c r="D969" s="73"/>
      <c r="E969" s="73"/>
      <c r="F969" s="73"/>
      <c r="G969" s="73"/>
    </row>
    <row r="970" spans="2:7" ht="32.25" customHeight="1" x14ac:dyDescent="0.35">
      <c r="B970" s="73"/>
      <c r="C970" s="73"/>
      <c r="D970" s="73"/>
      <c r="E970" s="73"/>
      <c r="F970" s="73"/>
      <c r="G970" s="73"/>
    </row>
    <row r="971" spans="2:7" ht="32.25" customHeight="1" x14ac:dyDescent="0.35">
      <c r="B971" s="73"/>
      <c r="C971" s="73"/>
      <c r="D971" s="73"/>
      <c r="E971" s="73"/>
      <c r="F971" s="73"/>
      <c r="G971" s="73"/>
    </row>
    <row r="972" spans="2:7" ht="32.25" customHeight="1" x14ac:dyDescent="0.35">
      <c r="B972" s="73"/>
      <c r="C972" s="73"/>
      <c r="D972" s="73"/>
      <c r="E972" s="73"/>
      <c r="F972" s="73"/>
      <c r="G972" s="73"/>
    </row>
    <row r="973" spans="2:7" ht="32.25" customHeight="1" x14ac:dyDescent="0.35">
      <c r="B973" s="73"/>
      <c r="C973" s="73"/>
      <c r="D973" s="73"/>
      <c r="E973" s="73"/>
      <c r="F973" s="73"/>
      <c r="G973" s="73"/>
    </row>
    <row r="974" spans="2:7" ht="32.25" customHeight="1" x14ac:dyDescent="0.35">
      <c r="B974" s="73"/>
      <c r="C974" s="73"/>
      <c r="D974" s="73"/>
      <c r="E974" s="73"/>
      <c r="F974" s="73"/>
      <c r="G974" s="73"/>
    </row>
    <row r="975" spans="2:7" ht="32.25" customHeight="1" x14ac:dyDescent="0.35">
      <c r="B975" s="73"/>
      <c r="C975" s="73"/>
      <c r="D975" s="73"/>
      <c r="E975" s="73"/>
      <c r="F975" s="73"/>
      <c r="G975" s="73"/>
    </row>
    <row r="976" spans="2:7" ht="32.25" customHeight="1" x14ac:dyDescent="0.35">
      <c r="B976" s="73"/>
      <c r="C976" s="73"/>
      <c r="D976" s="73"/>
      <c r="E976" s="73"/>
      <c r="F976" s="73"/>
      <c r="G976" s="73"/>
    </row>
    <row r="977" spans="2:7" ht="32.25" customHeight="1" x14ac:dyDescent="0.35">
      <c r="B977" s="73"/>
      <c r="C977" s="73"/>
      <c r="D977" s="73"/>
      <c r="E977" s="73"/>
      <c r="F977" s="73"/>
      <c r="G977" s="73"/>
    </row>
    <row r="978" spans="2:7" ht="32.25" customHeight="1" x14ac:dyDescent="0.35">
      <c r="B978" s="73"/>
      <c r="C978" s="73"/>
      <c r="D978" s="73"/>
      <c r="E978" s="73"/>
      <c r="F978" s="73"/>
      <c r="G978" s="73"/>
    </row>
    <row r="979" spans="2:7" ht="32.25" customHeight="1" x14ac:dyDescent="0.35">
      <c r="B979" s="73"/>
      <c r="C979" s="73"/>
      <c r="D979" s="73"/>
      <c r="E979" s="73"/>
      <c r="F979" s="73"/>
      <c r="G979" s="73"/>
    </row>
    <row r="980" spans="2:7" ht="32.25" customHeight="1" x14ac:dyDescent="0.35">
      <c r="B980" s="73"/>
      <c r="C980" s="73"/>
      <c r="D980" s="73"/>
      <c r="E980" s="73"/>
      <c r="F980" s="73"/>
      <c r="G980" s="73"/>
    </row>
    <row r="981" spans="2:7" ht="32.25" customHeight="1" x14ac:dyDescent="0.35">
      <c r="B981" s="73"/>
      <c r="C981" s="73"/>
      <c r="D981" s="73"/>
      <c r="E981" s="73"/>
      <c r="F981" s="73"/>
      <c r="G981" s="73"/>
    </row>
    <row r="982" spans="2:7" ht="32.25" customHeight="1" x14ac:dyDescent="0.35">
      <c r="B982" s="73"/>
      <c r="C982" s="73"/>
      <c r="D982" s="73"/>
      <c r="E982" s="73"/>
      <c r="F982" s="73"/>
      <c r="G982" s="73"/>
    </row>
    <row r="983" spans="2:7" ht="32.25" customHeight="1" x14ac:dyDescent="0.35">
      <c r="B983" s="73"/>
      <c r="C983" s="73"/>
      <c r="D983" s="73"/>
      <c r="E983" s="73"/>
      <c r="F983" s="73"/>
      <c r="G983" s="73"/>
    </row>
    <row r="984" spans="2:7" ht="32.25" customHeight="1" x14ac:dyDescent="0.35">
      <c r="B984" s="73"/>
      <c r="C984" s="73"/>
      <c r="D984" s="73"/>
      <c r="E984" s="73"/>
      <c r="F984" s="73"/>
      <c r="G984" s="73"/>
    </row>
    <row r="985" spans="2:7" ht="32.25" customHeight="1" x14ac:dyDescent="0.35">
      <c r="B985" s="73"/>
      <c r="C985" s="73"/>
      <c r="D985" s="73"/>
      <c r="E985" s="73"/>
      <c r="F985" s="73"/>
      <c r="G985" s="73"/>
    </row>
    <row r="986" spans="2:7" ht="32.25" customHeight="1" x14ac:dyDescent="0.35">
      <c r="B986" s="73"/>
      <c r="C986" s="73"/>
      <c r="D986" s="73"/>
      <c r="E986" s="73"/>
      <c r="F986" s="73"/>
      <c r="G986" s="73"/>
    </row>
    <row r="987" spans="2:7" ht="32.25" customHeight="1" x14ac:dyDescent="0.35">
      <c r="B987" s="73"/>
      <c r="C987" s="73"/>
      <c r="D987" s="73"/>
      <c r="E987" s="73"/>
      <c r="F987" s="73"/>
      <c r="G987" s="73"/>
    </row>
    <row r="988" spans="2:7" ht="32.25" customHeight="1" x14ac:dyDescent="0.35">
      <c r="B988" s="73"/>
      <c r="C988" s="73"/>
      <c r="D988" s="73"/>
      <c r="E988" s="73"/>
      <c r="F988" s="73"/>
      <c r="G988" s="73"/>
    </row>
    <row r="989" spans="2:7" ht="32.25" customHeight="1" x14ac:dyDescent="0.35">
      <c r="B989" s="73"/>
      <c r="C989" s="73"/>
      <c r="D989" s="73"/>
      <c r="E989" s="73"/>
      <c r="F989" s="73"/>
      <c r="G989" s="73"/>
    </row>
    <row r="990" spans="2:7" ht="32.25" customHeight="1" x14ac:dyDescent="0.35">
      <c r="B990" s="73"/>
      <c r="C990" s="73"/>
      <c r="D990" s="73"/>
      <c r="E990" s="73"/>
      <c r="F990" s="73"/>
      <c r="G990" s="73"/>
    </row>
    <row r="991" spans="2:7" ht="32.25" customHeight="1" x14ac:dyDescent="0.35">
      <c r="B991" s="73"/>
      <c r="C991" s="73"/>
      <c r="D991" s="73"/>
      <c r="E991" s="73"/>
      <c r="F991" s="73"/>
      <c r="G991" s="73"/>
    </row>
    <row r="992" spans="2:7" ht="32.25" customHeight="1" x14ac:dyDescent="0.35">
      <c r="B992" s="73"/>
      <c r="C992" s="73"/>
      <c r="D992" s="73"/>
      <c r="E992" s="73"/>
      <c r="F992" s="73"/>
      <c r="G992" s="73"/>
    </row>
    <row r="993" spans="2:7" ht="32.25" customHeight="1" x14ac:dyDescent="0.35">
      <c r="B993" s="73"/>
      <c r="C993" s="73"/>
      <c r="D993" s="73"/>
      <c r="E993" s="73"/>
      <c r="F993" s="73"/>
      <c r="G993" s="73"/>
    </row>
    <row r="994" spans="2:7" ht="32.25" customHeight="1" x14ac:dyDescent="0.35">
      <c r="B994" s="73"/>
      <c r="C994" s="73"/>
      <c r="D994" s="73"/>
      <c r="E994" s="73"/>
      <c r="F994" s="73"/>
      <c r="G994" s="73"/>
    </row>
    <row r="995" spans="2:7" ht="32.25" customHeight="1" x14ac:dyDescent="0.35">
      <c r="B995" s="73"/>
      <c r="C995" s="73"/>
      <c r="D995" s="73"/>
      <c r="E995" s="73"/>
      <c r="F995" s="73"/>
      <c r="G995" s="73"/>
    </row>
    <row r="996" spans="2:7" ht="32.25" customHeight="1" x14ac:dyDescent="0.35">
      <c r="B996" s="73"/>
      <c r="C996" s="73"/>
      <c r="D996" s="73"/>
      <c r="E996" s="73"/>
      <c r="F996" s="73"/>
      <c r="G996" s="73"/>
    </row>
    <row r="997" spans="2:7" ht="32.25" customHeight="1" x14ac:dyDescent="0.35">
      <c r="B997" s="73"/>
      <c r="C997" s="73"/>
      <c r="D997" s="73"/>
      <c r="E997" s="73"/>
      <c r="F997" s="73"/>
      <c r="G997" s="73"/>
    </row>
    <row r="998" spans="2:7" ht="32.25" customHeight="1" x14ac:dyDescent="0.35">
      <c r="B998" s="73"/>
      <c r="C998" s="73"/>
      <c r="D998" s="73"/>
      <c r="E998" s="73"/>
      <c r="F998" s="73"/>
      <c r="G998" s="73"/>
    </row>
    <row r="999" spans="2:7" ht="32.25" customHeight="1" x14ac:dyDescent="0.35">
      <c r="B999" s="73"/>
      <c r="C999" s="73"/>
      <c r="D999" s="73"/>
      <c r="E999" s="73"/>
      <c r="F999" s="73"/>
      <c r="G999" s="73"/>
    </row>
    <row r="1000" spans="2:7" ht="32.25" customHeight="1" x14ac:dyDescent="0.35">
      <c r="B1000" s="73"/>
      <c r="C1000" s="73"/>
      <c r="D1000" s="73"/>
      <c r="E1000" s="73"/>
      <c r="F1000" s="73"/>
      <c r="G1000" s="73"/>
    </row>
    <row r="1001" spans="2:7" ht="32.25" customHeight="1" x14ac:dyDescent="0.35">
      <c r="B1001" s="73"/>
      <c r="C1001" s="73"/>
      <c r="D1001" s="73"/>
      <c r="E1001" s="73"/>
      <c r="F1001" s="73"/>
      <c r="G1001" s="73"/>
    </row>
    <row r="1002" spans="2:7" ht="32.25" customHeight="1" x14ac:dyDescent="0.35">
      <c r="B1002" s="73"/>
      <c r="C1002" s="73"/>
      <c r="D1002" s="73"/>
      <c r="E1002" s="73"/>
      <c r="F1002" s="73"/>
      <c r="G1002" s="73"/>
    </row>
    <row r="1003" spans="2:7" ht="32.25" customHeight="1" x14ac:dyDescent="0.35">
      <c r="B1003" s="73"/>
      <c r="C1003" s="73"/>
      <c r="D1003" s="73"/>
      <c r="E1003" s="73"/>
      <c r="F1003" s="73"/>
      <c r="G1003" s="73"/>
    </row>
    <row r="1004" spans="2:7" ht="32.25" customHeight="1" x14ac:dyDescent="0.35">
      <c r="B1004" s="73"/>
      <c r="C1004" s="73"/>
      <c r="D1004" s="73"/>
      <c r="E1004" s="73"/>
      <c r="F1004" s="73"/>
      <c r="G1004" s="73"/>
    </row>
    <row r="1005" spans="2:7" ht="32.25" customHeight="1" x14ac:dyDescent="0.35">
      <c r="B1005" s="73"/>
      <c r="C1005" s="73"/>
      <c r="D1005" s="73"/>
      <c r="E1005" s="73"/>
      <c r="F1005" s="73"/>
      <c r="G1005" s="73"/>
    </row>
    <row r="1006" spans="2:7" ht="32.25" customHeight="1" x14ac:dyDescent="0.35">
      <c r="B1006" s="73"/>
      <c r="C1006" s="73"/>
      <c r="D1006" s="73"/>
      <c r="E1006" s="73"/>
      <c r="F1006" s="73"/>
      <c r="G1006" s="73"/>
    </row>
    <row r="1007" spans="2:7" ht="32.25" customHeight="1" x14ac:dyDescent="0.35">
      <c r="B1007" s="73"/>
      <c r="C1007" s="73"/>
      <c r="D1007" s="73"/>
      <c r="E1007" s="73"/>
      <c r="F1007" s="73"/>
      <c r="G1007" s="73"/>
    </row>
    <row r="1008" spans="2:7" ht="32.25" customHeight="1" x14ac:dyDescent="0.35">
      <c r="B1008" s="73"/>
      <c r="C1008" s="73"/>
      <c r="D1008" s="73"/>
      <c r="E1008" s="73"/>
      <c r="F1008" s="73"/>
      <c r="G1008" s="73"/>
    </row>
    <row r="1009" spans="2:7" ht="32.25" customHeight="1" x14ac:dyDescent="0.35">
      <c r="B1009" s="73"/>
      <c r="C1009" s="73"/>
      <c r="D1009" s="73"/>
      <c r="E1009" s="73"/>
      <c r="F1009" s="73"/>
      <c r="G1009" s="73"/>
    </row>
    <row r="1010" spans="2:7" ht="32.25" customHeight="1" x14ac:dyDescent="0.35">
      <c r="B1010" s="73"/>
      <c r="C1010" s="73"/>
      <c r="D1010" s="73"/>
      <c r="E1010" s="73"/>
      <c r="F1010" s="73"/>
      <c r="G1010" s="73"/>
    </row>
    <row r="1011" spans="2:7" ht="32.25" customHeight="1" x14ac:dyDescent="0.35">
      <c r="B1011" s="73"/>
      <c r="C1011" s="73"/>
      <c r="D1011" s="73"/>
      <c r="E1011" s="73"/>
      <c r="F1011" s="73"/>
      <c r="G1011" s="73"/>
    </row>
    <row r="1012" spans="2:7" ht="32.25" customHeight="1" x14ac:dyDescent="0.35">
      <c r="B1012" s="73"/>
      <c r="C1012" s="73"/>
      <c r="D1012" s="73"/>
      <c r="E1012" s="73"/>
      <c r="F1012" s="73"/>
      <c r="G1012" s="73"/>
    </row>
    <row r="1013" spans="2:7" ht="32.25" customHeight="1" x14ac:dyDescent="0.35">
      <c r="B1013" s="73"/>
      <c r="C1013" s="73"/>
      <c r="D1013" s="73"/>
      <c r="E1013" s="73"/>
      <c r="F1013" s="73"/>
      <c r="G1013" s="73"/>
    </row>
    <row r="1014" spans="2:7" ht="32.25" customHeight="1" x14ac:dyDescent="0.35">
      <c r="B1014" s="73"/>
      <c r="C1014" s="73"/>
      <c r="D1014" s="73"/>
      <c r="E1014" s="73"/>
      <c r="F1014" s="73"/>
      <c r="G1014" s="73"/>
    </row>
    <row r="1015" spans="2:7" ht="32.25" customHeight="1" x14ac:dyDescent="0.35">
      <c r="B1015" s="73"/>
      <c r="C1015" s="73"/>
      <c r="D1015" s="73"/>
      <c r="E1015" s="73"/>
      <c r="F1015" s="73"/>
      <c r="G1015" s="73"/>
    </row>
    <row r="1016" spans="2:7" ht="32.25" customHeight="1" x14ac:dyDescent="0.35">
      <c r="B1016" s="73"/>
      <c r="C1016" s="73"/>
      <c r="D1016" s="73"/>
      <c r="E1016" s="73"/>
      <c r="F1016" s="73"/>
      <c r="G1016" s="73"/>
    </row>
    <row r="1017" spans="2:7" ht="32.25" customHeight="1" x14ac:dyDescent="0.35">
      <c r="B1017" s="73"/>
      <c r="C1017" s="73"/>
      <c r="D1017" s="73"/>
      <c r="E1017" s="73"/>
      <c r="F1017" s="73"/>
      <c r="G1017" s="73"/>
    </row>
    <row r="1018" spans="2:7" ht="32.25" customHeight="1" x14ac:dyDescent="0.35">
      <c r="B1018" s="73"/>
      <c r="C1018" s="73"/>
      <c r="D1018" s="73"/>
      <c r="E1018" s="73"/>
      <c r="F1018" s="73"/>
      <c r="G1018" s="73"/>
    </row>
    <row r="1019" spans="2:7" ht="32.25" customHeight="1" x14ac:dyDescent="0.35">
      <c r="B1019" s="73"/>
      <c r="C1019" s="73"/>
      <c r="D1019" s="73"/>
      <c r="E1019" s="73"/>
      <c r="F1019" s="73"/>
      <c r="G1019" s="73"/>
    </row>
    <row r="1020" spans="2:7" ht="32.25" customHeight="1" x14ac:dyDescent="0.35">
      <c r="B1020" s="73"/>
      <c r="C1020" s="73"/>
      <c r="D1020" s="73"/>
      <c r="E1020" s="73"/>
      <c r="F1020" s="73"/>
      <c r="G1020" s="73"/>
    </row>
    <row r="1021" spans="2:7" ht="32.25" customHeight="1" x14ac:dyDescent="0.35">
      <c r="B1021" s="73"/>
      <c r="C1021" s="73"/>
      <c r="D1021" s="73"/>
      <c r="E1021" s="73"/>
      <c r="F1021" s="73"/>
      <c r="G1021" s="73"/>
    </row>
    <row r="1022" spans="2:7" ht="32.25" customHeight="1" x14ac:dyDescent="0.35">
      <c r="B1022" s="73"/>
      <c r="C1022" s="73"/>
      <c r="D1022" s="73"/>
      <c r="E1022" s="73"/>
      <c r="F1022" s="73"/>
      <c r="G1022" s="73"/>
    </row>
    <row r="1023" spans="2:7" ht="32.25" customHeight="1" x14ac:dyDescent="0.35">
      <c r="B1023" s="73"/>
      <c r="C1023" s="73"/>
      <c r="D1023" s="73"/>
      <c r="E1023" s="73"/>
      <c r="F1023" s="73"/>
      <c r="G1023" s="73"/>
    </row>
    <row r="1024" spans="2:7" ht="32.25" customHeight="1" x14ac:dyDescent="0.35">
      <c r="B1024" s="73"/>
      <c r="C1024" s="73"/>
      <c r="D1024" s="73"/>
      <c r="E1024" s="73"/>
      <c r="F1024" s="73"/>
      <c r="G1024" s="73"/>
    </row>
    <row r="1025" spans="2:7" ht="32.25" customHeight="1" x14ac:dyDescent="0.35">
      <c r="B1025" s="73"/>
      <c r="C1025" s="73"/>
      <c r="D1025" s="73"/>
      <c r="E1025" s="73"/>
      <c r="F1025" s="73"/>
      <c r="G1025" s="73"/>
    </row>
    <row r="1026" spans="2:7" ht="32.25" customHeight="1" x14ac:dyDescent="0.35">
      <c r="B1026" s="73"/>
      <c r="C1026" s="73"/>
      <c r="D1026" s="73"/>
      <c r="E1026" s="73"/>
      <c r="F1026" s="73"/>
      <c r="G1026" s="73"/>
    </row>
    <row r="1027" spans="2:7" ht="32.25" customHeight="1" x14ac:dyDescent="0.35">
      <c r="B1027" s="73"/>
      <c r="C1027" s="73"/>
      <c r="D1027" s="73"/>
      <c r="E1027" s="73"/>
      <c r="F1027" s="73"/>
      <c r="G1027" s="73"/>
    </row>
    <row r="1028" spans="2:7" ht="32.25" customHeight="1" x14ac:dyDescent="0.35">
      <c r="B1028" s="73"/>
      <c r="C1028" s="73"/>
      <c r="D1028" s="73"/>
      <c r="E1028" s="73"/>
      <c r="F1028" s="73"/>
      <c r="G1028" s="73"/>
    </row>
    <row r="1029" spans="2:7" ht="32.25" customHeight="1" x14ac:dyDescent="0.35">
      <c r="B1029" s="73"/>
      <c r="C1029" s="73"/>
      <c r="D1029" s="73"/>
      <c r="E1029" s="73"/>
      <c r="F1029" s="73"/>
      <c r="G1029" s="73"/>
    </row>
    <row r="1030" spans="2:7" ht="32.25" customHeight="1" x14ac:dyDescent="0.35">
      <c r="B1030" s="73"/>
      <c r="C1030" s="73"/>
      <c r="D1030" s="73"/>
      <c r="E1030" s="73"/>
      <c r="F1030" s="73"/>
      <c r="G1030" s="73"/>
    </row>
    <row r="1031" spans="2:7" ht="32.25" customHeight="1" x14ac:dyDescent="0.35">
      <c r="B1031" s="73"/>
      <c r="C1031" s="73"/>
      <c r="D1031" s="73"/>
      <c r="E1031" s="73"/>
      <c r="F1031" s="73"/>
      <c r="G1031" s="73"/>
    </row>
    <row r="1032" spans="2:7" ht="32.25" customHeight="1" x14ac:dyDescent="0.35">
      <c r="B1032" s="73"/>
      <c r="C1032" s="73"/>
      <c r="D1032" s="73"/>
      <c r="E1032" s="73"/>
      <c r="F1032" s="73"/>
      <c r="G1032" s="73"/>
    </row>
    <row r="1033" spans="2:7" ht="32.25" customHeight="1" x14ac:dyDescent="0.35">
      <c r="B1033" s="73"/>
      <c r="C1033" s="73"/>
      <c r="D1033" s="73"/>
      <c r="E1033" s="73"/>
      <c r="F1033" s="73"/>
      <c r="G1033" s="73"/>
    </row>
    <row r="1034" spans="2:7" ht="32.25" customHeight="1" x14ac:dyDescent="0.35">
      <c r="B1034" s="73"/>
      <c r="C1034" s="73"/>
      <c r="D1034" s="73"/>
      <c r="E1034" s="73"/>
      <c r="F1034" s="73"/>
      <c r="G1034" s="73"/>
    </row>
    <row r="1035" spans="2:7" ht="32.25" customHeight="1" x14ac:dyDescent="0.35">
      <c r="B1035" s="73"/>
      <c r="C1035" s="73"/>
      <c r="D1035" s="73"/>
      <c r="E1035" s="73"/>
      <c r="F1035" s="73"/>
      <c r="G1035" s="73"/>
    </row>
    <row r="1036" spans="2:7" ht="32.25" customHeight="1" x14ac:dyDescent="0.35">
      <c r="B1036" s="73"/>
      <c r="C1036" s="73"/>
      <c r="D1036" s="73"/>
      <c r="E1036" s="73"/>
      <c r="F1036" s="73"/>
      <c r="G1036" s="73"/>
    </row>
    <row r="1037" spans="2:7" ht="32.25" customHeight="1" x14ac:dyDescent="0.35">
      <c r="B1037" s="73"/>
      <c r="C1037" s="73"/>
      <c r="D1037" s="73"/>
      <c r="E1037" s="73"/>
      <c r="F1037" s="73"/>
      <c r="G1037" s="73"/>
    </row>
    <row r="1038" spans="2:7" ht="32.25" customHeight="1" x14ac:dyDescent="0.35">
      <c r="B1038" s="73"/>
      <c r="C1038" s="73"/>
      <c r="D1038" s="73"/>
      <c r="E1038" s="73"/>
      <c r="F1038" s="73"/>
      <c r="G1038" s="73"/>
    </row>
    <row r="1039" spans="2:7" ht="32.25" customHeight="1" x14ac:dyDescent="0.35">
      <c r="B1039" s="73"/>
      <c r="C1039" s="73"/>
      <c r="D1039" s="73"/>
      <c r="E1039" s="73"/>
      <c r="F1039" s="73"/>
      <c r="G1039" s="73"/>
    </row>
    <row r="1040" spans="2:7" ht="32.25" customHeight="1" x14ac:dyDescent="0.35">
      <c r="B1040" s="73"/>
      <c r="C1040" s="73"/>
      <c r="D1040" s="73"/>
      <c r="E1040" s="73"/>
      <c r="F1040" s="73"/>
      <c r="G1040" s="73"/>
    </row>
    <row r="1041" spans="2:7" ht="32.25" customHeight="1" x14ac:dyDescent="0.35">
      <c r="B1041" s="73"/>
      <c r="C1041" s="73"/>
      <c r="D1041" s="73"/>
      <c r="E1041" s="73"/>
      <c r="F1041" s="73"/>
      <c r="G1041" s="73"/>
    </row>
    <row r="1042" spans="2:7" ht="32.25" customHeight="1" x14ac:dyDescent="0.35">
      <c r="B1042" s="73"/>
      <c r="C1042" s="73"/>
      <c r="D1042" s="73"/>
      <c r="E1042" s="73"/>
      <c r="F1042" s="73"/>
      <c r="G1042" s="73"/>
    </row>
    <row r="1043" spans="2:7" ht="32.25" customHeight="1" x14ac:dyDescent="0.35">
      <c r="B1043" s="73"/>
      <c r="C1043" s="73"/>
      <c r="D1043" s="73"/>
      <c r="E1043" s="73"/>
      <c r="F1043" s="73"/>
      <c r="G1043" s="73"/>
    </row>
    <row r="1044" spans="2:7" ht="32.25" customHeight="1" x14ac:dyDescent="0.35">
      <c r="B1044" s="73"/>
      <c r="C1044" s="73"/>
      <c r="D1044" s="73"/>
      <c r="E1044" s="73"/>
      <c r="F1044" s="73"/>
      <c r="G1044" s="73"/>
    </row>
    <row r="1045" spans="2:7" ht="32.25" customHeight="1" x14ac:dyDescent="0.35">
      <c r="B1045" s="73"/>
      <c r="C1045" s="73"/>
      <c r="D1045" s="73"/>
      <c r="E1045" s="73"/>
      <c r="F1045" s="73"/>
      <c r="G1045" s="73"/>
    </row>
    <row r="1046" spans="2:7" ht="32.25" customHeight="1" x14ac:dyDescent="0.35">
      <c r="B1046" s="73"/>
      <c r="C1046" s="73"/>
      <c r="D1046" s="73"/>
      <c r="E1046" s="73"/>
      <c r="F1046" s="73"/>
      <c r="G1046" s="73"/>
    </row>
    <row r="1047" spans="2:7" ht="32.25" customHeight="1" x14ac:dyDescent="0.35">
      <c r="B1047" s="73"/>
      <c r="C1047" s="73"/>
      <c r="D1047" s="73"/>
      <c r="E1047" s="73"/>
      <c r="F1047" s="73"/>
      <c r="G1047" s="73"/>
    </row>
    <row r="1048" spans="2:7" ht="32.25" customHeight="1" x14ac:dyDescent="0.35">
      <c r="B1048" s="73"/>
      <c r="C1048" s="73"/>
      <c r="D1048" s="73"/>
      <c r="E1048" s="73"/>
      <c r="F1048" s="73"/>
      <c r="G1048" s="73"/>
    </row>
    <row r="1049" spans="2:7" ht="32.25" customHeight="1" x14ac:dyDescent="0.35">
      <c r="B1049" s="73"/>
      <c r="C1049" s="73"/>
      <c r="D1049" s="73"/>
      <c r="E1049" s="73"/>
      <c r="F1049" s="73"/>
      <c r="G1049" s="73"/>
    </row>
    <row r="1050" spans="2:7" ht="32.25" customHeight="1" x14ac:dyDescent="0.35">
      <c r="B1050" s="73"/>
      <c r="C1050" s="73"/>
      <c r="D1050" s="73"/>
      <c r="E1050" s="73"/>
      <c r="F1050" s="73"/>
      <c r="G1050" s="73"/>
    </row>
    <row r="1051" spans="2:7" ht="32.25" customHeight="1" x14ac:dyDescent="0.35">
      <c r="B1051" s="73"/>
      <c r="C1051" s="73"/>
      <c r="D1051" s="73"/>
      <c r="E1051" s="73"/>
      <c r="F1051" s="73"/>
      <c r="G1051" s="73"/>
    </row>
    <row r="1052" spans="2:7" ht="32.25" customHeight="1" x14ac:dyDescent="0.35">
      <c r="B1052" s="73"/>
      <c r="C1052" s="73"/>
      <c r="D1052" s="73"/>
      <c r="E1052" s="73"/>
      <c r="F1052" s="73"/>
      <c r="G1052" s="73"/>
    </row>
    <row r="1053" spans="2:7" ht="32.25" customHeight="1" x14ac:dyDescent="0.35">
      <c r="B1053" s="73"/>
      <c r="C1053" s="73"/>
      <c r="D1053" s="73"/>
      <c r="E1053" s="73"/>
      <c r="F1053" s="73"/>
      <c r="G1053" s="73"/>
    </row>
    <row r="1054" spans="2:7" ht="32.25" customHeight="1" x14ac:dyDescent="0.35">
      <c r="B1054" s="73"/>
      <c r="C1054" s="73"/>
      <c r="D1054" s="73"/>
      <c r="E1054" s="73"/>
      <c r="F1054" s="73"/>
      <c r="G1054" s="73"/>
    </row>
    <row r="1055" spans="2:7" ht="32.25" customHeight="1" x14ac:dyDescent="0.35">
      <c r="B1055" s="73"/>
      <c r="C1055" s="73"/>
      <c r="D1055" s="73"/>
      <c r="E1055" s="73"/>
      <c r="F1055" s="73"/>
      <c r="G1055" s="73"/>
    </row>
    <row r="1056" spans="2:7" ht="32.25" customHeight="1" x14ac:dyDescent="0.35">
      <c r="B1056" s="73"/>
      <c r="C1056" s="73"/>
      <c r="D1056" s="73"/>
      <c r="E1056" s="73"/>
      <c r="F1056" s="73"/>
      <c r="G1056" s="73"/>
    </row>
    <row r="1057" spans="2:7" ht="32.25" customHeight="1" x14ac:dyDescent="0.35">
      <c r="B1057" s="73"/>
      <c r="C1057" s="73"/>
      <c r="D1057" s="73"/>
      <c r="E1057" s="73"/>
      <c r="F1057" s="73"/>
      <c r="G1057" s="73"/>
    </row>
    <row r="1058" spans="2:7" ht="32.25" customHeight="1" x14ac:dyDescent="0.35">
      <c r="B1058" s="73"/>
      <c r="C1058" s="73"/>
      <c r="D1058" s="73"/>
      <c r="E1058" s="73"/>
      <c r="F1058" s="73"/>
      <c r="G1058" s="73"/>
    </row>
    <row r="1059" spans="2:7" ht="32.25" customHeight="1" x14ac:dyDescent="0.35">
      <c r="B1059" s="73"/>
      <c r="C1059" s="73"/>
      <c r="D1059" s="73"/>
      <c r="E1059" s="73"/>
      <c r="F1059" s="73"/>
      <c r="G1059" s="73"/>
    </row>
    <row r="1060" spans="2:7" ht="32.25" customHeight="1" x14ac:dyDescent="0.35">
      <c r="B1060" s="73"/>
      <c r="C1060" s="73"/>
      <c r="D1060" s="73"/>
      <c r="E1060" s="73"/>
      <c r="F1060" s="73"/>
      <c r="G1060" s="73"/>
    </row>
    <row r="1061" spans="2:7" ht="32.25" customHeight="1" x14ac:dyDescent="0.35">
      <c r="B1061" s="73"/>
      <c r="C1061" s="73"/>
      <c r="D1061" s="73"/>
      <c r="E1061" s="73"/>
      <c r="F1061" s="73"/>
      <c r="G1061" s="73"/>
    </row>
    <row r="1062" spans="2:7" ht="32.25" customHeight="1" x14ac:dyDescent="0.35">
      <c r="B1062" s="73"/>
      <c r="C1062" s="73"/>
      <c r="D1062" s="73"/>
      <c r="E1062" s="73"/>
      <c r="F1062" s="73"/>
      <c r="G1062" s="73"/>
    </row>
    <row r="1063" spans="2:7" ht="32.25" customHeight="1" x14ac:dyDescent="0.35">
      <c r="B1063" s="73"/>
      <c r="C1063" s="73"/>
      <c r="D1063" s="73"/>
      <c r="E1063" s="73"/>
      <c r="F1063" s="73"/>
      <c r="G1063" s="73"/>
    </row>
    <row r="1064" spans="2:7" ht="32.25" customHeight="1" x14ac:dyDescent="0.35">
      <c r="B1064" s="73"/>
      <c r="C1064" s="73"/>
      <c r="D1064" s="73"/>
      <c r="E1064" s="73"/>
      <c r="F1064" s="73"/>
      <c r="G1064" s="73"/>
    </row>
    <row r="1065" spans="2:7" ht="32.25" customHeight="1" x14ac:dyDescent="0.35">
      <c r="B1065" s="73"/>
      <c r="C1065" s="73"/>
      <c r="D1065" s="73"/>
      <c r="E1065" s="73"/>
      <c r="F1065" s="73"/>
      <c r="G1065" s="73"/>
    </row>
    <row r="1066" spans="2:7" ht="32.25" customHeight="1" x14ac:dyDescent="0.35">
      <c r="B1066" s="73"/>
      <c r="C1066" s="73"/>
      <c r="D1066" s="73"/>
      <c r="E1066" s="73"/>
      <c r="F1066" s="73"/>
      <c r="G1066" s="73"/>
    </row>
    <row r="1067" spans="2:7" ht="32.25" customHeight="1" x14ac:dyDescent="0.35">
      <c r="B1067" s="73"/>
      <c r="C1067" s="73"/>
      <c r="D1067" s="73"/>
      <c r="E1067" s="73"/>
      <c r="F1067" s="73"/>
      <c r="G1067" s="73"/>
    </row>
    <row r="1068" spans="2:7" ht="32.25" customHeight="1" x14ac:dyDescent="0.35">
      <c r="B1068" s="73"/>
      <c r="C1068" s="73"/>
      <c r="D1068" s="73"/>
      <c r="E1068" s="73"/>
      <c r="F1068" s="73"/>
      <c r="G1068" s="73"/>
    </row>
    <row r="1069" spans="2:7" ht="32.25" customHeight="1" x14ac:dyDescent="0.35">
      <c r="B1069" s="73"/>
      <c r="C1069" s="73"/>
      <c r="D1069" s="73"/>
      <c r="E1069" s="73"/>
      <c r="F1069" s="73"/>
      <c r="G1069" s="73"/>
    </row>
    <row r="1070" spans="2:7" ht="32.25" customHeight="1" x14ac:dyDescent="0.35">
      <c r="B1070" s="73"/>
      <c r="C1070" s="73"/>
      <c r="D1070" s="73"/>
      <c r="E1070" s="73"/>
      <c r="F1070" s="73"/>
      <c r="G1070" s="73"/>
    </row>
    <row r="1071" spans="2:7" ht="32.25" customHeight="1" x14ac:dyDescent="0.35">
      <c r="B1071" s="73"/>
      <c r="C1071" s="73"/>
      <c r="D1071" s="73"/>
      <c r="E1071" s="73"/>
      <c r="F1071" s="73"/>
      <c r="G1071" s="73"/>
    </row>
    <row r="1072" spans="2:7" ht="32.25" customHeight="1" x14ac:dyDescent="0.35">
      <c r="B1072" s="73"/>
      <c r="C1072" s="73"/>
      <c r="D1072" s="73"/>
      <c r="E1072" s="73"/>
      <c r="F1072" s="73"/>
      <c r="G1072" s="73"/>
    </row>
    <row r="1073" spans="2:7" ht="32.25" customHeight="1" x14ac:dyDescent="0.35">
      <c r="B1073" s="73"/>
      <c r="C1073" s="73"/>
      <c r="D1073" s="73"/>
      <c r="E1073" s="73"/>
      <c r="F1073" s="73"/>
      <c r="G1073" s="73"/>
    </row>
    <row r="1074" spans="2:7" ht="32.25" customHeight="1" x14ac:dyDescent="0.35">
      <c r="B1074" s="73"/>
      <c r="C1074" s="73"/>
      <c r="D1074" s="73"/>
      <c r="E1074" s="73"/>
      <c r="F1074" s="73"/>
      <c r="G1074" s="73"/>
    </row>
    <row r="1075" spans="2:7" ht="32.25" customHeight="1" x14ac:dyDescent="0.35">
      <c r="B1075" s="73"/>
      <c r="C1075" s="73"/>
      <c r="D1075" s="73"/>
      <c r="E1075" s="73"/>
      <c r="F1075" s="73"/>
      <c r="G1075" s="73"/>
    </row>
    <row r="1076" spans="2:7" ht="32.25" customHeight="1" x14ac:dyDescent="0.35">
      <c r="B1076" s="73"/>
      <c r="C1076" s="73"/>
      <c r="D1076" s="73"/>
      <c r="E1076" s="73"/>
      <c r="F1076" s="73"/>
      <c r="G1076" s="73"/>
    </row>
    <row r="1077" spans="2:7" ht="32.25" customHeight="1" x14ac:dyDescent="0.35">
      <c r="B1077" s="73"/>
      <c r="C1077" s="73"/>
      <c r="D1077" s="73"/>
      <c r="E1077" s="73"/>
      <c r="F1077" s="73"/>
      <c r="G1077" s="73"/>
    </row>
    <row r="1078" spans="2:7" ht="32.25" customHeight="1" x14ac:dyDescent="0.35">
      <c r="B1078" s="73"/>
      <c r="C1078" s="73"/>
      <c r="D1078" s="73"/>
      <c r="E1078" s="73"/>
      <c r="F1078" s="73"/>
      <c r="G1078" s="73"/>
    </row>
    <row r="1079" spans="2:7" ht="32.25" customHeight="1" x14ac:dyDescent="0.35">
      <c r="B1079" s="73"/>
      <c r="C1079" s="73"/>
      <c r="D1079" s="73"/>
      <c r="E1079" s="73"/>
      <c r="F1079" s="73"/>
      <c r="G1079" s="73"/>
    </row>
    <row r="1080" spans="2:7" ht="32.25" customHeight="1" x14ac:dyDescent="0.35">
      <c r="B1080" s="73"/>
      <c r="C1080" s="73"/>
      <c r="D1080" s="73"/>
      <c r="E1080" s="73"/>
      <c r="F1080" s="73"/>
      <c r="G1080" s="73"/>
    </row>
    <row r="1081" spans="2:7" ht="32.25" customHeight="1" x14ac:dyDescent="0.35">
      <c r="B1081" s="73"/>
      <c r="C1081" s="73"/>
      <c r="D1081" s="73"/>
      <c r="E1081" s="73"/>
      <c r="F1081" s="73"/>
      <c r="G1081" s="73"/>
    </row>
    <row r="1082" spans="2:7" ht="32.25" customHeight="1" x14ac:dyDescent="0.35">
      <c r="B1082" s="73"/>
      <c r="C1082" s="73"/>
      <c r="D1082" s="73"/>
      <c r="E1082" s="73"/>
      <c r="F1082" s="73"/>
      <c r="G1082" s="73"/>
    </row>
    <row r="1083" spans="2:7" ht="32.25" customHeight="1" x14ac:dyDescent="0.35">
      <c r="B1083" s="73"/>
      <c r="C1083" s="73"/>
      <c r="D1083" s="73"/>
      <c r="E1083" s="73"/>
      <c r="F1083" s="73"/>
      <c r="G1083" s="73"/>
    </row>
    <row r="1084" spans="2:7" ht="32.25" customHeight="1" x14ac:dyDescent="0.35">
      <c r="B1084" s="73"/>
      <c r="C1084" s="73"/>
      <c r="D1084" s="73"/>
      <c r="E1084" s="73"/>
      <c r="F1084" s="73"/>
      <c r="G1084" s="73"/>
    </row>
    <row r="1085" spans="2:7" ht="32.25" customHeight="1" x14ac:dyDescent="0.35">
      <c r="B1085" s="73"/>
      <c r="C1085" s="73"/>
      <c r="D1085" s="73"/>
      <c r="E1085" s="73"/>
      <c r="F1085" s="73"/>
      <c r="G1085" s="73"/>
    </row>
    <row r="1086" spans="2:7" ht="32.25" customHeight="1" x14ac:dyDescent="0.35">
      <c r="B1086" s="73"/>
      <c r="C1086" s="73"/>
      <c r="D1086" s="73"/>
      <c r="E1086" s="73"/>
      <c r="F1086" s="73"/>
      <c r="G1086" s="73"/>
    </row>
    <row r="1087" spans="2:7" ht="32.25" customHeight="1" x14ac:dyDescent="0.35">
      <c r="B1087" s="73"/>
      <c r="C1087" s="73"/>
      <c r="D1087" s="73"/>
      <c r="E1087" s="73"/>
      <c r="F1087" s="73"/>
      <c r="G1087" s="73"/>
    </row>
    <row r="1088" spans="2:7" ht="32.25" customHeight="1" x14ac:dyDescent="0.35">
      <c r="B1088" s="73"/>
      <c r="C1088" s="73"/>
      <c r="D1088" s="73"/>
      <c r="E1088" s="73"/>
      <c r="F1088" s="73"/>
      <c r="G1088" s="73"/>
    </row>
    <row r="1089" spans="2:7" ht="32.25" customHeight="1" x14ac:dyDescent="0.35">
      <c r="B1089" s="73"/>
      <c r="C1089" s="73"/>
      <c r="D1089" s="73"/>
      <c r="E1089" s="73"/>
      <c r="F1089" s="73"/>
      <c r="G1089" s="73"/>
    </row>
    <row r="1090" spans="2:7" ht="32.25" customHeight="1" x14ac:dyDescent="0.35">
      <c r="B1090" s="73"/>
      <c r="C1090" s="73"/>
      <c r="D1090" s="73"/>
      <c r="E1090" s="73"/>
      <c r="F1090" s="73"/>
      <c r="G1090" s="73"/>
    </row>
    <row r="1091" spans="2:7" ht="32.25" customHeight="1" x14ac:dyDescent="0.35">
      <c r="B1091" s="73"/>
      <c r="C1091" s="73"/>
      <c r="D1091" s="73"/>
      <c r="E1091" s="73"/>
      <c r="F1091" s="73"/>
      <c r="G1091" s="73"/>
    </row>
    <row r="1092" spans="2:7" ht="32.25" customHeight="1" x14ac:dyDescent="0.35">
      <c r="B1092" s="73"/>
      <c r="C1092" s="73"/>
      <c r="D1092" s="73"/>
      <c r="E1092" s="73"/>
      <c r="F1092" s="73"/>
      <c r="G1092" s="73"/>
    </row>
    <row r="1093" spans="2:7" ht="32.25" customHeight="1" x14ac:dyDescent="0.35">
      <c r="B1093" s="73"/>
      <c r="C1093" s="73"/>
      <c r="D1093" s="73"/>
      <c r="E1093" s="73"/>
      <c r="F1093" s="73"/>
      <c r="G1093" s="73"/>
    </row>
    <row r="1094" spans="2:7" ht="32.25" customHeight="1" x14ac:dyDescent="0.35">
      <c r="B1094" s="73"/>
      <c r="C1094" s="73"/>
      <c r="D1094" s="73"/>
      <c r="E1094" s="73"/>
      <c r="F1094" s="73"/>
      <c r="G1094" s="73"/>
    </row>
    <row r="1095" spans="2:7" ht="32.25" customHeight="1" x14ac:dyDescent="0.35">
      <c r="B1095" s="73"/>
      <c r="C1095" s="73"/>
      <c r="D1095" s="73"/>
      <c r="E1095" s="73"/>
      <c r="F1095" s="73"/>
      <c r="G1095" s="73"/>
    </row>
    <row r="1096" spans="2:7" ht="32.25" customHeight="1" x14ac:dyDescent="0.35">
      <c r="B1096" s="73"/>
      <c r="C1096" s="73"/>
      <c r="D1096" s="73"/>
      <c r="E1096" s="73"/>
      <c r="F1096" s="73"/>
      <c r="G1096" s="73"/>
    </row>
    <row r="1097" spans="2:7" ht="32.25" customHeight="1" x14ac:dyDescent="0.35">
      <c r="B1097" s="73"/>
      <c r="C1097" s="73"/>
      <c r="D1097" s="73"/>
      <c r="E1097" s="73"/>
      <c r="F1097" s="73"/>
      <c r="G1097" s="73"/>
    </row>
    <row r="1098" spans="2:7" ht="32.25" customHeight="1" x14ac:dyDescent="0.35">
      <c r="B1098" s="73"/>
      <c r="C1098" s="73"/>
      <c r="D1098" s="73"/>
      <c r="E1098" s="73"/>
      <c r="F1098" s="73"/>
      <c r="G1098" s="73"/>
    </row>
    <row r="1099" spans="2:7" ht="32.25" customHeight="1" x14ac:dyDescent="0.35">
      <c r="B1099" s="73"/>
      <c r="C1099" s="73"/>
      <c r="D1099" s="73"/>
      <c r="E1099" s="73"/>
      <c r="F1099" s="73"/>
      <c r="G1099" s="73"/>
    </row>
    <row r="1100" spans="2:7" ht="32.25" customHeight="1" x14ac:dyDescent="0.35">
      <c r="B1100" s="73"/>
      <c r="C1100" s="73"/>
      <c r="D1100" s="73"/>
      <c r="E1100" s="73"/>
      <c r="F1100" s="73"/>
      <c r="G1100" s="73"/>
    </row>
    <row r="1101" spans="2:7" ht="32.25" customHeight="1" x14ac:dyDescent="0.35">
      <c r="B1101" s="73"/>
      <c r="C1101" s="73"/>
      <c r="D1101" s="73"/>
      <c r="E1101" s="73"/>
      <c r="F1101" s="73"/>
      <c r="G1101" s="73"/>
    </row>
    <row r="1102" spans="2:7" ht="32.25" customHeight="1" x14ac:dyDescent="0.35">
      <c r="B1102" s="73"/>
      <c r="C1102" s="73"/>
      <c r="D1102" s="73"/>
      <c r="E1102" s="73"/>
      <c r="F1102" s="73"/>
      <c r="G1102" s="73"/>
    </row>
    <row r="1103" spans="2:7" ht="32.25" customHeight="1" x14ac:dyDescent="0.35">
      <c r="B1103" s="73"/>
      <c r="C1103" s="73"/>
      <c r="D1103" s="73"/>
      <c r="E1103" s="73"/>
      <c r="F1103" s="73"/>
      <c r="G1103" s="73"/>
    </row>
    <row r="1104" spans="2:7" ht="32.25" customHeight="1" x14ac:dyDescent="0.35">
      <c r="B1104" s="73"/>
      <c r="C1104" s="73"/>
      <c r="D1104" s="73"/>
      <c r="E1104" s="73"/>
      <c r="F1104" s="73"/>
      <c r="G1104" s="73"/>
    </row>
    <row r="1105" spans="2:7" ht="32.25" customHeight="1" x14ac:dyDescent="0.35">
      <c r="B1105" s="73"/>
      <c r="C1105" s="73"/>
      <c r="D1105" s="73"/>
      <c r="E1105" s="73"/>
      <c r="F1105" s="73"/>
      <c r="G1105" s="73"/>
    </row>
    <row r="1106" spans="2:7" ht="32.25" customHeight="1" x14ac:dyDescent="0.35">
      <c r="B1106" s="73"/>
      <c r="C1106" s="73"/>
      <c r="D1106" s="73"/>
      <c r="E1106" s="73"/>
      <c r="F1106" s="73"/>
      <c r="G1106" s="73"/>
    </row>
    <row r="1107" spans="2:7" ht="32.25" customHeight="1" x14ac:dyDescent="0.35">
      <c r="B1107" s="73"/>
      <c r="C1107" s="73"/>
      <c r="D1107" s="73"/>
      <c r="E1107" s="73"/>
      <c r="F1107" s="73"/>
      <c r="G1107" s="73"/>
    </row>
    <row r="1108" spans="2:7" ht="32.25" customHeight="1" x14ac:dyDescent="0.35">
      <c r="B1108" s="73"/>
      <c r="C1108" s="73"/>
      <c r="D1108" s="73"/>
      <c r="E1108" s="73"/>
      <c r="F1108" s="73"/>
      <c r="G1108" s="73"/>
    </row>
    <row r="1109" spans="2:7" ht="32.25" customHeight="1" x14ac:dyDescent="0.35">
      <c r="B1109" s="73"/>
      <c r="C1109" s="73"/>
      <c r="D1109" s="73"/>
      <c r="E1109" s="73"/>
      <c r="F1109" s="73"/>
      <c r="G1109" s="73"/>
    </row>
    <row r="1110" spans="2:7" ht="32.25" customHeight="1" x14ac:dyDescent="0.35">
      <c r="B1110" s="73"/>
      <c r="C1110" s="73"/>
      <c r="D1110" s="73"/>
      <c r="E1110" s="73"/>
      <c r="F1110" s="73"/>
      <c r="G1110" s="73"/>
    </row>
    <row r="1111" spans="2:7" ht="32.25" customHeight="1" x14ac:dyDescent="0.35">
      <c r="B1111" s="73"/>
      <c r="C1111" s="73"/>
      <c r="D1111" s="73"/>
      <c r="E1111" s="73"/>
      <c r="F1111" s="73"/>
      <c r="G1111" s="73"/>
    </row>
    <row r="1112" spans="2:7" ht="32.25" customHeight="1" x14ac:dyDescent="0.35">
      <c r="B1112" s="73"/>
      <c r="C1112" s="73"/>
      <c r="D1112" s="73"/>
      <c r="E1112" s="73"/>
      <c r="F1112" s="73"/>
      <c r="G1112" s="73"/>
    </row>
    <row r="1113" spans="2:7" ht="32.25" customHeight="1" x14ac:dyDescent="0.35">
      <c r="B1113" s="73"/>
      <c r="C1113" s="73"/>
      <c r="D1113" s="73"/>
      <c r="E1113" s="73"/>
      <c r="F1113" s="73"/>
      <c r="G1113" s="73"/>
    </row>
    <row r="1114" spans="2:7" ht="32.25" customHeight="1" x14ac:dyDescent="0.35">
      <c r="B1114" s="73"/>
      <c r="C1114" s="73"/>
      <c r="D1114" s="73"/>
      <c r="E1114" s="73"/>
      <c r="F1114" s="73"/>
      <c r="G1114" s="73"/>
    </row>
    <row r="1115" spans="2:7" ht="32.25" customHeight="1" x14ac:dyDescent="0.35">
      <c r="B1115" s="73"/>
      <c r="C1115" s="73"/>
      <c r="D1115" s="73"/>
      <c r="E1115" s="73"/>
      <c r="F1115" s="73"/>
      <c r="G1115" s="73"/>
    </row>
    <row r="1116" spans="2:7" ht="32.25" customHeight="1" x14ac:dyDescent="0.35">
      <c r="B1116" s="73"/>
      <c r="C1116" s="73"/>
      <c r="D1116" s="73"/>
      <c r="E1116" s="73"/>
      <c r="F1116" s="73"/>
      <c r="G1116" s="73"/>
    </row>
    <row r="1117" spans="2:7" ht="32.25" customHeight="1" x14ac:dyDescent="0.35">
      <c r="B1117" s="73"/>
      <c r="C1117" s="73"/>
      <c r="D1117" s="73"/>
      <c r="E1117" s="73"/>
      <c r="F1117" s="73"/>
      <c r="G1117" s="73"/>
    </row>
    <row r="1118" spans="2:7" ht="32.25" customHeight="1" x14ac:dyDescent="0.35">
      <c r="B1118" s="73"/>
      <c r="C1118" s="73"/>
      <c r="D1118" s="73"/>
      <c r="E1118" s="73"/>
      <c r="F1118" s="73"/>
      <c r="G1118" s="73"/>
    </row>
    <row r="1119" spans="2:7" ht="32.25" customHeight="1" x14ac:dyDescent="0.35">
      <c r="B1119" s="73"/>
      <c r="C1119" s="73"/>
      <c r="D1119" s="73"/>
      <c r="E1119" s="73"/>
      <c r="F1119" s="73"/>
      <c r="G1119" s="73"/>
    </row>
    <row r="1120" spans="2:7" ht="32.25" customHeight="1" x14ac:dyDescent="0.35">
      <c r="B1120" s="73"/>
      <c r="C1120" s="73"/>
      <c r="D1120" s="73"/>
      <c r="E1120" s="73"/>
      <c r="F1120" s="73"/>
      <c r="G1120" s="73"/>
    </row>
    <row r="1121" spans="2:7" ht="32.25" customHeight="1" x14ac:dyDescent="0.35">
      <c r="B1121" s="73"/>
      <c r="C1121" s="73"/>
      <c r="D1121" s="73"/>
      <c r="E1121" s="73"/>
      <c r="F1121" s="73"/>
      <c r="G1121" s="73"/>
    </row>
    <row r="1122" spans="2:7" ht="32.25" customHeight="1" x14ac:dyDescent="0.35">
      <c r="B1122" s="73"/>
      <c r="C1122" s="73"/>
      <c r="D1122" s="73"/>
      <c r="E1122" s="73"/>
      <c r="F1122" s="73"/>
      <c r="G1122" s="73"/>
    </row>
    <row r="1123" spans="2:7" ht="32.25" customHeight="1" x14ac:dyDescent="0.35">
      <c r="B1123" s="73"/>
      <c r="C1123" s="73"/>
      <c r="D1123" s="73"/>
      <c r="E1123" s="73"/>
      <c r="F1123" s="73"/>
      <c r="G1123" s="73"/>
    </row>
    <row r="1124" spans="2:7" ht="32.25" customHeight="1" x14ac:dyDescent="0.35">
      <c r="B1124" s="73"/>
      <c r="C1124" s="73"/>
      <c r="D1124" s="73"/>
      <c r="E1124" s="73"/>
      <c r="F1124" s="73"/>
      <c r="G1124" s="73"/>
    </row>
    <row r="1125" spans="2:7" ht="32.25" customHeight="1" x14ac:dyDescent="0.35">
      <c r="B1125" s="73"/>
      <c r="C1125" s="73"/>
      <c r="D1125" s="73"/>
      <c r="E1125" s="73"/>
      <c r="F1125" s="73"/>
      <c r="G1125" s="73"/>
    </row>
    <row r="1126" spans="2:7" ht="32.25" customHeight="1" x14ac:dyDescent="0.35">
      <c r="B1126" s="73"/>
      <c r="C1126" s="73"/>
      <c r="D1126" s="73"/>
      <c r="E1126" s="73"/>
      <c r="F1126" s="73"/>
      <c r="G1126" s="73"/>
    </row>
    <row r="1127" spans="2:7" ht="32.25" customHeight="1" x14ac:dyDescent="0.35">
      <c r="B1127" s="73"/>
      <c r="C1127" s="73"/>
      <c r="D1127" s="73"/>
      <c r="E1127" s="73"/>
      <c r="F1127" s="73"/>
      <c r="G1127" s="73"/>
    </row>
    <row r="1128" spans="2:7" ht="32.25" customHeight="1" x14ac:dyDescent="0.35">
      <c r="B1128" s="73"/>
      <c r="C1128" s="73"/>
      <c r="D1128" s="73"/>
      <c r="E1128" s="73"/>
      <c r="F1128" s="73"/>
      <c r="G1128" s="73"/>
    </row>
    <row r="1129" spans="2:7" ht="32.25" customHeight="1" x14ac:dyDescent="0.35">
      <c r="B1129" s="73"/>
      <c r="C1129" s="73"/>
      <c r="D1129" s="73"/>
      <c r="E1129" s="73"/>
      <c r="F1129" s="73"/>
      <c r="G1129" s="73"/>
    </row>
    <row r="1130" spans="2:7" ht="32.25" customHeight="1" x14ac:dyDescent="0.35">
      <c r="B1130" s="73"/>
      <c r="C1130" s="73"/>
      <c r="D1130" s="73"/>
      <c r="E1130" s="73"/>
      <c r="F1130" s="73"/>
      <c r="G1130" s="73"/>
    </row>
    <row r="1131" spans="2:7" ht="32.25" customHeight="1" x14ac:dyDescent="0.35">
      <c r="B1131" s="73"/>
      <c r="C1131" s="73"/>
      <c r="D1131" s="73"/>
      <c r="E1131" s="73"/>
      <c r="F1131" s="73"/>
      <c r="G1131" s="73"/>
    </row>
    <row r="1132" spans="2:7" ht="32.25" customHeight="1" x14ac:dyDescent="0.35">
      <c r="B1132" s="73"/>
      <c r="C1132" s="73"/>
      <c r="D1132" s="73"/>
      <c r="E1132" s="73"/>
      <c r="F1132" s="73"/>
      <c r="G1132" s="73"/>
    </row>
    <row r="1133" spans="2:7" ht="32.25" customHeight="1" x14ac:dyDescent="0.35">
      <c r="B1133" s="73"/>
      <c r="C1133" s="73"/>
      <c r="D1133" s="73"/>
      <c r="E1133" s="73"/>
      <c r="F1133" s="73"/>
      <c r="G1133" s="73"/>
    </row>
    <row r="1134" spans="2:7" ht="32.25" customHeight="1" x14ac:dyDescent="0.35">
      <c r="B1134" s="73"/>
      <c r="C1134" s="73"/>
      <c r="D1134" s="73"/>
      <c r="E1134" s="73"/>
      <c r="F1134" s="73"/>
      <c r="G1134" s="73"/>
    </row>
    <row r="1135" spans="2:7" ht="32.25" customHeight="1" x14ac:dyDescent="0.35">
      <c r="B1135" s="73"/>
      <c r="C1135" s="73"/>
      <c r="D1135" s="73"/>
      <c r="E1135" s="73"/>
      <c r="F1135" s="73"/>
      <c r="G1135" s="73"/>
    </row>
    <row r="1136" spans="2:7" ht="32.25" customHeight="1" x14ac:dyDescent="0.35">
      <c r="B1136" s="73"/>
      <c r="C1136" s="73"/>
      <c r="D1136" s="73"/>
      <c r="E1136" s="73"/>
      <c r="F1136" s="73"/>
      <c r="G1136" s="73"/>
    </row>
    <row r="1137" spans="2:7" ht="32.25" customHeight="1" x14ac:dyDescent="0.35">
      <c r="B1137" s="73"/>
      <c r="C1137" s="73"/>
      <c r="D1137" s="73"/>
      <c r="E1137" s="73"/>
      <c r="F1137" s="73"/>
      <c r="G1137" s="73"/>
    </row>
    <row r="1138" spans="2:7" ht="32.25" customHeight="1" x14ac:dyDescent="0.35">
      <c r="B1138" s="73"/>
      <c r="C1138" s="73"/>
      <c r="D1138" s="73"/>
      <c r="E1138" s="73"/>
      <c r="F1138" s="73"/>
      <c r="G1138" s="73"/>
    </row>
    <row r="1139" spans="2:7" ht="32.25" customHeight="1" x14ac:dyDescent="0.35">
      <c r="B1139" s="73"/>
      <c r="C1139" s="73"/>
      <c r="D1139" s="73"/>
      <c r="E1139" s="73"/>
      <c r="F1139" s="73"/>
      <c r="G1139" s="73"/>
    </row>
    <row r="1140" spans="2:7" ht="32.25" customHeight="1" x14ac:dyDescent="0.35">
      <c r="B1140" s="73"/>
      <c r="C1140" s="73"/>
      <c r="D1140" s="73"/>
      <c r="E1140" s="73"/>
      <c r="F1140" s="73"/>
      <c r="G1140" s="73"/>
    </row>
    <row r="1141" spans="2:7" ht="32.25" customHeight="1" x14ac:dyDescent="0.35">
      <c r="B1141" s="73"/>
      <c r="C1141" s="73"/>
      <c r="D1141" s="73"/>
      <c r="E1141" s="73"/>
      <c r="F1141" s="73"/>
      <c r="G1141" s="73"/>
    </row>
    <row r="1142" spans="2:7" ht="32.25" customHeight="1" x14ac:dyDescent="0.35">
      <c r="B1142" s="73"/>
      <c r="C1142" s="73"/>
      <c r="D1142" s="73"/>
      <c r="E1142" s="73"/>
      <c r="F1142" s="73"/>
      <c r="G1142" s="73"/>
    </row>
    <row r="1143" spans="2:7" ht="32.25" customHeight="1" x14ac:dyDescent="0.35">
      <c r="B1143" s="73"/>
      <c r="C1143" s="73"/>
      <c r="D1143" s="73"/>
      <c r="E1143" s="73"/>
      <c r="F1143" s="73"/>
      <c r="G1143" s="73"/>
    </row>
    <row r="1144" spans="2:7" ht="32.25" customHeight="1" x14ac:dyDescent="0.35">
      <c r="B1144" s="73"/>
      <c r="C1144" s="73"/>
      <c r="D1144" s="73"/>
      <c r="E1144" s="73"/>
      <c r="F1144" s="73"/>
      <c r="G1144" s="73"/>
    </row>
    <row r="1145" spans="2:7" ht="32.25" customHeight="1" x14ac:dyDescent="0.35">
      <c r="B1145" s="73"/>
      <c r="C1145" s="73"/>
      <c r="D1145" s="73"/>
      <c r="E1145" s="73"/>
      <c r="F1145" s="73"/>
      <c r="G1145" s="73"/>
    </row>
    <row r="1146" spans="2:7" ht="32.25" customHeight="1" x14ac:dyDescent="0.35">
      <c r="B1146" s="73"/>
      <c r="C1146" s="73"/>
      <c r="D1146" s="73"/>
      <c r="E1146" s="73"/>
      <c r="F1146" s="73"/>
      <c r="G1146" s="73"/>
    </row>
    <row r="1147" spans="2:7" ht="32.25" customHeight="1" x14ac:dyDescent="0.35">
      <c r="B1147" s="73"/>
      <c r="C1147" s="73"/>
      <c r="D1147" s="73"/>
      <c r="E1147" s="73"/>
      <c r="F1147" s="73"/>
      <c r="G1147" s="73"/>
    </row>
    <row r="1148" spans="2:7" ht="32.25" customHeight="1" x14ac:dyDescent="0.35">
      <c r="B1148" s="73"/>
      <c r="C1148" s="73"/>
      <c r="D1148" s="73"/>
      <c r="E1148" s="73"/>
      <c r="F1148" s="73"/>
      <c r="G1148" s="73"/>
    </row>
    <row r="1149" spans="2:7" ht="32.25" customHeight="1" x14ac:dyDescent="0.35">
      <c r="B1149" s="73"/>
      <c r="C1149" s="73"/>
      <c r="D1149" s="73"/>
      <c r="E1149" s="73"/>
      <c r="F1149" s="73"/>
      <c r="G1149" s="73"/>
    </row>
    <row r="1150" spans="2:7" ht="32.25" customHeight="1" x14ac:dyDescent="0.35">
      <c r="B1150" s="73"/>
      <c r="C1150" s="73"/>
      <c r="D1150" s="73"/>
      <c r="E1150" s="73"/>
      <c r="F1150" s="73"/>
      <c r="G1150" s="73"/>
    </row>
    <row r="1151" spans="2:7" ht="32.25" customHeight="1" x14ac:dyDescent="0.35">
      <c r="B1151" s="73"/>
      <c r="C1151" s="73"/>
      <c r="D1151" s="73"/>
      <c r="E1151" s="73"/>
      <c r="F1151" s="73"/>
      <c r="G1151" s="73"/>
    </row>
    <row r="1152" spans="2:7" ht="32.25" customHeight="1" x14ac:dyDescent="0.35">
      <c r="B1152" s="73"/>
      <c r="C1152" s="73"/>
      <c r="D1152" s="73"/>
      <c r="E1152" s="73"/>
      <c r="F1152" s="73"/>
      <c r="G1152" s="73"/>
    </row>
    <row r="1153" spans="2:7" ht="32.25" customHeight="1" x14ac:dyDescent="0.35">
      <c r="B1153" s="73"/>
      <c r="C1153" s="73"/>
      <c r="D1153" s="73"/>
      <c r="E1153" s="73"/>
      <c r="F1153" s="73"/>
      <c r="G1153" s="73"/>
    </row>
    <row r="1154" spans="2:7" ht="32.25" customHeight="1" x14ac:dyDescent="0.35">
      <c r="B1154" s="73"/>
      <c r="C1154" s="73"/>
      <c r="D1154" s="73"/>
      <c r="E1154" s="73"/>
      <c r="F1154" s="73"/>
      <c r="G1154" s="73"/>
    </row>
    <row r="1155" spans="2:7" ht="32.25" customHeight="1" x14ac:dyDescent="0.35">
      <c r="B1155" s="73"/>
      <c r="C1155" s="73"/>
      <c r="D1155" s="73"/>
      <c r="E1155" s="73"/>
      <c r="F1155" s="73"/>
      <c r="G1155" s="73"/>
    </row>
    <row r="1156" spans="2:7" ht="32.25" customHeight="1" x14ac:dyDescent="0.35">
      <c r="B1156" s="73"/>
      <c r="C1156" s="73"/>
      <c r="D1156" s="73"/>
      <c r="E1156" s="73"/>
      <c r="F1156" s="73"/>
      <c r="G1156" s="73"/>
    </row>
    <row r="1157" spans="2:7" ht="32.25" customHeight="1" x14ac:dyDescent="0.35">
      <c r="B1157" s="73"/>
      <c r="C1157" s="73"/>
      <c r="D1157" s="73"/>
      <c r="E1157" s="73"/>
      <c r="F1157" s="73"/>
      <c r="G1157" s="73"/>
    </row>
    <row r="1158" spans="2:7" ht="32.25" customHeight="1" x14ac:dyDescent="0.35">
      <c r="B1158" s="73"/>
      <c r="C1158" s="73"/>
      <c r="D1158" s="73"/>
      <c r="E1158" s="73"/>
      <c r="F1158" s="73"/>
      <c r="G1158" s="73"/>
    </row>
    <row r="1159" spans="2:7" ht="32.25" customHeight="1" x14ac:dyDescent="0.35">
      <c r="B1159" s="73"/>
      <c r="C1159" s="73"/>
      <c r="D1159" s="73"/>
      <c r="E1159" s="73"/>
      <c r="F1159" s="73"/>
      <c r="G1159" s="73"/>
    </row>
    <row r="1160" spans="2:7" ht="32.25" customHeight="1" x14ac:dyDescent="0.35">
      <c r="B1160" s="73"/>
      <c r="C1160" s="73"/>
      <c r="D1160" s="73"/>
      <c r="E1160" s="73"/>
      <c r="F1160" s="73"/>
      <c r="G1160" s="73"/>
    </row>
    <row r="1161" spans="2:7" ht="32.25" customHeight="1" x14ac:dyDescent="0.35">
      <c r="B1161" s="73"/>
      <c r="C1161" s="73"/>
      <c r="D1161" s="73"/>
      <c r="E1161" s="73"/>
      <c r="F1161" s="73"/>
      <c r="G1161" s="73"/>
    </row>
    <row r="1162" spans="2:7" ht="32.25" customHeight="1" x14ac:dyDescent="0.35">
      <c r="B1162" s="73"/>
      <c r="C1162" s="73"/>
      <c r="D1162" s="73"/>
      <c r="E1162" s="73"/>
      <c r="F1162" s="73"/>
      <c r="G1162" s="73"/>
    </row>
    <row r="1163" spans="2:7" ht="32.25" customHeight="1" x14ac:dyDescent="0.35">
      <c r="B1163" s="73"/>
      <c r="C1163" s="73"/>
      <c r="D1163" s="73"/>
      <c r="E1163" s="73"/>
      <c r="F1163" s="73"/>
      <c r="G1163" s="73"/>
    </row>
    <row r="1164" spans="2:7" ht="32.25" customHeight="1" x14ac:dyDescent="0.35">
      <c r="B1164" s="73"/>
      <c r="C1164" s="73"/>
      <c r="D1164" s="73"/>
      <c r="E1164" s="73"/>
      <c r="F1164" s="73"/>
      <c r="G1164" s="73"/>
    </row>
    <row r="1165" spans="2:7" ht="32.25" customHeight="1" x14ac:dyDescent="0.35">
      <c r="B1165" s="73"/>
      <c r="C1165" s="73"/>
      <c r="D1165" s="73"/>
      <c r="E1165" s="73"/>
      <c r="F1165" s="73"/>
      <c r="G1165" s="73"/>
    </row>
    <row r="1166" spans="2:7" ht="32.25" customHeight="1" x14ac:dyDescent="0.35">
      <c r="B1166" s="73"/>
      <c r="C1166" s="73"/>
      <c r="D1166" s="73"/>
      <c r="E1166" s="73"/>
      <c r="F1166" s="73"/>
      <c r="G1166" s="73"/>
    </row>
    <row r="1167" spans="2:7" ht="32.25" customHeight="1" x14ac:dyDescent="0.35">
      <c r="B1167" s="73"/>
      <c r="C1167" s="73"/>
      <c r="D1167" s="73"/>
      <c r="E1167" s="73"/>
      <c r="F1167" s="73"/>
      <c r="G1167" s="73"/>
    </row>
    <row r="1168" spans="2:7" ht="32.25" customHeight="1" x14ac:dyDescent="0.35">
      <c r="B1168" s="73"/>
      <c r="C1168" s="73"/>
      <c r="D1168" s="73"/>
      <c r="E1168" s="73"/>
      <c r="F1168" s="73"/>
      <c r="G1168" s="73"/>
    </row>
    <row r="1169" spans="2:7" ht="32.25" customHeight="1" x14ac:dyDescent="0.35">
      <c r="B1169" s="73"/>
      <c r="C1169" s="73"/>
      <c r="D1169" s="73"/>
      <c r="E1169" s="73"/>
      <c r="F1169" s="73"/>
      <c r="G1169" s="73"/>
    </row>
    <row r="1170" spans="2:7" ht="32.25" customHeight="1" x14ac:dyDescent="0.35">
      <c r="B1170" s="73"/>
      <c r="C1170" s="73"/>
      <c r="D1170" s="73"/>
      <c r="E1170" s="73"/>
      <c r="F1170" s="73"/>
      <c r="G1170" s="73"/>
    </row>
    <row r="1171" spans="2:7" ht="32.25" customHeight="1" x14ac:dyDescent="0.35">
      <c r="B1171" s="73"/>
      <c r="C1171" s="73"/>
      <c r="D1171" s="73"/>
      <c r="E1171" s="73"/>
      <c r="F1171" s="73"/>
      <c r="G1171" s="73"/>
    </row>
    <row r="1172" spans="2:7" ht="32.25" customHeight="1" x14ac:dyDescent="0.35">
      <c r="B1172" s="73"/>
      <c r="C1172" s="73"/>
      <c r="D1172" s="73"/>
      <c r="E1172" s="73"/>
      <c r="F1172" s="73"/>
      <c r="G1172" s="73"/>
    </row>
    <row r="1173" spans="2:7" ht="32.25" customHeight="1" x14ac:dyDescent="0.35">
      <c r="B1173" s="73"/>
      <c r="C1173" s="73"/>
      <c r="D1173" s="73"/>
      <c r="E1173" s="73"/>
      <c r="F1173" s="73"/>
      <c r="G1173" s="73"/>
    </row>
    <row r="1174" spans="2:7" ht="32.25" customHeight="1" x14ac:dyDescent="0.35">
      <c r="B1174" s="73"/>
      <c r="C1174" s="73"/>
      <c r="D1174" s="73"/>
      <c r="E1174" s="73"/>
      <c r="F1174" s="73"/>
      <c r="G1174" s="73"/>
    </row>
    <row r="1175" spans="2:7" ht="32.25" customHeight="1" x14ac:dyDescent="0.35">
      <c r="B1175" s="73"/>
      <c r="C1175" s="73"/>
      <c r="D1175" s="73"/>
      <c r="E1175" s="73"/>
      <c r="F1175" s="73"/>
      <c r="G1175" s="73"/>
    </row>
    <row r="1176" spans="2:7" ht="32.25" customHeight="1" x14ac:dyDescent="0.35">
      <c r="B1176" s="73"/>
      <c r="C1176" s="73"/>
      <c r="D1176" s="73"/>
      <c r="E1176" s="73"/>
      <c r="F1176" s="73"/>
      <c r="G1176" s="73"/>
    </row>
    <row r="1177" spans="2:7" ht="32.25" customHeight="1" x14ac:dyDescent="0.35">
      <c r="B1177" s="73"/>
      <c r="C1177" s="73"/>
      <c r="D1177" s="73"/>
      <c r="E1177" s="73"/>
      <c r="F1177" s="73"/>
      <c r="G1177" s="73"/>
    </row>
    <row r="1178" spans="2:7" ht="32.25" customHeight="1" x14ac:dyDescent="0.35">
      <c r="B1178" s="73"/>
      <c r="C1178" s="73"/>
      <c r="D1178" s="73"/>
      <c r="E1178" s="73"/>
      <c r="F1178" s="73"/>
      <c r="G1178" s="73"/>
    </row>
    <row r="1179" spans="2:7" ht="32.25" customHeight="1" x14ac:dyDescent="0.35">
      <c r="B1179" s="73"/>
      <c r="C1179" s="73"/>
      <c r="D1179" s="73"/>
      <c r="E1179" s="73"/>
      <c r="F1179" s="73"/>
      <c r="G1179" s="73"/>
    </row>
    <row r="1180" spans="2:7" ht="32.25" customHeight="1" x14ac:dyDescent="0.35">
      <c r="B1180" s="73"/>
      <c r="C1180" s="73"/>
      <c r="D1180" s="73"/>
      <c r="E1180" s="73"/>
      <c r="F1180" s="73"/>
      <c r="G1180" s="73"/>
    </row>
    <row r="1181" spans="2:7" ht="32.25" customHeight="1" x14ac:dyDescent="0.35">
      <c r="B1181" s="73"/>
      <c r="C1181" s="73"/>
      <c r="D1181" s="73"/>
      <c r="E1181" s="73"/>
      <c r="F1181" s="73"/>
      <c r="G1181" s="73"/>
    </row>
    <row r="1182" spans="2:7" ht="32.25" customHeight="1" x14ac:dyDescent="0.35">
      <c r="B1182" s="73"/>
      <c r="C1182" s="73"/>
      <c r="D1182" s="73"/>
      <c r="E1182" s="73"/>
      <c r="F1182" s="73"/>
      <c r="G1182" s="73"/>
    </row>
    <row r="1183" spans="2:7" ht="32.25" customHeight="1" x14ac:dyDescent="0.35">
      <c r="B1183" s="73"/>
      <c r="C1183" s="73"/>
      <c r="D1183" s="73"/>
      <c r="E1183" s="73"/>
      <c r="F1183" s="73"/>
      <c r="G1183" s="73"/>
    </row>
    <row r="1184" spans="2:7" ht="32.25" customHeight="1" x14ac:dyDescent="0.35">
      <c r="B1184" s="73"/>
      <c r="C1184" s="73"/>
      <c r="D1184" s="73"/>
      <c r="E1184" s="73"/>
      <c r="F1184" s="73"/>
      <c r="G1184" s="73"/>
    </row>
    <row r="1185" spans="2:7" ht="32.25" customHeight="1" x14ac:dyDescent="0.35">
      <c r="B1185" s="73"/>
      <c r="C1185" s="73"/>
      <c r="D1185" s="73"/>
      <c r="E1185" s="73"/>
      <c r="F1185" s="73"/>
      <c r="G1185" s="73"/>
    </row>
    <row r="1186" spans="2:7" ht="32.25" customHeight="1" x14ac:dyDescent="0.35">
      <c r="B1186" s="73"/>
      <c r="C1186" s="73"/>
      <c r="D1186" s="73"/>
      <c r="E1186" s="73"/>
      <c r="F1186" s="73"/>
      <c r="G1186" s="73"/>
    </row>
    <row r="1187" spans="2:7" ht="32.25" customHeight="1" x14ac:dyDescent="0.35">
      <c r="B1187" s="73"/>
      <c r="C1187" s="73"/>
      <c r="D1187" s="73"/>
      <c r="E1187" s="73"/>
      <c r="F1187" s="73"/>
      <c r="G1187" s="73"/>
    </row>
    <row r="1188" spans="2:7" ht="32.25" customHeight="1" x14ac:dyDescent="0.35">
      <c r="B1188" s="73"/>
      <c r="C1188" s="73"/>
      <c r="D1188" s="73"/>
      <c r="E1188" s="73"/>
      <c r="F1188" s="73"/>
      <c r="G1188" s="73"/>
    </row>
    <row r="1189" spans="2:7" ht="32.25" customHeight="1" x14ac:dyDescent="0.35">
      <c r="B1189" s="73"/>
      <c r="C1189" s="73"/>
      <c r="D1189" s="73"/>
      <c r="E1189" s="73"/>
      <c r="F1189" s="73"/>
      <c r="G1189" s="73"/>
    </row>
    <row r="1190" spans="2:7" ht="32.25" customHeight="1" x14ac:dyDescent="0.35">
      <c r="B1190" s="73"/>
      <c r="C1190" s="73"/>
      <c r="D1190" s="73"/>
      <c r="E1190" s="73"/>
      <c r="F1190" s="73"/>
      <c r="G1190" s="73"/>
    </row>
    <row r="1191" spans="2:7" ht="32.25" customHeight="1" x14ac:dyDescent="0.35">
      <c r="B1191" s="73"/>
      <c r="C1191" s="73"/>
      <c r="D1191" s="73"/>
      <c r="E1191" s="73"/>
      <c r="F1191" s="73"/>
      <c r="G1191" s="73"/>
    </row>
    <row r="1192" spans="2:7" ht="32.25" customHeight="1" x14ac:dyDescent="0.35">
      <c r="B1192" s="73"/>
      <c r="C1192" s="73"/>
      <c r="D1192" s="73"/>
      <c r="E1192" s="73"/>
      <c r="F1192" s="73"/>
      <c r="G1192" s="73"/>
    </row>
    <row r="1193" spans="2:7" ht="32.25" customHeight="1" x14ac:dyDescent="0.35">
      <c r="B1193" s="73"/>
      <c r="C1193" s="73"/>
      <c r="D1193" s="73"/>
      <c r="E1193" s="73"/>
      <c r="F1193" s="73"/>
      <c r="G1193" s="73"/>
    </row>
    <row r="1194" spans="2:7" ht="32.25" customHeight="1" x14ac:dyDescent="0.35">
      <c r="B1194" s="73"/>
      <c r="C1194" s="73"/>
      <c r="D1194" s="73"/>
      <c r="E1194" s="73"/>
      <c r="F1194" s="73"/>
      <c r="G1194" s="73"/>
    </row>
    <row r="1195" spans="2:7" ht="32.25" customHeight="1" x14ac:dyDescent="0.35">
      <c r="B1195" s="73"/>
      <c r="C1195" s="73"/>
      <c r="D1195" s="73"/>
      <c r="E1195" s="73"/>
      <c r="F1195" s="73"/>
      <c r="G1195" s="73"/>
    </row>
    <row r="1196" spans="2:7" ht="32.25" customHeight="1" x14ac:dyDescent="0.35">
      <c r="B1196" s="73"/>
      <c r="C1196" s="73"/>
      <c r="D1196" s="73"/>
      <c r="E1196" s="73"/>
      <c r="F1196" s="73"/>
      <c r="G1196" s="73"/>
    </row>
    <row r="1197" spans="2:7" ht="32.25" customHeight="1" x14ac:dyDescent="0.35">
      <c r="B1197" s="73"/>
      <c r="C1197" s="73"/>
      <c r="D1197" s="73"/>
      <c r="E1197" s="73"/>
      <c r="F1197" s="73"/>
      <c r="G1197" s="73"/>
    </row>
    <row r="1198" spans="2:7" ht="32.25" customHeight="1" x14ac:dyDescent="0.35">
      <c r="B1198" s="73"/>
      <c r="C1198" s="73"/>
      <c r="D1198" s="73"/>
      <c r="E1198" s="73"/>
      <c r="F1198" s="73"/>
      <c r="G1198" s="73"/>
    </row>
    <row r="1199" spans="2:7" ht="32.25" customHeight="1" x14ac:dyDescent="0.35">
      <c r="B1199" s="73"/>
      <c r="C1199" s="73"/>
      <c r="D1199" s="73"/>
      <c r="E1199" s="73"/>
      <c r="F1199" s="73"/>
      <c r="G1199" s="73"/>
    </row>
    <row r="1200" spans="2:7" ht="32.25" customHeight="1" x14ac:dyDescent="0.35">
      <c r="B1200" s="73"/>
      <c r="C1200" s="73"/>
      <c r="D1200" s="73"/>
      <c r="E1200" s="73"/>
      <c r="F1200" s="73"/>
      <c r="G1200" s="73"/>
    </row>
    <row r="1201" spans="2:7" ht="32.25" customHeight="1" x14ac:dyDescent="0.35">
      <c r="B1201" s="73"/>
      <c r="C1201" s="73"/>
      <c r="D1201" s="73"/>
      <c r="E1201" s="73"/>
      <c r="F1201" s="73"/>
      <c r="G1201" s="73"/>
    </row>
    <row r="1202" spans="2:7" ht="32.25" customHeight="1" x14ac:dyDescent="0.35">
      <c r="B1202" s="73"/>
      <c r="C1202" s="73"/>
      <c r="D1202" s="73"/>
      <c r="E1202" s="73"/>
      <c r="F1202" s="73"/>
      <c r="G1202" s="73"/>
    </row>
    <row r="1203" spans="2:7" ht="32.25" customHeight="1" x14ac:dyDescent="0.35">
      <c r="B1203" s="73"/>
      <c r="C1203" s="73"/>
      <c r="D1203" s="73"/>
      <c r="E1203" s="73"/>
      <c r="F1203" s="73"/>
      <c r="G1203" s="73"/>
    </row>
    <row r="1204" spans="2:7" ht="32.25" customHeight="1" x14ac:dyDescent="0.35">
      <c r="B1204" s="73"/>
      <c r="C1204" s="73"/>
      <c r="D1204" s="73"/>
      <c r="E1204" s="73"/>
      <c r="F1204" s="73"/>
      <c r="G1204" s="73"/>
    </row>
    <row r="1205" spans="2:7" ht="32.25" customHeight="1" x14ac:dyDescent="0.35">
      <c r="B1205" s="73"/>
      <c r="C1205" s="73"/>
      <c r="D1205" s="73"/>
      <c r="E1205" s="73"/>
      <c r="F1205" s="73"/>
      <c r="G1205" s="73"/>
    </row>
    <row r="1206" spans="2:7" ht="32.25" customHeight="1" x14ac:dyDescent="0.35">
      <c r="B1206" s="73"/>
      <c r="C1206" s="73"/>
      <c r="D1206" s="73"/>
      <c r="E1206" s="73"/>
      <c r="F1206" s="73"/>
      <c r="G1206" s="73"/>
    </row>
    <row r="1207" spans="2:7" ht="32.25" customHeight="1" x14ac:dyDescent="0.35">
      <c r="B1207" s="73"/>
      <c r="C1207" s="73"/>
      <c r="D1207" s="73"/>
      <c r="E1207" s="73"/>
      <c r="F1207" s="73"/>
      <c r="G1207" s="73"/>
    </row>
    <row r="1208" spans="2:7" ht="32.25" customHeight="1" x14ac:dyDescent="0.35">
      <c r="B1208" s="73"/>
      <c r="C1208" s="73"/>
      <c r="D1208" s="73"/>
      <c r="E1208" s="73"/>
      <c r="F1208" s="73"/>
      <c r="G1208" s="73"/>
    </row>
    <row r="1209" spans="2:7" ht="32.25" customHeight="1" x14ac:dyDescent="0.35">
      <c r="B1209" s="73"/>
      <c r="C1209" s="73"/>
      <c r="D1209" s="73"/>
      <c r="E1209" s="73"/>
      <c r="F1209" s="73"/>
      <c r="G1209" s="73"/>
    </row>
    <row r="1210" spans="2:7" ht="32.25" customHeight="1" x14ac:dyDescent="0.35">
      <c r="B1210" s="73"/>
      <c r="C1210" s="73"/>
      <c r="D1210" s="73"/>
      <c r="E1210" s="73"/>
      <c r="F1210" s="73"/>
      <c r="G1210" s="73"/>
    </row>
    <row r="1211" spans="2:7" ht="32.25" customHeight="1" x14ac:dyDescent="0.35">
      <c r="B1211" s="73"/>
      <c r="C1211" s="73"/>
      <c r="D1211" s="73"/>
      <c r="E1211" s="73"/>
      <c r="F1211" s="73"/>
      <c r="G1211" s="73"/>
    </row>
    <row r="1212" spans="2:7" ht="32.25" customHeight="1" x14ac:dyDescent="0.35">
      <c r="B1212" s="73"/>
      <c r="C1212" s="73"/>
      <c r="D1212" s="73"/>
      <c r="E1212" s="73"/>
      <c r="F1212" s="73"/>
      <c r="G1212" s="73"/>
    </row>
    <row r="1213" spans="2:7" ht="32.25" customHeight="1" x14ac:dyDescent="0.35">
      <c r="B1213" s="73"/>
      <c r="C1213" s="73"/>
      <c r="D1213" s="73"/>
      <c r="E1213" s="73"/>
      <c r="F1213" s="73"/>
      <c r="G1213" s="73"/>
    </row>
    <row r="1214" spans="2:7" ht="32.25" customHeight="1" x14ac:dyDescent="0.35">
      <c r="B1214" s="73"/>
      <c r="C1214" s="73"/>
      <c r="D1214" s="73"/>
      <c r="E1214" s="73"/>
      <c r="F1214" s="73"/>
      <c r="G1214" s="73"/>
    </row>
    <row r="1215" spans="2:7" ht="32.25" customHeight="1" x14ac:dyDescent="0.35">
      <c r="B1215" s="73"/>
      <c r="C1215" s="73"/>
      <c r="D1215" s="73"/>
      <c r="E1215" s="73"/>
      <c r="F1215" s="73"/>
      <c r="G1215" s="73"/>
    </row>
    <row r="1216" spans="2:7" ht="32.25" customHeight="1" x14ac:dyDescent="0.35">
      <c r="B1216" s="73"/>
      <c r="C1216" s="73"/>
      <c r="D1216" s="73"/>
      <c r="E1216" s="73"/>
      <c r="F1216" s="73"/>
      <c r="G1216" s="73"/>
    </row>
    <row r="1217" spans="2:7" ht="32.25" customHeight="1" x14ac:dyDescent="0.35">
      <c r="B1217" s="73"/>
      <c r="C1217" s="73"/>
      <c r="D1217" s="73"/>
      <c r="E1217" s="73"/>
      <c r="F1217" s="73"/>
      <c r="G1217" s="73"/>
    </row>
    <row r="1218" spans="2:7" ht="32.25" customHeight="1" x14ac:dyDescent="0.35">
      <c r="B1218" s="73"/>
      <c r="C1218" s="73"/>
      <c r="D1218" s="73"/>
      <c r="E1218" s="73"/>
      <c r="F1218" s="73"/>
      <c r="G1218" s="73"/>
    </row>
    <row r="1219" spans="2:7" ht="32.25" customHeight="1" x14ac:dyDescent="0.35">
      <c r="B1219" s="73"/>
      <c r="C1219" s="73"/>
      <c r="D1219" s="73"/>
      <c r="E1219" s="73"/>
      <c r="F1219" s="73"/>
      <c r="G1219" s="73"/>
    </row>
    <row r="1220" spans="2:7" ht="32.25" customHeight="1" x14ac:dyDescent="0.35">
      <c r="B1220" s="73"/>
      <c r="C1220" s="73"/>
      <c r="D1220" s="73"/>
      <c r="E1220" s="73"/>
      <c r="F1220" s="73"/>
      <c r="G1220" s="73"/>
    </row>
    <row r="1221" spans="2:7" ht="32.25" customHeight="1" x14ac:dyDescent="0.35">
      <c r="B1221" s="73"/>
      <c r="C1221" s="73"/>
      <c r="D1221" s="73"/>
      <c r="E1221" s="73"/>
      <c r="F1221" s="73"/>
      <c r="G1221" s="73"/>
    </row>
    <row r="1222" spans="2:7" ht="32.25" customHeight="1" x14ac:dyDescent="0.35">
      <c r="B1222" s="73"/>
      <c r="C1222" s="73"/>
      <c r="D1222" s="73"/>
      <c r="E1222" s="73"/>
      <c r="F1222" s="73"/>
      <c r="G1222" s="73"/>
    </row>
    <row r="1223" spans="2:7" ht="32.25" customHeight="1" x14ac:dyDescent="0.35">
      <c r="B1223" s="73"/>
      <c r="C1223" s="73"/>
      <c r="D1223" s="73"/>
      <c r="E1223" s="73"/>
      <c r="F1223" s="73"/>
      <c r="G1223" s="73"/>
    </row>
    <row r="1224" spans="2:7" ht="32.25" customHeight="1" x14ac:dyDescent="0.35">
      <c r="B1224" s="73"/>
      <c r="C1224" s="73"/>
      <c r="D1224" s="73"/>
      <c r="E1224" s="73"/>
      <c r="F1224" s="73"/>
      <c r="G1224" s="73"/>
    </row>
    <row r="1225" spans="2:7" ht="32.25" customHeight="1" x14ac:dyDescent="0.35">
      <c r="B1225" s="73"/>
      <c r="C1225" s="73"/>
      <c r="D1225" s="73"/>
      <c r="E1225" s="73"/>
      <c r="F1225" s="73"/>
      <c r="G1225" s="73"/>
    </row>
    <row r="1226" spans="2:7" ht="32.25" customHeight="1" x14ac:dyDescent="0.35">
      <c r="B1226" s="73"/>
      <c r="C1226" s="73"/>
      <c r="D1226" s="73"/>
      <c r="E1226" s="73"/>
      <c r="F1226" s="73"/>
      <c r="G1226" s="73"/>
    </row>
    <row r="1227" spans="2:7" ht="32.25" customHeight="1" x14ac:dyDescent="0.35">
      <c r="B1227" s="73"/>
      <c r="C1227" s="73"/>
      <c r="D1227" s="73"/>
      <c r="E1227" s="73"/>
      <c r="F1227" s="73"/>
      <c r="G1227" s="73"/>
    </row>
    <row r="1228" spans="2:7" ht="32.25" customHeight="1" x14ac:dyDescent="0.35">
      <c r="B1228" s="73"/>
      <c r="C1228" s="73"/>
      <c r="D1228" s="73"/>
      <c r="E1228" s="73"/>
      <c r="F1228" s="73"/>
      <c r="G1228" s="73"/>
    </row>
    <row r="1229" spans="2:7" ht="32.25" customHeight="1" x14ac:dyDescent="0.35">
      <c r="B1229" s="73"/>
      <c r="C1229" s="73"/>
      <c r="D1229" s="73"/>
      <c r="E1229" s="73"/>
      <c r="F1229" s="73"/>
      <c r="G1229" s="73"/>
    </row>
    <row r="1230" spans="2:7" ht="32.25" customHeight="1" x14ac:dyDescent="0.35">
      <c r="B1230" s="73"/>
      <c r="C1230" s="73"/>
      <c r="D1230" s="73"/>
      <c r="E1230" s="73"/>
      <c r="F1230" s="73"/>
      <c r="G1230" s="73"/>
    </row>
    <row r="1231" spans="2:7" ht="32.25" customHeight="1" x14ac:dyDescent="0.35">
      <c r="B1231" s="73"/>
      <c r="C1231" s="73"/>
      <c r="D1231" s="73"/>
      <c r="E1231" s="73"/>
      <c r="F1231" s="73"/>
      <c r="G1231" s="73"/>
    </row>
    <row r="1232" spans="2:7" ht="32.25" customHeight="1" x14ac:dyDescent="0.35">
      <c r="B1232" s="73"/>
      <c r="C1232" s="73"/>
      <c r="D1232" s="73"/>
      <c r="E1232" s="73"/>
      <c r="F1232" s="73"/>
      <c r="G1232" s="73"/>
    </row>
    <row r="1233" spans="2:7" ht="32.25" customHeight="1" x14ac:dyDescent="0.35">
      <c r="B1233" s="73"/>
      <c r="C1233" s="73"/>
      <c r="D1233" s="73"/>
      <c r="E1233" s="73"/>
      <c r="F1233" s="73"/>
      <c r="G1233" s="73"/>
    </row>
    <row r="1234" spans="2:7" ht="32.25" customHeight="1" x14ac:dyDescent="0.35">
      <c r="B1234" s="73"/>
      <c r="C1234" s="73"/>
      <c r="D1234" s="73"/>
      <c r="E1234" s="73"/>
      <c r="F1234" s="73"/>
      <c r="G1234" s="73"/>
    </row>
    <row r="1235" spans="2:7" ht="32.25" customHeight="1" x14ac:dyDescent="0.35">
      <c r="B1235" s="73"/>
      <c r="C1235" s="73"/>
      <c r="D1235" s="73"/>
      <c r="E1235" s="73"/>
      <c r="F1235" s="73"/>
      <c r="G1235" s="73"/>
    </row>
    <row r="1236" spans="2:7" ht="32.25" customHeight="1" x14ac:dyDescent="0.35">
      <c r="B1236" s="73"/>
      <c r="C1236" s="73"/>
      <c r="D1236" s="73"/>
      <c r="E1236" s="73"/>
      <c r="F1236" s="73"/>
      <c r="G1236" s="73"/>
    </row>
    <row r="1237" spans="2:7" ht="32.25" customHeight="1" x14ac:dyDescent="0.35">
      <c r="B1237" s="73"/>
      <c r="C1237" s="73"/>
      <c r="D1237" s="73"/>
      <c r="E1237" s="73"/>
      <c r="F1237" s="73"/>
      <c r="G1237" s="73"/>
    </row>
    <row r="1238" spans="2:7" ht="32.25" customHeight="1" x14ac:dyDescent="0.35">
      <c r="B1238" s="73"/>
      <c r="C1238" s="73"/>
      <c r="D1238" s="73"/>
      <c r="E1238" s="73"/>
      <c r="F1238" s="73"/>
      <c r="G1238" s="73"/>
    </row>
    <row r="1239" spans="2:7" ht="32.25" customHeight="1" x14ac:dyDescent="0.35">
      <c r="B1239" s="73"/>
      <c r="C1239" s="73"/>
      <c r="D1239" s="73"/>
      <c r="E1239" s="73"/>
      <c r="F1239" s="73"/>
      <c r="G1239" s="73"/>
    </row>
    <row r="1240" spans="2:7" ht="32.25" customHeight="1" x14ac:dyDescent="0.35">
      <c r="B1240" s="73"/>
      <c r="C1240" s="73"/>
      <c r="D1240" s="73"/>
      <c r="E1240" s="73"/>
      <c r="F1240" s="73"/>
      <c r="G1240" s="73"/>
    </row>
    <row r="1241" spans="2:7" ht="32.25" customHeight="1" x14ac:dyDescent="0.35">
      <c r="B1241" s="73"/>
      <c r="C1241" s="73"/>
      <c r="D1241" s="73"/>
      <c r="E1241" s="73"/>
      <c r="F1241" s="73"/>
      <c r="G1241" s="73"/>
    </row>
    <row r="1242" spans="2:7" ht="32.25" customHeight="1" x14ac:dyDescent="0.35">
      <c r="B1242" s="73"/>
      <c r="C1242" s="73"/>
      <c r="D1242" s="73"/>
      <c r="E1242" s="73"/>
      <c r="F1242" s="73"/>
      <c r="G1242" s="73"/>
    </row>
    <row r="1243" spans="2:7" ht="32.25" customHeight="1" x14ac:dyDescent="0.35">
      <c r="B1243" s="73"/>
      <c r="C1243" s="73"/>
      <c r="D1243" s="73"/>
      <c r="E1243" s="73"/>
      <c r="F1243" s="73"/>
      <c r="G1243" s="73"/>
    </row>
    <row r="1244" spans="2:7" ht="32.25" customHeight="1" x14ac:dyDescent="0.35">
      <c r="B1244" s="73"/>
      <c r="C1244" s="73"/>
      <c r="D1244" s="73"/>
      <c r="E1244" s="73"/>
      <c r="F1244" s="73"/>
      <c r="G1244" s="73"/>
    </row>
    <row r="1245" spans="2:7" ht="32.25" customHeight="1" x14ac:dyDescent="0.35">
      <c r="B1245" s="73"/>
      <c r="C1245" s="73"/>
      <c r="D1245" s="73"/>
      <c r="E1245" s="73"/>
      <c r="F1245" s="73"/>
      <c r="G1245" s="73"/>
    </row>
    <row r="1246" spans="2:7" ht="32.25" customHeight="1" x14ac:dyDescent="0.35">
      <c r="B1246" s="73"/>
      <c r="C1246" s="73"/>
      <c r="D1246" s="73"/>
      <c r="E1246" s="73"/>
      <c r="F1246" s="73"/>
      <c r="G1246" s="73"/>
    </row>
    <row r="1247" spans="2:7" ht="32.25" customHeight="1" x14ac:dyDescent="0.35">
      <c r="B1247" s="73"/>
      <c r="C1247" s="73"/>
      <c r="D1247" s="73"/>
      <c r="E1247" s="73"/>
      <c r="F1247" s="73"/>
      <c r="G1247" s="73"/>
    </row>
    <row r="1248" spans="2:7" ht="32.25" customHeight="1" x14ac:dyDescent="0.35">
      <c r="B1248" s="73"/>
      <c r="C1248" s="73"/>
      <c r="D1248" s="73"/>
      <c r="E1248" s="73"/>
      <c r="F1248" s="73"/>
      <c r="G1248" s="73"/>
    </row>
    <row r="1249" spans="2:7" ht="32.25" customHeight="1" x14ac:dyDescent="0.35">
      <c r="B1249" s="73"/>
      <c r="C1249" s="73"/>
      <c r="D1249" s="73"/>
      <c r="E1249" s="73"/>
      <c r="F1249" s="73"/>
      <c r="G1249" s="73"/>
    </row>
    <row r="1250" spans="2:7" ht="32.25" customHeight="1" x14ac:dyDescent="0.35">
      <c r="B1250" s="73"/>
      <c r="C1250" s="73"/>
      <c r="D1250" s="73"/>
      <c r="E1250" s="73"/>
      <c r="F1250" s="73"/>
      <c r="G1250" s="73"/>
    </row>
    <row r="1251" spans="2:7" ht="32.25" customHeight="1" x14ac:dyDescent="0.35">
      <c r="B1251" s="73"/>
      <c r="C1251" s="73"/>
      <c r="D1251" s="73"/>
      <c r="E1251" s="73"/>
      <c r="F1251" s="73"/>
      <c r="G1251" s="73"/>
    </row>
    <row r="1252" spans="2:7" ht="32.25" customHeight="1" x14ac:dyDescent="0.35">
      <c r="B1252" s="73"/>
      <c r="C1252" s="73"/>
      <c r="D1252" s="73"/>
      <c r="E1252" s="73"/>
      <c r="F1252" s="73"/>
      <c r="G1252" s="73"/>
    </row>
    <row r="1253" spans="2:7" ht="32.25" customHeight="1" x14ac:dyDescent="0.35">
      <c r="B1253" s="73"/>
      <c r="C1253" s="73"/>
      <c r="D1253" s="73"/>
      <c r="E1253" s="73"/>
      <c r="F1253" s="73"/>
      <c r="G1253" s="73"/>
    </row>
    <row r="1254" spans="2:7" ht="32.25" customHeight="1" x14ac:dyDescent="0.35">
      <c r="B1254" s="73"/>
      <c r="C1254" s="73"/>
      <c r="D1254" s="73"/>
      <c r="E1254" s="73"/>
      <c r="F1254" s="73"/>
      <c r="G1254" s="73"/>
    </row>
    <row r="1255" spans="2:7" ht="32.25" customHeight="1" x14ac:dyDescent="0.35">
      <c r="B1255" s="73"/>
      <c r="C1255" s="73"/>
      <c r="D1255" s="73"/>
      <c r="E1255" s="73"/>
      <c r="F1255" s="73"/>
      <c r="G1255" s="73"/>
    </row>
    <row r="1256" spans="2:7" ht="32.25" customHeight="1" x14ac:dyDescent="0.35">
      <c r="B1256" s="73"/>
      <c r="C1256" s="73"/>
      <c r="D1256" s="73"/>
      <c r="E1256" s="73"/>
      <c r="F1256" s="73"/>
      <c r="G1256" s="73"/>
    </row>
    <row r="1257" spans="2:7" ht="32.25" customHeight="1" x14ac:dyDescent="0.35">
      <c r="B1257" s="73"/>
      <c r="C1257" s="73"/>
      <c r="D1257" s="73"/>
      <c r="E1257" s="73"/>
      <c r="F1257" s="73"/>
      <c r="G1257" s="73"/>
    </row>
    <row r="1258" spans="2:7" ht="32.25" customHeight="1" x14ac:dyDescent="0.35">
      <c r="B1258" s="73"/>
      <c r="C1258" s="73"/>
      <c r="D1258" s="73"/>
      <c r="E1258" s="73"/>
      <c r="F1258" s="73"/>
      <c r="G1258" s="73"/>
    </row>
    <row r="1259" spans="2:7" ht="32.25" customHeight="1" x14ac:dyDescent="0.35">
      <c r="B1259" s="73"/>
      <c r="C1259" s="73"/>
      <c r="D1259" s="73"/>
      <c r="E1259" s="73"/>
      <c r="F1259" s="73"/>
      <c r="G1259" s="73"/>
    </row>
    <row r="1260" spans="2:7" ht="32.25" customHeight="1" x14ac:dyDescent="0.35">
      <c r="B1260" s="73"/>
      <c r="C1260" s="73"/>
      <c r="D1260" s="73"/>
      <c r="E1260" s="73"/>
      <c r="F1260" s="73"/>
      <c r="G1260" s="73"/>
    </row>
    <row r="1261" spans="2:7" ht="32.25" customHeight="1" x14ac:dyDescent="0.35">
      <c r="B1261" s="73"/>
      <c r="C1261" s="73"/>
      <c r="D1261" s="73"/>
      <c r="E1261" s="73"/>
      <c r="F1261" s="73"/>
      <c r="G1261" s="73"/>
    </row>
    <row r="1262" spans="2:7" ht="32.25" customHeight="1" x14ac:dyDescent="0.35">
      <c r="B1262" s="73"/>
      <c r="C1262" s="73"/>
      <c r="D1262" s="73"/>
      <c r="E1262" s="73"/>
      <c r="F1262" s="73"/>
      <c r="G1262" s="73"/>
    </row>
    <row r="1263" spans="2:7" ht="32.25" customHeight="1" x14ac:dyDescent="0.35">
      <c r="B1263" s="73"/>
      <c r="C1263" s="73"/>
      <c r="D1263" s="73"/>
      <c r="E1263" s="73"/>
      <c r="F1263" s="73"/>
      <c r="G1263" s="73"/>
    </row>
    <row r="1264" spans="2:7" ht="32.25" customHeight="1" x14ac:dyDescent="0.35">
      <c r="B1264" s="73"/>
      <c r="C1264" s="73"/>
      <c r="D1264" s="73"/>
      <c r="E1264" s="73"/>
      <c r="F1264" s="73"/>
      <c r="G1264" s="73"/>
    </row>
    <row r="1265" spans="2:7" ht="32.25" customHeight="1" x14ac:dyDescent="0.35">
      <c r="B1265" s="73"/>
      <c r="C1265" s="73"/>
      <c r="D1265" s="73"/>
      <c r="E1265" s="73"/>
      <c r="F1265" s="73"/>
      <c r="G1265" s="73"/>
    </row>
    <row r="1266" spans="2:7" ht="32.25" customHeight="1" x14ac:dyDescent="0.35">
      <c r="B1266" s="73"/>
      <c r="C1266" s="73"/>
      <c r="D1266" s="73"/>
      <c r="E1266" s="73"/>
      <c r="F1266" s="73"/>
      <c r="G1266" s="73"/>
    </row>
    <row r="1267" spans="2:7" ht="32.25" customHeight="1" x14ac:dyDescent="0.35">
      <c r="B1267" s="73"/>
      <c r="C1267" s="73"/>
      <c r="D1267" s="73"/>
      <c r="E1267" s="73"/>
      <c r="F1267" s="73"/>
      <c r="G1267" s="73"/>
    </row>
    <row r="1268" spans="2:7" ht="32.25" customHeight="1" x14ac:dyDescent="0.35">
      <c r="B1268" s="73"/>
      <c r="C1268" s="73"/>
      <c r="D1268" s="73"/>
      <c r="E1268" s="73"/>
      <c r="F1268" s="73"/>
      <c r="G1268" s="73"/>
    </row>
    <row r="1269" spans="2:7" ht="32.25" customHeight="1" x14ac:dyDescent="0.35">
      <c r="B1269" s="73"/>
      <c r="C1269" s="73"/>
      <c r="D1269" s="73"/>
      <c r="E1269" s="73"/>
      <c r="F1269" s="73"/>
      <c r="G1269" s="73"/>
    </row>
    <row r="1270" spans="2:7" ht="32.25" customHeight="1" x14ac:dyDescent="0.35">
      <c r="B1270" s="73"/>
      <c r="C1270" s="73"/>
      <c r="D1270" s="73"/>
      <c r="E1270" s="73"/>
      <c r="F1270" s="73"/>
      <c r="G1270" s="73"/>
    </row>
    <row r="1271" spans="2:7" ht="32.25" customHeight="1" x14ac:dyDescent="0.35">
      <c r="B1271" s="73"/>
      <c r="C1271" s="73"/>
      <c r="D1271" s="73"/>
      <c r="E1271" s="73"/>
      <c r="F1271" s="73"/>
      <c r="G1271" s="73"/>
    </row>
    <row r="1272" spans="2:7" ht="32.25" customHeight="1" x14ac:dyDescent="0.35">
      <c r="B1272" s="73"/>
      <c r="C1272" s="73"/>
      <c r="D1272" s="73"/>
      <c r="E1272" s="73"/>
      <c r="F1272" s="73"/>
      <c r="G1272" s="73"/>
    </row>
    <row r="1273" spans="2:7" ht="32.25" customHeight="1" x14ac:dyDescent="0.35">
      <c r="B1273" s="73"/>
      <c r="C1273" s="73"/>
      <c r="D1273" s="73"/>
      <c r="E1273" s="73"/>
      <c r="F1273" s="73"/>
      <c r="G1273" s="73"/>
    </row>
    <row r="1274" spans="2:7" ht="32.25" customHeight="1" x14ac:dyDescent="0.35">
      <c r="B1274" s="73"/>
      <c r="C1274" s="73"/>
      <c r="D1274" s="73"/>
      <c r="E1274" s="73"/>
      <c r="F1274" s="73"/>
      <c r="G1274" s="73"/>
    </row>
    <row r="1275" spans="2:7" ht="32.25" customHeight="1" x14ac:dyDescent="0.35">
      <c r="B1275" s="73"/>
      <c r="C1275" s="73"/>
      <c r="D1275" s="73"/>
      <c r="E1275" s="73"/>
      <c r="F1275" s="73"/>
      <c r="G1275" s="73"/>
    </row>
    <row r="1276" spans="2:7" ht="32.25" customHeight="1" x14ac:dyDescent="0.35">
      <c r="B1276" s="73"/>
      <c r="C1276" s="73"/>
      <c r="D1276" s="73"/>
      <c r="E1276" s="73"/>
      <c r="F1276" s="73"/>
      <c r="G1276" s="73"/>
    </row>
    <row r="1277" spans="2:7" ht="32.25" customHeight="1" x14ac:dyDescent="0.35">
      <c r="B1277" s="73"/>
      <c r="C1277" s="73"/>
      <c r="D1277" s="73"/>
      <c r="E1277" s="73"/>
      <c r="F1277" s="73"/>
      <c r="G1277" s="73"/>
    </row>
    <row r="1278" spans="2:7" ht="32.25" customHeight="1" x14ac:dyDescent="0.35">
      <c r="B1278" s="73"/>
      <c r="C1278" s="73"/>
      <c r="D1278" s="73"/>
      <c r="E1278" s="73"/>
      <c r="F1278" s="73"/>
      <c r="G1278" s="73"/>
    </row>
    <row r="1279" spans="2:7" ht="32.25" customHeight="1" x14ac:dyDescent="0.35">
      <c r="B1279" s="73"/>
      <c r="C1279" s="73"/>
      <c r="D1279" s="73"/>
      <c r="E1279" s="73"/>
      <c r="F1279" s="73"/>
      <c r="G1279" s="73"/>
    </row>
    <row r="1280" spans="2:7" ht="32.25" customHeight="1" x14ac:dyDescent="0.35">
      <c r="B1280" s="73"/>
      <c r="C1280" s="73"/>
      <c r="D1280" s="73"/>
      <c r="E1280" s="73"/>
      <c r="F1280" s="73"/>
      <c r="G1280" s="73"/>
    </row>
    <row r="1281" spans="2:7" ht="32.25" customHeight="1" x14ac:dyDescent="0.35">
      <c r="B1281" s="73"/>
      <c r="C1281" s="73"/>
      <c r="D1281" s="73"/>
      <c r="E1281" s="73"/>
      <c r="F1281" s="73"/>
      <c r="G1281" s="73"/>
    </row>
    <row r="1282" spans="2:7" ht="32.25" customHeight="1" x14ac:dyDescent="0.35">
      <c r="B1282" s="73"/>
      <c r="C1282" s="73"/>
      <c r="D1282" s="73"/>
      <c r="E1282" s="73"/>
      <c r="F1282" s="73"/>
      <c r="G1282" s="73"/>
    </row>
    <row r="1283" spans="2:7" ht="32.25" customHeight="1" x14ac:dyDescent="0.35">
      <c r="B1283" s="73"/>
      <c r="C1283" s="73"/>
      <c r="D1283" s="73"/>
      <c r="E1283" s="73"/>
      <c r="F1283" s="73"/>
      <c r="G1283" s="73"/>
    </row>
    <row r="1284" spans="2:7" ht="32.25" customHeight="1" x14ac:dyDescent="0.35">
      <c r="B1284" s="73"/>
      <c r="C1284" s="73"/>
      <c r="D1284" s="73"/>
      <c r="E1284" s="73"/>
      <c r="F1284" s="73"/>
      <c r="G1284" s="73"/>
    </row>
    <row r="1285" spans="2:7" ht="32.25" customHeight="1" x14ac:dyDescent="0.35">
      <c r="B1285" s="73"/>
      <c r="C1285" s="73"/>
      <c r="D1285" s="73"/>
      <c r="E1285" s="73"/>
      <c r="F1285" s="73"/>
      <c r="G1285" s="73"/>
    </row>
    <row r="1286" spans="2:7" ht="32.25" customHeight="1" x14ac:dyDescent="0.35">
      <c r="B1286" s="73"/>
      <c r="C1286" s="73"/>
      <c r="D1286" s="73"/>
      <c r="E1286" s="73"/>
      <c r="F1286" s="73"/>
      <c r="G1286" s="73"/>
    </row>
    <row r="1287" spans="2:7" ht="32.25" customHeight="1" x14ac:dyDescent="0.35">
      <c r="B1287" s="73"/>
      <c r="C1287" s="73"/>
      <c r="D1287" s="73"/>
      <c r="E1287" s="73"/>
      <c r="F1287" s="73"/>
      <c r="G1287" s="73"/>
    </row>
    <row r="1288" spans="2:7" ht="32.25" customHeight="1" x14ac:dyDescent="0.35">
      <c r="B1288" s="73"/>
      <c r="C1288" s="73"/>
      <c r="D1288" s="73"/>
      <c r="E1288" s="73"/>
      <c r="F1288" s="73"/>
      <c r="G1288" s="73"/>
    </row>
    <row r="1289" spans="2:7" ht="32.25" customHeight="1" x14ac:dyDescent="0.35">
      <c r="B1289" s="73"/>
      <c r="C1289" s="73"/>
      <c r="D1289" s="73"/>
      <c r="E1289" s="73"/>
      <c r="F1289" s="73"/>
      <c r="G1289" s="73"/>
    </row>
    <row r="1290" spans="2:7" ht="32.25" customHeight="1" x14ac:dyDescent="0.35">
      <c r="B1290" s="73"/>
      <c r="C1290" s="73"/>
      <c r="D1290" s="73"/>
      <c r="E1290" s="73"/>
      <c r="F1290" s="73"/>
      <c r="G1290" s="73"/>
    </row>
    <row r="1291" spans="2:7" ht="32.25" customHeight="1" x14ac:dyDescent="0.35">
      <c r="B1291" s="73"/>
      <c r="C1291" s="73"/>
      <c r="D1291" s="73"/>
      <c r="E1291" s="73"/>
      <c r="F1291" s="73"/>
      <c r="G1291" s="73"/>
    </row>
    <row r="1292" spans="2:7" ht="32.25" customHeight="1" x14ac:dyDescent="0.35">
      <c r="B1292" s="73"/>
      <c r="C1292" s="73"/>
      <c r="D1292" s="73"/>
      <c r="E1292" s="73"/>
      <c r="F1292" s="73"/>
      <c r="G1292" s="73"/>
    </row>
    <row r="1293" spans="2:7" ht="32.25" customHeight="1" x14ac:dyDescent="0.35">
      <c r="B1293" s="73"/>
      <c r="C1293" s="73"/>
      <c r="D1293" s="73"/>
      <c r="E1293" s="73"/>
      <c r="F1293" s="73"/>
      <c r="G1293" s="73"/>
    </row>
    <row r="1294" spans="2:7" ht="32.25" customHeight="1" x14ac:dyDescent="0.35">
      <c r="B1294" s="73"/>
      <c r="C1294" s="73"/>
      <c r="D1294" s="73"/>
      <c r="E1294" s="73"/>
      <c r="F1294" s="73"/>
      <c r="G1294" s="73"/>
    </row>
    <row r="1295" spans="2:7" ht="32.25" customHeight="1" x14ac:dyDescent="0.35">
      <c r="B1295" s="73"/>
      <c r="C1295" s="73"/>
      <c r="D1295" s="73"/>
      <c r="E1295" s="73"/>
      <c r="F1295" s="73"/>
      <c r="G1295" s="73"/>
    </row>
    <row r="1296" spans="2:7" ht="32.25" customHeight="1" x14ac:dyDescent="0.35">
      <c r="B1296" s="73"/>
      <c r="C1296" s="73"/>
      <c r="D1296" s="73"/>
      <c r="E1296" s="73"/>
      <c r="F1296" s="73"/>
      <c r="G1296" s="73"/>
    </row>
    <row r="1297" spans="2:7" ht="32.25" customHeight="1" x14ac:dyDescent="0.35">
      <c r="B1297" s="73"/>
      <c r="C1297" s="73"/>
      <c r="D1297" s="73"/>
      <c r="E1297" s="73"/>
      <c r="F1297" s="73"/>
      <c r="G1297" s="73"/>
    </row>
    <row r="1298" spans="2:7" ht="32.25" customHeight="1" x14ac:dyDescent="0.35">
      <c r="B1298" s="73"/>
      <c r="C1298" s="73"/>
      <c r="D1298" s="73"/>
      <c r="E1298" s="73"/>
      <c r="F1298" s="73"/>
      <c r="G1298" s="73"/>
    </row>
    <row r="1299" spans="2:7" ht="32.25" customHeight="1" x14ac:dyDescent="0.35">
      <c r="B1299" s="73"/>
      <c r="C1299" s="73"/>
      <c r="D1299" s="73"/>
      <c r="E1299" s="73"/>
      <c r="F1299" s="73"/>
      <c r="G1299" s="73"/>
    </row>
    <row r="1300" spans="2:7" ht="32.25" customHeight="1" x14ac:dyDescent="0.35">
      <c r="B1300" s="73"/>
      <c r="C1300" s="73"/>
      <c r="D1300" s="73"/>
      <c r="E1300" s="73"/>
      <c r="F1300" s="73"/>
      <c r="G1300" s="73"/>
    </row>
    <row r="1301" spans="2:7" ht="32.25" customHeight="1" x14ac:dyDescent="0.35">
      <c r="B1301" s="73"/>
      <c r="C1301" s="73"/>
      <c r="D1301" s="73"/>
      <c r="E1301" s="73"/>
      <c r="F1301" s="73"/>
      <c r="G1301" s="73"/>
    </row>
    <row r="1302" spans="2:7" ht="32.25" customHeight="1" x14ac:dyDescent="0.35">
      <c r="B1302" s="73"/>
      <c r="C1302" s="73"/>
      <c r="D1302" s="73"/>
      <c r="E1302" s="73"/>
      <c r="F1302" s="73"/>
      <c r="G1302" s="73"/>
    </row>
    <row r="1303" spans="2:7" ht="32.25" customHeight="1" x14ac:dyDescent="0.35">
      <c r="B1303" s="73"/>
      <c r="C1303" s="73"/>
      <c r="D1303" s="73"/>
      <c r="E1303" s="73"/>
      <c r="F1303" s="73"/>
      <c r="G1303" s="73"/>
    </row>
    <row r="1304" spans="2:7" ht="32.25" customHeight="1" x14ac:dyDescent="0.35">
      <c r="B1304" s="73"/>
      <c r="C1304" s="73"/>
      <c r="D1304" s="73"/>
      <c r="E1304" s="73"/>
      <c r="F1304" s="73"/>
      <c r="G1304" s="73"/>
    </row>
    <row r="1305" spans="2:7" ht="32.25" customHeight="1" x14ac:dyDescent="0.35">
      <c r="B1305" s="73"/>
      <c r="C1305" s="73"/>
      <c r="D1305" s="73"/>
      <c r="E1305" s="73"/>
      <c r="F1305" s="73"/>
      <c r="G1305" s="73"/>
    </row>
    <row r="1306" spans="2:7" ht="32.25" customHeight="1" x14ac:dyDescent="0.35">
      <c r="B1306" s="73"/>
      <c r="C1306" s="73"/>
      <c r="D1306" s="73"/>
      <c r="E1306" s="73"/>
      <c r="F1306" s="73"/>
      <c r="G1306" s="73"/>
    </row>
    <row r="1307" spans="2:7" ht="32.25" customHeight="1" x14ac:dyDescent="0.35">
      <c r="B1307" s="73"/>
      <c r="C1307" s="73"/>
      <c r="D1307" s="73"/>
      <c r="E1307" s="73"/>
      <c r="F1307" s="73"/>
      <c r="G1307" s="73"/>
    </row>
    <row r="1308" spans="2:7" ht="32.25" customHeight="1" x14ac:dyDescent="0.35">
      <c r="B1308" s="73"/>
      <c r="C1308" s="73"/>
      <c r="D1308" s="73"/>
      <c r="E1308" s="73"/>
      <c r="F1308" s="73"/>
      <c r="G1308" s="73"/>
    </row>
    <row r="1309" spans="2:7" ht="32.25" customHeight="1" x14ac:dyDescent="0.35">
      <c r="B1309" s="73"/>
      <c r="C1309" s="73"/>
      <c r="D1309" s="73"/>
      <c r="E1309" s="73"/>
      <c r="F1309" s="73"/>
      <c r="G1309" s="73"/>
    </row>
    <row r="1310" spans="2:7" ht="32.25" customHeight="1" x14ac:dyDescent="0.35">
      <c r="B1310" s="73"/>
      <c r="C1310" s="73"/>
      <c r="D1310" s="73"/>
      <c r="E1310" s="73"/>
      <c r="F1310" s="73"/>
      <c r="G1310" s="73"/>
    </row>
    <row r="1311" spans="2:7" ht="32.25" customHeight="1" x14ac:dyDescent="0.35">
      <c r="B1311" s="73"/>
      <c r="C1311" s="73"/>
      <c r="D1311" s="73"/>
      <c r="E1311" s="73"/>
      <c r="F1311" s="73"/>
      <c r="G1311" s="73"/>
    </row>
    <row r="1312" spans="2:7" ht="32.25" customHeight="1" x14ac:dyDescent="0.35">
      <c r="B1312" s="73"/>
      <c r="C1312" s="73"/>
      <c r="D1312" s="73"/>
      <c r="E1312" s="73"/>
      <c r="F1312" s="73"/>
      <c r="G1312" s="73"/>
    </row>
    <row r="1313" spans="2:7" ht="32.25" customHeight="1" x14ac:dyDescent="0.35">
      <c r="B1313" s="73"/>
      <c r="C1313" s="73"/>
      <c r="D1313" s="73"/>
      <c r="E1313" s="73"/>
      <c r="F1313" s="73"/>
      <c r="G1313" s="73"/>
    </row>
    <row r="1314" spans="2:7" ht="32.25" customHeight="1" x14ac:dyDescent="0.35">
      <c r="B1314" s="73"/>
      <c r="C1314" s="73"/>
      <c r="D1314" s="73"/>
      <c r="E1314" s="73"/>
      <c r="F1314" s="73"/>
      <c r="G1314" s="73"/>
    </row>
    <row r="1315" spans="2:7" ht="32.25" customHeight="1" x14ac:dyDescent="0.35">
      <c r="B1315" s="73"/>
      <c r="C1315" s="73"/>
      <c r="D1315" s="73"/>
      <c r="E1315" s="73"/>
      <c r="F1315" s="73"/>
      <c r="G1315" s="73"/>
    </row>
    <row r="1316" spans="2:7" ht="32.25" customHeight="1" x14ac:dyDescent="0.35">
      <c r="B1316" s="73"/>
      <c r="C1316" s="73"/>
      <c r="D1316" s="73"/>
      <c r="E1316" s="73"/>
      <c r="F1316" s="73"/>
      <c r="G1316" s="73"/>
    </row>
    <row r="1317" spans="2:7" ht="32.25" customHeight="1" x14ac:dyDescent="0.35">
      <c r="B1317" s="73"/>
      <c r="C1317" s="73"/>
      <c r="D1317" s="73"/>
      <c r="E1317" s="73"/>
      <c r="F1317" s="73"/>
      <c r="G1317" s="73"/>
    </row>
    <row r="1318" spans="2:7" ht="32.25" customHeight="1" x14ac:dyDescent="0.35">
      <c r="B1318" s="73"/>
      <c r="C1318" s="73"/>
      <c r="D1318" s="73"/>
      <c r="E1318" s="73"/>
      <c r="F1318" s="73"/>
      <c r="G1318" s="73"/>
    </row>
    <row r="1319" spans="2:7" ht="32.25" customHeight="1" x14ac:dyDescent="0.35">
      <c r="B1319" s="73"/>
      <c r="C1319" s="73"/>
      <c r="D1319" s="73"/>
      <c r="E1319" s="73"/>
      <c r="F1319" s="73"/>
      <c r="G1319" s="73"/>
    </row>
    <row r="1320" spans="2:7" ht="32.25" customHeight="1" x14ac:dyDescent="0.35">
      <c r="B1320" s="73"/>
      <c r="C1320" s="73"/>
      <c r="D1320" s="73"/>
      <c r="E1320" s="73"/>
      <c r="F1320" s="73"/>
      <c r="G1320" s="73"/>
    </row>
    <row r="1321" spans="2:7" ht="32.25" customHeight="1" x14ac:dyDescent="0.35">
      <c r="B1321" s="73"/>
      <c r="C1321" s="73"/>
      <c r="D1321" s="73"/>
      <c r="E1321" s="73"/>
      <c r="F1321" s="73"/>
      <c r="G1321" s="73"/>
    </row>
    <row r="1322" spans="2:7" ht="32.25" customHeight="1" x14ac:dyDescent="0.35">
      <c r="B1322" s="73"/>
      <c r="C1322" s="73"/>
      <c r="D1322" s="73"/>
      <c r="E1322" s="73"/>
      <c r="F1322" s="73"/>
      <c r="G1322" s="73"/>
    </row>
    <row r="1323" spans="2:7" ht="32.25" customHeight="1" x14ac:dyDescent="0.35">
      <c r="B1323" s="73"/>
      <c r="C1323" s="73"/>
      <c r="D1323" s="73"/>
      <c r="E1323" s="73"/>
      <c r="F1323" s="73"/>
      <c r="G1323" s="73"/>
    </row>
    <row r="1324" spans="2:7" ht="32.25" customHeight="1" x14ac:dyDescent="0.35">
      <c r="B1324" s="73"/>
      <c r="C1324" s="73"/>
      <c r="D1324" s="73"/>
      <c r="E1324" s="73"/>
      <c r="F1324" s="73"/>
      <c r="G1324" s="73"/>
    </row>
    <row r="1325" spans="2:7" ht="32.25" customHeight="1" x14ac:dyDescent="0.35">
      <c r="B1325" s="73"/>
      <c r="C1325" s="73"/>
      <c r="D1325" s="73"/>
      <c r="E1325" s="73"/>
      <c r="F1325" s="73"/>
      <c r="G1325" s="73"/>
    </row>
    <row r="1326" spans="2:7" ht="32.25" customHeight="1" x14ac:dyDescent="0.35">
      <c r="B1326" s="73"/>
      <c r="C1326" s="73"/>
      <c r="D1326" s="73"/>
      <c r="E1326" s="73"/>
      <c r="F1326" s="73"/>
      <c r="G1326" s="73"/>
    </row>
    <row r="1327" spans="2:7" ht="32.25" customHeight="1" x14ac:dyDescent="0.35">
      <c r="B1327" s="73"/>
      <c r="C1327" s="73"/>
      <c r="D1327" s="73"/>
      <c r="E1327" s="73"/>
      <c r="F1327" s="73"/>
      <c r="G1327" s="73"/>
    </row>
    <row r="1328" spans="2:7" ht="32.25" customHeight="1" x14ac:dyDescent="0.35">
      <c r="B1328" s="73"/>
      <c r="C1328" s="73"/>
      <c r="D1328" s="73"/>
      <c r="E1328" s="73"/>
      <c r="F1328" s="73"/>
      <c r="G1328" s="73"/>
    </row>
    <row r="1329" spans="2:7" ht="32.25" customHeight="1" x14ac:dyDescent="0.35">
      <c r="B1329" s="73"/>
      <c r="C1329" s="73"/>
      <c r="D1329" s="73"/>
      <c r="E1329" s="73"/>
      <c r="F1329" s="73"/>
      <c r="G1329" s="73"/>
    </row>
    <row r="1330" spans="2:7" ht="32.25" customHeight="1" x14ac:dyDescent="0.35">
      <c r="B1330" s="73"/>
      <c r="C1330" s="73"/>
      <c r="D1330" s="73"/>
      <c r="E1330" s="73"/>
      <c r="F1330" s="73"/>
      <c r="G1330" s="73"/>
    </row>
    <row r="1331" spans="2:7" ht="32.25" customHeight="1" x14ac:dyDescent="0.35">
      <c r="B1331" s="73"/>
      <c r="C1331" s="73"/>
      <c r="D1331" s="73"/>
      <c r="E1331" s="73"/>
      <c r="F1331" s="73"/>
      <c r="G1331" s="73"/>
    </row>
    <row r="1332" spans="2:7" ht="32.25" customHeight="1" x14ac:dyDescent="0.35">
      <c r="B1332" s="73"/>
      <c r="C1332" s="73"/>
      <c r="D1332" s="73"/>
      <c r="E1332" s="73"/>
      <c r="F1332" s="73"/>
      <c r="G1332" s="73"/>
    </row>
    <row r="1333" spans="2:7" ht="32.25" customHeight="1" x14ac:dyDescent="0.35">
      <c r="B1333" s="73"/>
      <c r="C1333" s="73"/>
      <c r="D1333" s="73"/>
      <c r="E1333" s="73"/>
      <c r="F1333" s="73"/>
      <c r="G1333" s="73"/>
    </row>
    <row r="1334" spans="2:7" ht="32.25" customHeight="1" x14ac:dyDescent="0.35">
      <c r="B1334" s="73"/>
      <c r="C1334" s="73"/>
      <c r="D1334" s="73"/>
      <c r="E1334" s="73"/>
      <c r="F1334" s="73"/>
      <c r="G1334" s="73"/>
    </row>
    <row r="1335" spans="2:7" ht="32.25" customHeight="1" x14ac:dyDescent="0.35">
      <c r="B1335" s="73"/>
      <c r="C1335" s="73"/>
      <c r="D1335" s="73"/>
      <c r="E1335" s="73"/>
      <c r="F1335" s="73"/>
      <c r="G1335" s="73"/>
    </row>
    <row r="1336" spans="2:7" ht="32.25" customHeight="1" x14ac:dyDescent="0.35">
      <c r="B1336" s="73"/>
      <c r="C1336" s="73"/>
      <c r="D1336" s="73"/>
      <c r="E1336" s="73"/>
      <c r="F1336" s="73"/>
      <c r="G1336" s="73"/>
    </row>
    <row r="1337" spans="2:7" ht="32.25" customHeight="1" x14ac:dyDescent="0.35">
      <c r="B1337" s="73"/>
      <c r="C1337" s="73"/>
      <c r="D1337" s="73"/>
      <c r="E1337" s="73"/>
      <c r="F1337" s="73"/>
      <c r="G1337" s="73"/>
    </row>
    <row r="1338" spans="2:7" ht="32.25" customHeight="1" x14ac:dyDescent="0.35">
      <c r="B1338" s="73"/>
      <c r="C1338" s="73"/>
      <c r="D1338" s="73"/>
      <c r="E1338" s="73"/>
      <c r="F1338" s="73"/>
      <c r="G1338" s="73"/>
    </row>
    <row r="1339" spans="2:7" ht="32.25" customHeight="1" x14ac:dyDescent="0.35">
      <c r="B1339" s="73"/>
      <c r="C1339" s="73"/>
      <c r="D1339" s="73"/>
      <c r="E1339" s="73"/>
      <c r="F1339" s="73"/>
      <c r="G1339" s="73"/>
    </row>
    <row r="1340" spans="2:7" ht="32.25" customHeight="1" x14ac:dyDescent="0.35">
      <c r="B1340" s="73"/>
      <c r="C1340" s="73"/>
      <c r="D1340" s="73"/>
      <c r="E1340" s="73"/>
      <c r="F1340" s="73"/>
      <c r="G1340" s="73"/>
    </row>
    <row r="1341" spans="2:7" ht="32.25" customHeight="1" x14ac:dyDescent="0.35">
      <c r="B1341" s="73"/>
      <c r="C1341" s="73"/>
      <c r="D1341" s="73"/>
      <c r="E1341" s="73"/>
      <c r="F1341" s="73"/>
      <c r="G1341" s="73"/>
    </row>
    <row r="1342" spans="2:7" ht="32.25" customHeight="1" x14ac:dyDescent="0.35">
      <c r="B1342" s="73"/>
      <c r="C1342" s="73"/>
      <c r="D1342" s="73"/>
      <c r="E1342" s="73"/>
      <c r="F1342" s="73"/>
      <c r="G1342" s="73"/>
    </row>
    <row r="1343" spans="2:7" ht="32.25" customHeight="1" x14ac:dyDescent="0.35">
      <c r="B1343" s="73"/>
      <c r="C1343" s="73"/>
      <c r="D1343" s="73"/>
      <c r="E1343" s="73"/>
      <c r="F1343" s="73"/>
      <c r="G1343" s="73"/>
    </row>
    <row r="1344" spans="2:7" ht="32.25" customHeight="1" x14ac:dyDescent="0.35">
      <c r="B1344" s="73"/>
      <c r="C1344" s="73"/>
      <c r="D1344" s="73"/>
      <c r="E1344" s="73"/>
      <c r="F1344" s="73"/>
      <c r="G1344" s="73"/>
    </row>
    <row r="1345" spans="2:7" ht="32.25" customHeight="1" x14ac:dyDescent="0.35">
      <c r="B1345" s="73"/>
      <c r="C1345" s="73"/>
      <c r="D1345" s="73"/>
      <c r="E1345" s="73"/>
      <c r="F1345" s="73"/>
      <c r="G1345" s="73"/>
    </row>
    <row r="1346" spans="2:7" ht="32.25" customHeight="1" x14ac:dyDescent="0.35">
      <c r="B1346" s="73"/>
      <c r="C1346" s="73"/>
      <c r="D1346" s="73"/>
      <c r="E1346" s="73"/>
      <c r="F1346" s="73"/>
      <c r="G1346" s="73"/>
    </row>
    <row r="1347" spans="2:7" ht="32.25" customHeight="1" x14ac:dyDescent="0.35">
      <c r="B1347" s="73"/>
      <c r="C1347" s="73"/>
      <c r="D1347" s="73"/>
      <c r="E1347" s="73"/>
      <c r="F1347" s="73"/>
      <c r="G1347" s="73"/>
    </row>
    <row r="1348" spans="2:7" ht="32.25" customHeight="1" x14ac:dyDescent="0.35">
      <c r="B1348" s="73"/>
      <c r="C1348" s="73"/>
      <c r="D1348" s="73"/>
      <c r="E1348" s="73"/>
      <c r="F1348" s="73"/>
      <c r="G1348" s="73"/>
    </row>
    <row r="1349" spans="2:7" ht="32.25" customHeight="1" x14ac:dyDescent="0.35">
      <c r="B1349" s="73"/>
      <c r="C1349" s="73"/>
      <c r="D1349" s="73"/>
      <c r="E1349" s="73"/>
      <c r="F1349" s="73"/>
      <c r="G1349" s="73"/>
    </row>
    <row r="1350" spans="2:7" ht="32.25" customHeight="1" x14ac:dyDescent="0.35">
      <c r="B1350" s="73"/>
      <c r="C1350" s="73"/>
      <c r="D1350" s="73"/>
      <c r="E1350" s="73"/>
      <c r="F1350" s="73"/>
      <c r="G1350" s="73"/>
    </row>
    <row r="1351" spans="2:7" ht="32.25" customHeight="1" x14ac:dyDescent="0.35">
      <c r="B1351" s="73"/>
      <c r="C1351" s="73"/>
      <c r="D1351" s="73"/>
      <c r="E1351" s="73"/>
      <c r="F1351" s="73"/>
      <c r="G1351" s="73"/>
    </row>
    <row r="1352" spans="2:7" ht="32.25" customHeight="1" x14ac:dyDescent="0.35">
      <c r="B1352" s="73"/>
      <c r="C1352" s="73"/>
      <c r="D1352" s="73"/>
      <c r="E1352" s="73"/>
      <c r="F1352" s="73"/>
      <c r="G1352" s="73"/>
    </row>
    <row r="1353" spans="2:7" ht="32.25" customHeight="1" x14ac:dyDescent="0.35">
      <c r="B1353" s="73"/>
      <c r="C1353" s="73"/>
      <c r="D1353" s="73"/>
      <c r="E1353" s="73"/>
      <c r="F1353" s="73"/>
      <c r="G1353" s="73"/>
    </row>
    <row r="1354" spans="2:7" ht="32.25" customHeight="1" x14ac:dyDescent="0.35">
      <c r="B1354" s="73"/>
      <c r="C1354" s="73"/>
      <c r="D1354" s="73"/>
      <c r="E1354" s="73"/>
      <c r="F1354" s="73"/>
      <c r="G1354" s="73"/>
    </row>
    <row r="1355" spans="2:7" ht="32.25" customHeight="1" x14ac:dyDescent="0.35">
      <c r="B1355" s="73"/>
      <c r="C1355" s="73"/>
      <c r="D1355" s="73"/>
      <c r="E1355" s="73"/>
      <c r="F1355" s="73"/>
      <c r="G1355" s="73"/>
    </row>
    <row r="1356" spans="2:7" ht="32.25" customHeight="1" x14ac:dyDescent="0.35">
      <c r="B1356" s="73"/>
      <c r="C1356" s="73"/>
      <c r="D1356" s="73"/>
      <c r="E1356" s="73"/>
      <c r="F1356" s="73"/>
      <c r="G1356" s="73"/>
    </row>
    <row r="1357" spans="2:7" ht="32.25" customHeight="1" x14ac:dyDescent="0.35">
      <c r="B1357" s="73"/>
      <c r="C1357" s="73"/>
      <c r="D1357" s="73"/>
      <c r="E1357" s="73"/>
      <c r="F1357" s="73"/>
      <c r="G1357" s="73"/>
    </row>
    <row r="1358" spans="2:7" ht="32.25" customHeight="1" x14ac:dyDescent="0.35">
      <c r="B1358" s="73"/>
      <c r="C1358" s="73"/>
      <c r="D1358" s="73"/>
      <c r="E1358" s="73"/>
      <c r="F1358" s="73"/>
      <c r="G1358" s="73"/>
    </row>
    <row r="1359" spans="2:7" ht="32.25" customHeight="1" x14ac:dyDescent="0.35">
      <c r="B1359" s="73"/>
      <c r="C1359" s="73"/>
      <c r="D1359" s="73"/>
      <c r="E1359" s="73"/>
      <c r="F1359" s="73"/>
      <c r="G1359" s="73"/>
    </row>
    <row r="1360" spans="2:7" ht="32.25" customHeight="1" x14ac:dyDescent="0.35">
      <c r="B1360" s="73"/>
      <c r="C1360" s="73"/>
      <c r="D1360" s="73"/>
      <c r="E1360" s="73"/>
      <c r="F1360" s="73"/>
      <c r="G1360" s="73"/>
    </row>
    <row r="1361" spans="2:7" ht="32.25" customHeight="1" x14ac:dyDescent="0.35">
      <c r="B1361" s="73"/>
      <c r="C1361" s="73"/>
      <c r="D1361" s="73"/>
      <c r="E1361" s="73"/>
      <c r="F1361" s="73"/>
      <c r="G1361" s="73"/>
    </row>
    <row r="1362" spans="2:7" ht="32.25" customHeight="1" x14ac:dyDescent="0.35">
      <c r="B1362" s="73"/>
      <c r="C1362" s="73"/>
      <c r="D1362" s="73"/>
      <c r="E1362" s="73"/>
      <c r="F1362" s="73"/>
      <c r="G1362" s="73"/>
    </row>
    <row r="1363" spans="2:7" ht="32.25" customHeight="1" x14ac:dyDescent="0.35">
      <c r="B1363" s="73"/>
      <c r="C1363" s="73"/>
      <c r="D1363" s="73"/>
      <c r="E1363" s="73"/>
      <c r="F1363" s="73"/>
      <c r="G1363" s="73"/>
    </row>
    <row r="1364" spans="2:7" ht="32.25" customHeight="1" x14ac:dyDescent="0.35">
      <c r="B1364" s="73"/>
      <c r="C1364" s="73"/>
      <c r="D1364" s="73"/>
      <c r="E1364" s="73"/>
      <c r="F1364" s="73"/>
      <c r="G1364" s="73"/>
    </row>
    <row r="1365" spans="2:7" ht="32.25" customHeight="1" x14ac:dyDescent="0.35">
      <c r="B1365" s="73"/>
      <c r="C1365" s="73"/>
      <c r="D1365" s="73"/>
      <c r="E1365" s="73"/>
      <c r="F1365" s="73"/>
      <c r="G1365" s="73"/>
    </row>
    <row r="1366" spans="2:7" ht="32.25" customHeight="1" x14ac:dyDescent="0.35">
      <c r="B1366" s="73"/>
      <c r="C1366" s="73"/>
      <c r="D1366" s="73"/>
      <c r="E1366" s="73"/>
      <c r="F1366" s="73"/>
      <c r="G1366" s="73"/>
    </row>
    <row r="1367" spans="2:7" ht="32.25" customHeight="1" x14ac:dyDescent="0.35">
      <c r="B1367" s="73"/>
      <c r="C1367" s="73"/>
      <c r="D1367" s="73"/>
      <c r="E1367" s="73"/>
      <c r="F1367" s="73"/>
      <c r="G1367" s="73"/>
    </row>
    <row r="1368" spans="2:7" ht="32.25" customHeight="1" x14ac:dyDescent="0.35">
      <c r="B1368" s="73"/>
      <c r="C1368" s="73"/>
      <c r="D1368" s="73"/>
      <c r="E1368" s="73"/>
      <c r="F1368" s="73"/>
      <c r="G1368" s="73"/>
    </row>
    <row r="1369" spans="2:7" ht="32.25" customHeight="1" x14ac:dyDescent="0.35">
      <c r="B1369" s="73"/>
      <c r="C1369" s="73"/>
      <c r="D1369" s="73"/>
      <c r="E1369" s="73"/>
      <c r="F1369" s="73"/>
      <c r="G1369" s="73"/>
    </row>
    <row r="1370" spans="2:7" ht="32.25" customHeight="1" x14ac:dyDescent="0.35">
      <c r="B1370" s="73"/>
      <c r="C1370" s="73"/>
      <c r="D1370" s="73"/>
      <c r="E1370" s="73"/>
      <c r="F1370" s="73"/>
      <c r="G1370" s="73"/>
    </row>
    <row r="1371" spans="2:7" ht="32.25" customHeight="1" x14ac:dyDescent="0.35">
      <c r="B1371" s="73"/>
      <c r="C1371" s="73"/>
      <c r="D1371" s="73"/>
      <c r="E1371" s="73"/>
      <c r="F1371" s="73"/>
      <c r="G1371" s="73"/>
    </row>
    <row r="1372" spans="2:7" ht="32.25" customHeight="1" x14ac:dyDescent="0.35">
      <c r="B1372" s="73"/>
      <c r="C1372" s="73"/>
      <c r="D1372" s="73"/>
      <c r="E1372" s="73"/>
      <c r="F1372" s="73"/>
      <c r="G1372" s="73"/>
    </row>
    <row r="1373" spans="2:7" ht="32.25" customHeight="1" x14ac:dyDescent="0.35">
      <c r="B1373" s="73"/>
      <c r="C1373" s="73"/>
      <c r="D1373" s="73"/>
      <c r="E1373" s="73"/>
      <c r="F1373" s="73"/>
      <c r="G1373" s="73"/>
    </row>
    <row r="1374" spans="2:7" ht="32.25" customHeight="1" x14ac:dyDescent="0.35">
      <c r="B1374" s="73"/>
      <c r="C1374" s="73"/>
      <c r="D1374" s="73"/>
      <c r="E1374" s="73"/>
      <c r="F1374" s="73"/>
      <c r="G1374" s="73"/>
    </row>
    <row r="1375" spans="2:7" ht="32.25" customHeight="1" x14ac:dyDescent="0.35">
      <c r="B1375" s="73"/>
      <c r="C1375" s="73"/>
      <c r="D1375" s="73"/>
      <c r="E1375" s="73"/>
      <c r="F1375" s="73"/>
      <c r="G1375" s="73"/>
    </row>
    <row r="1376" spans="2:7" ht="32.25" customHeight="1" x14ac:dyDescent="0.35">
      <c r="B1376" s="73"/>
      <c r="C1376" s="73"/>
      <c r="D1376" s="73"/>
      <c r="E1376" s="73"/>
      <c r="F1376" s="73"/>
      <c r="G1376" s="73"/>
    </row>
    <row r="1377" spans="2:7" ht="32.25" customHeight="1" x14ac:dyDescent="0.35">
      <c r="B1377" s="73"/>
      <c r="C1377" s="73"/>
      <c r="D1377" s="73"/>
      <c r="E1377" s="73"/>
      <c r="F1377" s="73"/>
      <c r="G1377" s="73"/>
    </row>
    <row r="1378" spans="2:7" ht="32.25" customHeight="1" x14ac:dyDescent="0.35">
      <c r="B1378" s="73"/>
      <c r="C1378" s="73"/>
      <c r="D1378" s="73"/>
      <c r="E1378" s="73"/>
      <c r="F1378" s="73"/>
      <c r="G1378" s="73"/>
    </row>
    <row r="1379" spans="2:7" ht="32.25" customHeight="1" x14ac:dyDescent="0.35">
      <c r="B1379" s="73"/>
      <c r="C1379" s="73"/>
      <c r="D1379" s="73"/>
      <c r="E1379" s="73"/>
      <c r="F1379" s="73"/>
      <c r="G1379" s="73"/>
    </row>
    <row r="1380" spans="2:7" ht="32.25" customHeight="1" x14ac:dyDescent="0.35">
      <c r="B1380" s="73"/>
      <c r="C1380" s="73"/>
      <c r="D1380" s="73"/>
      <c r="E1380" s="73"/>
      <c r="F1380" s="73"/>
      <c r="G1380" s="73"/>
    </row>
    <row r="1381" spans="2:7" ht="32.25" customHeight="1" x14ac:dyDescent="0.35">
      <c r="B1381" s="73"/>
      <c r="C1381" s="73"/>
      <c r="D1381" s="73"/>
      <c r="E1381" s="73"/>
      <c r="F1381" s="73"/>
      <c r="G1381" s="73"/>
    </row>
    <row r="1382" spans="2:7" ht="32.25" customHeight="1" x14ac:dyDescent="0.35">
      <c r="B1382" s="73"/>
      <c r="C1382" s="73"/>
      <c r="D1382" s="73"/>
      <c r="E1382" s="73"/>
      <c r="F1382" s="73"/>
      <c r="G1382" s="73"/>
    </row>
    <row r="1383" spans="2:7" ht="32.25" customHeight="1" x14ac:dyDescent="0.35">
      <c r="B1383" s="73"/>
      <c r="C1383" s="73"/>
      <c r="D1383" s="73"/>
      <c r="E1383" s="73"/>
      <c r="F1383" s="73"/>
      <c r="G1383" s="73"/>
    </row>
    <row r="1384" spans="2:7" ht="32.25" customHeight="1" x14ac:dyDescent="0.35">
      <c r="B1384" s="73"/>
      <c r="C1384" s="73"/>
      <c r="D1384" s="73"/>
      <c r="E1384" s="73"/>
      <c r="F1384" s="73"/>
      <c r="G1384" s="73"/>
    </row>
    <row r="1385" spans="2:7" ht="32.25" customHeight="1" x14ac:dyDescent="0.35">
      <c r="B1385" s="73"/>
      <c r="C1385" s="73"/>
      <c r="D1385" s="73"/>
      <c r="E1385" s="73"/>
      <c r="F1385" s="73"/>
      <c r="G1385" s="73"/>
    </row>
    <row r="1386" spans="2:7" ht="32.25" customHeight="1" x14ac:dyDescent="0.35">
      <c r="B1386" s="73"/>
      <c r="C1386" s="73"/>
      <c r="D1386" s="73"/>
      <c r="E1386" s="73"/>
      <c r="F1386" s="73"/>
      <c r="G1386" s="73"/>
    </row>
    <row r="1387" spans="2:7" ht="32.25" customHeight="1" x14ac:dyDescent="0.35">
      <c r="B1387" s="73"/>
      <c r="C1387" s="73"/>
      <c r="D1387" s="73"/>
      <c r="E1387" s="73"/>
      <c r="F1387" s="73"/>
      <c r="G1387" s="73"/>
    </row>
    <row r="1388" spans="2:7" ht="32.25" customHeight="1" x14ac:dyDescent="0.35">
      <c r="B1388" s="73"/>
      <c r="C1388" s="73"/>
      <c r="D1388" s="73"/>
      <c r="E1388" s="73"/>
      <c r="F1388" s="73"/>
      <c r="G1388" s="73"/>
    </row>
    <row r="1389" spans="2:7" ht="32.25" customHeight="1" x14ac:dyDescent="0.35">
      <c r="B1389" s="73"/>
      <c r="C1389" s="73"/>
      <c r="D1389" s="73"/>
      <c r="E1389" s="73"/>
      <c r="F1389" s="73"/>
      <c r="G1389" s="73"/>
    </row>
    <row r="1390" spans="2:7" ht="32.25" customHeight="1" x14ac:dyDescent="0.35">
      <c r="B1390" s="73"/>
      <c r="C1390" s="73"/>
      <c r="D1390" s="73"/>
      <c r="E1390" s="73"/>
      <c r="F1390" s="73"/>
      <c r="G1390" s="73"/>
    </row>
    <row r="1391" spans="2:7" ht="32.25" customHeight="1" x14ac:dyDescent="0.35">
      <c r="B1391" s="73"/>
      <c r="C1391" s="73"/>
      <c r="D1391" s="73"/>
      <c r="E1391" s="73"/>
      <c r="F1391" s="73"/>
      <c r="G1391" s="73"/>
    </row>
    <row r="1392" spans="2:7" ht="32.25" customHeight="1" x14ac:dyDescent="0.35">
      <c r="B1392" s="73"/>
      <c r="C1392" s="73"/>
      <c r="D1392" s="73"/>
      <c r="E1392" s="73"/>
      <c r="F1392" s="73"/>
      <c r="G1392" s="73"/>
    </row>
    <row r="1393" spans="2:7" ht="32.25" customHeight="1" x14ac:dyDescent="0.35">
      <c r="B1393" s="73"/>
      <c r="C1393" s="73"/>
      <c r="D1393" s="73"/>
      <c r="E1393" s="73"/>
      <c r="F1393" s="73"/>
      <c r="G1393" s="73"/>
    </row>
    <row r="1394" spans="2:7" ht="32.25" customHeight="1" x14ac:dyDescent="0.35">
      <c r="B1394" s="73"/>
      <c r="C1394" s="73"/>
      <c r="D1394" s="73"/>
      <c r="E1394" s="73"/>
      <c r="F1394" s="73"/>
      <c r="G1394" s="73"/>
    </row>
    <row r="1395" spans="2:7" ht="32.25" customHeight="1" x14ac:dyDescent="0.35">
      <c r="B1395" s="73"/>
      <c r="C1395" s="73"/>
      <c r="D1395" s="73"/>
      <c r="E1395" s="73"/>
      <c r="F1395" s="73"/>
      <c r="G1395" s="73"/>
    </row>
    <row r="1396" spans="2:7" ht="32.25" customHeight="1" x14ac:dyDescent="0.35">
      <c r="B1396" s="73"/>
      <c r="C1396" s="73"/>
      <c r="D1396" s="73"/>
      <c r="E1396" s="73"/>
      <c r="F1396" s="73"/>
      <c r="G1396" s="73"/>
    </row>
    <row r="1397" spans="2:7" ht="32.25" customHeight="1" x14ac:dyDescent="0.35">
      <c r="B1397" s="73"/>
      <c r="C1397" s="73"/>
      <c r="D1397" s="73"/>
      <c r="E1397" s="73"/>
      <c r="F1397" s="73"/>
      <c r="G1397" s="73"/>
    </row>
    <row r="1398" spans="2:7" ht="32.25" customHeight="1" x14ac:dyDescent="0.35">
      <c r="B1398" s="73"/>
      <c r="C1398" s="73"/>
      <c r="D1398" s="73"/>
      <c r="E1398" s="73"/>
      <c r="F1398" s="73"/>
      <c r="G1398" s="73"/>
    </row>
    <row r="1399" spans="2:7" ht="32.25" customHeight="1" x14ac:dyDescent="0.35">
      <c r="B1399" s="73"/>
      <c r="C1399" s="73"/>
      <c r="D1399" s="73"/>
      <c r="E1399" s="73"/>
      <c r="F1399" s="73"/>
      <c r="G1399" s="73"/>
    </row>
    <row r="1400" spans="2:7" ht="32.25" customHeight="1" x14ac:dyDescent="0.35">
      <c r="B1400" s="73"/>
      <c r="C1400" s="73"/>
      <c r="D1400" s="73"/>
      <c r="E1400" s="73"/>
      <c r="F1400" s="73"/>
      <c r="G1400" s="73"/>
    </row>
    <row r="1401" spans="2:7" ht="32.25" customHeight="1" x14ac:dyDescent="0.35">
      <c r="B1401" s="73"/>
      <c r="C1401" s="73"/>
      <c r="D1401" s="73"/>
      <c r="E1401" s="73"/>
      <c r="F1401" s="73"/>
      <c r="G1401" s="73"/>
    </row>
    <row r="1402" spans="2:7" ht="32.25" customHeight="1" x14ac:dyDescent="0.35">
      <c r="B1402" s="73"/>
      <c r="C1402" s="73"/>
      <c r="D1402" s="73"/>
      <c r="E1402" s="73"/>
      <c r="F1402" s="73"/>
      <c r="G1402" s="73"/>
    </row>
    <row r="1403" spans="2:7" ht="32.25" customHeight="1" x14ac:dyDescent="0.35">
      <c r="B1403" s="73"/>
      <c r="C1403" s="73"/>
      <c r="D1403" s="73"/>
      <c r="E1403" s="73"/>
      <c r="F1403" s="73"/>
      <c r="G1403" s="73"/>
    </row>
    <row r="1404" spans="2:7" ht="32.25" customHeight="1" x14ac:dyDescent="0.35">
      <c r="B1404" s="73"/>
      <c r="C1404" s="73"/>
      <c r="D1404" s="73"/>
      <c r="E1404" s="73"/>
      <c r="F1404" s="73"/>
      <c r="G1404" s="73"/>
    </row>
    <row r="1405" spans="2:7" ht="32.25" customHeight="1" x14ac:dyDescent="0.35">
      <c r="B1405" s="73"/>
      <c r="C1405" s="73"/>
      <c r="D1405" s="73"/>
      <c r="E1405" s="73"/>
      <c r="F1405" s="73"/>
      <c r="G1405" s="73"/>
    </row>
    <row r="1406" spans="2:7" ht="32.25" customHeight="1" x14ac:dyDescent="0.35">
      <c r="B1406" s="73"/>
      <c r="C1406" s="73"/>
      <c r="D1406" s="73"/>
      <c r="E1406" s="73"/>
      <c r="F1406" s="73"/>
      <c r="G1406" s="73"/>
    </row>
    <row r="1407" spans="2:7" ht="32.25" customHeight="1" x14ac:dyDescent="0.35">
      <c r="B1407" s="73"/>
      <c r="C1407" s="73"/>
      <c r="D1407" s="73"/>
      <c r="E1407" s="73"/>
      <c r="F1407" s="73"/>
      <c r="G1407" s="73"/>
    </row>
    <row r="1408" spans="2:7" ht="32.25" customHeight="1" x14ac:dyDescent="0.35">
      <c r="B1408" s="73"/>
      <c r="C1408" s="73"/>
      <c r="D1408" s="73"/>
      <c r="E1408" s="73"/>
      <c r="F1408" s="73"/>
      <c r="G1408" s="73"/>
    </row>
    <row r="1409" spans="2:7" ht="32.25" customHeight="1" x14ac:dyDescent="0.35">
      <c r="B1409" s="73"/>
      <c r="C1409" s="73"/>
      <c r="D1409" s="73"/>
      <c r="E1409" s="73"/>
      <c r="F1409" s="73"/>
      <c r="G1409" s="73"/>
    </row>
    <row r="1410" spans="2:7" ht="32.25" customHeight="1" x14ac:dyDescent="0.35">
      <c r="B1410" s="73"/>
      <c r="C1410" s="73"/>
      <c r="D1410" s="73"/>
      <c r="E1410" s="73"/>
      <c r="F1410" s="73"/>
      <c r="G1410" s="73"/>
    </row>
    <row r="1411" spans="2:7" ht="32.25" customHeight="1" x14ac:dyDescent="0.35">
      <c r="B1411" s="73"/>
      <c r="C1411" s="73"/>
      <c r="D1411" s="73"/>
      <c r="E1411" s="73"/>
      <c r="F1411" s="73"/>
      <c r="G1411" s="73"/>
    </row>
    <row r="1412" spans="2:7" ht="32.25" customHeight="1" x14ac:dyDescent="0.35">
      <c r="B1412" s="73"/>
      <c r="C1412" s="73"/>
      <c r="D1412" s="73"/>
      <c r="E1412" s="73"/>
      <c r="F1412" s="73"/>
      <c r="G1412" s="73"/>
    </row>
    <row r="1413" spans="2:7" ht="32.25" customHeight="1" x14ac:dyDescent="0.35">
      <c r="B1413" s="73"/>
      <c r="C1413" s="73"/>
      <c r="D1413" s="73"/>
      <c r="E1413" s="73"/>
      <c r="F1413" s="73"/>
      <c r="G1413" s="73"/>
    </row>
    <row r="1414" spans="2:7" ht="32.25" customHeight="1" x14ac:dyDescent="0.35">
      <c r="B1414" s="73"/>
      <c r="C1414" s="73"/>
      <c r="D1414" s="73"/>
      <c r="E1414" s="73"/>
      <c r="F1414" s="73"/>
      <c r="G1414" s="73"/>
    </row>
    <row r="1415" spans="2:7" ht="32.25" customHeight="1" x14ac:dyDescent="0.35">
      <c r="B1415" s="73"/>
      <c r="C1415" s="73"/>
      <c r="D1415" s="73"/>
      <c r="E1415" s="73"/>
      <c r="F1415" s="73"/>
      <c r="G1415" s="73"/>
    </row>
    <row r="1416" spans="2:7" ht="32.25" customHeight="1" x14ac:dyDescent="0.35">
      <c r="B1416" s="73"/>
      <c r="C1416" s="73"/>
      <c r="D1416" s="73"/>
      <c r="E1416" s="73"/>
      <c r="F1416" s="73"/>
      <c r="G1416" s="73"/>
    </row>
    <row r="1417" spans="2:7" ht="32.25" customHeight="1" x14ac:dyDescent="0.35">
      <c r="B1417" s="73"/>
      <c r="C1417" s="73"/>
      <c r="D1417" s="73"/>
      <c r="E1417" s="73"/>
      <c r="F1417" s="73"/>
      <c r="G1417" s="73"/>
    </row>
    <row r="1418" spans="2:7" ht="32.25" customHeight="1" x14ac:dyDescent="0.35">
      <c r="B1418" s="73"/>
      <c r="C1418" s="73"/>
      <c r="D1418" s="73"/>
      <c r="E1418" s="73"/>
      <c r="F1418" s="73"/>
      <c r="G1418" s="73"/>
    </row>
    <row r="1419" spans="2:7" ht="32.25" customHeight="1" x14ac:dyDescent="0.35">
      <c r="B1419" s="73"/>
      <c r="C1419" s="73"/>
      <c r="D1419" s="73"/>
      <c r="E1419" s="73"/>
      <c r="F1419" s="73"/>
      <c r="G1419" s="73"/>
    </row>
    <row r="1420" spans="2:7" ht="32.25" customHeight="1" x14ac:dyDescent="0.35">
      <c r="B1420" s="73"/>
      <c r="C1420" s="73"/>
      <c r="D1420" s="73"/>
      <c r="E1420" s="73"/>
      <c r="F1420" s="73"/>
      <c r="G1420" s="73"/>
    </row>
    <row r="1421" spans="2:7" ht="32.25" customHeight="1" x14ac:dyDescent="0.35">
      <c r="B1421" s="73"/>
      <c r="C1421" s="73"/>
      <c r="D1421" s="73"/>
      <c r="E1421" s="73"/>
      <c r="F1421" s="73"/>
      <c r="G1421" s="73"/>
    </row>
    <row r="1422" spans="2:7" ht="32.25" customHeight="1" x14ac:dyDescent="0.35">
      <c r="B1422" s="73"/>
      <c r="C1422" s="73"/>
      <c r="D1422" s="73"/>
      <c r="E1422" s="73"/>
      <c r="F1422" s="73"/>
      <c r="G1422" s="73"/>
    </row>
    <row r="1423" spans="2:7" ht="32.25" customHeight="1" x14ac:dyDescent="0.35">
      <c r="B1423" s="73"/>
      <c r="C1423" s="73"/>
      <c r="D1423" s="73"/>
      <c r="E1423" s="73"/>
      <c r="F1423" s="73"/>
      <c r="G1423" s="73"/>
    </row>
    <row r="1424" spans="2:7" ht="32.25" customHeight="1" x14ac:dyDescent="0.35">
      <c r="B1424" s="73"/>
      <c r="C1424" s="73"/>
      <c r="D1424" s="73"/>
      <c r="E1424" s="73"/>
      <c r="F1424" s="73"/>
      <c r="G1424" s="73"/>
    </row>
    <row r="1425" spans="2:7" ht="32.25" customHeight="1" x14ac:dyDescent="0.35">
      <c r="B1425" s="73"/>
      <c r="C1425" s="73"/>
      <c r="D1425" s="73"/>
      <c r="E1425" s="73"/>
      <c r="F1425" s="73"/>
      <c r="G1425" s="73"/>
    </row>
    <row r="1426" spans="2:7" ht="32.25" customHeight="1" x14ac:dyDescent="0.35">
      <c r="B1426" s="73"/>
      <c r="C1426" s="73"/>
      <c r="D1426" s="73"/>
      <c r="E1426" s="73"/>
      <c r="F1426" s="73"/>
      <c r="G1426" s="73"/>
    </row>
    <row r="1427" spans="2:7" ht="32.25" customHeight="1" x14ac:dyDescent="0.35">
      <c r="B1427" s="73"/>
      <c r="C1427" s="73"/>
      <c r="D1427" s="73"/>
      <c r="E1427" s="73"/>
      <c r="F1427" s="73"/>
      <c r="G1427" s="73"/>
    </row>
    <row r="1428" spans="2:7" ht="32.25" customHeight="1" x14ac:dyDescent="0.35">
      <c r="B1428" s="73"/>
      <c r="C1428" s="73"/>
      <c r="D1428" s="73"/>
      <c r="E1428" s="73"/>
      <c r="F1428" s="73"/>
      <c r="G1428" s="73"/>
    </row>
    <row r="1429" spans="2:7" ht="32.25" customHeight="1" x14ac:dyDescent="0.35">
      <c r="B1429" s="73"/>
      <c r="C1429" s="73"/>
      <c r="D1429" s="73"/>
      <c r="E1429" s="73"/>
      <c r="F1429" s="73"/>
      <c r="G1429" s="73"/>
    </row>
    <row r="1430" spans="2:7" ht="32.25" customHeight="1" x14ac:dyDescent="0.35">
      <c r="B1430" s="73"/>
      <c r="C1430" s="73"/>
      <c r="D1430" s="73"/>
      <c r="E1430" s="73"/>
      <c r="F1430" s="73"/>
      <c r="G1430" s="73"/>
    </row>
    <row r="1431" spans="2:7" ht="32.25" customHeight="1" x14ac:dyDescent="0.35">
      <c r="B1431" s="73"/>
      <c r="C1431" s="73"/>
      <c r="D1431" s="73"/>
      <c r="E1431" s="73"/>
      <c r="F1431" s="73"/>
      <c r="G1431" s="73"/>
    </row>
    <row r="1432" spans="2:7" ht="32.25" customHeight="1" x14ac:dyDescent="0.35">
      <c r="B1432" s="73"/>
      <c r="C1432" s="73"/>
      <c r="D1432" s="73"/>
      <c r="E1432" s="73"/>
      <c r="F1432" s="73"/>
      <c r="G1432" s="73"/>
    </row>
    <row r="1433" spans="2:7" ht="32.25" customHeight="1" x14ac:dyDescent="0.35">
      <c r="B1433" s="73"/>
      <c r="C1433" s="73"/>
      <c r="D1433" s="73"/>
      <c r="E1433" s="73"/>
      <c r="F1433" s="73"/>
      <c r="G1433" s="73"/>
    </row>
    <row r="1434" spans="2:7" ht="32.25" customHeight="1" x14ac:dyDescent="0.35">
      <c r="B1434" s="73"/>
      <c r="C1434" s="73"/>
      <c r="D1434" s="73"/>
      <c r="E1434" s="73"/>
      <c r="F1434" s="73"/>
      <c r="G1434" s="73"/>
    </row>
    <row r="1435" spans="2:7" ht="32.25" customHeight="1" x14ac:dyDescent="0.35">
      <c r="B1435" s="73"/>
      <c r="C1435" s="73"/>
      <c r="D1435" s="73"/>
      <c r="E1435" s="73"/>
      <c r="F1435" s="73"/>
      <c r="G1435" s="73"/>
    </row>
    <row r="1436" spans="2:7" ht="32.25" customHeight="1" x14ac:dyDescent="0.35">
      <c r="B1436" s="73"/>
      <c r="C1436" s="73"/>
      <c r="D1436" s="73"/>
      <c r="E1436" s="73"/>
      <c r="F1436" s="73"/>
      <c r="G1436" s="73"/>
    </row>
    <row r="1437" spans="2:7" ht="32.25" customHeight="1" x14ac:dyDescent="0.35">
      <c r="B1437" s="73"/>
      <c r="C1437" s="73"/>
      <c r="D1437" s="73"/>
      <c r="E1437" s="73"/>
      <c r="F1437" s="73"/>
      <c r="G1437" s="73"/>
    </row>
    <row r="1438" spans="2:7" ht="32.25" customHeight="1" x14ac:dyDescent="0.35">
      <c r="B1438" s="73"/>
      <c r="C1438" s="73"/>
      <c r="D1438" s="73"/>
      <c r="E1438" s="73"/>
      <c r="F1438" s="73"/>
      <c r="G1438" s="73"/>
    </row>
    <row r="1439" spans="2:7" ht="32.25" customHeight="1" x14ac:dyDescent="0.35">
      <c r="B1439" s="73"/>
      <c r="C1439" s="73"/>
      <c r="D1439" s="73"/>
      <c r="E1439" s="73"/>
      <c r="F1439" s="73"/>
      <c r="G1439" s="73"/>
    </row>
    <row r="1440" spans="2:7" ht="32.25" customHeight="1" x14ac:dyDescent="0.35">
      <c r="B1440" s="73"/>
      <c r="C1440" s="73"/>
      <c r="D1440" s="73"/>
      <c r="E1440" s="73"/>
      <c r="F1440" s="73"/>
      <c r="G1440" s="73"/>
    </row>
    <row r="1441" spans="2:7" ht="32.25" customHeight="1" x14ac:dyDescent="0.35">
      <c r="B1441" s="73"/>
      <c r="C1441" s="73"/>
      <c r="D1441" s="73"/>
      <c r="E1441" s="73"/>
      <c r="F1441" s="73"/>
      <c r="G1441" s="73"/>
    </row>
    <row r="1442" spans="2:7" ht="32.25" customHeight="1" x14ac:dyDescent="0.35">
      <c r="B1442" s="73"/>
      <c r="C1442" s="73"/>
      <c r="D1442" s="73"/>
      <c r="E1442" s="73"/>
      <c r="F1442" s="73"/>
      <c r="G1442" s="73"/>
    </row>
    <row r="1443" spans="2:7" ht="32.25" customHeight="1" x14ac:dyDescent="0.35">
      <c r="B1443" s="73"/>
      <c r="C1443" s="73"/>
      <c r="D1443" s="73"/>
      <c r="E1443" s="73"/>
      <c r="F1443" s="73"/>
      <c r="G1443" s="73"/>
    </row>
    <row r="1444" spans="2:7" ht="32.25" customHeight="1" x14ac:dyDescent="0.35">
      <c r="B1444" s="73"/>
      <c r="C1444" s="73"/>
      <c r="D1444" s="73"/>
      <c r="E1444" s="73"/>
      <c r="F1444" s="73"/>
      <c r="G1444" s="73"/>
    </row>
    <row r="1445" spans="2:7" ht="32.25" customHeight="1" x14ac:dyDescent="0.35">
      <c r="B1445" s="73"/>
      <c r="C1445" s="73"/>
      <c r="D1445" s="73"/>
      <c r="E1445" s="73"/>
      <c r="F1445" s="73"/>
      <c r="G1445" s="73"/>
    </row>
    <row r="1446" spans="2:7" ht="32.25" customHeight="1" x14ac:dyDescent="0.35">
      <c r="B1446" s="73"/>
      <c r="C1446" s="73"/>
      <c r="D1446" s="73"/>
      <c r="E1446" s="73"/>
      <c r="F1446" s="73"/>
      <c r="G1446" s="73"/>
    </row>
    <row r="1447" spans="2:7" ht="32.25" customHeight="1" x14ac:dyDescent="0.35">
      <c r="B1447" s="73"/>
      <c r="C1447" s="73"/>
      <c r="D1447" s="73"/>
      <c r="E1447" s="73"/>
      <c r="F1447" s="73"/>
      <c r="G1447" s="73"/>
    </row>
    <row r="1448" spans="2:7" ht="32.25" customHeight="1" x14ac:dyDescent="0.35">
      <c r="B1448" s="73"/>
      <c r="C1448" s="73"/>
      <c r="D1448" s="73"/>
      <c r="E1448" s="73"/>
      <c r="F1448" s="73"/>
      <c r="G1448" s="73"/>
    </row>
    <row r="1449" spans="2:7" ht="32.25" customHeight="1" x14ac:dyDescent="0.35">
      <c r="B1449" s="73"/>
      <c r="C1449" s="73"/>
      <c r="D1449" s="73"/>
      <c r="E1449" s="73"/>
      <c r="F1449" s="73"/>
      <c r="G1449" s="73"/>
    </row>
    <row r="1450" spans="2:7" ht="32.25" customHeight="1" x14ac:dyDescent="0.35">
      <c r="B1450" s="73"/>
      <c r="C1450" s="73"/>
      <c r="D1450" s="73"/>
      <c r="E1450" s="73"/>
      <c r="F1450" s="73"/>
      <c r="G1450" s="73"/>
    </row>
    <row r="1451" spans="2:7" ht="32.25" customHeight="1" x14ac:dyDescent="0.35">
      <c r="B1451" s="73"/>
      <c r="C1451" s="73"/>
      <c r="D1451" s="73"/>
      <c r="E1451" s="73"/>
      <c r="F1451" s="73"/>
      <c r="G1451" s="73"/>
    </row>
    <row r="1452" spans="2:7" ht="32.25" customHeight="1" x14ac:dyDescent="0.35">
      <c r="B1452" s="73"/>
      <c r="C1452" s="73"/>
      <c r="D1452" s="73"/>
      <c r="E1452" s="73"/>
      <c r="F1452" s="73"/>
      <c r="G1452" s="73"/>
    </row>
    <row r="1453" spans="2:7" ht="32.25" customHeight="1" x14ac:dyDescent="0.35">
      <c r="B1453" s="73"/>
      <c r="C1453" s="73"/>
      <c r="D1453" s="73"/>
      <c r="E1453" s="73"/>
      <c r="F1453" s="73"/>
      <c r="G1453" s="73"/>
    </row>
    <row r="1454" spans="2:7" ht="32.25" customHeight="1" x14ac:dyDescent="0.35">
      <c r="B1454" s="73"/>
      <c r="C1454" s="73"/>
      <c r="D1454" s="73"/>
      <c r="E1454" s="73"/>
      <c r="F1454" s="73"/>
      <c r="G1454" s="73"/>
    </row>
    <row r="1455" spans="2:7" ht="32.25" customHeight="1" x14ac:dyDescent="0.35">
      <c r="B1455" s="73"/>
      <c r="C1455" s="73"/>
      <c r="D1455" s="73"/>
      <c r="E1455" s="73"/>
      <c r="F1455" s="73"/>
      <c r="G1455" s="73"/>
    </row>
    <row r="1456" spans="2:7" ht="32.25" customHeight="1" x14ac:dyDescent="0.35">
      <c r="B1456" s="73"/>
      <c r="C1456" s="73"/>
      <c r="D1456" s="73"/>
      <c r="E1456" s="73"/>
      <c r="F1456" s="73"/>
      <c r="G1456" s="73"/>
    </row>
    <row r="1457" spans="2:7" ht="32.25" customHeight="1" x14ac:dyDescent="0.35">
      <c r="B1457" s="73"/>
      <c r="C1457" s="73"/>
      <c r="D1457" s="73"/>
      <c r="E1457" s="73"/>
      <c r="F1457" s="73"/>
      <c r="G1457" s="73"/>
    </row>
    <row r="1458" spans="2:7" ht="32.25" customHeight="1" x14ac:dyDescent="0.35">
      <c r="B1458" s="73"/>
      <c r="C1458" s="73"/>
      <c r="D1458" s="73"/>
      <c r="E1458" s="73"/>
      <c r="F1458" s="73"/>
      <c r="G1458" s="73"/>
    </row>
    <row r="1459" spans="2:7" ht="32.25" customHeight="1" x14ac:dyDescent="0.35">
      <c r="B1459" s="73"/>
      <c r="C1459" s="73"/>
      <c r="D1459" s="73"/>
      <c r="E1459" s="73"/>
      <c r="F1459" s="73"/>
      <c r="G1459" s="73"/>
    </row>
    <row r="1460" spans="2:7" ht="32.25" customHeight="1" x14ac:dyDescent="0.35">
      <c r="B1460" s="73"/>
      <c r="C1460" s="73"/>
      <c r="D1460" s="73"/>
      <c r="E1460" s="73"/>
      <c r="F1460" s="73"/>
      <c r="G1460" s="73"/>
    </row>
    <row r="1461" spans="2:7" ht="32.25" customHeight="1" x14ac:dyDescent="0.35">
      <c r="B1461" s="73"/>
      <c r="C1461" s="73"/>
      <c r="D1461" s="73"/>
      <c r="E1461" s="73"/>
      <c r="F1461" s="73"/>
      <c r="G1461" s="73"/>
    </row>
    <row r="1462" spans="2:7" ht="32.25" customHeight="1" x14ac:dyDescent="0.35">
      <c r="B1462" s="73"/>
      <c r="C1462" s="73"/>
      <c r="D1462" s="73"/>
      <c r="E1462" s="73"/>
      <c r="F1462" s="73"/>
      <c r="G1462" s="73"/>
    </row>
    <row r="1463" spans="2:7" ht="32.25" customHeight="1" x14ac:dyDescent="0.35">
      <c r="B1463" s="73"/>
      <c r="C1463" s="73"/>
      <c r="D1463" s="73"/>
      <c r="E1463" s="73"/>
      <c r="F1463" s="73"/>
      <c r="G1463" s="73"/>
    </row>
    <row r="1464" spans="2:7" ht="32.25" customHeight="1" x14ac:dyDescent="0.35">
      <c r="B1464" s="73"/>
      <c r="C1464" s="73"/>
      <c r="D1464" s="73"/>
      <c r="E1464" s="73"/>
      <c r="F1464" s="73"/>
      <c r="G1464" s="73"/>
    </row>
    <row r="1465" spans="2:7" ht="32.25" customHeight="1" x14ac:dyDescent="0.35">
      <c r="B1465" s="73"/>
      <c r="C1465" s="73"/>
      <c r="D1465" s="73"/>
      <c r="E1465" s="73"/>
      <c r="F1465" s="73"/>
      <c r="G1465" s="73"/>
    </row>
    <row r="1466" spans="2:7" ht="32.25" customHeight="1" x14ac:dyDescent="0.35">
      <c r="B1466" s="73"/>
      <c r="C1466" s="73"/>
      <c r="D1466" s="73"/>
      <c r="E1466" s="73"/>
      <c r="F1466" s="73"/>
      <c r="G1466" s="73"/>
    </row>
    <row r="1467" spans="2:7" ht="32.25" customHeight="1" x14ac:dyDescent="0.35">
      <c r="B1467" s="73"/>
      <c r="C1467" s="73"/>
      <c r="D1467" s="73"/>
      <c r="E1467" s="73"/>
      <c r="F1467" s="73"/>
      <c r="G1467" s="73"/>
    </row>
    <row r="1468" spans="2:7" ht="32.25" customHeight="1" x14ac:dyDescent="0.35">
      <c r="B1468" s="73"/>
      <c r="C1468" s="73"/>
      <c r="D1468" s="73"/>
      <c r="E1468" s="73"/>
      <c r="F1468" s="73"/>
      <c r="G1468" s="73"/>
    </row>
    <row r="1469" spans="2:7" ht="32.25" customHeight="1" x14ac:dyDescent="0.35">
      <c r="B1469" s="73"/>
      <c r="C1469" s="73"/>
      <c r="D1469" s="73"/>
      <c r="E1469" s="73"/>
      <c r="F1469" s="73"/>
      <c r="G1469" s="73"/>
    </row>
    <row r="1470" spans="2:7" ht="32.25" customHeight="1" x14ac:dyDescent="0.35">
      <c r="B1470" s="73"/>
      <c r="C1470" s="73"/>
      <c r="D1470" s="73"/>
      <c r="E1470" s="73"/>
      <c r="F1470" s="73"/>
      <c r="G1470" s="73"/>
    </row>
    <row r="1471" spans="2:7" ht="32.25" customHeight="1" x14ac:dyDescent="0.35">
      <c r="B1471" s="73"/>
      <c r="C1471" s="73"/>
      <c r="D1471" s="73"/>
      <c r="E1471" s="73"/>
      <c r="F1471" s="73"/>
      <c r="G1471" s="73"/>
    </row>
    <row r="1472" spans="2:7" ht="32.25" customHeight="1" x14ac:dyDescent="0.35">
      <c r="B1472" s="73"/>
      <c r="C1472" s="73"/>
      <c r="D1472" s="73"/>
      <c r="E1472" s="73"/>
      <c r="F1472" s="73"/>
      <c r="G1472" s="73"/>
    </row>
    <row r="1473" spans="2:7" ht="32.25" customHeight="1" x14ac:dyDescent="0.35">
      <c r="B1473" s="73"/>
      <c r="C1473" s="73"/>
      <c r="D1473" s="73"/>
      <c r="E1473" s="73"/>
      <c r="F1473" s="73"/>
      <c r="G1473" s="73"/>
    </row>
    <row r="1474" spans="2:7" ht="32.25" customHeight="1" x14ac:dyDescent="0.35">
      <c r="B1474" s="73"/>
      <c r="C1474" s="73"/>
      <c r="D1474" s="73"/>
      <c r="E1474" s="73"/>
      <c r="F1474" s="73"/>
      <c r="G1474" s="73"/>
    </row>
    <row r="1475" spans="2:7" ht="32.25" customHeight="1" x14ac:dyDescent="0.35">
      <c r="B1475" s="73"/>
      <c r="C1475" s="73"/>
      <c r="D1475" s="73"/>
      <c r="E1475" s="73"/>
      <c r="F1475" s="73"/>
      <c r="G1475" s="73"/>
    </row>
    <row r="1476" spans="2:7" ht="32.25" customHeight="1" x14ac:dyDescent="0.35">
      <c r="B1476" s="73"/>
      <c r="C1476" s="73"/>
      <c r="D1476" s="73"/>
      <c r="E1476" s="73"/>
      <c r="F1476" s="73"/>
      <c r="G1476" s="73"/>
    </row>
    <row r="1477" spans="2:7" ht="32.25" customHeight="1" x14ac:dyDescent="0.35">
      <c r="B1477" s="73"/>
      <c r="C1477" s="73"/>
      <c r="D1477" s="73"/>
      <c r="E1477" s="73"/>
      <c r="F1477" s="73"/>
      <c r="G1477" s="73"/>
    </row>
    <row r="1478" spans="2:7" ht="32.25" customHeight="1" x14ac:dyDescent="0.35">
      <c r="B1478" s="73"/>
      <c r="C1478" s="73"/>
      <c r="D1478" s="73"/>
      <c r="E1478" s="73"/>
      <c r="F1478" s="73"/>
      <c r="G1478" s="73"/>
    </row>
    <row r="1479" spans="2:7" ht="32.25" customHeight="1" x14ac:dyDescent="0.35">
      <c r="B1479" s="73"/>
      <c r="C1479" s="73"/>
      <c r="D1479" s="73"/>
      <c r="E1479" s="73"/>
      <c r="F1479" s="73"/>
      <c r="G1479" s="73"/>
    </row>
    <row r="1480" spans="2:7" ht="32.25" customHeight="1" x14ac:dyDescent="0.35">
      <c r="B1480" s="73"/>
      <c r="C1480" s="73"/>
      <c r="D1480" s="73"/>
      <c r="E1480" s="73"/>
      <c r="F1480" s="73"/>
      <c r="G1480" s="73"/>
    </row>
    <row r="1481" spans="2:7" ht="32.25" customHeight="1" x14ac:dyDescent="0.35">
      <c r="B1481" s="73"/>
      <c r="C1481" s="73"/>
      <c r="D1481" s="73"/>
      <c r="E1481" s="73"/>
      <c r="F1481" s="73"/>
      <c r="G1481" s="73"/>
    </row>
    <row r="1482" spans="2:7" ht="32.25" customHeight="1" x14ac:dyDescent="0.35">
      <c r="B1482" s="73"/>
      <c r="C1482" s="73"/>
      <c r="D1482" s="73"/>
      <c r="E1482" s="73"/>
      <c r="F1482" s="73"/>
      <c r="G1482" s="73"/>
    </row>
    <row r="1483" spans="2:7" ht="32.25" customHeight="1" x14ac:dyDescent="0.35">
      <c r="B1483" s="73"/>
      <c r="C1483" s="73"/>
      <c r="D1483" s="73"/>
      <c r="E1483" s="73"/>
      <c r="F1483" s="73"/>
      <c r="G1483" s="73"/>
    </row>
    <row r="1484" spans="2:7" ht="32.25" customHeight="1" x14ac:dyDescent="0.35">
      <c r="B1484" s="73"/>
      <c r="C1484" s="73"/>
      <c r="D1484" s="73"/>
      <c r="E1484" s="73"/>
      <c r="F1484" s="73"/>
      <c r="G1484" s="73"/>
    </row>
    <row r="1485" spans="2:7" ht="32.25" customHeight="1" x14ac:dyDescent="0.35">
      <c r="B1485" s="73"/>
      <c r="C1485" s="73"/>
      <c r="D1485" s="73"/>
      <c r="E1485" s="73"/>
      <c r="F1485" s="73"/>
      <c r="G1485" s="73"/>
    </row>
    <row r="1486" spans="2:7" ht="32.25" customHeight="1" x14ac:dyDescent="0.35">
      <c r="B1486" s="73"/>
      <c r="C1486" s="73"/>
      <c r="D1486" s="73"/>
      <c r="E1486" s="73"/>
      <c r="F1486" s="73"/>
      <c r="G1486" s="73"/>
    </row>
    <row r="1487" spans="2:7" ht="32.25" customHeight="1" x14ac:dyDescent="0.35">
      <c r="B1487" s="73"/>
      <c r="C1487" s="73"/>
      <c r="D1487" s="73"/>
      <c r="E1487" s="73"/>
      <c r="F1487" s="73"/>
      <c r="G1487" s="73"/>
    </row>
    <row r="1488" spans="2:7" ht="32.25" customHeight="1" x14ac:dyDescent="0.35">
      <c r="B1488" s="73"/>
      <c r="C1488" s="73"/>
      <c r="D1488" s="73"/>
      <c r="E1488" s="73"/>
      <c r="F1488" s="73"/>
      <c r="G1488" s="73"/>
    </row>
    <row r="1489" spans="2:7" ht="32.25" customHeight="1" x14ac:dyDescent="0.35">
      <c r="B1489" s="73"/>
      <c r="C1489" s="73"/>
      <c r="D1489" s="73"/>
      <c r="E1489" s="73"/>
      <c r="F1489" s="73"/>
      <c r="G1489" s="73"/>
    </row>
    <row r="1490" spans="2:7" ht="32.25" customHeight="1" x14ac:dyDescent="0.35">
      <c r="B1490" s="73"/>
      <c r="C1490" s="73"/>
      <c r="D1490" s="73"/>
      <c r="E1490" s="73"/>
      <c r="F1490" s="73"/>
      <c r="G1490" s="73"/>
    </row>
    <row r="1491" spans="2:7" ht="32.25" customHeight="1" x14ac:dyDescent="0.35">
      <c r="B1491" s="73"/>
      <c r="C1491" s="73"/>
      <c r="D1491" s="73"/>
      <c r="E1491" s="73"/>
      <c r="F1491" s="73"/>
      <c r="G1491" s="73"/>
    </row>
    <row r="1492" spans="2:7" ht="32.25" customHeight="1" x14ac:dyDescent="0.35">
      <c r="B1492" s="73"/>
      <c r="C1492" s="73"/>
      <c r="D1492" s="73"/>
      <c r="E1492" s="73"/>
      <c r="F1492" s="73"/>
      <c r="G1492" s="73"/>
    </row>
    <row r="1493" spans="2:7" ht="32.25" customHeight="1" x14ac:dyDescent="0.35">
      <c r="B1493" s="73"/>
      <c r="C1493" s="73"/>
      <c r="D1493" s="73"/>
      <c r="E1493" s="73"/>
      <c r="F1493" s="73"/>
      <c r="G1493" s="73"/>
    </row>
    <row r="1494" spans="2:7" ht="32.25" customHeight="1" x14ac:dyDescent="0.35">
      <c r="B1494" s="73"/>
      <c r="C1494" s="73"/>
      <c r="D1494" s="73"/>
      <c r="E1494" s="73"/>
      <c r="F1494" s="73"/>
      <c r="G1494" s="73"/>
    </row>
    <row r="1495" spans="2:7" ht="32.25" customHeight="1" x14ac:dyDescent="0.35">
      <c r="B1495" s="73"/>
      <c r="C1495" s="73"/>
      <c r="D1495" s="73"/>
      <c r="E1495" s="73"/>
      <c r="F1495" s="73"/>
      <c r="G1495" s="73"/>
    </row>
    <row r="1496" spans="2:7" ht="32.25" customHeight="1" x14ac:dyDescent="0.35">
      <c r="B1496" s="73"/>
      <c r="C1496" s="73"/>
      <c r="D1496" s="73"/>
      <c r="E1496" s="73"/>
      <c r="F1496" s="73"/>
      <c r="G1496" s="73"/>
    </row>
    <row r="1497" spans="2:7" ht="32.25" customHeight="1" x14ac:dyDescent="0.35">
      <c r="B1497" s="73"/>
      <c r="C1497" s="73"/>
      <c r="D1497" s="73"/>
      <c r="E1497" s="73"/>
      <c r="F1497" s="73"/>
      <c r="G1497" s="73"/>
    </row>
    <row r="1498" spans="2:7" ht="32.25" customHeight="1" x14ac:dyDescent="0.35">
      <c r="B1498" s="73"/>
      <c r="C1498" s="73"/>
      <c r="D1498" s="73"/>
      <c r="E1498" s="73"/>
      <c r="F1498" s="73"/>
      <c r="G1498" s="73"/>
    </row>
    <row r="1499" spans="2:7" ht="32.25" customHeight="1" x14ac:dyDescent="0.35">
      <c r="B1499" s="73"/>
      <c r="C1499" s="73"/>
      <c r="D1499" s="73"/>
      <c r="E1499" s="73"/>
      <c r="F1499" s="73"/>
      <c r="G1499" s="73"/>
    </row>
    <row r="1500" spans="2:7" ht="32.25" customHeight="1" x14ac:dyDescent="0.35">
      <c r="B1500" s="73"/>
      <c r="C1500" s="73"/>
      <c r="D1500" s="73"/>
      <c r="E1500" s="73"/>
      <c r="F1500" s="73"/>
      <c r="G1500" s="73"/>
    </row>
    <row r="1501" spans="2:7" ht="32.25" customHeight="1" x14ac:dyDescent="0.35">
      <c r="B1501" s="73"/>
      <c r="C1501" s="73"/>
      <c r="D1501" s="73"/>
      <c r="E1501" s="73"/>
      <c r="F1501" s="73"/>
      <c r="G1501" s="73"/>
    </row>
    <row r="1502" spans="2:7" ht="32.25" customHeight="1" x14ac:dyDescent="0.35">
      <c r="B1502" s="73"/>
      <c r="C1502" s="73"/>
      <c r="D1502" s="73"/>
      <c r="E1502" s="73"/>
      <c r="F1502" s="73"/>
      <c r="G1502" s="73"/>
    </row>
    <row r="1503" spans="2:7" ht="32.25" customHeight="1" x14ac:dyDescent="0.35">
      <c r="B1503" s="73"/>
      <c r="C1503" s="73"/>
      <c r="D1503" s="73"/>
      <c r="E1503" s="73"/>
      <c r="F1503" s="73"/>
      <c r="G1503" s="73"/>
    </row>
    <row r="1504" spans="2:7" ht="32.25" customHeight="1" x14ac:dyDescent="0.35">
      <c r="B1504" s="73"/>
      <c r="C1504" s="73"/>
      <c r="D1504" s="73"/>
      <c r="E1504" s="73"/>
      <c r="F1504" s="73"/>
      <c r="G1504" s="73"/>
    </row>
    <row r="1505" spans="2:7" ht="32.25" customHeight="1" x14ac:dyDescent="0.35">
      <c r="B1505" s="73"/>
      <c r="C1505" s="73"/>
      <c r="D1505" s="73"/>
      <c r="E1505" s="73"/>
      <c r="F1505" s="73"/>
      <c r="G1505" s="73"/>
    </row>
    <row r="1506" spans="2:7" ht="32.25" customHeight="1" x14ac:dyDescent="0.35">
      <c r="B1506" s="73"/>
      <c r="C1506" s="73"/>
      <c r="D1506" s="73"/>
      <c r="E1506" s="73"/>
      <c r="F1506" s="73"/>
      <c r="G1506" s="73"/>
    </row>
    <row r="1507" spans="2:7" ht="32.25" customHeight="1" x14ac:dyDescent="0.35">
      <c r="B1507" s="73"/>
      <c r="C1507" s="73"/>
      <c r="D1507" s="73"/>
      <c r="E1507" s="73"/>
      <c r="F1507" s="73"/>
      <c r="G1507" s="73"/>
    </row>
    <row r="1508" spans="2:7" ht="32.25" customHeight="1" x14ac:dyDescent="0.35">
      <c r="B1508" s="73"/>
      <c r="C1508" s="73"/>
      <c r="D1508" s="73"/>
      <c r="E1508" s="73"/>
      <c r="F1508" s="73"/>
      <c r="G1508" s="73"/>
    </row>
    <row r="1509" spans="2:7" ht="32.25" customHeight="1" x14ac:dyDescent="0.35">
      <c r="B1509" s="73"/>
      <c r="C1509" s="73"/>
      <c r="D1509" s="73"/>
      <c r="E1509" s="73"/>
      <c r="F1509" s="73"/>
      <c r="G1509" s="73"/>
    </row>
    <row r="1510" spans="2:7" ht="32.25" customHeight="1" x14ac:dyDescent="0.35">
      <c r="B1510" s="73"/>
      <c r="C1510" s="73"/>
      <c r="D1510" s="73"/>
      <c r="E1510" s="73"/>
      <c r="F1510" s="73"/>
      <c r="G1510" s="73"/>
    </row>
    <row r="1511" spans="2:7" ht="32.25" customHeight="1" x14ac:dyDescent="0.35">
      <c r="B1511" s="73"/>
      <c r="C1511" s="73"/>
      <c r="D1511" s="73"/>
      <c r="E1511" s="73"/>
      <c r="F1511" s="73"/>
      <c r="G1511" s="73"/>
    </row>
    <row r="1512" spans="2:7" ht="32.25" customHeight="1" x14ac:dyDescent="0.35">
      <c r="B1512" s="73"/>
      <c r="C1512" s="73"/>
      <c r="D1512" s="73"/>
      <c r="E1512" s="73"/>
      <c r="F1512" s="73"/>
      <c r="G1512" s="73"/>
    </row>
    <row r="1513" spans="2:7" ht="32.25" customHeight="1" x14ac:dyDescent="0.35">
      <c r="B1513" s="73"/>
      <c r="C1513" s="73"/>
      <c r="D1513" s="73"/>
      <c r="E1513" s="73"/>
      <c r="F1513" s="73"/>
      <c r="G1513" s="73"/>
    </row>
    <row r="1514" spans="2:7" ht="32.25" customHeight="1" x14ac:dyDescent="0.35">
      <c r="B1514" s="73"/>
      <c r="C1514" s="73"/>
      <c r="D1514" s="73"/>
      <c r="E1514" s="73"/>
      <c r="F1514" s="73"/>
      <c r="G1514" s="73"/>
    </row>
    <row r="1515" spans="2:7" ht="32.25" customHeight="1" x14ac:dyDescent="0.35">
      <c r="B1515" s="73"/>
      <c r="C1515" s="73"/>
      <c r="D1515" s="73"/>
      <c r="E1515" s="73"/>
      <c r="F1515" s="73"/>
      <c r="G1515" s="73"/>
    </row>
    <row r="1516" spans="2:7" ht="32.25" customHeight="1" x14ac:dyDescent="0.35">
      <c r="B1516" s="73"/>
      <c r="C1516" s="73"/>
      <c r="D1516" s="73"/>
      <c r="E1516" s="73"/>
      <c r="F1516" s="73"/>
      <c r="G1516" s="73"/>
    </row>
    <row r="1517" spans="2:7" ht="32.25" customHeight="1" x14ac:dyDescent="0.35">
      <c r="B1517" s="73"/>
      <c r="C1517" s="73"/>
      <c r="D1517" s="73"/>
      <c r="E1517" s="73"/>
      <c r="F1517" s="73"/>
      <c r="G1517" s="73"/>
    </row>
    <row r="1518" spans="2:7" ht="32.25" customHeight="1" x14ac:dyDescent="0.35">
      <c r="B1518" s="73"/>
      <c r="C1518" s="73"/>
      <c r="D1518" s="73"/>
      <c r="E1518" s="73"/>
      <c r="F1518" s="73"/>
      <c r="G1518" s="73"/>
    </row>
    <row r="1519" spans="2:7" ht="32.25" customHeight="1" x14ac:dyDescent="0.35">
      <c r="B1519" s="73"/>
      <c r="C1519" s="73"/>
      <c r="D1519" s="73"/>
      <c r="E1519" s="73"/>
      <c r="F1519" s="73"/>
      <c r="G1519" s="73"/>
    </row>
    <row r="1520" spans="2:7" ht="32.25" customHeight="1" x14ac:dyDescent="0.35">
      <c r="B1520" s="73"/>
      <c r="C1520" s="73"/>
      <c r="D1520" s="73"/>
      <c r="E1520" s="73"/>
      <c r="F1520" s="73"/>
      <c r="G1520" s="73"/>
    </row>
    <row r="1521" spans="2:7" ht="32.25" customHeight="1" x14ac:dyDescent="0.35">
      <c r="B1521" s="73"/>
      <c r="C1521" s="73"/>
      <c r="D1521" s="73"/>
      <c r="E1521" s="73"/>
      <c r="F1521" s="73"/>
      <c r="G1521" s="73"/>
    </row>
    <row r="1522" spans="2:7" ht="32.25" customHeight="1" x14ac:dyDescent="0.35">
      <c r="B1522" s="73"/>
      <c r="C1522" s="73"/>
      <c r="D1522" s="73"/>
      <c r="E1522" s="73"/>
      <c r="F1522" s="73"/>
      <c r="G1522" s="73"/>
    </row>
    <row r="1523" spans="2:7" ht="32.25" customHeight="1" x14ac:dyDescent="0.35">
      <c r="B1523" s="73"/>
      <c r="C1523" s="73"/>
      <c r="D1523" s="73"/>
      <c r="E1523" s="73"/>
      <c r="F1523" s="73"/>
      <c r="G1523" s="73"/>
    </row>
    <row r="1524" spans="2:7" ht="32.25" customHeight="1" x14ac:dyDescent="0.35">
      <c r="B1524" s="73"/>
      <c r="C1524" s="73"/>
      <c r="D1524" s="73"/>
      <c r="E1524" s="73"/>
      <c r="F1524" s="73"/>
      <c r="G1524" s="73"/>
    </row>
    <row r="1525" spans="2:7" ht="32.25" customHeight="1" x14ac:dyDescent="0.35">
      <c r="B1525" s="73"/>
      <c r="C1525" s="73"/>
      <c r="D1525" s="73"/>
      <c r="E1525" s="73"/>
      <c r="F1525" s="73"/>
      <c r="G1525" s="73"/>
    </row>
    <row r="1526" spans="2:7" ht="32.25" customHeight="1" x14ac:dyDescent="0.35">
      <c r="B1526" s="73"/>
      <c r="C1526" s="73"/>
      <c r="D1526" s="73"/>
      <c r="E1526" s="73"/>
      <c r="F1526" s="73"/>
      <c r="G1526" s="73"/>
    </row>
    <row r="1527" spans="2:7" ht="32.25" customHeight="1" x14ac:dyDescent="0.35">
      <c r="B1527" s="73"/>
      <c r="C1527" s="73"/>
      <c r="D1527" s="73"/>
      <c r="E1527" s="73"/>
      <c r="F1527" s="73"/>
      <c r="G1527" s="73"/>
    </row>
    <row r="1528" spans="2:7" ht="32.25" customHeight="1" x14ac:dyDescent="0.35">
      <c r="B1528" s="73"/>
      <c r="C1528" s="73"/>
      <c r="D1528" s="73"/>
      <c r="E1528" s="73"/>
      <c r="F1528" s="73"/>
      <c r="G1528" s="73"/>
    </row>
    <row r="1529" spans="2:7" ht="32.25" customHeight="1" x14ac:dyDescent="0.35">
      <c r="B1529" s="73"/>
      <c r="C1529" s="73"/>
      <c r="D1529" s="73"/>
      <c r="E1529" s="73"/>
      <c r="F1529" s="73"/>
      <c r="G1529" s="73"/>
    </row>
    <row r="1530" spans="2:7" ht="32.25" customHeight="1" x14ac:dyDescent="0.35">
      <c r="B1530" s="73"/>
      <c r="C1530" s="73"/>
      <c r="D1530" s="73"/>
      <c r="E1530" s="73"/>
      <c r="F1530" s="73"/>
      <c r="G1530" s="73"/>
    </row>
    <row r="1531" spans="2:7" ht="32.25" customHeight="1" x14ac:dyDescent="0.35">
      <c r="B1531" s="73"/>
      <c r="C1531" s="73"/>
      <c r="D1531" s="73"/>
      <c r="E1531" s="73"/>
      <c r="F1531" s="73"/>
      <c r="G1531" s="73"/>
    </row>
    <row r="1532" spans="2:7" ht="32.25" customHeight="1" x14ac:dyDescent="0.35">
      <c r="B1532" s="73"/>
      <c r="C1532" s="73"/>
      <c r="D1532" s="73"/>
      <c r="E1532" s="73"/>
      <c r="F1532" s="73"/>
      <c r="G1532" s="73"/>
    </row>
    <row r="1533" spans="2:7" ht="32.25" customHeight="1" x14ac:dyDescent="0.35">
      <c r="B1533" s="73"/>
      <c r="C1533" s="73"/>
      <c r="D1533" s="73"/>
      <c r="E1533" s="73"/>
      <c r="F1533" s="73"/>
      <c r="G1533" s="73"/>
    </row>
    <row r="1534" spans="2:7" ht="32.25" customHeight="1" x14ac:dyDescent="0.35">
      <c r="B1534" s="73"/>
      <c r="C1534" s="73"/>
      <c r="D1534" s="73"/>
      <c r="E1534" s="73"/>
      <c r="F1534" s="73"/>
      <c r="G1534" s="73"/>
    </row>
    <row r="1535" spans="2:7" ht="32.25" customHeight="1" x14ac:dyDescent="0.35">
      <c r="B1535" s="73"/>
      <c r="C1535" s="73"/>
      <c r="D1535" s="73"/>
      <c r="E1535" s="73"/>
      <c r="F1535" s="73"/>
      <c r="G1535" s="73"/>
    </row>
    <row r="1536" spans="2:7" ht="32.25" customHeight="1" x14ac:dyDescent="0.35">
      <c r="B1536" s="73"/>
      <c r="C1536" s="73"/>
      <c r="D1536" s="73"/>
      <c r="E1536" s="73"/>
      <c r="F1536" s="73"/>
      <c r="G1536" s="73"/>
    </row>
    <row r="1537" spans="2:7" ht="32.25" customHeight="1" x14ac:dyDescent="0.35">
      <c r="B1537" s="73"/>
      <c r="C1537" s="73"/>
      <c r="D1537" s="73"/>
      <c r="E1537" s="73"/>
      <c r="F1537" s="73"/>
      <c r="G1537" s="73"/>
    </row>
    <row r="1538" spans="2:7" ht="32.25" customHeight="1" x14ac:dyDescent="0.35">
      <c r="B1538" s="73"/>
      <c r="C1538" s="73"/>
      <c r="D1538" s="73"/>
      <c r="E1538" s="73"/>
      <c r="F1538" s="73"/>
      <c r="G1538" s="73"/>
    </row>
    <row r="1539" spans="2:7" ht="32.25" customHeight="1" x14ac:dyDescent="0.35">
      <c r="B1539" s="73"/>
      <c r="C1539" s="73"/>
      <c r="D1539" s="73"/>
      <c r="E1539" s="73"/>
      <c r="F1539" s="73"/>
      <c r="G1539" s="73"/>
    </row>
    <row r="1540" spans="2:7" ht="32.25" customHeight="1" x14ac:dyDescent="0.35">
      <c r="B1540" s="73"/>
      <c r="C1540" s="73"/>
      <c r="D1540" s="73"/>
      <c r="E1540" s="73"/>
      <c r="F1540" s="73"/>
      <c r="G1540" s="73"/>
    </row>
    <row r="1541" spans="2:7" ht="32.25" customHeight="1" x14ac:dyDescent="0.35">
      <c r="B1541" s="73"/>
      <c r="C1541" s="73"/>
      <c r="D1541" s="73"/>
      <c r="E1541" s="73"/>
      <c r="F1541" s="73"/>
      <c r="G1541" s="73"/>
    </row>
    <row r="1542" spans="2:7" ht="32.25" customHeight="1" x14ac:dyDescent="0.35">
      <c r="B1542" s="73"/>
      <c r="C1542" s="73"/>
      <c r="D1542" s="73"/>
      <c r="E1542" s="73"/>
      <c r="F1542" s="73"/>
      <c r="G1542" s="73"/>
    </row>
    <row r="1543" spans="2:7" ht="32.25" customHeight="1" x14ac:dyDescent="0.35">
      <c r="B1543" s="73"/>
      <c r="C1543" s="73"/>
      <c r="D1543" s="73"/>
      <c r="E1543" s="73"/>
      <c r="F1543" s="73"/>
      <c r="G1543" s="73"/>
    </row>
    <row r="1544" spans="2:7" ht="32.25" customHeight="1" x14ac:dyDescent="0.35">
      <c r="B1544" s="73"/>
      <c r="C1544" s="73"/>
      <c r="D1544" s="73"/>
      <c r="E1544" s="73"/>
      <c r="F1544" s="73"/>
      <c r="G1544" s="73"/>
    </row>
    <row r="1545" spans="2:7" ht="32.25" customHeight="1" x14ac:dyDescent="0.35">
      <c r="B1545" s="73"/>
      <c r="C1545" s="73"/>
      <c r="D1545" s="73"/>
      <c r="E1545" s="73"/>
      <c r="F1545" s="73"/>
      <c r="G1545" s="73"/>
    </row>
    <row r="1546" spans="2:7" ht="32.25" customHeight="1" x14ac:dyDescent="0.35">
      <c r="B1546" s="73"/>
      <c r="C1546" s="73"/>
      <c r="D1546" s="73"/>
      <c r="E1546" s="73"/>
      <c r="F1546" s="73"/>
      <c r="G1546" s="73"/>
    </row>
    <row r="1547" spans="2:7" ht="32.25" customHeight="1" x14ac:dyDescent="0.35">
      <c r="B1547" s="73"/>
      <c r="C1547" s="73"/>
      <c r="D1547" s="73"/>
      <c r="E1547" s="73"/>
      <c r="F1547" s="73"/>
      <c r="G1547" s="73"/>
    </row>
    <row r="1548" spans="2:7" ht="32.25" customHeight="1" x14ac:dyDescent="0.35">
      <c r="B1548" s="73"/>
      <c r="C1548" s="73"/>
      <c r="D1548" s="73"/>
      <c r="E1548" s="73"/>
      <c r="F1548" s="73"/>
      <c r="G1548" s="73"/>
    </row>
    <row r="1549" spans="2:7" ht="32.25" customHeight="1" x14ac:dyDescent="0.35">
      <c r="B1549" s="73"/>
      <c r="C1549" s="73"/>
      <c r="D1549" s="73"/>
      <c r="E1549" s="73"/>
      <c r="F1549" s="73"/>
      <c r="G1549" s="73"/>
    </row>
    <row r="1550" spans="2:7" ht="32.25" customHeight="1" x14ac:dyDescent="0.35">
      <c r="B1550" s="73"/>
      <c r="C1550" s="73"/>
      <c r="D1550" s="73"/>
      <c r="E1550" s="73"/>
      <c r="F1550" s="73"/>
      <c r="G1550" s="73"/>
    </row>
    <row r="1551" spans="2:7" ht="32.25" customHeight="1" x14ac:dyDescent="0.35">
      <c r="B1551" s="73"/>
      <c r="C1551" s="73"/>
      <c r="D1551" s="73"/>
      <c r="E1551" s="73"/>
      <c r="F1551" s="73"/>
      <c r="G1551" s="73"/>
    </row>
    <row r="1552" spans="2:7" ht="32.25" customHeight="1" x14ac:dyDescent="0.35">
      <c r="B1552" s="73"/>
      <c r="C1552" s="73"/>
      <c r="D1552" s="73"/>
      <c r="E1552" s="73"/>
      <c r="F1552" s="73"/>
      <c r="G1552" s="73"/>
    </row>
    <row r="1553" spans="2:7" ht="32.25" customHeight="1" x14ac:dyDescent="0.35">
      <c r="B1553" s="73"/>
      <c r="C1553" s="73"/>
      <c r="D1553" s="73"/>
      <c r="E1553" s="73"/>
      <c r="F1553" s="73"/>
      <c r="G1553" s="73"/>
    </row>
    <row r="1554" spans="2:7" ht="32.25" customHeight="1" x14ac:dyDescent="0.35">
      <c r="B1554" s="73"/>
      <c r="C1554" s="73"/>
      <c r="D1554" s="73"/>
      <c r="E1554" s="73"/>
      <c r="F1554" s="73"/>
      <c r="G1554" s="73"/>
    </row>
    <row r="1555" spans="2:7" ht="32.25" customHeight="1" x14ac:dyDescent="0.35">
      <c r="B1555" s="73"/>
      <c r="C1555" s="73"/>
      <c r="D1555" s="73"/>
      <c r="E1555" s="73"/>
      <c r="F1555" s="73"/>
      <c r="G1555" s="73"/>
    </row>
    <row r="1556" spans="2:7" ht="32.25" customHeight="1" x14ac:dyDescent="0.35">
      <c r="B1556" s="73"/>
      <c r="C1556" s="73"/>
      <c r="D1556" s="73"/>
      <c r="E1556" s="73"/>
      <c r="F1556" s="73"/>
      <c r="G1556" s="73"/>
    </row>
    <row r="1557" spans="2:7" ht="32.25" customHeight="1" x14ac:dyDescent="0.35">
      <c r="B1557" s="73"/>
      <c r="C1557" s="73"/>
      <c r="D1557" s="73"/>
      <c r="E1557" s="73"/>
      <c r="F1557" s="73"/>
      <c r="G1557" s="73"/>
    </row>
    <row r="1558" spans="2:7" ht="32.25" customHeight="1" x14ac:dyDescent="0.35">
      <c r="B1558" s="73"/>
      <c r="C1558" s="73"/>
      <c r="D1558" s="73"/>
      <c r="E1558" s="73"/>
      <c r="F1558" s="73"/>
      <c r="G1558" s="73"/>
    </row>
    <row r="1559" spans="2:7" ht="32.25" customHeight="1" x14ac:dyDescent="0.35">
      <c r="B1559" s="73"/>
      <c r="C1559" s="73"/>
      <c r="D1559" s="73"/>
      <c r="E1559" s="73"/>
      <c r="F1559" s="73"/>
      <c r="G1559" s="73"/>
    </row>
    <row r="1560" spans="2:7" ht="32.25" customHeight="1" x14ac:dyDescent="0.35">
      <c r="B1560" s="73"/>
      <c r="C1560" s="73"/>
      <c r="D1560" s="73"/>
      <c r="E1560" s="73"/>
      <c r="F1560" s="73"/>
      <c r="G1560" s="73"/>
    </row>
    <row r="1561" spans="2:7" ht="32.25" customHeight="1" x14ac:dyDescent="0.35">
      <c r="B1561" s="73"/>
      <c r="C1561" s="73"/>
      <c r="D1561" s="73"/>
      <c r="E1561" s="73"/>
      <c r="F1561" s="73"/>
      <c r="G1561" s="73"/>
    </row>
    <row r="1562" spans="2:7" ht="32.25" customHeight="1" x14ac:dyDescent="0.35">
      <c r="B1562" s="73"/>
      <c r="C1562" s="73"/>
      <c r="D1562" s="73"/>
      <c r="E1562" s="73"/>
      <c r="F1562" s="73"/>
      <c r="G1562" s="73"/>
    </row>
    <row r="1563" spans="2:7" ht="32.25" customHeight="1" x14ac:dyDescent="0.35">
      <c r="B1563" s="73"/>
      <c r="C1563" s="73"/>
      <c r="D1563" s="73"/>
      <c r="E1563" s="73"/>
      <c r="F1563" s="73"/>
      <c r="G1563" s="73"/>
    </row>
    <row r="1564" spans="2:7" ht="32.25" customHeight="1" x14ac:dyDescent="0.35">
      <c r="B1564" s="73"/>
      <c r="C1564" s="73"/>
      <c r="D1564" s="73"/>
      <c r="E1564" s="73"/>
      <c r="F1564" s="73"/>
      <c r="G1564" s="73"/>
    </row>
    <row r="1565" spans="2:7" ht="32.25" customHeight="1" x14ac:dyDescent="0.35">
      <c r="B1565" s="73"/>
      <c r="C1565" s="73"/>
      <c r="D1565" s="73"/>
      <c r="E1565" s="73"/>
      <c r="F1565" s="73"/>
      <c r="G1565" s="73"/>
    </row>
    <row r="1566" spans="2:7" ht="32.25" customHeight="1" x14ac:dyDescent="0.35">
      <c r="B1566" s="73"/>
      <c r="C1566" s="73"/>
      <c r="D1566" s="73"/>
      <c r="E1566" s="73"/>
      <c r="F1566" s="73"/>
      <c r="G1566" s="73"/>
    </row>
    <row r="1567" spans="2:7" ht="32.25" customHeight="1" x14ac:dyDescent="0.35">
      <c r="B1567" s="73"/>
      <c r="C1567" s="73"/>
      <c r="D1567" s="73"/>
      <c r="E1567" s="73"/>
      <c r="F1567" s="73"/>
      <c r="G1567" s="73"/>
    </row>
    <row r="1568" spans="2:7" ht="32.25" customHeight="1" x14ac:dyDescent="0.35">
      <c r="B1568" s="73"/>
      <c r="C1568" s="73"/>
      <c r="D1568" s="73"/>
      <c r="E1568" s="73"/>
      <c r="F1568" s="73"/>
      <c r="G1568" s="73"/>
    </row>
    <row r="1569" spans="2:7" ht="32.25" customHeight="1" x14ac:dyDescent="0.35">
      <c r="B1569" s="73"/>
      <c r="C1569" s="73"/>
      <c r="D1569" s="73"/>
      <c r="E1569" s="73"/>
      <c r="F1569" s="73"/>
      <c r="G1569" s="73"/>
    </row>
    <row r="1570" spans="2:7" ht="32.25" customHeight="1" x14ac:dyDescent="0.35">
      <c r="B1570" s="73"/>
      <c r="C1570" s="73"/>
      <c r="D1570" s="73"/>
      <c r="E1570" s="73"/>
      <c r="F1570" s="73"/>
      <c r="G1570" s="73"/>
    </row>
    <row r="1571" spans="2:7" ht="32.25" customHeight="1" x14ac:dyDescent="0.35">
      <c r="B1571" s="73"/>
      <c r="C1571" s="73"/>
      <c r="D1571" s="73"/>
      <c r="E1571" s="73"/>
      <c r="F1571" s="73"/>
      <c r="G1571" s="73"/>
    </row>
    <row r="1572" spans="2:7" ht="32.25" customHeight="1" x14ac:dyDescent="0.35">
      <c r="B1572" s="73"/>
      <c r="C1572" s="73"/>
      <c r="D1572" s="73"/>
      <c r="E1572" s="73"/>
      <c r="F1572" s="73"/>
      <c r="G1572" s="73"/>
    </row>
    <row r="1573" spans="2:7" ht="32.25" customHeight="1" x14ac:dyDescent="0.35">
      <c r="B1573" s="73"/>
      <c r="C1573" s="73"/>
      <c r="D1573" s="73"/>
      <c r="E1573" s="73"/>
      <c r="F1573" s="73"/>
      <c r="G1573" s="73"/>
    </row>
    <row r="1574" spans="2:7" ht="32.25" customHeight="1" x14ac:dyDescent="0.35">
      <c r="B1574" s="73"/>
      <c r="C1574" s="73"/>
      <c r="D1574" s="73"/>
      <c r="E1574" s="73"/>
      <c r="F1574" s="73"/>
      <c r="G1574" s="73"/>
    </row>
    <row r="1575" spans="2:7" ht="32.25" customHeight="1" x14ac:dyDescent="0.35">
      <c r="B1575" s="73"/>
      <c r="C1575" s="73"/>
      <c r="D1575" s="73"/>
      <c r="E1575" s="73"/>
      <c r="F1575" s="73"/>
      <c r="G1575" s="73"/>
    </row>
    <row r="1576" spans="2:7" ht="32.25" customHeight="1" x14ac:dyDescent="0.35">
      <c r="B1576" s="73"/>
      <c r="C1576" s="73"/>
      <c r="D1576" s="73"/>
      <c r="E1576" s="73"/>
      <c r="F1576" s="73"/>
      <c r="G1576" s="73"/>
    </row>
    <row r="1577" spans="2:7" ht="32.25" customHeight="1" x14ac:dyDescent="0.35">
      <c r="B1577" s="73"/>
      <c r="C1577" s="73"/>
      <c r="D1577" s="73"/>
      <c r="E1577" s="73"/>
      <c r="F1577" s="73"/>
      <c r="G1577" s="73"/>
    </row>
    <row r="1578" spans="2:7" ht="32.25" customHeight="1" x14ac:dyDescent="0.35">
      <c r="B1578" s="73"/>
      <c r="C1578" s="73"/>
      <c r="D1578" s="73"/>
      <c r="E1578" s="73"/>
      <c r="F1578" s="73"/>
      <c r="G1578" s="73"/>
    </row>
    <row r="1579" spans="2:7" ht="32.25" customHeight="1" x14ac:dyDescent="0.35">
      <c r="B1579" s="73"/>
      <c r="C1579" s="73"/>
      <c r="D1579" s="73"/>
      <c r="E1579" s="73"/>
      <c r="F1579" s="73"/>
      <c r="G1579" s="73"/>
    </row>
    <row r="1580" spans="2:7" ht="32.25" customHeight="1" x14ac:dyDescent="0.35">
      <c r="B1580" s="73"/>
      <c r="C1580" s="73"/>
      <c r="D1580" s="73"/>
      <c r="E1580" s="73"/>
      <c r="F1580" s="73"/>
      <c r="G1580" s="73"/>
    </row>
    <row r="1581" spans="2:7" ht="32.25" customHeight="1" x14ac:dyDescent="0.35">
      <c r="B1581" s="73"/>
      <c r="C1581" s="73"/>
      <c r="D1581" s="73"/>
      <c r="E1581" s="73"/>
      <c r="F1581" s="73"/>
      <c r="G1581" s="73"/>
    </row>
    <row r="1582" spans="2:7" ht="32.25" customHeight="1" x14ac:dyDescent="0.35">
      <c r="B1582" s="73"/>
      <c r="C1582" s="73"/>
      <c r="D1582" s="73"/>
      <c r="E1582" s="73"/>
      <c r="F1582" s="73"/>
      <c r="G1582" s="73"/>
    </row>
    <row r="1583" spans="2:7" ht="32.25" customHeight="1" x14ac:dyDescent="0.35">
      <c r="B1583" s="73"/>
      <c r="C1583" s="73"/>
      <c r="D1583" s="73"/>
      <c r="E1583" s="73"/>
      <c r="F1583" s="73"/>
      <c r="G1583" s="73"/>
    </row>
    <row r="1584" spans="2:7" ht="32.25" customHeight="1" x14ac:dyDescent="0.35">
      <c r="B1584" s="73"/>
      <c r="C1584" s="73"/>
      <c r="D1584" s="73"/>
      <c r="E1584" s="73"/>
      <c r="F1584" s="73"/>
      <c r="G1584" s="73"/>
    </row>
    <row r="1585" spans="2:7" ht="32.25" customHeight="1" x14ac:dyDescent="0.35">
      <c r="B1585" s="73"/>
      <c r="C1585" s="73"/>
      <c r="D1585" s="73"/>
      <c r="E1585" s="73"/>
      <c r="F1585" s="73"/>
      <c r="G1585" s="73"/>
    </row>
    <row r="1586" spans="2:7" ht="32.25" customHeight="1" x14ac:dyDescent="0.35">
      <c r="B1586" s="73"/>
      <c r="C1586" s="73"/>
      <c r="D1586" s="73"/>
      <c r="E1586" s="73"/>
      <c r="F1586" s="73"/>
      <c r="G1586" s="73"/>
    </row>
    <row r="1587" spans="2:7" ht="32.25" customHeight="1" x14ac:dyDescent="0.35">
      <c r="B1587" s="73"/>
      <c r="C1587" s="73"/>
      <c r="D1587" s="73"/>
      <c r="E1587" s="73"/>
      <c r="F1587" s="73"/>
      <c r="G1587" s="73"/>
    </row>
    <row r="1588" spans="2:7" ht="32.25" customHeight="1" x14ac:dyDescent="0.35">
      <c r="B1588" s="73"/>
      <c r="C1588" s="73"/>
      <c r="D1588" s="73"/>
      <c r="E1588" s="73"/>
      <c r="F1588" s="73"/>
      <c r="G1588" s="73"/>
    </row>
    <row r="1589" spans="2:7" ht="32.25" customHeight="1" x14ac:dyDescent="0.35">
      <c r="B1589" s="73"/>
      <c r="C1589" s="73"/>
      <c r="D1589" s="73"/>
      <c r="E1589" s="73"/>
      <c r="F1589" s="73"/>
      <c r="G1589" s="73"/>
    </row>
    <row r="1590" spans="2:7" ht="32.25" customHeight="1" x14ac:dyDescent="0.35">
      <c r="B1590" s="73"/>
      <c r="C1590" s="73"/>
      <c r="D1590" s="73"/>
      <c r="E1590" s="73"/>
      <c r="F1590" s="73"/>
      <c r="G1590" s="73"/>
    </row>
    <row r="1591" spans="2:7" ht="32.25" customHeight="1" x14ac:dyDescent="0.35">
      <c r="B1591" s="73"/>
      <c r="C1591" s="73"/>
      <c r="D1591" s="73"/>
      <c r="E1591" s="73"/>
      <c r="F1591" s="73"/>
      <c r="G1591" s="73"/>
    </row>
    <row r="1592" spans="2:7" ht="32.25" customHeight="1" x14ac:dyDescent="0.35">
      <c r="B1592" s="73"/>
      <c r="C1592" s="73"/>
      <c r="D1592" s="73"/>
      <c r="E1592" s="73"/>
      <c r="F1592" s="73"/>
      <c r="G1592" s="73"/>
    </row>
    <row r="1593" spans="2:7" ht="32.25" customHeight="1" x14ac:dyDescent="0.35">
      <c r="B1593" s="73"/>
      <c r="C1593" s="73"/>
      <c r="D1593" s="73"/>
      <c r="E1593" s="73"/>
      <c r="F1593" s="73"/>
      <c r="G1593" s="73"/>
    </row>
    <row r="1594" spans="2:7" ht="32.25" customHeight="1" x14ac:dyDescent="0.35">
      <c r="B1594" s="73"/>
      <c r="C1594" s="73"/>
      <c r="D1594" s="73"/>
      <c r="E1594" s="73"/>
      <c r="F1594" s="73"/>
      <c r="G1594" s="73"/>
    </row>
    <row r="1595" spans="2:7" ht="32.25" customHeight="1" x14ac:dyDescent="0.35">
      <c r="B1595" s="73"/>
      <c r="C1595" s="73"/>
      <c r="D1595" s="73"/>
      <c r="E1595" s="73"/>
      <c r="F1595" s="73"/>
      <c r="G1595" s="73"/>
    </row>
    <row r="1596" spans="2:7" ht="32.25" customHeight="1" x14ac:dyDescent="0.35">
      <c r="B1596" s="73"/>
      <c r="C1596" s="73"/>
      <c r="D1596" s="73"/>
      <c r="E1596" s="73"/>
      <c r="F1596" s="73"/>
      <c r="G1596" s="73"/>
    </row>
    <row r="1597" spans="2:7" ht="32.25" customHeight="1" x14ac:dyDescent="0.35">
      <c r="B1597" s="73"/>
      <c r="C1597" s="73"/>
      <c r="D1597" s="73"/>
      <c r="E1597" s="73"/>
      <c r="F1597" s="73"/>
      <c r="G1597" s="73"/>
    </row>
    <row r="1598" spans="2:7" ht="32.25" customHeight="1" x14ac:dyDescent="0.35">
      <c r="B1598" s="73"/>
      <c r="C1598" s="73"/>
      <c r="D1598" s="73"/>
      <c r="E1598" s="73"/>
      <c r="F1598" s="73"/>
      <c r="G1598" s="73"/>
    </row>
    <row r="1599" spans="2:7" ht="32.25" customHeight="1" x14ac:dyDescent="0.35">
      <c r="B1599" s="73"/>
      <c r="C1599" s="73"/>
      <c r="D1599" s="73"/>
      <c r="E1599" s="73"/>
      <c r="F1599" s="73"/>
      <c r="G1599" s="73"/>
    </row>
    <row r="1600" spans="2:7" ht="32.25" customHeight="1" x14ac:dyDescent="0.35">
      <c r="B1600" s="73"/>
      <c r="C1600" s="73"/>
      <c r="D1600" s="73"/>
      <c r="E1600" s="73"/>
      <c r="F1600" s="73"/>
      <c r="G1600" s="73"/>
    </row>
    <row r="1601" spans="2:7" ht="32.25" customHeight="1" x14ac:dyDescent="0.35">
      <c r="B1601" s="73"/>
      <c r="C1601" s="73"/>
      <c r="D1601" s="73"/>
      <c r="E1601" s="73"/>
      <c r="F1601" s="73"/>
      <c r="G1601" s="73"/>
    </row>
    <row r="1602" spans="2:7" ht="32.25" customHeight="1" x14ac:dyDescent="0.35">
      <c r="B1602" s="73"/>
      <c r="C1602" s="73"/>
      <c r="D1602" s="73"/>
      <c r="E1602" s="73"/>
      <c r="F1602" s="73"/>
      <c r="G1602" s="73"/>
    </row>
    <row r="1603" spans="2:7" ht="32.25" customHeight="1" x14ac:dyDescent="0.35">
      <c r="B1603" s="73"/>
      <c r="C1603" s="73"/>
      <c r="D1603" s="73"/>
      <c r="E1603" s="73"/>
      <c r="F1603" s="73"/>
      <c r="G1603" s="73"/>
    </row>
    <row r="1604" spans="2:7" ht="32.25" customHeight="1" x14ac:dyDescent="0.35">
      <c r="B1604" s="73"/>
      <c r="C1604" s="73"/>
      <c r="D1604" s="73"/>
      <c r="E1604" s="73"/>
      <c r="F1604" s="73"/>
      <c r="G1604" s="73"/>
    </row>
    <row r="1605" spans="2:7" ht="32.25" customHeight="1" x14ac:dyDescent="0.35">
      <c r="B1605" s="73"/>
      <c r="C1605" s="73"/>
      <c r="D1605" s="73"/>
      <c r="E1605" s="73"/>
      <c r="F1605" s="73"/>
      <c r="G1605" s="73"/>
    </row>
    <row r="1606" spans="2:7" ht="32.25" customHeight="1" x14ac:dyDescent="0.35">
      <c r="B1606" s="73"/>
      <c r="C1606" s="73"/>
      <c r="D1606" s="73"/>
      <c r="E1606" s="73"/>
      <c r="F1606" s="73"/>
      <c r="G1606" s="73"/>
    </row>
    <row r="1607" spans="2:7" ht="32.25" customHeight="1" x14ac:dyDescent="0.35">
      <c r="B1607" s="73"/>
      <c r="C1607" s="73"/>
      <c r="D1607" s="73"/>
      <c r="E1607" s="73"/>
      <c r="F1607" s="73"/>
      <c r="G1607" s="73"/>
    </row>
    <row r="1608" spans="2:7" ht="32.25" customHeight="1" x14ac:dyDescent="0.35">
      <c r="B1608" s="73"/>
      <c r="C1608" s="73"/>
      <c r="D1608" s="73"/>
      <c r="E1608" s="73"/>
      <c r="F1608" s="73"/>
      <c r="G1608" s="73"/>
    </row>
    <row r="1609" spans="2:7" ht="32.25" customHeight="1" x14ac:dyDescent="0.35">
      <c r="B1609" s="73"/>
      <c r="C1609" s="73"/>
      <c r="D1609" s="73"/>
      <c r="E1609" s="73"/>
      <c r="F1609" s="73"/>
      <c r="G1609" s="73"/>
    </row>
    <row r="1610" spans="2:7" ht="32.25" customHeight="1" x14ac:dyDescent="0.35">
      <c r="B1610" s="73"/>
      <c r="C1610" s="73"/>
      <c r="D1610" s="73"/>
      <c r="E1610" s="73"/>
      <c r="F1610" s="73"/>
      <c r="G1610" s="73"/>
    </row>
    <row r="1611" spans="2:7" ht="32.25" customHeight="1" x14ac:dyDescent="0.35">
      <c r="B1611" s="73"/>
      <c r="C1611" s="73"/>
      <c r="D1611" s="73"/>
      <c r="E1611" s="73"/>
      <c r="F1611" s="73"/>
      <c r="G1611" s="73"/>
    </row>
    <row r="1612" spans="2:7" ht="32.25" customHeight="1" x14ac:dyDescent="0.35">
      <c r="B1612" s="73"/>
      <c r="C1612" s="73"/>
      <c r="D1612" s="73"/>
      <c r="E1612" s="73"/>
      <c r="F1612" s="73"/>
      <c r="G1612" s="73"/>
    </row>
    <row r="1613" spans="2:7" ht="32.25" customHeight="1" x14ac:dyDescent="0.35">
      <c r="B1613" s="73"/>
      <c r="C1613" s="73"/>
      <c r="D1613" s="73"/>
      <c r="E1613" s="73"/>
      <c r="F1613" s="73"/>
      <c r="G1613" s="73"/>
    </row>
    <row r="1614" spans="2:7" ht="32.25" customHeight="1" x14ac:dyDescent="0.35">
      <c r="B1614" s="73"/>
      <c r="C1614" s="73"/>
      <c r="D1614" s="73"/>
      <c r="E1614" s="73"/>
      <c r="F1614" s="73"/>
      <c r="G1614" s="73"/>
    </row>
    <row r="1615" spans="2:7" ht="32.25" customHeight="1" x14ac:dyDescent="0.35">
      <c r="B1615" s="73"/>
      <c r="C1615" s="73"/>
      <c r="D1615" s="73"/>
      <c r="E1615" s="73"/>
      <c r="F1615" s="73"/>
      <c r="G1615" s="73"/>
    </row>
    <row r="1616" spans="2:7" ht="32.25" customHeight="1" x14ac:dyDescent="0.35">
      <c r="B1616" s="73"/>
      <c r="C1616" s="73"/>
      <c r="D1616" s="73"/>
      <c r="E1616" s="73"/>
      <c r="F1616" s="73"/>
      <c r="G1616" s="73"/>
    </row>
    <row r="1617" spans="2:7" ht="32.25" customHeight="1" x14ac:dyDescent="0.35">
      <c r="B1617" s="73"/>
      <c r="C1617" s="73"/>
      <c r="D1617" s="73"/>
      <c r="E1617" s="73"/>
      <c r="F1617" s="73"/>
      <c r="G1617" s="73"/>
    </row>
    <row r="1618" spans="2:7" ht="32.25" customHeight="1" x14ac:dyDescent="0.35">
      <c r="B1618" s="73"/>
      <c r="C1618" s="73"/>
      <c r="D1618" s="73"/>
      <c r="E1618" s="73"/>
      <c r="F1618" s="73"/>
      <c r="G1618" s="73"/>
    </row>
    <row r="1619" spans="2:7" ht="32.25" customHeight="1" x14ac:dyDescent="0.35">
      <c r="B1619" s="73"/>
      <c r="C1619" s="73"/>
      <c r="D1619" s="73"/>
      <c r="E1619" s="73"/>
      <c r="F1619" s="73"/>
      <c r="G1619" s="73"/>
    </row>
    <row r="1620" spans="2:7" ht="32.25" customHeight="1" x14ac:dyDescent="0.35">
      <c r="B1620" s="73"/>
      <c r="C1620" s="73"/>
      <c r="D1620" s="73"/>
      <c r="E1620" s="73"/>
      <c r="F1620" s="73"/>
      <c r="G1620" s="73"/>
    </row>
    <row r="1621" spans="2:7" ht="32.25" customHeight="1" x14ac:dyDescent="0.35">
      <c r="B1621" s="73"/>
      <c r="C1621" s="73"/>
      <c r="D1621" s="73"/>
      <c r="E1621" s="73"/>
      <c r="F1621" s="73"/>
      <c r="G1621" s="73"/>
    </row>
    <row r="1622" spans="2:7" ht="32.25" customHeight="1" x14ac:dyDescent="0.35">
      <c r="B1622" s="73"/>
      <c r="C1622" s="73"/>
      <c r="D1622" s="73"/>
      <c r="E1622" s="73"/>
      <c r="F1622" s="73"/>
      <c r="G1622" s="73"/>
    </row>
    <row r="1623" spans="2:7" ht="32.25" customHeight="1" x14ac:dyDescent="0.35">
      <c r="B1623" s="73"/>
      <c r="C1623" s="73"/>
      <c r="D1623" s="73"/>
      <c r="E1623" s="73"/>
      <c r="F1623" s="73"/>
      <c r="G1623" s="73"/>
    </row>
    <row r="1624" spans="2:7" ht="32.25" customHeight="1" x14ac:dyDescent="0.35">
      <c r="B1624" s="73"/>
      <c r="C1624" s="73"/>
      <c r="D1624" s="73"/>
      <c r="E1624" s="73"/>
      <c r="F1624" s="73"/>
      <c r="G1624" s="73"/>
    </row>
    <row r="1625" spans="2:7" ht="32.25" customHeight="1" x14ac:dyDescent="0.35">
      <c r="B1625" s="73"/>
      <c r="C1625" s="73"/>
      <c r="D1625" s="73"/>
      <c r="E1625" s="73"/>
      <c r="F1625" s="73"/>
      <c r="G1625" s="73"/>
    </row>
    <row r="1626" spans="2:7" ht="32.25" customHeight="1" x14ac:dyDescent="0.35">
      <c r="B1626" s="73"/>
      <c r="C1626" s="73"/>
      <c r="D1626" s="73"/>
      <c r="E1626" s="73"/>
      <c r="F1626" s="73"/>
      <c r="G1626" s="73"/>
    </row>
    <row r="1627" spans="2:7" ht="32.25" customHeight="1" x14ac:dyDescent="0.35">
      <c r="B1627" s="73"/>
      <c r="C1627" s="73"/>
      <c r="D1627" s="73"/>
      <c r="E1627" s="73"/>
      <c r="F1627" s="73"/>
      <c r="G1627" s="73"/>
    </row>
    <row r="1628" spans="2:7" ht="32.25" customHeight="1" x14ac:dyDescent="0.35">
      <c r="B1628" s="73"/>
      <c r="C1628" s="73"/>
      <c r="D1628" s="73"/>
      <c r="E1628" s="73"/>
      <c r="F1628" s="73"/>
      <c r="G1628" s="73"/>
    </row>
    <row r="1629" spans="2:7" ht="32.25" customHeight="1" x14ac:dyDescent="0.35">
      <c r="B1629" s="73"/>
      <c r="C1629" s="73"/>
      <c r="D1629" s="73"/>
      <c r="E1629" s="73"/>
      <c r="F1629" s="73"/>
      <c r="G1629" s="73"/>
    </row>
    <row r="1630" spans="2:7" ht="32.25" customHeight="1" x14ac:dyDescent="0.35">
      <c r="B1630" s="73"/>
      <c r="C1630" s="73"/>
      <c r="D1630" s="73"/>
      <c r="E1630" s="73"/>
      <c r="F1630" s="73"/>
      <c r="G1630" s="73"/>
    </row>
    <row r="1631" spans="2:7" ht="32.25" customHeight="1" x14ac:dyDescent="0.35">
      <c r="B1631" s="73"/>
      <c r="C1631" s="73"/>
      <c r="D1631" s="73"/>
      <c r="E1631" s="73"/>
      <c r="F1631" s="73"/>
      <c r="G1631" s="73"/>
    </row>
    <row r="1632" spans="2:7" ht="32.25" customHeight="1" x14ac:dyDescent="0.35">
      <c r="B1632" s="73"/>
      <c r="C1632" s="73"/>
      <c r="D1632" s="73"/>
      <c r="E1632" s="73"/>
      <c r="F1632" s="73"/>
      <c r="G1632" s="73"/>
    </row>
    <row r="1633" spans="2:7" ht="32.25" customHeight="1" x14ac:dyDescent="0.35">
      <c r="B1633" s="73"/>
      <c r="C1633" s="73"/>
      <c r="D1633" s="73"/>
      <c r="E1633" s="73"/>
      <c r="F1633" s="73"/>
      <c r="G1633" s="73"/>
    </row>
    <row r="1634" spans="2:7" ht="32.25" customHeight="1" x14ac:dyDescent="0.35">
      <c r="B1634" s="73"/>
      <c r="C1634" s="73"/>
      <c r="D1634" s="73"/>
      <c r="E1634" s="73"/>
      <c r="F1634" s="73"/>
      <c r="G1634" s="73"/>
    </row>
    <row r="1635" spans="2:7" ht="32.25" customHeight="1" x14ac:dyDescent="0.35">
      <c r="B1635" s="73"/>
      <c r="C1635" s="73"/>
      <c r="D1635" s="73"/>
      <c r="E1635" s="73"/>
      <c r="F1635" s="73"/>
      <c r="G1635" s="73"/>
    </row>
    <row r="1636" spans="2:7" ht="32.25" customHeight="1" x14ac:dyDescent="0.35">
      <c r="B1636" s="73"/>
      <c r="C1636" s="73"/>
      <c r="D1636" s="73"/>
      <c r="E1636" s="73"/>
      <c r="F1636" s="73"/>
      <c r="G1636" s="73"/>
    </row>
    <row r="1637" spans="2:7" ht="32.25" customHeight="1" x14ac:dyDescent="0.35">
      <c r="B1637" s="73"/>
      <c r="C1637" s="73"/>
      <c r="D1637" s="73"/>
      <c r="E1637" s="73"/>
      <c r="F1637" s="73"/>
      <c r="G1637" s="73"/>
    </row>
    <row r="1638" spans="2:7" ht="32.25" customHeight="1" x14ac:dyDescent="0.35">
      <c r="B1638" s="73"/>
      <c r="C1638" s="73"/>
      <c r="D1638" s="73"/>
      <c r="E1638" s="73"/>
      <c r="F1638" s="73"/>
      <c r="G1638" s="73"/>
    </row>
    <row r="1639" spans="2:7" ht="32.25" customHeight="1" x14ac:dyDescent="0.35">
      <c r="B1639" s="73"/>
      <c r="C1639" s="73"/>
      <c r="D1639" s="73"/>
      <c r="E1639" s="73"/>
      <c r="F1639" s="73"/>
      <c r="G1639" s="73"/>
    </row>
    <row r="1640" spans="2:7" ht="32.25" customHeight="1" x14ac:dyDescent="0.35">
      <c r="B1640" s="73"/>
      <c r="C1640" s="73"/>
      <c r="D1640" s="73"/>
      <c r="E1640" s="73"/>
      <c r="F1640" s="73"/>
      <c r="G1640" s="73"/>
    </row>
    <row r="1641" spans="2:7" ht="32.25" customHeight="1" x14ac:dyDescent="0.35">
      <c r="B1641" s="73"/>
      <c r="C1641" s="73"/>
      <c r="D1641" s="73"/>
      <c r="E1641" s="73"/>
      <c r="F1641" s="73"/>
      <c r="G1641" s="73"/>
    </row>
    <row r="1642" spans="2:7" ht="32.25" customHeight="1" x14ac:dyDescent="0.35">
      <c r="B1642" s="73"/>
      <c r="C1642" s="73"/>
      <c r="D1642" s="73"/>
      <c r="E1642" s="73"/>
      <c r="F1642" s="73"/>
      <c r="G1642" s="73"/>
    </row>
    <row r="1643" spans="2:7" ht="32.25" customHeight="1" x14ac:dyDescent="0.35">
      <c r="B1643" s="73"/>
      <c r="C1643" s="73"/>
      <c r="D1643" s="73"/>
      <c r="E1643" s="73"/>
      <c r="F1643" s="73"/>
      <c r="G1643" s="73"/>
    </row>
    <row r="1644" spans="2:7" ht="32.25" customHeight="1" x14ac:dyDescent="0.35">
      <c r="B1644" s="73"/>
      <c r="C1644" s="73"/>
      <c r="D1644" s="73"/>
      <c r="E1644" s="73"/>
      <c r="F1644" s="73"/>
      <c r="G1644" s="73"/>
    </row>
    <row r="1645" spans="2:7" ht="32.25" customHeight="1" x14ac:dyDescent="0.35">
      <c r="B1645" s="73"/>
      <c r="C1645" s="73"/>
      <c r="D1645" s="73"/>
      <c r="E1645" s="73"/>
      <c r="F1645" s="73"/>
      <c r="G1645" s="73"/>
    </row>
    <row r="1646" spans="2:7" ht="32.25" customHeight="1" x14ac:dyDescent="0.35">
      <c r="B1646" s="73"/>
      <c r="C1646" s="73"/>
      <c r="D1646" s="73"/>
      <c r="E1646" s="73"/>
      <c r="F1646" s="73"/>
      <c r="G1646" s="73"/>
    </row>
    <row r="1647" spans="2:7" ht="32.25" customHeight="1" x14ac:dyDescent="0.35">
      <c r="B1647" s="73"/>
      <c r="C1647" s="73"/>
      <c r="D1647" s="73"/>
      <c r="E1647" s="73"/>
      <c r="F1647" s="73"/>
      <c r="G1647" s="73"/>
    </row>
    <row r="1648" spans="2:7" ht="32.25" customHeight="1" x14ac:dyDescent="0.35">
      <c r="B1648" s="73"/>
      <c r="C1648" s="73"/>
      <c r="D1648" s="73"/>
      <c r="E1648" s="73"/>
      <c r="F1648" s="73"/>
      <c r="G1648" s="73"/>
    </row>
    <row r="1649" spans="2:7" ht="32.25" customHeight="1" x14ac:dyDescent="0.35">
      <c r="B1649" s="73"/>
      <c r="C1649" s="73"/>
      <c r="D1649" s="73"/>
      <c r="E1649" s="73"/>
      <c r="F1649" s="73"/>
      <c r="G1649" s="73"/>
    </row>
    <row r="1650" spans="2:7" ht="32.25" customHeight="1" x14ac:dyDescent="0.35">
      <c r="B1650" s="73"/>
      <c r="C1650" s="73"/>
      <c r="D1650" s="73"/>
      <c r="E1650" s="73"/>
      <c r="F1650" s="73"/>
      <c r="G1650" s="73"/>
    </row>
    <row r="1651" spans="2:7" ht="32.25" customHeight="1" x14ac:dyDescent="0.35">
      <c r="B1651" s="73"/>
      <c r="C1651" s="73"/>
      <c r="D1651" s="73"/>
      <c r="E1651" s="73"/>
      <c r="F1651" s="73"/>
      <c r="G1651" s="73"/>
    </row>
    <row r="1652" spans="2:7" ht="32.25" customHeight="1" x14ac:dyDescent="0.35">
      <c r="B1652" s="73"/>
      <c r="C1652" s="73"/>
      <c r="D1652" s="73"/>
      <c r="E1652" s="73"/>
      <c r="F1652" s="73"/>
      <c r="G1652" s="73"/>
    </row>
    <row r="1653" spans="2:7" ht="32.25" customHeight="1" x14ac:dyDescent="0.35">
      <c r="B1653" s="73"/>
      <c r="C1653" s="73"/>
      <c r="D1653" s="73"/>
      <c r="E1653" s="73"/>
      <c r="F1653" s="73"/>
      <c r="G1653" s="73"/>
    </row>
    <row r="1654" spans="2:7" ht="32.25" customHeight="1" x14ac:dyDescent="0.35">
      <c r="B1654" s="73"/>
      <c r="C1654" s="73"/>
      <c r="D1654" s="73"/>
      <c r="E1654" s="73"/>
      <c r="F1654" s="73"/>
      <c r="G1654" s="73"/>
    </row>
    <row r="1655" spans="2:7" ht="32.25" customHeight="1" x14ac:dyDescent="0.35">
      <c r="B1655" s="73"/>
      <c r="C1655" s="73"/>
      <c r="D1655" s="73"/>
      <c r="E1655" s="73"/>
      <c r="F1655" s="73"/>
      <c r="G1655" s="73"/>
    </row>
    <row r="1656" spans="2:7" ht="32.25" customHeight="1" x14ac:dyDescent="0.35">
      <c r="B1656" s="73"/>
      <c r="C1656" s="73"/>
      <c r="D1656" s="73"/>
      <c r="E1656" s="73"/>
      <c r="F1656" s="73"/>
      <c r="G1656" s="73"/>
    </row>
    <row r="1657" spans="2:7" ht="32.25" customHeight="1" x14ac:dyDescent="0.35">
      <c r="B1657" s="73"/>
      <c r="C1657" s="73"/>
      <c r="D1657" s="73"/>
      <c r="E1657" s="73"/>
      <c r="F1657" s="73"/>
      <c r="G1657" s="73"/>
    </row>
    <row r="1658" spans="2:7" ht="32.25" customHeight="1" x14ac:dyDescent="0.35">
      <c r="B1658" s="73"/>
      <c r="C1658" s="73"/>
      <c r="D1658" s="73"/>
      <c r="E1658" s="73"/>
      <c r="F1658" s="73"/>
      <c r="G1658" s="73"/>
    </row>
    <row r="1659" spans="2:7" ht="32.25" customHeight="1" x14ac:dyDescent="0.35">
      <c r="B1659" s="73"/>
      <c r="C1659" s="73"/>
      <c r="D1659" s="73"/>
      <c r="E1659" s="73"/>
      <c r="F1659" s="73"/>
      <c r="G1659" s="73"/>
    </row>
    <row r="1660" spans="2:7" ht="32.25" customHeight="1" x14ac:dyDescent="0.35">
      <c r="B1660" s="73"/>
      <c r="C1660" s="73"/>
      <c r="D1660" s="73"/>
      <c r="E1660" s="73"/>
      <c r="F1660" s="73"/>
      <c r="G1660" s="73"/>
    </row>
    <row r="1661" spans="2:7" ht="32.25" customHeight="1" x14ac:dyDescent="0.35">
      <c r="B1661" s="73"/>
      <c r="C1661" s="73"/>
      <c r="D1661" s="73"/>
      <c r="E1661" s="73"/>
      <c r="F1661" s="73"/>
      <c r="G1661" s="73"/>
    </row>
    <row r="1662" spans="2:7" ht="32.25" customHeight="1" x14ac:dyDescent="0.35">
      <c r="B1662" s="73"/>
      <c r="C1662" s="73"/>
      <c r="D1662" s="73"/>
      <c r="E1662" s="73"/>
      <c r="F1662" s="73"/>
      <c r="G1662" s="73"/>
    </row>
    <row r="1663" spans="2:7" ht="32.25" customHeight="1" x14ac:dyDescent="0.35">
      <c r="B1663" s="73"/>
      <c r="C1663" s="73"/>
      <c r="D1663" s="73"/>
      <c r="E1663" s="73"/>
      <c r="F1663" s="73"/>
      <c r="G1663" s="73"/>
    </row>
    <row r="1664" spans="2:7" ht="32.25" customHeight="1" x14ac:dyDescent="0.35">
      <c r="B1664" s="73"/>
      <c r="C1664" s="73"/>
      <c r="D1664" s="73"/>
      <c r="E1664" s="73"/>
      <c r="F1664" s="73"/>
      <c r="G1664" s="73"/>
    </row>
    <row r="1665" spans="2:7" ht="32.25" customHeight="1" x14ac:dyDescent="0.35">
      <c r="B1665" s="73"/>
      <c r="C1665" s="73"/>
      <c r="D1665" s="73"/>
      <c r="E1665" s="73"/>
      <c r="F1665" s="73"/>
      <c r="G1665" s="73"/>
    </row>
    <row r="1666" spans="2:7" ht="32.25" customHeight="1" x14ac:dyDescent="0.35">
      <c r="B1666" s="73"/>
      <c r="C1666" s="73"/>
      <c r="D1666" s="73"/>
      <c r="E1666" s="73"/>
      <c r="F1666" s="73"/>
      <c r="G1666" s="73"/>
    </row>
    <row r="1667" spans="2:7" ht="32.25" customHeight="1" x14ac:dyDescent="0.35">
      <c r="B1667" s="73"/>
      <c r="C1667" s="73"/>
      <c r="D1667" s="73"/>
      <c r="E1667" s="73"/>
      <c r="F1667" s="73"/>
      <c r="G1667" s="73"/>
    </row>
    <row r="1668" spans="2:7" ht="32.25" customHeight="1" x14ac:dyDescent="0.35">
      <c r="B1668" s="73"/>
      <c r="C1668" s="73"/>
      <c r="D1668" s="73"/>
      <c r="E1668" s="73"/>
      <c r="F1668" s="73"/>
      <c r="G1668" s="73"/>
    </row>
    <row r="1669" spans="2:7" ht="32.25" customHeight="1" x14ac:dyDescent="0.35">
      <c r="B1669" s="73"/>
      <c r="C1669" s="73"/>
      <c r="D1669" s="73"/>
      <c r="E1669" s="73"/>
      <c r="F1669" s="73"/>
      <c r="G1669" s="73"/>
    </row>
    <row r="1670" spans="2:7" ht="32.25" customHeight="1" x14ac:dyDescent="0.35">
      <c r="B1670" s="73"/>
      <c r="C1670" s="73"/>
      <c r="D1670" s="73"/>
      <c r="E1670" s="73"/>
      <c r="F1670" s="73"/>
      <c r="G1670" s="73"/>
    </row>
    <row r="1671" spans="2:7" ht="32.25" customHeight="1" x14ac:dyDescent="0.35">
      <c r="B1671" s="73"/>
      <c r="C1671" s="73"/>
      <c r="D1671" s="73"/>
      <c r="E1671" s="73"/>
      <c r="F1671" s="73"/>
      <c r="G1671" s="73"/>
    </row>
    <row r="1672" spans="2:7" ht="32.25" customHeight="1" x14ac:dyDescent="0.35">
      <c r="B1672" s="73"/>
      <c r="C1672" s="73"/>
      <c r="D1672" s="73"/>
      <c r="E1672" s="73"/>
      <c r="F1672" s="73"/>
      <c r="G1672" s="73"/>
    </row>
    <row r="1673" spans="2:7" ht="32.25" customHeight="1" x14ac:dyDescent="0.35">
      <c r="B1673" s="73"/>
      <c r="C1673" s="73"/>
      <c r="D1673" s="73"/>
      <c r="E1673" s="73"/>
      <c r="F1673" s="73"/>
      <c r="G1673" s="73"/>
    </row>
    <row r="1674" spans="2:7" ht="32.25" customHeight="1" x14ac:dyDescent="0.35">
      <c r="B1674" s="73"/>
      <c r="C1674" s="73"/>
      <c r="D1674" s="73"/>
      <c r="E1674" s="73"/>
      <c r="F1674" s="73"/>
      <c r="G1674" s="73"/>
    </row>
    <row r="1675" spans="2:7" ht="32.25" customHeight="1" x14ac:dyDescent="0.35">
      <c r="B1675" s="73"/>
      <c r="C1675" s="73"/>
      <c r="D1675" s="73"/>
      <c r="E1675" s="73"/>
      <c r="F1675" s="73"/>
      <c r="G1675" s="73"/>
    </row>
    <row r="1676" spans="2:7" ht="32.25" customHeight="1" x14ac:dyDescent="0.35">
      <c r="B1676" s="73"/>
      <c r="C1676" s="73"/>
      <c r="D1676" s="73"/>
      <c r="E1676" s="73"/>
      <c r="F1676" s="73"/>
      <c r="G1676" s="73"/>
    </row>
    <row r="1677" spans="2:7" ht="32.25" customHeight="1" x14ac:dyDescent="0.35">
      <c r="B1677" s="73"/>
      <c r="C1677" s="73"/>
      <c r="D1677" s="73"/>
      <c r="E1677" s="73"/>
      <c r="F1677" s="73"/>
      <c r="G1677" s="73"/>
    </row>
    <row r="1678" spans="2:7" ht="32.25" customHeight="1" x14ac:dyDescent="0.35">
      <c r="B1678" s="73"/>
      <c r="C1678" s="73"/>
      <c r="D1678" s="73"/>
      <c r="E1678" s="73"/>
      <c r="F1678" s="73"/>
      <c r="G1678" s="73"/>
    </row>
    <row r="1679" spans="2:7" ht="32.25" customHeight="1" x14ac:dyDescent="0.35">
      <c r="B1679" s="73"/>
      <c r="C1679" s="73"/>
      <c r="D1679" s="73"/>
      <c r="E1679" s="73"/>
      <c r="F1679" s="73"/>
      <c r="G1679" s="73"/>
    </row>
    <row r="1680" spans="2:7" ht="32.25" customHeight="1" x14ac:dyDescent="0.35">
      <c r="B1680" s="73"/>
      <c r="C1680" s="73"/>
      <c r="D1680" s="73"/>
      <c r="E1680" s="73"/>
      <c r="F1680" s="73"/>
      <c r="G1680" s="73"/>
    </row>
    <row r="1681" spans="2:7" ht="32.25" customHeight="1" x14ac:dyDescent="0.35">
      <c r="B1681" s="73"/>
      <c r="C1681" s="73"/>
      <c r="D1681" s="73"/>
      <c r="E1681" s="73"/>
      <c r="F1681" s="73"/>
      <c r="G1681" s="73"/>
    </row>
    <row r="1682" spans="2:7" ht="32.25" customHeight="1" x14ac:dyDescent="0.35">
      <c r="B1682" s="73"/>
      <c r="C1682" s="73"/>
      <c r="D1682" s="73"/>
      <c r="E1682" s="73"/>
      <c r="F1682" s="73"/>
      <c r="G1682" s="73"/>
    </row>
    <row r="1683" spans="2:7" ht="32.25" customHeight="1" x14ac:dyDescent="0.35">
      <c r="B1683" s="73"/>
      <c r="C1683" s="73"/>
      <c r="D1683" s="73"/>
      <c r="E1683" s="73"/>
      <c r="F1683" s="73"/>
      <c r="G1683" s="73"/>
    </row>
    <row r="1684" spans="2:7" ht="32.25" customHeight="1" x14ac:dyDescent="0.35">
      <c r="B1684" s="73"/>
      <c r="C1684" s="73"/>
      <c r="D1684" s="73"/>
      <c r="E1684" s="73"/>
      <c r="F1684" s="73"/>
      <c r="G1684" s="73"/>
    </row>
    <row r="1685" spans="2:7" ht="32.25" customHeight="1" x14ac:dyDescent="0.35">
      <c r="B1685" s="73"/>
      <c r="C1685" s="73"/>
      <c r="D1685" s="73"/>
      <c r="E1685" s="73"/>
      <c r="F1685" s="73"/>
      <c r="G1685" s="73"/>
    </row>
    <row r="1686" spans="2:7" ht="32.25" customHeight="1" x14ac:dyDescent="0.35">
      <c r="B1686" s="73"/>
      <c r="C1686" s="73"/>
      <c r="D1686" s="73"/>
      <c r="E1686" s="73"/>
      <c r="F1686" s="73"/>
      <c r="G1686" s="73"/>
    </row>
    <row r="1687" spans="2:7" ht="32.25" customHeight="1" x14ac:dyDescent="0.35">
      <c r="B1687" s="73"/>
      <c r="C1687" s="73"/>
      <c r="D1687" s="73"/>
      <c r="E1687" s="73"/>
      <c r="F1687" s="73"/>
      <c r="G1687" s="73"/>
    </row>
    <row r="1688" spans="2:7" ht="32.25" customHeight="1" x14ac:dyDescent="0.35">
      <c r="B1688" s="73"/>
      <c r="C1688" s="73"/>
      <c r="D1688" s="73"/>
      <c r="E1688" s="73"/>
      <c r="F1688" s="73"/>
      <c r="G1688" s="73"/>
    </row>
    <row r="1689" spans="2:7" ht="32.25" customHeight="1" x14ac:dyDescent="0.35">
      <c r="B1689" s="73"/>
      <c r="C1689" s="73"/>
      <c r="D1689" s="73"/>
      <c r="E1689" s="73"/>
      <c r="F1689" s="73"/>
      <c r="G1689" s="73"/>
    </row>
    <row r="1690" spans="2:7" ht="32.25" customHeight="1" x14ac:dyDescent="0.35">
      <c r="B1690" s="73"/>
      <c r="C1690" s="73"/>
      <c r="D1690" s="73"/>
      <c r="E1690" s="73"/>
      <c r="F1690" s="73"/>
      <c r="G1690" s="73"/>
    </row>
    <row r="1691" spans="2:7" ht="32.25" customHeight="1" x14ac:dyDescent="0.35">
      <c r="B1691" s="73"/>
      <c r="C1691" s="73"/>
      <c r="D1691" s="73"/>
      <c r="E1691" s="73"/>
      <c r="F1691" s="73"/>
      <c r="G1691" s="73"/>
    </row>
    <row r="1692" spans="2:7" ht="32.25" customHeight="1" x14ac:dyDescent="0.35">
      <c r="B1692" s="73"/>
      <c r="C1692" s="73"/>
      <c r="D1692" s="73"/>
      <c r="E1692" s="73"/>
      <c r="F1692" s="73"/>
      <c r="G1692" s="73"/>
    </row>
    <row r="1693" spans="2:7" ht="32.25" customHeight="1" x14ac:dyDescent="0.35">
      <c r="B1693" s="73"/>
      <c r="C1693" s="73"/>
      <c r="D1693" s="73"/>
      <c r="E1693" s="73"/>
      <c r="F1693" s="73"/>
      <c r="G1693" s="73"/>
    </row>
    <row r="1694" spans="2:7" ht="32.25" customHeight="1" x14ac:dyDescent="0.35">
      <c r="B1694" s="73"/>
      <c r="C1694" s="73"/>
      <c r="D1694" s="73"/>
      <c r="E1694" s="73"/>
      <c r="F1694" s="73"/>
      <c r="G1694" s="73"/>
    </row>
    <row r="1695" spans="2:7" ht="32.25" customHeight="1" x14ac:dyDescent="0.35">
      <c r="B1695" s="73"/>
      <c r="C1695" s="73"/>
      <c r="D1695" s="73"/>
      <c r="E1695" s="73"/>
      <c r="F1695" s="73"/>
      <c r="G1695" s="73"/>
    </row>
    <row r="1696" spans="2:7" ht="32.25" customHeight="1" x14ac:dyDescent="0.35">
      <c r="B1696" s="73"/>
      <c r="C1696" s="73"/>
      <c r="D1696" s="73"/>
      <c r="E1696" s="73"/>
      <c r="F1696" s="73"/>
      <c r="G1696" s="73"/>
    </row>
    <row r="1697" spans="2:7" ht="32.25" customHeight="1" x14ac:dyDescent="0.35">
      <c r="B1697" s="73"/>
      <c r="C1697" s="73"/>
      <c r="D1697" s="73"/>
      <c r="E1697" s="73"/>
      <c r="F1697" s="73"/>
      <c r="G1697" s="73"/>
    </row>
    <row r="1698" spans="2:7" ht="32.25" customHeight="1" x14ac:dyDescent="0.35">
      <c r="B1698" s="73"/>
      <c r="C1698" s="73"/>
      <c r="D1698" s="73"/>
      <c r="E1698" s="73"/>
      <c r="F1698" s="73"/>
      <c r="G1698" s="73"/>
    </row>
    <row r="1699" spans="2:7" ht="32.25" customHeight="1" x14ac:dyDescent="0.35">
      <c r="B1699" s="73"/>
      <c r="C1699" s="73"/>
      <c r="D1699" s="73"/>
      <c r="E1699" s="73"/>
      <c r="F1699" s="73"/>
      <c r="G1699" s="73"/>
    </row>
    <row r="1700" spans="2:7" ht="32.25" customHeight="1" x14ac:dyDescent="0.35">
      <c r="B1700" s="73"/>
      <c r="C1700" s="73"/>
      <c r="D1700" s="73"/>
      <c r="E1700" s="73"/>
      <c r="F1700" s="73"/>
      <c r="G1700" s="73"/>
    </row>
    <row r="1701" spans="2:7" ht="32.25" customHeight="1" x14ac:dyDescent="0.35">
      <c r="B1701" s="73"/>
      <c r="C1701" s="73"/>
      <c r="D1701" s="73"/>
      <c r="E1701" s="73"/>
      <c r="F1701" s="73"/>
      <c r="G1701" s="73"/>
    </row>
    <row r="1702" spans="2:7" ht="32.25" customHeight="1" x14ac:dyDescent="0.35">
      <c r="B1702" s="73"/>
      <c r="C1702" s="73"/>
      <c r="D1702" s="73"/>
      <c r="E1702" s="73"/>
      <c r="F1702" s="73"/>
      <c r="G1702" s="73"/>
    </row>
    <row r="1703" spans="2:7" ht="32.25" customHeight="1" x14ac:dyDescent="0.35">
      <c r="B1703" s="73"/>
      <c r="C1703" s="73"/>
      <c r="D1703" s="73"/>
      <c r="E1703" s="73"/>
      <c r="F1703" s="73"/>
      <c r="G1703" s="73"/>
    </row>
    <row r="1704" spans="2:7" ht="32.25" customHeight="1" x14ac:dyDescent="0.35">
      <c r="B1704" s="73"/>
      <c r="C1704" s="73"/>
      <c r="D1704" s="73"/>
      <c r="E1704" s="73"/>
      <c r="F1704" s="73"/>
      <c r="G1704" s="73"/>
    </row>
    <row r="1705" spans="2:7" ht="32.25" customHeight="1" x14ac:dyDescent="0.35">
      <c r="B1705" s="73"/>
      <c r="C1705" s="73"/>
      <c r="D1705" s="73"/>
      <c r="E1705" s="73"/>
      <c r="F1705" s="73"/>
      <c r="G1705" s="73"/>
    </row>
    <row r="1706" spans="2:7" ht="32.25" customHeight="1" x14ac:dyDescent="0.35">
      <c r="B1706" s="73"/>
      <c r="C1706" s="73"/>
      <c r="D1706" s="73"/>
      <c r="E1706" s="73"/>
      <c r="F1706" s="73"/>
      <c r="G1706" s="73"/>
    </row>
    <row r="1707" spans="2:7" ht="32.25" customHeight="1" x14ac:dyDescent="0.35">
      <c r="B1707" s="73"/>
      <c r="C1707" s="73"/>
      <c r="D1707" s="73"/>
      <c r="E1707" s="73"/>
      <c r="F1707" s="73"/>
      <c r="G1707" s="73"/>
    </row>
    <row r="1708" spans="2:7" ht="32.25" customHeight="1" x14ac:dyDescent="0.35">
      <c r="B1708" s="73"/>
      <c r="C1708" s="73"/>
      <c r="D1708" s="73"/>
      <c r="E1708" s="73"/>
      <c r="F1708" s="73"/>
      <c r="G1708" s="73"/>
    </row>
    <row r="1709" spans="2:7" ht="32.25" customHeight="1" x14ac:dyDescent="0.35">
      <c r="B1709" s="73"/>
      <c r="C1709" s="73"/>
      <c r="D1709" s="73"/>
      <c r="E1709" s="73"/>
      <c r="F1709" s="73"/>
      <c r="G1709" s="73"/>
    </row>
    <row r="1710" spans="2:7" ht="32.25" customHeight="1" x14ac:dyDescent="0.35">
      <c r="B1710" s="73"/>
      <c r="C1710" s="73"/>
      <c r="D1710" s="73"/>
      <c r="E1710" s="73"/>
      <c r="F1710" s="73"/>
      <c r="G1710" s="73"/>
    </row>
    <row r="1711" spans="2:7" ht="32.25" customHeight="1" x14ac:dyDescent="0.35">
      <c r="B1711" s="73"/>
      <c r="C1711" s="73"/>
      <c r="D1711" s="73"/>
      <c r="E1711" s="73"/>
      <c r="F1711" s="73"/>
      <c r="G1711" s="73"/>
    </row>
    <row r="1712" spans="2:7" ht="32.25" customHeight="1" x14ac:dyDescent="0.35">
      <c r="B1712" s="73"/>
      <c r="C1712" s="73"/>
      <c r="D1712" s="73"/>
      <c r="E1712" s="73"/>
      <c r="F1712" s="73"/>
      <c r="G1712" s="73"/>
    </row>
    <row r="1713" spans="2:7" ht="32.25" customHeight="1" x14ac:dyDescent="0.35">
      <c r="B1713" s="73"/>
      <c r="C1713" s="73"/>
      <c r="D1713" s="73"/>
      <c r="E1713" s="73"/>
      <c r="F1713" s="73"/>
      <c r="G1713" s="73"/>
    </row>
    <row r="1714" spans="2:7" ht="32.25" customHeight="1" x14ac:dyDescent="0.35">
      <c r="B1714" s="73"/>
      <c r="C1714" s="73"/>
      <c r="D1714" s="73"/>
      <c r="E1714" s="73"/>
      <c r="F1714" s="73"/>
      <c r="G1714" s="73"/>
    </row>
    <row r="1715" spans="2:7" ht="32.25" customHeight="1" x14ac:dyDescent="0.35">
      <c r="B1715" s="73"/>
      <c r="C1715" s="73"/>
      <c r="D1715" s="73"/>
      <c r="E1715" s="73"/>
      <c r="F1715" s="73"/>
      <c r="G1715" s="73"/>
    </row>
    <row r="1716" spans="2:7" ht="32.25" customHeight="1" x14ac:dyDescent="0.35">
      <c r="B1716" s="73"/>
      <c r="C1716" s="73"/>
      <c r="D1716" s="73"/>
      <c r="E1716" s="73"/>
      <c r="F1716" s="73"/>
      <c r="G1716" s="73"/>
    </row>
    <row r="1717" spans="2:7" ht="32.25" customHeight="1" x14ac:dyDescent="0.35">
      <c r="B1717" s="73"/>
      <c r="C1717" s="73"/>
      <c r="D1717" s="73"/>
      <c r="E1717" s="73"/>
      <c r="F1717" s="73"/>
      <c r="G1717" s="73"/>
    </row>
    <row r="1718" spans="2:7" ht="32.25" customHeight="1" x14ac:dyDescent="0.35">
      <c r="B1718" s="73"/>
      <c r="C1718" s="73"/>
      <c r="D1718" s="73"/>
      <c r="E1718" s="73"/>
      <c r="F1718" s="73"/>
      <c r="G1718" s="73"/>
    </row>
    <row r="1719" spans="2:7" ht="32.25" customHeight="1" x14ac:dyDescent="0.35">
      <c r="B1719" s="73"/>
      <c r="C1719" s="73"/>
      <c r="D1719" s="73"/>
      <c r="E1719" s="73"/>
      <c r="F1719" s="73"/>
      <c r="G1719" s="73"/>
    </row>
    <row r="1720" spans="2:7" ht="32.25" customHeight="1" x14ac:dyDescent="0.35">
      <c r="B1720" s="73"/>
      <c r="C1720" s="73"/>
      <c r="D1720" s="73"/>
      <c r="E1720" s="73"/>
      <c r="F1720" s="73"/>
      <c r="G1720" s="73"/>
    </row>
    <row r="1721" spans="2:7" ht="32.25" customHeight="1" x14ac:dyDescent="0.35">
      <c r="B1721" s="73"/>
      <c r="C1721" s="73"/>
      <c r="D1721" s="73"/>
      <c r="E1721" s="73"/>
      <c r="F1721" s="73"/>
      <c r="G1721" s="73"/>
    </row>
    <row r="1722" spans="2:7" ht="32.25" customHeight="1" x14ac:dyDescent="0.35">
      <c r="B1722" s="73"/>
      <c r="C1722" s="73"/>
      <c r="D1722" s="73"/>
      <c r="E1722" s="73"/>
      <c r="F1722" s="73"/>
      <c r="G1722" s="73"/>
    </row>
    <row r="1723" spans="2:7" ht="32.25" customHeight="1" x14ac:dyDescent="0.35">
      <c r="B1723" s="73"/>
      <c r="C1723" s="73"/>
      <c r="D1723" s="73"/>
      <c r="E1723" s="73"/>
      <c r="F1723" s="73"/>
      <c r="G1723" s="73"/>
    </row>
    <row r="1724" spans="2:7" ht="32.25" customHeight="1" x14ac:dyDescent="0.35">
      <c r="B1724" s="73"/>
      <c r="C1724" s="73"/>
      <c r="D1724" s="73"/>
      <c r="E1724" s="73"/>
      <c r="F1724" s="73"/>
      <c r="G1724" s="73"/>
    </row>
    <row r="1725" spans="2:7" ht="32.25" customHeight="1" x14ac:dyDescent="0.35">
      <c r="B1725" s="73"/>
      <c r="C1725" s="73"/>
      <c r="D1725" s="73"/>
      <c r="E1725" s="73"/>
      <c r="F1725" s="73"/>
      <c r="G1725" s="73"/>
    </row>
    <row r="1726" spans="2:7" ht="32.25" customHeight="1" x14ac:dyDescent="0.35">
      <c r="B1726" s="73"/>
      <c r="C1726" s="73"/>
      <c r="D1726" s="73"/>
      <c r="E1726" s="73"/>
      <c r="F1726" s="73"/>
      <c r="G1726" s="73"/>
    </row>
    <row r="1727" spans="2:7" ht="32.25" customHeight="1" x14ac:dyDescent="0.35">
      <c r="B1727" s="73"/>
      <c r="C1727" s="73"/>
      <c r="D1727" s="73"/>
      <c r="E1727" s="73"/>
      <c r="F1727" s="73"/>
      <c r="G1727" s="73"/>
    </row>
    <row r="1728" spans="2:7" ht="32.25" customHeight="1" x14ac:dyDescent="0.35">
      <c r="B1728" s="73"/>
      <c r="C1728" s="73"/>
      <c r="D1728" s="73"/>
      <c r="E1728" s="73"/>
      <c r="F1728" s="73"/>
      <c r="G1728" s="73"/>
    </row>
    <row r="1729" spans="2:7" ht="32.25" customHeight="1" x14ac:dyDescent="0.35">
      <c r="B1729" s="73"/>
      <c r="C1729" s="73"/>
      <c r="D1729" s="73"/>
      <c r="E1729" s="73"/>
      <c r="F1729" s="73"/>
      <c r="G1729" s="73"/>
    </row>
    <row r="1730" spans="2:7" ht="32.25" customHeight="1" x14ac:dyDescent="0.35">
      <c r="B1730" s="73"/>
      <c r="C1730" s="73"/>
      <c r="D1730" s="73"/>
      <c r="E1730" s="73"/>
      <c r="F1730" s="73"/>
      <c r="G1730" s="73"/>
    </row>
    <row r="1731" spans="2:7" ht="32.25" customHeight="1" x14ac:dyDescent="0.35">
      <c r="B1731" s="73"/>
      <c r="C1731" s="73"/>
      <c r="D1731" s="73"/>
      <c r="E1731" s="73"/>
      <c r="F1731" s="73"/>
      <c r="G1731" s="73"/>
    </row>
    <row r="1732" spans="2:7" ht="32.25" customHeight="1" x14ac:dyDescent="0.35">
      <c r="B1732" s="73"/>
      <c r="C1732" s="73"/>
      <c r="D1732" s="73"/>
      <c r="E1732" s="73"/>
      <c r="F1732" s="73"/>
      <c r="G1732" s="73"/>
    </row>
    <row r="1733" spans="2:7" ht="32.25" customHeight="1" x14ac:dyDescent="0.35">
      <c r="B1733" s="73"/>
      <c r="C1733" s="73"/>
      <c r="D1733" s="73"/>
      <c r="E1733" s="73"/>
      <c r="F1733" s="73"/>
      <c r="G1733" s="73"/>
    </row>
    <row r="1734" spans="2:7" ht="32.25" customHeight="1" x14ac:dyDescent="0.35">
      <c r="B1734" s="73"/>
      <c r="C1734" s="73"/>
      <c r="D1734" s="73"/>
      <c r="E1734" s="73"/>
      <c r="F1734" s="73"/>
      <c r="G1734" s="73"/>
    </row>
    <row r="1735" spans="2:7" ht="32.25" customHeight="1" x14ac:dyDescent="0.35">
      <c r="B1735" s="73"/>
      <c r="C1735" s="73"/>
      <c r="D1735" s="73"/>
      <c r="E1735" s="73"/>
      <c r="F1735" s="73"/>
      <c r="G1735" s="73"/>
    </row>
    <row r="1736" spans="2:7" ht="32.25" customHeight="1" x14ac:dyDescent="0.35">
      <c r="B1736" s="73"/>
      <c r="C1736" s="73"/>
      <c r="D1736" s="73"/>
      <c r="E1736" s="73"/>
      <c r="F1736" s="73"/>
      <c r="G1736" s="73"/>
    </row>
    <row r="1737" spans="2:7" ht="32.25" customHeight="1" x14ac:dyDescent="0.35">
      <c r="B1737" s="73"/>
      <c r="C1737" s="73"/>
      <c r="D1737" s="73"/>
      <c r="E1737" s="73"/>
      <c r="F1737" s="73"/>
      <c r="G1737" s="73"/>
    </row>
    <row r="1738" spans="2:7" ht="32.25" customHeight="1" x14ac:dyDescent="0.35">
      <c r="B1738" s="73"/>
      <c r="C1738" s="73"/>
      <c r="D1738" s="73"/>
      <c r="E1738" s="73"/>
      <c r="F1738" s="73"/>
      <c r="G1738" s="73"/>
    </row>
    <row r="1739" spans="2:7" ht="32.25" customHeight="1" x14ac:dyDescent="0.35">
      <c r="B1739" s="73"/>
      <c r="C1739" s="73"/>
      <c r="D1739" s="73"/>
      <c r="E1739" s="73"/>
      <c r="F1739" s="73"/>
      <c r="G1739" s="73"/>
    </row>
    <row r="1740" spans="2:7" ht="32.25" customHeight="1" x14ac:dyDescent="0.35">
      <c r="B1740" s="73"/>
      <c r="C1740" s="73"/>
      <c r="D1740" s="73"/>
      <c r="E1740" s="73"/>
      <c r="F1740" s="73"/>
      <c r="G1740" s="73"/>
    </row>
    <row r="1741" spans="2:7" ht="32.25" customHeight="1" x14ac:dyDescent="0.35">
      <c r="B1741" s="73"/>
      <c r="C1741" s="73"/>
      <c r="D1741" s="73"/>
      <c r="E1741" s="73"/>
      <c r="F1741" s="73"/>
      <c r="G1741" s="73"/>
    </row>
    <row r="1742" spans="2:7" ht="32.25" customHeight="1" x14ac:dyDescent="0.35">
      <c r="B1742" s="73"/>
      <c r="C1742" s="73"/>
      <c r="D1742" s="73"/>
      <c r="E1742" s="73"/>
      <c r="F1742" s="73"/>
      <c r="G1742" s="73"/>
    </row>
    <row r="1743" spans="2:7" ht="32.25" customHeight="1" x14ac:dyDescent="0.35">
      <c r="B1743" s="73"/>
      <c r="C1743" s="73"/>
      <c r="D1743" s="73"/>
      <c r="E1743" s="73"/>
      <c r="F1743" s="73"/>
      <c r="G1743" s="73"/>
    </row>
    <row r="1744" spans="2:7" ht="32.25" customHeight="1" x14ac:dyDescent="0.35">
      <c r="B1744" s="73"/>
      <c r="C1744" s="73"/>
      <c r="D1744" s="73"/>
      <c r="E1744" s="73"/>
      <c r="F1744" s="73"/>
      <c r="G1744" s="73"/>
    </row>
    <row r="1745" spans="2:7" ht="32.25" customHeight="1" x14ac:dyDescent="0.35">
      <c r="B1745" s="73"/>
      <c r="C1745" s="73"/>
      <c r="D1745" s="73"/>
      <c r="E1745" s="73"/>
      <c r="F1745" s="73"/>
      <c r="G1745" s="73"/>
    </row>
    <row r="1746" spans="2:7" ht="32.25" customHeight="1" x14ac:dyDescent="0.35">
      <c r="B1746" s="73"/>
      <c r="C1746" s="73"/>
      <c r="D1746" s="73"/>
      <c r="E1746" s="73"/>
      <c r="F1746" s="73"/>
      <c r="G1746" s="73"/>
    </row>
    <row r="1747" spans="2:7" ht="32.25" customHeight="1" x14ac:dyDescent="0.35">
      <c r="B1747" s="73"/>
      <c r="C1747" s="73"/>
      <c r="D1747" s="73"/>
      <c r="E1747" s="73"/>
      <c r="F1747" s="73"/>
      <c r="G1747" s="73"/>
    </row>
    <row r="1748" spans="2:7" ht="32.25" customHeight="1" x14ac:dyDescent="0.35">
      <c r="B1748" s="73"/>
      <c r="C1748" s="73"/>
      <c r="D1748" s="73"/>
      <c r="E1748" s="73"/>
      <c r="F1748" s="73"/>
      <c r="G1748" s="73"/>
    </row>
    <row r="1749" spans="2:7" ht="32.25" customHeight="1" x14ac:dyDescent="0.35">
      <c r="B1749" s="73"/>
      <c r="C1749" s="73"/>
      <c r="D1749" s="73"/>
      <c r="E1749" s="73"/>
      <c r="F1749" s="73"/>
      <c r="G1749" s="73"/>
    </row>
    <row r="1750" spans="2:7" ht="32.25" customHeight="1" x14ac:dyDescent="0.35">
      <c r="B1750" s="73"/>
      <c r="C1750" s="73"/>
      <c r="D1750" s="73"/>
      <c r="E1750" s="73"/>
      <c r="F1750" s="73"/>
      <c r="G1750" s="73"/>
    </row>
    <row r="1751" spans="2:7" ht="32.25" customHeight="1" x14ac:dyDescent="0.35">
      <c r="B1751" s="73"/>
      <c r="C1751" s="73"/>
      <c r="D1751" s="73"/>
      <c r="E1751" s="73"/>
      <c r="F1751" s="73"/>
      <c r="G1751" s="73"/>
    </row>
    <row r="1752" spans="2:7" ht="32.25" customHeight="1" x14ac:dyDescent="0.35">
      <c r="B1752" s="73"/>
      <c r="C1752" s="73"/>
      <c r="D1752" s="73"/>
      <c r="E1752" s="73"/>
      <c r="F1752" s="73"/>
      <c r="G1752" s="73"/>
    </row>
    <row r="1753" spans="2:7" ht="32.25" customHeight="1" x14ac:dyDescent="0.35">
      <c r="B1753" s="73"/>
      <c r="C1753" s="73"/>
      <c r="D1753" s="73"/>
      <c r="E1753" s="73"/>
      <c r="F1753" s="73"/>
      <c r="G1753" s="73"/>
    </row>
    <row r="1754" spans="2:7" ht="32.25" customHeight="1" x14ac:dyDescent="0.35">
      <c r="B1754" s="73"/>
      <c r="C1754" s="73"/>
      <c r="D1754" s="73"/>
      <c r="E1754" s="73"/>
      <c r="F1754" s="73"/>
      <c r="G1754" s="73"/>
    </row>
    <row r="1755" spans="2:7" ht="32.25" customHeight="1" x14ac:dyDescent="0.35">
      <c r="B1755" s="73"/>
      <c r="C1755" s="73"/>
      <c r="D1755" s="73"/>
      <c r="E1755" s="73"/>
      <c r="F1755" s="73"/>
      <c r="G1755" s="73"/>
    </row>
    <row r="1756" spans="2:7" ht="32.25" customHeight="1" x14ac:dyDescent="0.35">
      <c r="B1756" s="73"/>
      <c r="C1756" s="73"/>
      <c r="D1756" s="73"/>
      <c r="E1756" s="73"/>
      <c r="F1756" s="73"/>
      <c r="G1756" s="73"/>
    </row>
    <row r="1757" spans="2:7" ht="32.25" customHeight="1" x14ac:dyDescent="0.35">
      <c r="B1757" s="73"/>
      <c r="C1757" s="73"/>
      <c r="D1757" s="73"/>
      <c r="E1757" s="73"/>
      <c r="F1757" s="73"/>
      <c r="G1757" s="73"/>
    </row>
    <row r="1758" spans="2:7" ht="32.25" customHeight="1" x14ac:dyDescent="0.35">
      <c r="B1758" s="73"/>
      <c r="C1758" s="73"/>
      <c r="D1758" s="73"/>
      <c r="E1758" s="73"/>
      <c r="F1758" s="73"/>
      <c r="G1758" s="73"/>
    </row>
    <row r="1759" spans="2:7" ht="32.25" customHeight="1" x14ac:dyDescent="0.35">
      <c r="B1759" s="73"/>
      <c r="C1759" s="73"/>
      <c r="D1759" s="73"/>
      <c r="E1759" s="73"/>
      <c r="F1759" s="73"/>
      <c r="G1759" s="73"/>
    </row>
    <row r="1760" spans="2:7" ht="32.25" customHeight="1" x14ac:dyDescent="0.35">
      <c r="B1760" s="73"/>
      <c r="C1760" s="73"/>
      <c r="D1760" s="73"/>
      <c r="E1760" s="73"/>
      <c r="F1760" s="73"/>
      <c r="G1760" s="73"/>
    </row>
    <row r="1761" spans="2:7" ht="32.25" customHeight="1" x14ac:dyDescent="0.35">
      <c r="B1761" s="73"/>
      <c r="C1761" s="73"/>
      <c r="D1761" s="73"/>
      <c r="E1761" s="73"/>
      <c r="F1761" s="73"/>
      <c r="G1761" s="73"/>
    </row>
    <row r="1762" spans="2:7" ht="32.25" customHeight="1" x14ac:dyDescent="0.35">
      <c r="B1762" s="73"/>
      <c r="C1762" s="73"/>
      <c r="D1762" s="73"/>
      <c r="E1762" s="73"/>
      <c r="F1762" s="73"/>
      <c r="G1762" s="73"/>
    </row>
    <row r="1763" spans="2:7" ht="32.25" customHeight="1" x14ac:dyDescent="0.35">
      <c r="B1763" s="73"/>
      <c r="C1763" s="73"/>
      <c r="D1763" s="73"/>
      <c r="E1763" s="73"/>
      <c r="F1763" s="73"/>
      <c r="G1763" s="73"/>
    </row>
    <row r="1764" spans="2:7" ht="32.25" customHeight="1" x14ac:dyDescent="0.35">
      <c r="B1764" s="73"/>
      <c r="C1764" s="73"/>
      <c r="D1764" s="73"/>
      <c r="E1764" s="73"/>
      <c r="F1764" s="73"/>
      <c r="G1764" s="73"/>
    </row>
    <row r="1765" spans="2:7" ht="32.25" customHeight="1" x14ac:dyDescent="0.35">
      <c r="B1765" s="73"/>
      <c r="C1765" s="73"/>
      <c r="D1765" s="73"/>
      <c r="E1765" s="73"/>
      <c r="F1765" s="73"/>
      <c r="G1765" s="73"/>
    </row>
    <row r="1766" spans="2:7" ht="32.25" customHeight="1" x14ac:dyDescent="0.35">
      <c r="B1766" s="73"/>
      <c r="C1766" s="73"/>
      <c r="D1766" s="73"/>
      <c r="E1766" s="73"/>
      <c r="F1766" s="73"/>
      <c r="G1766" s="73"/>
    </row>
    <row r="1767" spans="2:7" ht="32.25" customHeight="1" x14ac:dyDescent="0.35">
      <c r="B1767" s="73"/>
      <c r="C1767" s="73"/>
      <c r="D1767" s="73"/>
      <c r="E1767" s="73"/>
      <c r="F1767" s="73"/>
      <c r="G1767" s="73"/>
    </row>
    <row r="1768" spans="2:7" ht="32.25" customHeight="1" x14ac:dyDescent="0.35">
      <c r="B1768" s="73"/>
      <c r="C1768" s="73"/>
      <c r="D1768" s="73"/>
      <c r="E1768" s="73"/>
      <c r="F1768" s="73"/>
      <c r="G1768" s="73"/>
    </row>
    <row r="1769" spans="2:7" ht="32.25" customHeight="1" x14ac:dyDescent="0.35">
      <c r="B1769" s="73"/>
      <c r="C1769" s="73"/>
      <c r="D1769" s="73"/>
      <c r="E1769" s="73"/>
      <c r="F1769" s="73"/>
      <c r="G1769" s="73"/>
    </row>
    <row r="1770" spans="2:7" ht="32.25" customHeight="1" x14ac:dyDescent="0.35">
      <c r="B1770" s="73"/>
      <c r="C1770" s="73"/>
      <c r="D1770" s="73"/>
      <c r="E1770" s="73"/>
      <c r="F1770" s="73"/>
      <c r="G1770" s="73"/>
    </row>
    <row r="1771" spans="2:7" ht="32.25" customHeight="1" x14ac:dyDescent="0.35">
      <c r="B1771" s="73"/>
      <c r="C1771" s="73"/>
      <c r="D1771" s="73"/>
      <c r="E1771" s="73"/>
      <c r="F1771" s="73"/>
      <c r="G1771" s="73"/>
    </row>
    <row r="1772" spans="2:7" ht="32.25" customHeight="1" x14ac:dyDescent="0.35">
      <c r="B1772" s="73"/>
      <c r="C1772" s="73"/>
      <c r="D1772" s="73"/>
      <c r="E1772" s="73"/>
      <c r="F1772" s="73"/>
      <c r="G1772" s="73"/>
    </row>
    <row r="1773" spans="2:7" ht="32.25" customHeight="1" x14ac:dyDescent="0.35">
      <c r="B1773" s="73"/>
      <c r="C1773" s="73"/>
      <c r="D1773" s="73"/>
      <c r="E1773" s="73"/>
      <c r="F1773" s="73"/>
      <c r="G1773" s="73"/>
    </row>
    <row r="1774" spans="2:7" ht="32.25" customHeight="1" x14ac:dyDescent="0.35">
      <c r="B1774" s="73"/>
      <c r="C1774" s="73"/>
      <c r="D1774" s="73"/>
      <c r="E1774" s="73"/>
      <c r="F1774" s="73"/>
      <c r="G1774" s="73"/>
    </row>
    <row r="1775" spans="2:7" ht="32.25" customHeight="1" x14ac:dyDescent="0.35">
      <c r="B1775" s="73"/>
      <c r="C1775" s="73"/>
      <c r="D1775" s="73"/>
      <c r="E1775" s="73"/>
      <c r="F1775" s="73"/>
      <c r="G1775" s="73"/>
    </row>
    <row r="1776" spans="2:7" ht="32.25" customHeight="1" x14ac:dyDescent="0.35">
      <c r="B1776" s="73"/>
      <c r="C1776" s="73"/>
      <c r="D1776" s="73"/>
      <c r="E1776" s="73"/>
      <c r="F1776" s="73"/>
      <c r="G1776" s="73"/>
    </row>
    <row r="1777" spans="2:7" ht="32.25" customHeight="1" x14ac:dyDescent="0.35">
      <c r="B1777" s="73"/>
      <c r="C1777" s="73"/>
      <c r="D1777" s="73"/>
      <c r="E1777" s="73"/>
      <c r="F1777" s="73"/>
      <c r="G1777" s="73"/>
    </row>
    <row r="1778" spans="2:7" ht="32.25" customHeight="1" x14ac:dyDescent="0.35">
      <c r="B1778" s="73"/>
      <c r="C1778" s="73"/>
      <c r="D1778" s="73"/>
      <c r="E1778" s="73"/>
      <c r="F1778" s="73"/>
      <c r="G1778" s="73"/>
    </row>
    <row r="1779" spans="2:7" ht="32.25" customHeight="1" x14ac:dyDescent="0.35">
      <c r="B1779" s="73"/>
      <c r="C1779" s="73"/>
      <c r="D1779" s="73"/>
      <c r="E1779" s="73"/>
      <c r="F1779" s="73"/>
      <c r="G1779" s="73"/>
    </row>
    <row r="1780" spans="2:7" ht="32.25" customHeight="1" x14ac:dyDescent="0.35">
      <c r="B1780" s="73"/>
      <c r="C1780" s="73"/>
      <c r="D1780" s="73"/>
      <c r="E1780" s="73"/>
      <c r="F1780" s="73"/>
      <c r="G1780" s="73"/>
    </row>
    <row r="1781" spans="2:7" ht="32.25" customHeight="1" x14ac:dyDescent="0.35">
      <c r="B1781" s="73"/>
      <c r="C1781" s="73"/>
      <c r="D1781" s="73"/>
      <c r="E1781" s="73"/>
      <c r="F1781" s="73"/>
      <c r="G1781" s="73"/>
    </row>
    <row r="1782" spans="2:7" ht="32.25" customHeight="1" x14ac:dyDescent="0.35">
      <c r="B1782" s="73"/>
      <c r="C1782" s="73"/>
      <c r="D1782" s="73"/>
      <c r="E1782" s="73"/>
      <c r="F1782" s="73"/>
      <c r="G1782" s="73"/>
    </row>
    <row r="1783" spans="2:7" ht="32.25" customHeight="1" x14ac:dyDescent="0.35">
      <c r="B1783" s="73"/>
      <c r="C1783" s="73"/>
      <c r="D1783" s="73"/>
      <c r="E1783" s="73"/>
      <c r="F1783" s="73"/>
      <c r="G1783" s="73"/>
    </row>
    <row r="1784" spans="2:7" ht="32.25" customHeight="1" x14ac:dyDescent="0.35">
      <c r="B1784" s="73"/>
      <c r="C1784" s="73"/>
      <c r="D1784" s="73"/>
      <c r="E1784" s="73"/>
      <c r="F1784" s="73"/>
      <c r="G1784" s="73"/>
    </row>
    <row r="1785" spans="2:7" ht="32.25" customHeight="1" x14ac:dyDescent="0.35">
      <c r="B1785" s="73"/>
      <c r="C1785" s="73"/>
      <c r="D1785" s="73"/>
      <c r="E1785" s="73"/>
      <c r="F1785" s="73"/>
      <c r="G1785" s="73"/>
    </row>
    <row r="1786" spans="2:7" ht="32.25" customHeight="1" x14ac:dyDescent="0.35">
      <c r="B1786" s="73"/>
      <c r="C1786" s="73"/>
      <c r="D1786" s="73"/>
      <c r="E1786" s="73"/>
      <c r="F1786" s="73"/>
      <c r="G1786" s="73"/>
    </row>
    <row r="1787" spans="2:7" ht="32.25" customHeight="1" x14ac:dyDescent="0.35">
      <c r="B1787" s="73"/>
      <c r="C1787" s="73"/>
      <c r="D1787" s="73"/>
      <c r="E1787" s="73"/>
      <c r="F1787" s="73"/>
      <c r="G1787" s="73"/>
    </row>
    <row r="1788" spans="2:7" ht="32.25" customHeight="1" x14ac:dyDescent="0.35">
      <c r="B1788" s="73"/>
      <c r="C1788" s="73"/>
      <c r="D1788" s="73"/>
      <c r="E1788" s="73"/>
      <c r="F1788" s="73"/>
      <c r="G1788" s="73"/>
    </row>
    <row r="1789" spans="2:7" ht="32.25" customHeight="1" x14ac:dyDescent="0.35">
      <c r="B1789" s="73"/>
      <c r="C1789" s="73"/>
      <c r="D1789" s="73"/>
      <c r="E1789" s="73"/>
      <c r="F1789" s="73"/>
      <c r="G1789" s="73"/>
    </row>
    <row r="1790" spans="2:7" ht="32.25" customHeight="1" x14ac:dyDescent="0.35">
      <c r="B1790" s="73"/>
      <c r="C1790" s="73"/>
      <c r="D1790" s="73"/>
      <c r="E1790" s="73"/>
      <c r="F1790" s="73"/>
      <c r="G1790" s="73"/>
    </row>
    <row r="1791" spans="2:7" ht="32.25" customHeight="1" x14ac:dyDescent="0.35">
      <c r="B1791" s="73"/>
      <c r="C1791" s="73"/>
      <c r="D1791" s="73"/>
      <c r="E1791" s="73"/>
      <c r="F1791" s="73"/>
      <c r="G1791" s="73"/>
    </row>
    <row r="1792" spans="2:7" ht="32.25" customHeight="1" x14ac:dyDescent="0.35">
      <c r="B1792" s="73"/>
      <c r="C1792" s="73"/>
      <c r="D1792" s="73"/>
      <c r="E1792" s="73"/>
      <c r="F1792" s="73"/>
      <c r="G1792" s="73"/>
    </row>
    <row r="1793" spans="2:7" ht="32.25" customHeight="1" x14ac:dyDescent="0.35">
      <c r="B1793" s="73"/>
      <c r="C1793" s="73"/>
      <c r="D1793" s="73"/>
      <c r="E1793" s="73"/>
      <c r="F1793" s="73"/>
      <c r="G1793" s="73"/>
    </row>
    <row r="1794" spans="2:7" ht="32.25" customHeight="1" x14ac:dyDescent="0.35">
      <c r="B1794" s="73"/>
      <c r="C1794" s="73"/>
      <c r="D1794" s="73"/>
      <c r="E1794" s="73"/>
      <c r="F1794" s="73"/>
      <c r="G1794" s="73"/>
    </row>
    <row r="1795" spans="2:7" ht="32.25" customHeight="1" x14ac:dyDescent="0.35">
      <c r="B1795" s="73"/>
      <c r="C1795" s="73"/>
      <c r="D1795" s="73"/>
      <c r="E1795" s="73"/>
      <c r="F1795" s="73"/>
      <c r="G1795" s="73"/>
    </row>
    <row r="1796" spans="2:7" ht="32.25" customHeight="1" x14ac:dyDescent="0.35">
      <c r="B1796" s="73"/>
      <c r="C1796" s="73"/>
      <c r="D1796" s="73"/>
      <c r="E1796" s="73"/>
      <c r="F1796" s="73"/>
      <c r="G1796" s="73"/>
    </row>
    <row r="1797" spans="2:7" ht="32.25" customHeight="1" x14ac:dyDescent="0.35">
      <c r="B1797" s="73"/>
      <c r="C1797" s="73"/>
      <c r="D1797" s="73"/>
      <c r="E1797" s="73"/>
      <c r="F1797" s="73"/>
      <c r="G1797" s="73"/>
    </row>
    <row r="1798" spans="2:7" ht="32.25" customHeight="1" x14ac:dyDescent="0.35">
      <c r="B1798" s="73"/>
      <c r="C1798" s="73"/>
      <c r="D1798" s="73"/>
      <c r="E1798" s="73"/>
      <c r="F1798" s="73"/>
      <c r="G1798" s="73"/>
    </row>
    <row r="1799" spans="2:7" ht="32.25" customHeight="1" x14ac:dyDescent="0.35">
      <c r="B1799" s="73"/>
      <c r="C1799" s="73"/>
      <c r="D1799" s="73"/>
      <c r="E1799" s="73"/>
      <c r="F1799" s="73"/>
      <c r="G1799" s="73"/>
    </row>
    <row r="1800" spans="2:7" ht="32.25" customHeight="1" x14ac:dyDescent="0.35">
      <c r="B1800" s="73"/>
      <c r="C1800" s="73"/>
      <c r="D1800" s="73"/>
      <c r="E1800" s="73"/>
      <c r="F1800" s="73"/>
      <c r="G1800" s="73"/>
    </row>
    <row r="1801" spans="2:7" ht="32.25" customHeight="1" x14ac:dyDescent="0.35">
      <c r="B1801" s="73"/>
      <c r="C1801" s="73"/>
      <c r="D1801" s="73"/>
      <c r="E1801" s="73"/>
      <c r="F1801" s="73"/>
      <c r="G1801" s="73"/>
    </row>
    <row r="1802" spans="2:7" ht="32.25" customHeight="1" x14ac:dyDescent="0.35">
      <c r="B1802" s="73"/>
      <c r="C1802" s="73"/>
      <c r="D1802" s="73"/>
      <c r="E1802" s="73"/>
      <c r="F1802" s="73"/>
      <c r="G1802" s="73"/>
    </row>
    <row r="1803" spans="2:7" ht="32.25" customHeight="1" x14ac:dyDescent="0.35">
      <c r="B1803" s="73"/>
      <c r="C1803" s="73"/>
      <c r="D1803" s="73"/>
      <c r="E1803" s="73"/>
      <c r="F1803" s="73"/>
      <c r="G1803" s="73"/>
    </row>
    <row r="1804" spans="2:7" ht="32.25" customHeight="1" x14ac:dyDescent="0.35">
      <c r="B1804" s="73"/>
      <c r="C1804" s="73"/>
      <c r="D1804" s="73"/>
      <c r="E1804" s="73"/>
      <c r="F1804" s="73"/>
      <c r="G1804" s="73"/>
    </row>
    <row r="1805" spans="2:7" ht="32.25" customHeight="1" x14ac:dyDescent="0.35">
      <c r="B1805" s="73"/>
      <c r="C1805" s="73"/>
      <c r="D1805" s="73"/>
      <c r="E1805" s="73"/>
      <c r="F1805" s="73"/>
      <c r="G1805" s="73"/>
    </row>
    <row r="1806" spans="2:7" ht="32.25" customHeight="1" x14ac:dyDescent="0.35">
      <c r="B1806" s="73"/>
      <c r="C1806" s="73"/>
      <c r="D1806" s="73"/>
      <c r="E1806" s="73"/>
      <c r="F1806" s="73"/>
      <c r="G1806" s="73"/>
    </row>
    <row r="1807" spans="2:7" ht="32.25" customHeight="1" x14ac:dyDescent="0.35">
      <c r="B1807" s="73"/>
      <c r="C1807" s="73"/>
      <c r="D1807" s="73"/>
      <c r="E1807" s="73"/>
      <c r="F1807" s="73"/>
      <c r="G1807" s="73"/>
    </row>
    <row r="1808" spans="2:7" ht="32.25" customHeight="1" x14ac:dyDescent="0.35">
      <c r="B1808" s="73"/>
      <c r="C1808" s="73"/>
      <c r="D1808" s="73"/>
      <c r="E1808" s="73"/>
      <c r="F1808" s="73"/>
      <c r="G1808" s="73"/>
    </row>
    <row r="1809" spans="2:7" ht="32.25" customHeight="1" x14ac:dyDescent="0.35">
      <c r="B1809" s="73"/>
      <c r="C1809" s="73"/>
      <c r="D1809" s="73"/>
      <c r="E1809" s="73"/>
      <c r="F1809" s="73"/>
      <c r="G1809" s="73"/>
    </row>
    <row r="1810" spans="2:7" ht="32.25" customHeight="1" x14ac:dyDescent="0.35">
      <c r="B1810" s="73"/>
      <c r="C1810" s="73"/>
      <c r="D1810" s="73"/>
      <c r="E1810" s="73"/>
      <c r="F1810" s="73"/>
      <c r="G1810" s="73"/>
    </row>
    <row r="1811" spans="2:7" ht="32.25" customHeight="1" x14ac:dyDescent="0.35">
      <c r="B1811" s="73"/>
      <c r="C1811" s="73"/>
      <c r="D1811" s="73"/>
      <c r="E1811" s="73"/>
      <c r="F1811" s="73"/>
      <c r="G1811" s="73"/>
    </row>
    <row r="1812" spans="2:7" ht="32.25" customHeight="1" x14ac:dyDescent="0.35">
      <c r="B1812" s="73"/>
      <c r="C1812" s="73"/>
      <c r="D1812" s="73"/>
      <c r="E1812" s="73"/>
      <c r="F1812" s="73"/>
      <c r="G1812" s="73"/>
    </row>
    <row r="1813" spans="2:7" ht="32.25" customHeight="1" x14ac:dyDescent="0.35">
      <c r="B1813" s="73"/>
      <c r="C1813" s="73"/>
      <c r="D1813" s="73"/>
      <c r="E1813" s="73"/>
      <c r="F1813" s="73"/>
      <c r="G1813" s="73"/>
    </row>
    <row r="1814" spans="2:7" ht="32.25" customHeight="1" x14ac:dyDescent="0.35">
      <c r="B1814" s="73"/>
      <c r="C1814" s="73"/>
      <c r="D1814" s="73"/>
      <c r="E1814" s="73"/>
      <c r="F1814" s="73"/>
      <c r="G1814" s="73"/>
    </row>
    <row r="1815" spans="2:7" ht="32.25" customHeight="1" x14ac:dyDescent="0.35">
      <c r="B1815" s="73"/>
      <c r="C1815" s="73"/>
      <c r="D1815" s="73"/>
      <c r="E1815" s="73"/>
      <c r="F1815" s="73"/>
      <c r="G1815" s="73"/>
    </row>
    <row r="1816" spans="2:7" ht="32.25" customHeight="1" x14ac:dyDescent="0.35">
      <c r="B1816" s="73"/>
      <c r="C1816" s="73"/>
      <c r="D1816" s="73"/>
      <c r="E1816" s="73"/>
      <c r="F1816" s="73"/>
      <c r="G1816" s="73"/>
    </row>
    <row r="1817" spans="2:7" ht="32.25" customHeight="1" x14ac:dyDescent="0.35">
      <c r="B1817" s="73"/>
      <c r="C1817" s="73"/>
      <c r="D1817" s="73"/>
      <c r="E1817" s="73"/>
      <c r="F1817" s="73"/>
      <c r="G1817" s="73"/>
    </row>
    <row r="1818" spans="2:7" ht="32.25" customHeight="1" x14ac:dyDescent="0.35">
      <c r="B1818" s="73"/>
      <c r="C1818" s="73"/>
      <c r="D1818" s="73"/>
      <c r="E1818" s="73"/>
      <c r="F1818" s="73"/>
      <c r="G1818" s="73"/>
    </row>
    <row r="1819" spans="2:7" ht="32.25" customHeight="1" x14ac:dyDescent="0.35">
      <c r="B1819" s="73"/>
      <c r="C1819" s="73"/>
      <c r="D1819" s="73"/>
      <c r="E1819" s="73"/>
      <c r="F1819" s="73"/>
      <c r="G1819" s="73"/>
    </row>
    <row r="1820" spans="2:7" ht="32.25" customHeight="1" x14ac:dyDescent="0.35">
      <c r="B1820" s="73"/>
      <c r="C1820" s="73"/>
      <c r="D1820" s="73"/>
      <c r="E1820" s="73"/>
      <c r="F1820" s="73"/>
      <c r="G1820" s="73"/>
    </row>
    <row r="1821" spans="2:7" ht="32.25" customHeight="1" x14ac:dyDescent="0.35">
      <c r="B1821" s="73"/>
      <c r="C1821" s="73"/>
      <c r="D1821" s="73"/>
      <c r="E1821" s="73"/>
      <c r="F1821" s="73"/>
      <c r="G1821" s="73"/>
    </row>
    <row r="1822" spans="2:7" ht="32.25" customHeight="1" x14ac:dyDescent="0.35">
      <c r="B1822" s="73"/>
      <c r="C1822" s="73"/>
      <c r="D1822" s="73"/>
      <c r="E1822" s="73"/>
      <c r="F1822" s="73"/>
      <c r="G1822" s="73"/>
    </row>
    <row r="1823" spans="2:7" ht="32.25" customHeight="1" x14ac:dyDescent="0.35">
      <c r="B1823" s="73"/>
      <c r="C1823" s="73"/>
      <c r="D1823" s="73"/>
      <c r="E1823" s="73"/>
      <c r="F1823" s="73"/>
      <c r="G1823" s="73"/>
    </row>
    <row r="1824" spans="2:7" ht="32.25" customHeight="1" x14ac:dyDescent="0.35">
      <c r="B1824" s="73"/>
      <c r="C1824" s="73"/>
      <c r="D1824" s="73"/>
      <c r="E1824" s="73"/>
      <c r="F1824" s="73"/>
      <c r="G1824" s="73"/>
    </row>
    <row r="1825" spans="2:7" ht="32.25" customHeight="1" x14ac:dyDescent="0.35">
      <c r="B1825" s="73"/>
      <c r="C1825" s="73"/>
      <c r="D1825" s="73"/>
      <c r="E1825" s="73"/>
      <c r="F1825" s="73"/>
      <c r="G1825" s="73"/>
    </row>
    <row r="1826" spans="2:7" ht="32.25" customHeight="1" x14ac:dyDescent="0.35">
      <c r="B1826" s="73"/>
      <c r="C1826" s="73"/>
      <c r="D1826" s="73"/>
      <c r="E1826" s="73"/>
      <c r="F1826" s="73"/>
      <c r="G1826" s="73"/>
    </row>
    <row r="1827" spans="2:7" ht="32.25" customHeight="1" x14ac:dyDescent="0.35">
      <c r="B1827" s="73"/>
      <c r="C1827" s="73"/>
      <c r="D1827" s="73"/>
      <c r="E1827" s="73"/>
      <c r="F1827" s="73"/>
      <c r="G1827" s="73"/>
    </row>
    <row r="1828" spans="2:7" ht="32.25" customHeight="1" x14ac:dyDescent="0.35">
      <c r="B1828" s="73"/>
      <c r="C1828" s="73"/>
      <c r="D1828" s="73"/>
      <c r="E1828" s="73"/>
      <c r="F1828" s="73"/>
      <c r="G1828" s="73"/>
    </row>
    <row r="1829" spans="2:7" ht="32.25" customHeight="1" x14ac:dyDescent="0.35">
      <c r="B1829" s="73"/>
      <c r="C1829" s="73"/>
      <c r="D1829" s="73"/>
      <c r="E1829" s="73"/>
      <c r="F1829" s="73"/>
      <c r="G1829" s="73"/>
    </row>
    <row r="1830" spans="2:7" ht="32.25" customHeight="1" x14ac:dyDescent="0.35">
      <c r="B1830" s="73"/>
      <c r="C1830" s="73"/>
      <c r="D1830" s="73"/>
      <c r="E1830" s="73"/>
      <c r="F1830" s="73"/>
      <c r="G1830" s="73"/>
    </row>
    <row r="1831" spans="2:7" ht="32.25" customHeight="1" x14ac:dyDescent="0.35">
      <c r="B1831" s="73"/>
      <c r="C1831" s="73"/>
      <c r="D1831" s="73"/>
      <c r="E1831" s="73"/>
      <c r="F1831" s="73"/>
      <c r="G1831" s="73"/>
    </row>
    <row r="1832" spans="2:7" ht="32.25" customHeight="1" x14ac:dyDescent="0.35">
      <c r="B1832" s="73"/>
      <c r="C1832" s="73"/>
      <c r="D1832" s="73"/>
      <c r="E1832" s="73"/>
      <c r="F1832" s="73"/>
      <c r="G1832" s="73"/>
    </row>
    <row r="1833" spans="2:7" ht="32.25" customHeight="1" x14ac:dyDescent="0.35">
      <c r="B1833" s="73"/>
      <c r="C1833" s="73"/>
      <c r="D1833" s="73"/>
      <c r="E1833" s="73"/>
      <c r="F1833" s="73"/>
      <c r="G1833" s="73"/>
    </row>
    <row r="1834" spans="2:7" ht="32.25" customHeight="1" x14ac:dyDescent="0.35">
      <c r="B1834" s="73"/>
      <c r="C1834" s="73"/>
      <c r="D1834" s="73"/>
      <c r="E1834" s="73"/>
      <c r="F1834" s="73"/>
      <c r="G1834" s="73"/>
    </row>
    <row r="1835" spans="2:7" ht="32.25" customHeight="1" x14ac:dyDescent="0.35">
      <c r="B1835" s="73"/>
      <c r="C1835" s="73"/>
      <c r="D1835" s="73"/>
      <c r="E1835" s="73"/>
      <c r="F1835" s="73"/>
      <c r="G1835" s="73"/>
    </row>
    <row r="1836" spans="2:7" ht="32.25" customHeight="1" x14ac:dyDescent="0.35">
      <c r="B1836" s="73"/>
      <c r="C1836" s="73"/>
      <c r="D1836" s="73"/>
      <c r="E1836" s="73"/>
      <c r="F1836" s="73"/>
      <c r="G1836" s="73"/>
    </row>
    <row r="1837" spans="2:7" ht="32.25" customHeight="1" x14ac:dyDescent="0.35">
      <c r="B1837" s="73"/>
      <c r="C1837" s="73"/>
      <c r="D1837" s="73"/>
      <c r="E1837" s="73"/>
      <c r="F1837" s="73"/>
      <c r="G1837" s="73"/>
    </row>
    <row r="1838" spans="2:7" ht="32.25" customHeight="1" x14ac:dyDescent="0.35">
      <c r="B1838" s="73"/>
      <c r="C1838" s="73"/>
      <c r="D1838" s="73"/>
      <c r="E1838" s="73"/>
      <c r="F1838" s="73"/>
      <c r="G1838" s="73"/>
    </row>
    <row r="1839" spans="2:7" ht="32.25" customHeight="1" x14ac:dyDescent="0.35">
      <c r="B1839" s="73"/>
      <c r="C1839" s="73"/>
      <c r="D1839" s="73"/>
      <c r="E1839" s="73"/>
      <c r="F1839" s="73"/>
      <c r="G1839" s="73"/>
    </row>
    <row r="1840" spans="2:7" ht="32.25" customHeight="1" x14ac:dyDescent="0.35">
      <c r="B1840" s="73"/>
      <c r="C1840" s="73"/>
      <c r="D1840" s="73"/>
      <c r="E1840" s="73"/>
      <c r="F1840" s="73"/>
      <c r="G1840" s="73"/>
    </row>
    <row r="1841" spans="2:7" ht="32.25" customHeight="1" x14ac:dyDescent="0.35">
      <c r="B1841" s="73"/>
      <c r="C1841" s="73"/>
      <c r="D1841" s="73"/>
      <c r="E1841" s="73"/>
      <c r="F1841" s="73"/>
      <c r="G1841" s="73"/>
    </row>
    <row r="1842" spans="2:7" ht="32.25" customHeight="1" x14ac:dyDescent="0.35">
      <c r="B1842" s="73"/>
      <c r="C1842" s="73"/>
      <c r="D1842" s="73"/>
      <c r="E1842" s="73"/>
      <c r="F1842" s="73"/>
      <c r="G1842" s="73"/>
    </row>
    <row r="1843" spans="2:7" ht="32.25" customHeight="1" x14ac:dyDescent="0.35">
      <c r="B1843" s="73"/>
      <c r="C1843" s="73"/>
      <c r="D1843" s="73"/>
      <c r="E1843" s="73"/>
      <c r="F1843" s="73"/>
      <c r="G1843" s="73"/>
    </row>
    <row r="1844" spans="2:7" ht="32.25" customHeight="1" x14ac:dyDescent="0.35">
      <c r="B1844" s="73"/>
      <c r="C1844" s="73"/>
      <c r="D1844" s="73"/>
      <c r="E1844" s="73"/>
      <c r="F1844" s="73"/>
      <c r="G1844" s="73"/>
    </row>
    <row r="1845" spans="2:7" ht="32.25" customHeight="1" x14ac:dyDescent="0.35">
      <c r="B1845" s="73"/>
      <c r="C1845" s="73"/>
      <c r="D1845" s="73"/>
      <c r="E1845" s="73"/>
      <c r="F1845" s="73"/>
      <c r="G1845" s="73"/>
    </row>
    <row r="1846" spans="2:7" ht="32.25" customHeight="1" x14ac:dyDescent="0.35">
      <c r="B1846" s="73"/>
      <c r="C1846" s="73"/>
      <c r="D1846" s="73"/>
      <c r="E1846" s="73"/>
      <c r="F1846" s="73"/>
      <c r="G1846" s="73"/>
    </row>
    <row r="1847" spans="2:7" ht="32.25" customHeight="1" x14ac:dyDescent="0.35">
      <c r="B1847" s="73"/>
      <c r="C1847" s="73"/>
      <c r="D1847" s="73"/>
      <c r="E1847" s="73"/>
      <c r="F1847" s="73"/>
      <c r="G1847" s="73"/>
    </row>
    <row r="1848" spans="2:7" ht="32.25" customHeight="1" x14ac:dyDescent="0.35">
      <c r="B1848" s="73"/>
      <c r="C1848" s="73"/>
      <c r="D1848" s="73"/>
      <c r="E1848" s="73"/>
      <c r="F1848" s="73"/>
      <c r="G1848" s="73"/>
    </row>
    <row r="1849" spans="2:7" ht="32.25" customHeight="1" x14ac:dyDescent="0.35">
      <c r="B1849" s="73"/>
      <c r="C1849" s="73"/>
      <c r="D1849" s="73"/>
      <c r="E1849" s="73"/>
      <c r="F1849" s="73"/>
      <c r="G1849" s="73"/>
    </row>
    <row r="1850" spans="2:7" ht="32.25" customHeight="1" x14ac:dyDescent="0.35">
      <c r="B1850" s="73"/>
      <c r="C1850" s="73"/>
      <c r="D1850" s="73"/>
      <c r="E1850" s="73"/>
      <c r="F1850" s="73"/>
      <c r="G1850" s="73"/>
    </row>
    <row r="1851" spans="2:7" ht="32.25" customHeight="1" x14ac:dyDescent="0.35">
      <c r="B1851" s="73"/>
      <c r="C1851" s="73"/>
      <c r="D1851" s="73"/>
      <c r="E1851" s="73"/>
      <c r="F1851" s="73"/>
      <c r="G1851" s="73"/>
    </row>
    <row r="1852" spans="2:7" ht="32.25" customHeight="1" x14ac:dyDescent="0.35">
      <c r="B1852" s="73"/>
      <c r="C1852" s="73"/>
      <c r="D1852" s="73"/>
      <c r="E1852" s="73"/>
      <c r="F1852" s="73"/>
      <c r="G1852" s="73"/>
    </row>
    <row r="1853" spans="2:7" ht="32.25" customHeight="1" x14ac:dyDescent="0.35">
      <c r="B1853" s="73"/>
      <c r="C1853" s="73"/>
      <c r="D1853" s="73"/>
      <c r="E1853" s="73"/>
      <c r="F1853" s="73"/>
      <c r="G1853" s="73"/>
    </row>
    <row r="1854" spans="2:7" ht="32.25" customHeight="1" x14ac:dyDescent="0.35">
      <c r="B1854" s="73"/>
      <c r="C1854" s="73"/>
      <c r="D1854" s="73"/>
      <c r="E1854" s="73"/>
      <c r="F1854" s="73"/>
      <c r="G1854" s="73"/>
    </row>
    <row r="1855" spans="2:7" ht="32.25" customHeight="1" x14ac:dyDescent="0.35">
      <c r="B1855" s="73"/>
      <c r="C1855" s="73"/>
      <c r="D1855" s="73"/>
      <c r="E1855" s="73"/>
      <c r="F1855" s="73"/>
      <c r="G1855" s="73"/>
    </row>
    <row r="1856" spans="2:7" ht="32.25" customHeight="1" x14ac:dyDescent="0.35">
      <c r="B1856" s="73"/>
      <c r="C1856" s="73"/>
      <c r="D1856" s="73"/>
      <c r="E1856" s="73"/>
      <c r="F1856" s="73"/>
      <c r="G1856" s="73"/>
    </row>
    <row r="1857" spans="2:7" ht="32.25" customHeight="1" x14ac:dyDescent="0.35">
      <c r="B1857" s="73"/>
      <c r="C1857" s="73"/>
      <c r="D1857" s="73"/>
      <c r="E1857" s="73"/>
      <c r="F1857" s="73"/>
      <c r="G1857" s="73"/>
    </row>
    <row r="1858" spans="2:7" ht="32.25" customHeight="1" x14ac:dyDescent="0.35">
      <c r="B1858" s="73"/>
      <c r="C1858" s="73"/>
      <c r="D1858" s="73"/>
      <c r="E1858" s="73"/>
      <c r="F1858" s="73"/>
      <c r="G1858" s="73"/>
    </row>
    <row r="1859" spans="2:7" ht="32.25" customHeight="1" x14ac:dyDescent="0.35">
      <c r="B1859" s="73"/>
      <c r="C1859" s="73"/>
      <c r="D1859" s="73"/>
      <c r="E1859" s="73"/>
      <c r="F1859" s="73"/>
      <c r="G1859" s="73"/>
    </row>
    <row r="1860" spans="2:7" ht="32.25" customHeight="1" x14ac:dyDescent="0.35">
      <c r="B1860" s="73"/>
      <c r="C1860" s="73"/>
      <c r="D1860" s="73"/>
      <c r="E1860" s="73"/>
      <c r="F1860" s="73"/>
      <c r="G1860" s="73"/>
    </row>
    <row r="1861" spans="2:7" ht="32.25" customHeight="1" x14ac:dyDescent="0.35">
      <c r="B1861" s="73"/>
      <c r="C1861" s="73"/>
      <c r="D1861" s="73"/>
      <c r="E1861" s="73"/>
      <c r="F1861" s="73"/>
      <c r="G1861" s="73"/>
    </row>
    <row r="1862" spans="2:7" ht="32.25" customHeight="1" x14ac:dyDescent="0.35">
      <c r="B1862" s="73"/>
      <c r="C1862" s="73"/>
      <c r="D1862" s="73"/>
      <c r="E1862" s="73"/>
      <c r="F1862" s="73"/>
      <c r="G1862" s="73"/>
    </row>
    <row r="1863" spans="2:7" ht="32.25" customHeight="1" x14ac:dyDescent="0.35">
      <c r="B1863" s="73"/>
      <c r="C1863" s="73"/>
      <c r="D1863" s="73"/>
      <c r="E1863" s="73"/>
      <c r="F1863" s="73"/>
      <c r="G1863" s="73"/>
    </row>
    <row r="1864" spans="2:7" ht="32.25" customHeight="1" x14ac:dyDescent="0.35">
      <c r="B1864" s="73"/>
      <c r="C1864" s="73"/>
      <c r="D1864" s="73"/>
      <c r="E1864" s="73"/>
      <c r="F1864" s="73"/>
      <c r="G1864" s="73"/>
    </row>
    <row r="1865" spans="2:7" ht="32.25" customHeight="1" x14ac:dyDescent="0.35">
      <c r="B1865" s="73"/>
      <c r="C1865" s="73"/>
      <c r="D1865" s="73"/>
      <c r="E1865" s="73"/>
      <c r="F1865" s="73"/>
      <c r="G1865" s="73"/>
    </row>
    <row r="1866" spans="2:7" ht="32.25" customHeight="1" x14ac:dyDescent="0.35">
      <c r="B1866" s="73"/>
      <c r="C1866" s="73"/>
      <c r="D1866" s="73"/>
      <c r="E1866" s="73"/>
      <c r="F1866" s="73"/>
      <c r="G1866" s="73"/>
    </row>
    <row r="1867" spans="2:7" ht="32.25" customHeight="1" x14ac:dyDescent="0.35">
      <c r="B1867" s="73"/>
      <c r="C1867" s="73"/>
      <c r="D1867" s="73"/>
      <c r="E1867" s="73"/>
      <c r="F1867" s="73"/>
      <c r="G1867" s="73"/>
    </row>
    <row r="1868" spans="2:7" ht="32.25" customHeight="1" x14ac:dyDescent="0.35">
      <c r="B1868" s="73"/>
      <c r="C1868" s="73"/>
      <c r="D1868" s="73"/>
      <c r="E1868" s="73"/>
      <c r="F1868" s="73"/>
      <c r="G1868" s="73"/>
    </row>
    <row r="1869" spans="2:7" ht="32.25" customHeight="1" x14ac:dyDescent="0.35">
      <c r="B1869" s="73"/>
      <c r="C1869" s="73"/>
      <c r="D1869" s="73"/>
      <c r="E1869" s="73"/>
      <c r="F1869" s="73"/>
      <c r="G1869" s="73"/>
    </row>
    <row r="1870" spans="2:7" ht="32.25" customHeight="1" x14ac:dyDescent="0.35">
      <c r="B1870" s="73"/>
      <c r="C1870" s="73"/>
      <c r="D1870" s="73"/>
      <c r="E1870" s="73"/>
      <c r="F1870" s="73"/>
      <c r="G1870" s="73"/>
    </row>
    <row r="1871" spans="2:7" ht="32.25" customHeight="1" x14ac:dyDescent="0.35">
      <c r="B1871" s="73"/>
      <c r="C1871" s="73"/>
      <c r="D1871" s="73"/>
      <c r="E1871" s="73"/>
      <c r="F1871" s="73"/>
      <c r="G1871" s="73"/>
    </row>
    <row r="1872" spans="2:7" ht="32.25" customHeight="1" x14ac:dyDescent="0.35">
      <c r="B1872" s="73"/>
      <c r="C1872" s="73"/>
      <c r="D1872" s="73"/>
      <c r="E1872" s="73"/>
      <c r="F1872" s="73"/>
      <c r="G1872" s="73"/>
    </row>
    <row r="1873" spans="2:7" ht="32.25" customHeight="1" x14ac:dyDescent="0.35">
      <c r="B1873" s="73"/>
      <c r="C1873" s="73"/>
      <c r="D1873" s="73"/>
      <c r="E1873" s="73"/>
      <c r="F1873" s="73"/>
      <c r="G1873" s="73"/>
    </row>
    <row r="1874" spans="2:7" ht="32.25" customHeight="1" x14ac:dyDescent="0.35">
      <c r="B1874" s="73"/>
      <c r="C1874" s="73"/>
      <c r="D1874" s="73"/>
      <c r="E1874" s="73"/>
      <c r="F1874" s="73"/>
      <c r="G1874" s="73"/>
    </row>
    <row r="1875" spans="2:7" ht="32.25" customHeight="1" x14ac:dyDescent="0.35">
      <c r="B1875" s="73"/>
      <c r="C1875" s="73"/>
      <c r="D1875" s="73"/>
      <c r="E1875" s="73"/>
      <c r="F1875" s="73"/>
      <c r="G1875" s="73"/>
    </row>
    <row r="1876" spans="2:7" ht="32.25" customHeight="1" x14ac:dyDescent="0.35">
      <c r="B1876" s="73"/>
      <c r="C1876" s="73"/>
      <c r="D1876" s="73"/>
      <c r="E1876" s="73"/>
      <c r="F1876" s="73"/>
      <c r="G1876" s="73"/>
    </row>
    <row r="1877" spans="2:7" ht="32.25" customHeight="1" x14ac:dyDescent="0.35">
      <c r="B1877" s="73"/>
      <c r="C1877" s="73"/>
      <c r="D1877" s="73"/>
      <c r="E1877" s="73"/>
      <c r="F1877" s="73"/>
      <c r="G1877" s="73"/>
    </row>
    <row r="1878" spans="2:7" ht="32.25" customHeight="1" x14ac:dyDescent="0.35">
      <c r="B1878" s="73"/>
      <c r="C1878" s="73"/>
      <c r="D1878" s="73"/>
      <c r="E1878" s="73"/>
      <c r="F1878" s="73"/>
      <c r="G1878" s="73"/>
    </row>
    <row r="1879" spans="2:7" ht="32.25" customHeight="1" x14ac:dyDescent="0.35">
      <c r="B1879" s="73"/>
      <c r="C1879" s="73"/>
      <c r="D1879" s="73"/>
      <c r="E1879" s="73"/>
      <c r="F1879" s="73"/>
      <c r="G1879" s="73"/>
    </row>
    <row r="1880" spans="2:7" ht="32.25" customHeight="1" x14ac:dyDescent="0.35">
      <c r="B1880" s="73"/>
      <c r="C1880" s="73"/>
      <c r="D1880" s="73"/>
      <c r="E1880" s="73"/>
      <c r="F1880" s="73"/>
      <c r="G1880" s="73"/>
    </row>
    <row r="1881" spans="2:7" ht="32.25" customHeight="1" x14ac:dyDescent="0.35">
      <c r="B1881" s="73"/>
      <c r="C1881" s="73"/>
      <c r="D1881" s="73"/>
      <c r="E1881" s="73"/>
      <c r="F1881" s="73"/>
      <c r="G1881" s="73"/>
    </row>
    <row r="1882" spans="2:7" ht="32.25" customHeight="1" x14ac:dyDescent="0.35">
      <c r="B1882" s="73"/>
      <c r="C1882" s="73"/>
      <c r="D1882" s="73"/>
      <c r="E1882" s="73"/>
      <c r="F1882" s="73"/>
      <c r="G1882" s="73"/>
    </row>
    <row r="1883" spans="2:7" ht="32.25" customHeight="1" x14ac:dyDescent="0.35">
      <c r="B1883" s="73"/>
      <c r="C1883" s="73"/>
      <c r="D1883" s="73"/>
      <c r="E1883" s="73"/>
      <c r="F1883" s="73"/>
      <c r="G1883" s="73"/>
    </row>
    <row r="1884" spans="2:7" ht="32.25" customHeight="1" x14ac:dyDescent="0.35">
      <c r="B1884" s="73"/>
      <c r="C1884" s="73"/>
      <c r="D1884" s="73"/>
      <c r="E1884" s="73"/>
      <c r="F1884" s="73"/>
      <c r="G1884" s="73"/>
    </row>
    <row r="1885" spans="2:7" ht="32.25" customHeight="1" x14ac:dyDescent="0.35">
      <c r="B1885" s="73"/>
      <c r="C1885" s="73"/>
      <c r="D1885" s="73"/>
      <c r="E1885" s="73"/>
      <c r="F1885" s="73"/>
      <c r="G1885" s="73"/>
    </row>
    <row r="1886" spans="2:7" ht="32.25" customHeight="1" x14ac:dyDescent="0.35">
      <c r="B1886" s="73"/>
      <c r="C1886" s="73"/>
      <c r="D1886" s="73"/>
      <c r="E1886" s="73"/>
      <c r="F1886" s="73"/>
      <c r="G1886" s="73"/>
    </row>
    <row r="1887" spans="2:7" ht="32.25" customHeight="1" x14ac:dyDescent="0.35">
      <c r="B1887" s="73"/>
      <c r="C1887" s="73"/>
      <c r="D1887" s="73"/>
      <c r="E1887" s="73"/>
      <c r="F1887" s="73"/>
      <c r="G1887" s="73"/>
    </row>
    <row r="1888" spans="2:7" ht="32.25" customHeight="1" x14ac:dyDescent="0.35">
      <c r="B1888" s="73"/>
      <c r="C1888" s="73"/>
      <c r="D1888" s="73"/>
      <c r="E1888" s="73"/>
      <c r="F1888" s="73"/>
      <c r="G1888" s="73"/>
    </row>
    <row r="1889" spans="2:7" ht="32.25" customHeight="1" x14ac:dyDescent="0.35">
      <c r="B1889" s="73"/>
      <c r="C1889" s="73"/>
      <c r="D1889" s="73"/>
      <c r="E1889" s="73"/>
      <c r="F1889" s="73"/>
      <c r="G1889" s="73"/>
    </row>
    <row r="1890" spans="2:7" ht="32.25" customHeight="1" x14ac:dyDescent="0.35">
      <c r="B1890" s="73"/>
      <c r="C1890" s="73"/>
      <c r="D1890" s="73"/>
      <c r="E1890" s="73"/>
      <c r="F1890" s="73"/>
      <c r="G1890" s="73"/>
    </row>
    <row r="1891" spans="2:7" ht="32.25" customHeight="1" x14ac:dyDescent="0.35">
      <c r="B1891" s="73"/>
      <c r="C1891" s="73"/>
      <c r="D1891" s="73"/>
      <c r="E1891" s="73"/>
      <c r="F1891" s="73"/>
      <c r="G1891" s="73"/>
    </row>
    <row r="1892" spans="2:7" ht="32.25" customHeight="1" x14ac:dyDescent="0.35">
      <c r="B1892" s="73"/>
      <c r="C1892" s="73"/>
      <c r="D1892" s="73"/>
      <c r="E1892" s="73"/>
      <c r="F1892" s="73"/>
      <c r="G1892" s="73"/>
    </row>
    <row r="1893" spans="2:7" ht="32.25" customHeight="1" x14ac:dyDescent="0.35">
      <c r="B1893" s="73"/>
      <c r="C1893" s="73"/>
      <c r="D1893" s="73"/>
      <c r="E1893" s="73"/>
      <c r="F1893" s="73"/>
      <c r="G1893" s="73"/>
    </row>
    <row r="1894" spans="2:7" ht="32.25" customHeight="1" x14ac:dyDescent="0.35">
      <c r="B1894" s="73"/>
      <c r="C1894" s="73"/>
      <c r="D1894" s="73"/>
      <c r="E1894" s="73"/>
      <c r="F1894" s="73"/>
      <c r="G1894" s="73"/>
    </row>
    <row r="1895" spans="2:7" ht="32.25" customHeight="1" x14ac:dyDescent="0.35">
      <c r="B1895" s="73"/>
      <c r="C1895" s="73"/>
      <c r="D1895" s="73"/>
      <c r="E1895" s="73"/>
      <c r="F1895" s="73"/>
      <c r="G1895" s="73"/>
    </row>
    <row r="1896" spans="2:7" ht="32.25" customHeight="1" x14ac:dyDescent="0.35">
      <c r="B1896" s="73"/>
      <c r="C1896" s="73"/>
      <c r="D1896" s="73"/>
      <c r="E1896" s="73"/>
      <c r="F1896" s="73"/>
      <c r="G1896" s="73"/>
    </row>
    <row r="1897" spans="2:7" ht="32.25" customHeight="1" x14ac:dyDescent="0.35">
      <c r="B1897" s="73"/>
      <c r="C1897" s="73"/>
      <c r="D1897" s="73"/>
      <c r="E1897" s="73"/>
      <c r="F1897" s="73"/>
      <c r="G1897" s="73"/>
    </row>
    <row r="1898" spans="2:7" ht="32.25" customHeight="1" x14ac:dyDescent="0.35">
      <c r="B1898" s="73"/>
      <c r="C1898" s="73"/>
      <c r="D1898" s="73"/>
      <c r="E1898" s="73"/>
      <c r="F1898" s="73"/>
      <c r="G1898" s="73"/>
    </row>
    <row r="1899" spans="2:7" ht="32.25" customHeight="1" x14ac:dyDescent="0.35">
      <c r="B1899" s="73"/>
      <c r="C1899" s="73"/>
      <c r="D1899" s="73"/>
      <c r="E1899" s="73"/>
      <c r="F1899" s="73"/>
      <c r="G1899" s="73"/>
    </row>
    <row r="1900" spans="2:7" ht="32.25" customHeight="1" x14ac:dyDescent="0.35">
      <c r="B1900" s="73"/>
      <c r="C1900" s="73"/>
      <c r="D1900" s="73"/>
      <c r="E1900" s="73"/>
      <c r="F1900" s="73"/>
      <c r="G1900" s="73"/>
    </row>
    <row r="1901" spans="2:7" ht="32.25" customHeight="1" x14ac:dyDescent="0.35">
      <c r="B1901" s="73"/>
      <c r="C1901" s="73"/>
      <c r="D1901" s="73"/>
      <c r="E1901" s="73"/>
      <c r="F1901" s="73"/>
      <c r="G1901" s="73"/>
    </row>
    <row r="1902" spans="2:7" ht="32.25" customHeight="1" x14ac:dyDescent="0.35">
      <c r="B1902" s="73"/>
      <c r="C1902" s="73"/>
      <c r="D1902" s="73"/>
      <c r="E1902" s="73"/>
      <c r="F1902" s="73"/>
      <c r="G1902" s="73"/>
    </row>
    <row r="1903" spans="2:7" ht="32.25" customHeight="1" x14ac:dyDescent="0.35">
      <c r="B1903" s="73"/>
      <c r="C1903" s="73"/>
      <c r="D1903" s="73"/>
      <c r="E1903" s="73"/>
      <c r="F1903" s="73"/>
      <c r="G1903" s="73"/>
    </row>
    <row r="1904" spans="2:7" ht="32.25" customHeight="1" x14ac:dyDescent="0.35">
      <c r="B1904" s="73"/>
      <c r="C1904" s="73"/>
      <c r="D1904" s="73"/>
      <c r="E1904" s="73"/>
      <c r="F1904" s="73"/>
      <c r="G1904" s="73"/>
    </row>
    <row r="1905" spans="2:7" ht="32.25" customHeight="1" x14ac:dyDescent="0.35">
      <c r="B1905" s="73"/>
      <c r="C1905" s="73"/>
      <c r="D1905" s="73"/>
      <c r="E1905" s="73"/>
      <c r="F1905" s="73"/>
      <c r="G1905" s="73"/>
    </row>
    <row r="1906" spans="2:7" ht="32.25" customHeight="1" x14ac:dyDescent="0.35">
      <c r="B1906" s="73"/>
      <c r="C1906" s="73"/>
      <c r="D1906" s="73"/>
      <c r="E1906" s="73"/>
      <c r="F1906" s="73"/>
      <c r="G1906" s="73"/>
    </row>
    <row r="1907" spans="2:7" ht="32.25" customHeight="1" x14ac:dyDescent="0.35">
      <c r="B1907" s="73"/>
      <c r="C1907" s="73"/>
      <c r="D1907" s="73"/>
      <c r="E1907" s="73"/>
      <c r="F1907" s="73"/>
      <c r="G1907" s="73"/>
    </row>
    <row r="1908" spans="2:7" ht="32.25" customHeight="1" x14ac:dyDescent="0.35">
      <c r="B1908" s="73"/>
      <c r="C1908" s="73"/>
      <c r="D1908" s="73"/>
      <c r="E1908" s="73"/>
      <c r="F1908" s="73"/>
      <c r="G1908" s="73"/>
    </row>
    <row r="1909" spans="2:7" ht="32.25" customHeight="1" x14ac:dyDescent="0.35">
      <c r="B1909" s="73"/>
      <c r="C1909" s="73"/>
      <c r="D1909" s="73"/>
      <c r="E1909" s="73"/>
      <c r="F1909" s="73"/>
      <c r="G1909" s="73"/>
    </row>
    <row r="1910" spans="2:7" ht="32.25" customHeight="1" x14ac:dyDescent="0.35">
      <c r="B1910" s="73"/>
      <c r="C1910" s="73"/>
      <c r="D1910" s="73"/>
      <c r="E1910" s="73"/>
      <c r="F1910" s="73"/>
      <c r="G1910" s="73"/>
    </row>
    <row r="1911" spans="2:7" ht="32.25" customHeight="1" x14ac:dyDescent="0.35">
      <c r="B1911" s="73"/>
      <c r="C1911" s="73"/>
      <c r="D1911" s="73"/>
      <c r="E1911" s="73"/>
      <c r="F1911" s="73"/>
      <c r="G1911" s="73"/>
    </row>
    <row r="1912" spans="2:7" ht="32.25" customHeight="1" x14ac:dyDescent="0.35">
      <c r="B1912" s="73"/>
      <c r="C1912" s="73"/>
      <c r="D1912" s="73"/>
      <c r="E1912" s="73"/>
      <c r="F1912" s="73"/>
      <c r="G1912" s="73"/>
    </row>
    <row r="1913" spans="2:7" ht="32.25" customHeight="1" x14ac:dyDescent="0.35">
      <c r="B1913" s="73"/>
      <c r="C1913" s="73"/>
      <c r="D1913" s="73"/>
      <c r="E1913" s="73"/>
      <c r="F1913" s="73"/>
      <c r="G1913" s="73"/>
    </row>
    <row r="1914" spans="2:7" ht="32.25" customHeight="1" x14ac:dyDescent="0.35">
      <c r="B1914" s="73"/>
      <c r="C1914" s="73"/>
      <c r="D1914" s="73"/>
      <c r="E1914" s="73"/>
      <c r="F1914" s="73"/>
      <c r="G1914" s="73"/>
    </row>
    <row r="1915" spans="2:7" ht="32.25" customHeight="1" x14ac:dyDescent="0.35">
      <c r="B1915" s="73"/>
      <c r="C1915" s="73"/>
      <c r="D1915" s="73"/>
      <c r="E1915" s="73"/>
      <c r="F1915" s="73"/>
      <c r="G1915" s="73"/>
    </row>
    <row r="1916" spans="2:7" ht="32.25" customHeight="1" x14ac:dyDescent="0.35">
      <c r="B1916" s="73"/>
      <c r="C1916" s="73"/>
      <c r="D1916" s="73"/>
      <c r="E1916" s="73"/>
      <c r="F1916" s="73"/>
      <c r="G1916" s="73"/>
    </row>
    <row r="1917" spans="2:7" ht="32.25" customHeight="1" x14ac:dyDescent="0.35">
      <c r="B1917" s="73"/>
      <c r="C1917" s="73"/>
      <c r="D1917" s="73"/>
      <c r="E1917" s="73"/>
      <c r="F1917" s="73"/>
      <c r="G1917" s="73"/>
    </row>
    <row r="1918" spans="2:7" ht="32.25" customHeight="1" x14ac:dyDescent="0.35">
      <c r="B1918" s="73"/>
      <c r="C1918" s="73"/>
      <c r="D1918" s="73"/>
      <c r="E1918" s="73"/>
      <c r="F1918" s="73"/>
      <c r="G1918" s="73"/>
    </row>
    <row r="1919" spans="2:7" ht="32.25" customHeight="1" x14ac:dyDescent="0.35">
      <c r="B1919" s="73"/>
      <c r="C1919" s="73"/>
      <c r="D1919" s="73"/>
      <c r="E1919" s="73"/>
      <c r="F1919" s="73"/>
      <c r="G1919" s="73"/>
    </row>
    <row r="1920" spans="2:7" ht="32.25" customHeight="1" x14ac:dyDescent="0.35">
      <c r="B1920" s="73"/>
      <c r="C1920" s="73"/>
      <c r="D1920" s="73"/>
      <c r="E1920" s="73"/>
      <c r="F1920" s="73"/>
      <c r="G1920" s="73"/>
    </row>
    <row r="1921" spans="2:7" ht="32.25" customHeight="1" x14ac:dyDescent="0.35">
      <c r="B1921" s="73"/>
      <c r="C1921" s="73"/>
      <c r="D1921" s="73"/>
      <c r="E1921" s="73"/>
      <c r="F1921" s="73"/>
      <c r="G1921" s="73"/>
    </row>
    <row r="1922" spans="2:7" ht="32.25" customHeight="1" x14ac:dyDescent="0.35">
      <c r="B1922" s="73"/>
      <c r="C1922" s="73"/>
      <c r="D1922" s="73"/>
      <c r="E1922" s="73"/>
      <c r="F1922" s="73"/>
      <c r="G1922" s="73"/>
    </row>
    <row r="1923" spans="2:7" ht="32.25" customHeight="1" x14ac:dyDescent="0.35">
      <c r="B1923" s="73"/>
      <c r="C1923" s="73"/>
      <c r="D1923" s="73"/>
      <c r="E1923" s="73"/>
      <c r="F1923" s="73"/>
      <c r="G1923" s="73"/>
    </row>
    <row r="1924" spans="2:7" ht="32.25" customHeight="1" x14ac:dyDescent="0.35">
      <c r="B1924" s="73"/>
      <c r="C1924" s="73"/>
      <c r="D1924" s="73"/>
      <c r="E1924" s="73"/>
      <c r="F1924" s="73"/>
      <c r="G1924" s="73"/>
    </row>
    <row r="1925" spans="2:7" ht="32.25" customHeight="1" x14ac:dyDescent="0.35">
      <c r="B1925" s="73"/>
      <c r="C1925" s="73"/>
      <c r="D1925" s="73"/>
      <c r="E1925" s="73"/>
      <c r="F1925" s="73"/>
      <c r="G1925" s="73"/>
    </row>
    <row r="1926" spans="2:7" ht="32.25" customHeight="1" x14ac:dyDescent="0.35">
      <c r="B1926" s="73"/>
      <c r="C1926" s="73"/>
      <c r="D1926" s="73"/>
      <c r="E1926" s="73"/>
      <c r="F1926" s="73"/>
      <c r="G1926" s="73"/>
    </row>
    <row r="1927" spans="2:7" ht="32.25" customHeight="1" x14ac:dyDescent="0.35">
      <c r="B1927" s="73"/>
      <c r="C1927" s="73"/>
      <c r="D1927" s="73"/>
      <c r="E1927" s="73"/>
      <c r="F1927" s="73"/>
      <c r="G1927" s="73"/>
    </row>
    <row r="1928" spans="2:7" ht="32.25" customHeight="1" x14ac:dyDescent="0.35">
      <c r="B1928" s="73"/>
      <c r="C1928" s="73"/>
      <c r="D1928" s="73"/>
      <c r="E1928" s="73"/>
      <c r="F1928" s="73"/>
      <c r="G1928" s="73"/>
    </row>
    <row r="1929" spans="2:7" ht="32.25" customHeight="1" x14ac:dyDescent="0.35">
      <c r="B1929" s="73"/>
      <c r="C1929" s="73"/>
      <c r="D1929" s="73"/>
      <c r="E1929" s="73"/>
      <c r="F1929" s="73"/>
      <c r="G1929" s="73"/>
    </row>
    <row r="1930" spans="2:7" ht="32.25" customHeight="1" x14ac:dyDescent="0.35">
      <c r="B1930" s="73"/>
      <c r="C1930" s="73"/>
      <c r="D1930" s="73"/>
      <c r="E1930" s="73"/>
      <c r="F1930" s="73"/>
      <c r="G1930" s="73"/>
    </row>
    <row r="1931" spans="2:7" ht="32.25" customHeight="1" x14ac:dyDescent="0.35">
      <c r="B1931" s="73"/>
      <c r="C1931" s="73"/>
      <c r="D1931" s="73"/>
      <c r="E1931" s="73"/>
      <c r="F1931" s="73"/>
      <c r="G1931" s="73"/>
    </row>
    <row r="1932" spans="2:7" ht="32.25" customHeight="1" x14ac:dyDescent="0.35">
      <c r="B1932" s="73"/>
      <c r="C1932" s="73"/>
      <c r="D1932" s="73"/>
      <c r="E1932" s="73"/>
      <c r="F1932" s="73"/>
      <c r="G1932" s="73"/>
    </row>
    <row r="1933" spans="2:7" ht="32.25" customHeight="1" x14ac:dyDescent="0.35">
      <c r="B1933" s="73"/>
      <c r="C1933" s="73"/>
      <c r="D1933" s="73"/>
      <c r="E1933" s="73"/>
      <c r="F1933" s="73"/>
      <c r="G1933" s="73"/>
    </row>
    <row r="1934" spans="2:7" ht="32.25" customHeight="1" x14ac:dyDescent="0.35">
      <c r="B1934" s="73"/>
      <c r="C1934" s="73"/>
      <c r="D1934" s="73"/>
      <c r="E1934" s="73"/>
      <c r="F1934" s="73"/>
      <c r="G1934" s="73"/>
    </row>
    <row r="1935" spans="2:7" ht="32.25" customHeight="1" x14ac:dyDescent="0.35">
      <c r="B1935" s="73"/>
      <c r="C1935" s="73"/>
      <c r="D1935" s="73"/>
      <c r="E1935" s="73"/>
      <c r="F1935" s="73"/>
      <c r="G1935" s="73"/>
    </row>
    <row r="1936" spans="2:7" ht="32.25" customHeight="1" x14ac:dyDescent="0.35">
      <c r="B1936" s="73"/>
      <c r="C1936" s="73"/>
      <c r="D1936" s="73"/>
      <c r="E1936" s="73"/>
      <c r="F1936" s="73"/>
      <c r="G1936" s="73"/>
    </row>
    <row r="1937" spans="2:7" ht="32.25" customHeight="1" x14ac:dyDescent="0.35">
      <c r="B1937" s="73"/>
      <c r="C1937" s="73"/>
      <c r="D1937" s="73"/>
      <c r="E1937" s="73"/>
      <c r="F1937" s="73"/>
      <c r="G1937" s="73"/>
    </row>
    <row r="1938" spans="2:7" ht="32.25" customHeight="1" x14ac:dyDescent="0.35">
      <c r="B1938" s="73"/>
      <c r="C1938" s="73"/>
      <c r="D1938" s="73"/>
      <c r="E1938" s="73"/>
      <c r="F1938" s="73"/>
      <c r="G1938" s="73"/>
    </row>
    <row r="1939" spans="2:7" ht="32.25" customHeight="1" x14ac:dyDescent="0.35">
      <c r="B1939" s="73"/>
      <c r="C1939" s="73"/>
      <c r="D1939" s="73"/>
      <c r="E1939" s="73"/>
      <c r="F1939" s="73"/>
      <c r="G1939" s="73"/>
    </row>
    <row r="1940" spans="2:7" ht="32.25" customHeight="1" x14ac:dyDescent="0.35">
      <c r="B1940" s="73"/>
      <c r="C1940" s="73"/>
      <c r="D1940" s="73"/>
      <c r="E1940" s="73"/>
      <c r="F1940" s="73"/>
      <c r="G1940" s="73"/>
    </row>
    <row r="1941" spans="2:7" ht="32.25" customHeight="1" x14ac:dyDescent="0.35">
      <c r="B1941" s="73"/>
      <c r="C1941" s="73"/>
      <c r="D1941" s="73"/>
      <c r="E1941" s="73"/>
      <c r="F1941" s="73"/>
      <c r="G1941" s="73"/>
    </row>
    <row r="1942" spans="2:7" ht="32.25" customHeight="1" x14ac:dyDescent="0.35">
      <c r="B1942" s="73"/>
      <c r="C1942" s="73"/>
      <c r="D1942" s="73"/>
      <c r="E1942" s="73"/>
      <c r="F1942" s="73"/>
      <c r="G1942" s="73"/>
    </row>
    <row r="1943" spans="2:7" ht="32.25" customHeight="1" x14ac:dyDescent="0.35">
      <c r="B1943" s="73"/>
      <c r="C1943" s="73"/>
      <c r="D1943" s="73"/>
      <c r="E1943" s="73"/>
      <c r="F1943" s="73"/>
      <c r="G1943" s="73"/>
    </row>
    <row r="1944" spans="2:7" ht="32.25" customHeight="1" x14ac:dyDescent="0.35">
      <c r="B1944" s="73"/>
      <c r="C1944" s="73"/>
      <c r="D1944" s="73"/>
      <c r="E1944" s="73"/>
      <c r="F1944" s="73"/>
      <c r="G1944" s="73"/>
    </row>
    <row r="1945" spans="2:7" ht="32.25" customHeight="1" x14ac:dyDescent="0.35">
      <c r="B1945" s="73"/>
      <c r="C1945" s="73"/>
      <c r="D1945" s="73"/>
      <c r="E1945" s="73"/>
      <c r="F1945" s="73"/>
      <c r="G1945" s="73"/>
    </row>
    <row r="1946" spans="2:7" ht="32.25" customHeight="1" x14ac:dyDescent="0.35">
      <c r="B1946" s="73"/>
      <c r="C1946" s="73"/>
      <c r="D1946" s="73"/>
      <c r="E1946" s="73"/>
      <c r="F1946" s="73"/>
      <c r="G1946" s="73"/>
    </row>
    <row r="1947" spans="2:7" ht="32.25" customHeight="1" x14ac:dyDescent="0.35">
      <c r="B1947" s="73"/>
      <c r="C1947" s="73"/>
      <c r="D1947" s="73"/>
      <c r="E1947" s="73"/>
      <c r="F1947" s="73"/>
      <c r="G1947" s="73"/>
    </row>
    <row r="1948" spans="2:7" ht="32.25" customHeight="1" x14ac:dyDescent="0.35">
      <c r="B1948" s="73"/>
      <c r="C1948" s="73"/>
      <c r="D1948" s="73"/>
      <c r="E1948" s="73"/>
      <c r="F1948" s="73"/>
      <c r="G1948" s="73"/>
    </row>
    <row r="1949" spans="2:7" ht="32.25" customHeight="1" x14ac:dyDescent="0.35">
      <c r="B1949" s="73"/>
      <c r="C1949" s="73"/>
      <c r="D1949" s="73"/>
      <c r="E1949" s="73"/>
      <c r="F1949" s="73"/>
      <c r="G1949" s="73"/>
    </row>
    <row r="1950" spans="2:7" ht="32.25" customHeight="1" x14ac:dyDescent="0.35">
      <c r="B1950" s="73"/>
      <c r="C1950" s="73"/>
      <c r="D1950" s="73"/>
      <c r="E1950" s="73"/>
      <c r="F1950" s="73"/>
      <c r="G1950" s="73"/>
    </row>
    <row r="1951" spans="2:7" ht="32.25" customHeight="1" x14ac:dyDescent="0.35">
      <c r="B1951" s="73"/>
      <c r="C1951" s="73"/>
      <c r="D1951" s="73"/>
      <c r="E1951" s="73"/>
      <c r="F1951" s="73"/>
      <c r="G1951" s="73"/>
    </row>
    <row r="1952" spans="2:7" ht="32.25" customHeight="1" x14ac:dyDescent="0.35">
      <c r="B1952" s="73"/>
      <c r="C1952" s="73"/>
      <c r="D1952" s="73"/>
      <c r="E1952" s="73"/>
      <c r="F1952" s="73"/>
      <c r="G1952" s="73"/>
    </row>
    <row r="1953" spans="2:7" ht="32.25" customHeight="1" x14ac:dyDescent="0.35">
      <c r="B1953" s="73"/>
      <c r="C1953" s="73"/>
      <c r="D1953" s="73"/>
      <c r="E1953" s="73"/>
      <c r="F1953" s="73"/>
      <c r="G1953" s="73"/>
    </row>
    <row r="1954" spans="2:7" ht="32.25" customHeight="1" x14ac:dyDescent="0.35">
      <c r="B1954" s="73"/>
      <c r="C1954" s="73"/>
      <c r="D1954" s="73"/>
      <c r="E1954" s="73"/>
      <c r="F1954" s="73"/>
      <c r="G1954" s="73"/>
    </row>
    <row r="1955" spans="2:7" ht="32.25" customHeight="1" x14ac:dyDescent="0.35">
      <c r="B1955" s="73"/>
      <c r="C1955" s="73"/>
      <c r="D1955" s="73"/>
      <c r="E1955" s="73"/>
      <c r="F1955" s="73"/>
      <c r="G1955" s="73"/>
    </row>
    <row r="1956" spans="2:7" ht="32.25" customHeight="1" x14ac:dyDescent="0.35">
      <c r="B1956" s="73"/>
      <c r="C1956" s="73"/>
      <c r="D1956" s="73"/>
      <c r="E1956" s="73"/>
      <c r="F1956" s="73"/>
      <c r="G1956" s="73"/>
    </row>
    <row r="1957" spans="2:7" ht="32.25" customHeight="1" x14ac:dyDescent="0.35">
      <c r="B1957" s="73"/>
      <c r="C1957" s="73"/>
      <c r="D1957" s="73"/>
      <c r="E1957" s="73"/>
      <c r="F1957" s="73"/>
      <c r="G1957" s="73"/>
    </row>
    <row r="1958" spans="2:7" ht="32.25" customHeight="1" x14ac:dyDescent="0.35">
      <c r="B1958" s="73"/>
      <c r="C1958" s="73"/>
      <c r="D1958" s="73"/>
      <c r="E1958" s="73"/>
      <c r="F1958" s="73"/>
      <c r="G1958" s="73"/>
    </row>
    <row r="1959" spans="2:7" ht="32.25" customHeight="1" x14ac:dyDescent="0.35">
      <c r="B1959" s="73"/>
      <c r="C1959" s="73"/>
      <c r="D1959" s="73"/>
      <c r="E1959" s="73"/>
      <c r="F1959" s="73"/>
      <c r="G1959" s="73"/>
    </row>
    <row r="1960" spans="2:7" ht="32.25" customHeight="1" x14ac:dyDescent="0.35">
      <c r="B1960" s="73"/>
      <c r="C1960" s="73"/>
      <c r="D1960" s="73"/>
      <c r="E1960" s="73"/>
      <c r="F1960" s="73"/>
      <c r="G1960" s="73"/>
    </row>
    <row r="1961" spans="2:7" ht="32.25" customHeight="1" x14ac:dyDescent="0.35">
      <c r="B1961" s="73"/>
      <c r="C1961" s="73"/>
      <c r="D1961" s="73"/>
      <c r="E1961" s="73"/>
      <c r="F1961" s="73"/>
      <c r="G1961" s="73"/>
    </row>
    <row r="1962" spans="2:7" ht="32.25" customHeight="1" x14ac:dyDescent="0.35">
      <c r="B1962" s="73"/>
      <c r="C1962" s="73"/>
      <c r="D1962" s="73"/>
      <c r="E1962" s="73"/>
      <c r="F1962" s="73"/>
      <c r="G1962" s="73"/>
    </row>
    <row r="1963" spans="2:7" ht="32.25" customHeight="1" x14ac:dyDescent="0.35">
      <c r="B1963" s="73"/>
      <c r="C1963" s="73"/>
      <c r="D1963" s="73"/>
      <c r="E1963" s="73"/>
      <c r="F1963" s="73"/>
      <c r="G1963" s="73"/>
    </row>
    <row r="1964" spans="2:7" ht="32.25" customHeight="1" x14ac:dyDescent="0.35">
      <c r="B1964" s="73"/>
      <c r="C1964" s="73"/>
      <c r="D1964" s="73"/>
      <c r="E1964" s="73"/>
      <c r="F1964" s="73"/>
      <c r="G1964" s="73"/>
    </row>
    <row r="1965" spans="2:7" ht="32.25" customHeight="1" x14ac:dyDescent="0.35">
      <c r="B1965" s="73"/>
      <c r="C1965" s="73"/>
      <c r="D1965" s="73"/>
      <c r="E1965" s="73"/>
      <c r="F1965" s="73"/>
      <c r="G1965" s="73"/>
    </row>
    <row r="1966" spans="2:7" ht="32.25" customHeight="1" x14ac:dyDescent="0.35">
      <c r="B1966" s="73"/>
      <c r="C1966" s="73"/>
      <c r="D1966" s="73"/>
      <c r="E1966" s="73"/>
      <c r="F1966" s="73"/>
      <c r="G1966" s="73"/>
    </row>
    <row r="1967" spans="2:7" ht="32.25" customHeight="1" x14ac:dyDescent="0.35">
      <c r="B1967" s="73"/>
      <c r="C1967" s="73"/>
      <c r="D1967" s="73"/>
      <c r="E1967" s="73"/>
      <c r="F1967" s="73"/>
      <c r="G1967" s="73"/>
    </row>
    <row r="1968" spans="2:7" ht="32.25" customHeight="1" x14ac:dyDescent="0.35">
      <c r="B1968" s="73"/>
      <c r="C1968" s="73"/>
      <c r="D1968" s="73"/>
      <c r="E1968" s="73"/>
      <c r="F1968" s="73"/>
      <c r="G1968" s="73"/>
    </row>
    <row r="1969" spans="2:7" ht="32.25" customHeight="1" x14ac:dyDescent="0.35">
      <c r="B1969" s="73"/>
      <c r="C1969" s="73"/>
      <c r="D1969" s="73"/>
      <c r="E1969" s="73"/>
      <c r="F1969" s="73"/>
      <c r="G1969" s="73"/>
    </row>
    <row r="1970" spans="2:7" ht="32.25" customHeight="1" x14ac:dyDescent="0.35">
      <c r="B1970" s="73"/>
      <c r="C1970" s="73"/>
      <c r="D1970" s="73"/>
      <c r="E1970" s="73"/>
      <c r="F1970" s="73"/>
      <c r="G1970" s="73"/>
    </row>
    <row r="1971" spans="2:7" ht="32.25" customHeight="1" x14ac:dyDescent="0.35">
      <c r="B1971" s="73"/>
      <c r="C1971" s="73"/>
      <c r="D1971" s="73"/>
      <c r="E1971" s="73"/>
      <c r="F1971" s="73"/>
      <c r="G1971" s="73"/>
    </row>
    <row r="1972" spans="2:7" ht="32.25" customHeight="1" x14ac:dyDescent="0.35">
      <c r="B1972" s="73"/>
      <c r="C1972" s="73"/>
      <c r="D1972" s="73"/>
      <c r="E1972" s="73"/>
      <c r="F1972" s="73"/>
      <c r="G1972" s="73"/>
    </row>
    <row r="1973" spans="2:7" ht="32.25" customHeight="1" x14ac:dyDescent="0.35">
      <c r="B1973" s="73"/>
      <c r="C1973" s="73"/>
      <c r="D1973" s="73"/>
      <c r="E1973" s="73"/>
      <c r="F1973" s="73"/>
      <c r="G1973" s="73"/>
    </row>
    <row r="1974" spans="2:7" ht="32.25" customHeight="1" x14ac:dyDescent="0.35">
      <c r="B1974" s="73"/>
      <c r="C1974" s="73"/>
      <c r="D1974" s="73"/>
      <c r="E1974" s="73"/>
      <c r="F1974" s="73"/>
      <c r="G1974" s="73"/>
    </row>
    <row r="1975" spans="2:7" ht="32.25" customHeight="1" x14ac:dyDescent="0.35">
      <c r="B1975" s="73"/>
      <c r="C1975" s="73"/>
      <c r="D1975" s="73"/>
      <c r="E1975" s="73"/>
      <c r="F1975" s="73"/>
      <c r="G1975" s="73"/>
    </row>
    <row r="1976" spans="2:7" ht="32.25" customHeight="1" x14ac:dyDescent="0.35">
      <c r="B1976" s="73"/>
      <c r="C1976" s="73"/>
      <c r="D1976" s="73"/>
      <c r="E1976" s="73"/>
      <c r="F1976" s="73"/>
      <c r="G1976" s="73"/>
    </row>
    <row r="1977" spans="2:7" ht="32.25" customHeight="1" x14ac:dyDescent="0.35">
      <c r="B1977" s="73"/>
      <c r="C1977" s="73"/>
      <c r="D1977" s="73"/>
      <c r="E1977" s="73"/>
      <c r="F1977" s="73"/>
      <c r="G1977" s="73"/>
    </row>
    <row r="1978" spans="2:7" ht="32.25" customHeight="1" x14ac:dyDescent="0.35">
      <c r="B1978" s="73"/>
      <c r="C1978" s="73"/>
      <c r="D1978" s="73"/>
      <c r="E1978" s="73"/>
      <c r="F1978" s="73"/>
      <c r="G1978" s="73"/>
    </row>
    <row r="1979" spans="2:7" ht="32.25" customHeight="1" x14ac:dyDescent="0.35">
      <c r="B1979" s="73"/>
      <c r="C1979" s="73"/>
      <c r="D1979" s="73"/>
      <c r="E1979" s="73"/>
      <c r="F1979" s="73"/>
      <c r="G1979" s="73"/>
    </row>
    <row r="1980" spans="2:7" ht="32.25" customHeight="1" x14ac:dyDescent="0.35">
      <c r="B1980" s="73"/>
      <c r="C1980" s="73"/>
      <c r="D1980" s="73"/>
      <c r="E1980" s="73"/>
      <c r="F1980" s="73"/>
      <c r="G1980" s="73"/>
    </row>
    <row r="1981" spans="2:7" ht="32.25" customHeight="1" x14ac:dyDescent="0.35">
      <c r="B1981" s="73"/>
      <c r="C1981" s="73"/>
      <c r="D1981" s="73"/>
      <c r="E1981" s="73"/>
      <c r="F1981" s="73"/>
      <c r="G1981" s="73"/>
    </row>
    <row r="1982" spans="2:7" ht="32.25" customHeight="1" x14ac:dyDescent="0.35">
      <c r="B1982" s="73"/>
      <c r="C1982" s="73"/>
      <c r="D1982" s="73"/>
      <c r="E1982" s="73"/>
      <c r="F1982" s="73"/>
      <c r="G1982" s="73"/>
    </row>
    <row r="1983" spans="2:7" ht="32.25" customHeight="1" x14ac:dyDescent="0.35">
      <c r="B1983" s="73"/>
      <c r="C1983" s="73"/>
      <c r="D1983" s="73"/>
      <c r="E1983" s="73"/>
      <c r="F1983" s="73"/>
      <c r="G1983" s="73"/>
    </row>
    <row r="1984" spans="2:7" ht="32.25" customHeight="1" x14ac:dyDescent="0.35">
      <c r="B1984" s="73"/>
      <c r="C1984" s="73"/>
      <c r="D1984" s="73"/>
      <c r="E1984" s="73"/>
      <c r="F1984" s="73"/>
      <c r="G1984" s="73"/>
    </row>
    <row r="1985" spans="2:7" ht="32.25" customHeight="1" x14ac:dyDescent="0.35">
      <c r="B1985" s="73"/>
      <c r="C1985" s="73"/>
      <c r="D1985" s="73"/>
      <c r="E1985" s="73"/>
      <c r="F1985" s="73"/>
      <c r="G1985" s="73"/>
    </row>
    <row r="1986" spans="2:7" ht="32.25" customHeight="1" x14ac:dyDescent="0.35">
      <c r="B1986" s="73"/>
      <c r="C1986" s="73"/>
      <c r="D1986" s="73"/>
      <c r="E1986" s="73"/>
      <c r="F1986" s="73"/>
      <c r="G1986" s="73"/>
    </row>
    <row r="1987" spans="2:7" ht="32.25" customHeight="1" x14ac:dyDescent="0.35">
      <c r="B1987" s="73"/>
      <c r="C1987" s="73"/>
      <c r="D1987" s="73"/>
      <c r="E1987" s="73"/>
      <c r="F1987" s="73"/>
      <c r="G1987" s="73"/>
    </row>
    <row r="1988" spans="2:7" ht="32.25" customHeight="1" x14ac:dyDescent="0.35">
      <c r="B1988" s="73"/>
      <c r="C1988" s="73"/>
      <c r="D1988" s="73"/>
      <c r="E1988" s="73"/>
      <c r="F1988" s="73"/>
      <c r="G1988" s="73"/>
    </row>
    <row r="1989" spans="2:7" ht="32.25" customHeight="1" x14ac:dyDescent="0.35">
      <c r="B1989" s="73"/>
      <c r="C1989" s="73"/>
      <c r="D1989" s="73"/>
      <c r="E1989" s="73"/>
      <c r="F1989" s="73"/>
      <c r="G1989" s="73"/>
    </row>
    <row r="1990" spans="2:7" ht="32.25" customHeight="1" x14ac:dyDescent="0.35">
      <c r="B1990" s="73"/>
      <c r="C1990" s="73"/>
      <c r="D1990" s="73"/>
      <c r="E1990" s="73"/>
      <c r="F1990" s="73"/>
      <c r="G1990" s="73"/>
    </row>
    <row r="1991" spans="2:7" ht="32.25" customHeight="1" x14ac:dyDescent="0.35">
      <c r="B1991" s="73"/>
      <c r="C1991" s="73"/>
      <c r="D1991" s="73"/>
      <c r="E1991" s="73"/>
      <c r="F1991" s="73"/>
      <c r="G1991" s="73"/>
    </row>
    <row r="1992" spans="2:7" ht="32.25" customHeight="1" x14ac:dyDescent="0.35">
      <c r="B1992" s="73"/>
      <c r="C1992" s="73"/>
      <c r="D1992" s="73"/>
      <c r="E1992" s="73"/>
      <c r="F1992" s="73"/>
      <c r="G1992" s="73"/>
    </row>
    <row r="1993" spans="2:7" ht="32.25" customHeight="1" x14ac:dyDescent="0.35">
      <c r="B1993" s="73"/>
      <c r="C1993" s="73"/>
      <c r="D1993" s="73"/>
      <c r="E1993" s="73"/>
      <c r="F1993" s="73"/>
      <c r="G1993" s="73"/>
    </row>
    <row r="1994" spans="2:7" ht="32.25" customHeight="1" x14ac:dyDescent="0.35">
      <c r="B1994" s="73"/>
      <c r="C1994" s="73"/>
      <c r="D1994" s="73"/>
      <c r="E1994" s="73"/>
      <c r="F1994" s="73"/>
      <c r="G1994" s="73"/>
    </row>
    <row r="1995" spans="2:7" ht="32.25" customHeight="1" x14ac:dyDescent="0.35">
      <c r="B1995" s="73"/>
      <c r="C1995" s="73"/>
      <c r="D1995" s="73"/>
      <c r="E1995" s="73"/>
      <c r="F1995" s="73"/>
      <c r="G1995" s="73"/>
    </row>
    <row r="1996" spans="2:7" ht="32.25" customHeight="1" x14ac:dyDescent="0.35">
      <c r="B1996" s="73"/>
      <c r="C1996" s="73"/>
      <c r="D1996" s="73"/>
      <c r="E1996" s="73"/>
      <c r="F1996" s="73"/>
      <c r="G1996" s="73"/>
    </row>
    <row r="1997" spans="2:7" ht="32.25" customHeight="1" x14ac:dyDescent="0.35">
      <c r="B1997" s="73"/>
      <c r="C1997" s="73"/>
      <c r="D1997" s="73"/>
      <c r="E1997" s="73"/>
      <c r="F1997" s="73"/>
      <c r="G1997" s="73"/>
    </row>
    <row r="1998" spans="2:7" ht="32.25" customHeight="1" x14ac:dyDescent="0.35">
      <c r="B1998" s="73"/>
      <c r="C1998" s="73"/>
      <c r="D1998" s="73"/>
      <c r="E1998" s="73"/>
      <c r="F1998" s="73"/>
      <c r="G1998" s="73"/>
    </row>
    <row r="1999" spans="2:7" ht="32.25" customHeight="1" x14ac:dyDescent="0.35">
      <c r="B1999" s="73"/>
      <c r="C1999" s="73"/>
      <c r="D1999" s="73"/>
      <c r="E1999" s="73"/>
      <c r="F1999" s="73"/>
      <c r="G1999" s="73"/>
    </row>
    <row r="2000" spans="2:7" ht="32.25" customHeight="1" x14ac:dyDescent="0.35">
      <c r="B2000" s="73"/>
      <c r="C2000" s="73"/>
      <c r="D2000" s="73"/>
      <c r="E2000" s="73"/>
      <c r="F2000" s="73"/>
      <c r="G2000" s="73"/>
    </row>
    <row r="2001" spans="2:7" ht="32.25" customHeight="1" x14ac:dyDescent="0.35">
      <c r="B2001" s="73"/>
      <c r="C2001" s="73"/>
      <c r="D2001" s="73"/>
      <c r="E2001" s="73"/>
      <c r="F2001" s="73"/>
      <c r="G2001" s="73"/>
    </row>
    <row r="2002" spans="2:7" ht="32.25" customHeight="1" x14ac:dyDescent="0.35">
      <c r="B2002" s="73"/>
      <c r="C2002" s="73"/>
      <c r="D2002" s="73"/>
      <c r="E2002" s="73"/>
      <c r="F2002" s="73"/>
      <c r="G2002" s="73"/>
    </row>
    <row r="2003" spans="2:7" ht="32.25" customHeight="1" x14ac:dyDescent="0.35">
      <c r="B2003" s="73"/>
      <c r="C2003" s="73"/>
      <c r="D2003" s="73"/>
      <c r="E2003" s="73"/>
      <c r="F2003" s="73"/>
      <c r="G2003" s="73"/>
    </row>
    <row r="2004" spans="2:7" ht="32.25" customHeight="1" x14ac:dyDescent="0.35">
      <c r="B2004" s="73"/>
      <c r="C2004" s="73"/>
      <c r="D2004" s="73"/>
      <c r="E2004" s="73"/>
      <c r="F2004" s="73"/>
      <c r="G2004" s="73"/>
    </row>
    <row r="2005" spans="2:7" ht="32.25" customHeight="1" x14ac:dyDescent="0.35">
      <c r="B2005" s="73"/>
      <c r="C2005" s="73"/>
      <c r="D2005" s="73"/>
      <c r="E2005" s="73"/>
      <c r="F2005" s="73"/>
      <c r="G2005" s="73"/>
    </row>
    <row r="2006" spans="2:7" ht="32.25" customHeight="1" x14ac:dyDescent="0.35">
      <c r="B2006" s="73"/>
      <c r="C2006" s="73"/>
      <c r="D2006" s="73"/>
      <c r="E2006" s="73"/>
      <c r="F2006" s="73"/>
      <c r="G2006" s="73"/>
    </row>
    <row r="2007" spans="2:7" ht="32.25" customHeight="1" x14ac:dyDescent="0.35">
      <c r="B2007" s="73"/>
      <c r="C2007" s="73"/>
      <c r="D2007" s="73"/>
      <c r="E2007" s="73"/>
      <c r="F2007" s="73"/>
      <c r="G2007" s="73"/>
    </row>
    <row r="2008" spans="2:7" ht="32.25" customHeight="1" x14ac:dyDescent="0.35">
      <c r="B2008" s="73"/>
      <c r="C2008" s="73"/>
      <c r="D2008" s="73"/>
      <c r="E2008" s="73"/>
      <c r="F2008" s="73"/>
      <c r="G2008" s="73"/>
    </row>
    <row r="2009" spans="2:7" ht="32.25" customHeight="1" x14ac:dyDescent="0.35">
      <c r="B2009" s="73"/>
      <c r="C2009" s="73"/>
      <c r="D2009" s="73"/>
      <c r="E2009" s="73"/>
      <c r="F2009" s="73"/>
      <c r="G2009" s="73"/>
    </row>
    <row r="2010" spans="2:7" ht="32.25" customHeight="1" x14ac:dyDescent="0.35">
      <c r="B2010" s="73"/>
      <c r="C2010" s="73"/>
      <c r="D2010" s="73"/>
      <c r="E2010" s="73"/>
      <c r="F2010" s="73"/>
      <c r="G2010" s="73"/>
    </row>
    <row r="2011" spans="2:7" ht="32.25" customHeight="1" x14ac:dyDescent="0.35">
      <c r="B2011" s="73"/>
      <c r="C2011" s="73"/>
      <c r="D2011" s="73"/>
      <c r="E2011" s="73"/>
      <c r="F2011" s="73"/>
      <c r="G2011" s="73"/>
    </row>
    <row r="2012" spans="2:7" ht="32.25" customHeight="1" x14ac:dyDescent="0.35">
      <c r="B2012" s="73"/>
      <c r="C2012" s="73"/>
      <c r="D2012" s="73"/>
      <c r="E2012" s="73"/>
      <c r="F2012" s="73"/>
      <c r="G2012" s="73"/>
    </row>
    <row r="2013" spans="2:7" ht="32.25" customHeight="1" x14ac:dyDescent="0.35">
      <c r="B2013" s="73"/>
      <c r="C2013" s="73"/>
      <c r="D2013" s="73"/>
      <c r="E2013" s="73"/>
      <c r="F2013" s="73"/>
      <c r="G2013" s="73"/>
    </row>
    <row r="2014" spans="2:7" ht="32.25" customHeight="1" x14ac:dyDescent="0.35">
      <c r="B2014" s="73"/>
      <c r="C2014" s="73"/>
      <c r="D2014" s="73"/>
      <c r="E2014" s="73"/>
      <c r="F2014" s="73"/>
      <c r="G2014" s="73"/>
    </row>
    <row r="2015" spans="2:7" ht="32.25" customHeight="1" x14ac:dyDescent="0.35">
      <c r="B2015" s="73"/>
      <c r="C2015" s="73"/>
      <c r="D2015" s="73"/>
      <c r="E2015" s="73"/>
      <c r="F2015" s="73"/>
      <c r="G2015" s="73"/>
    </row>
    <row r="2016" spans="2:7" ht="32.25" customHeight="1" x14ac:dyDescent="0.35">
      <c r="B2016" s="73"/>
      <c r="C2016" s="73"/>
      <c r="D2016" s="73"/>
      <c r="E2016" s="73"/>
      <c r="F2016" s="73"/>
      <c r="G2016" s="73"/>
    </row>
    <row r="2017" spans="2:7" ht="32.25" customHeight="1" x14ac:dyDescent="0.35">
      <c r="B2017" s="73"/>
      <c r="C2017" s="73"/>
      <c r="D2017" s="73"/>
      <c r="E2017" s="73"/>
      <c r="F2017" s="73"/>
      <c r="G2017" s="73"/>
    </row>
    <row r="2018" spans="2:7" ht="32.25" customHeight="1" x14ac:dyDescent="0.35">
      <c r="B2018" s="73"/>
      <c r="C2018" s="73"/>
      <c r="D2018" s="73"/>
      <c r="E2018" s="73"/>
      <c r="F2018" s="73"/>
      <c r="G2018" s="73"/>
    </row>
    <row r="2019" spans="2:7" ht="32.25" customHeight="1" x14ac:dyDescent="0.35">
      <c r="B2019" s="73"/>
      <c r="C2019" s="73"/>
      <c r="D2019" s="73"/>
      <c r="E2019" s="73"/>
      <c r="F2019" s="73"/>
      <c r="G2019" s="73"/>
    </row>
    <row r="2020" spans="2:7" ht="32.25" customHeight="1" x14ac:dyDescent="0.35">
      <c r="B2020" s="73"/>
      <c r="C2020" s="73"/>
      <c r="D2020" s="73"/>
      <c r="E2020" s="73"/>
      <c r="F2020" s="73"/>
      <c r="G2020" s="73"/>
    </row>
    <row r="2021" spans="2:7" ht="32.25" customHeight="1" x14ac:dyDescent="0.35">
      <c r="B2021" s="73"/>
      <c r="C2021" s="73"/>
      <c r="D2021" s="73"/>
      <c r="E2021" s="73"/>
      <c r="F2021" s="73"/>
      <c r="G2021" s="73"/>
    </row>
    <row r="2022" spans="2:7" ht="32.25" customHeight="1" x14ac:dyDescent="0.35">
      <c r="B2022" s="73"/>
      <c r="C2022" s="73"/>
      <c r="D2022" s="73"/>
      <c r="E2022" s="73"/>
      <c r="F2022" s="73"/>
      <c r="G2022" s="73"/>
    </row>
    <row r="2023" spans="2:7" ht="32.25" customHeight="1" x14ac:dyDescent="0.35">
      <c r="B2023" s="73"/>
      <c r="C2023" s="73"/>
      <c r="D2023" s="73"/>
      <c r="E2023" s="73"/>
      <c r="F2023" s="73"/>
      <c r="G2023" s="73"/>
    </row>
    <row r="2024" spans="2:7" ht="32.25" customHeight="1" x14ac:dyDescent="0.35">
      <c r="B2024" s="73"/>
      <c r="C2024" s="73"/>
      <c r="D2024" s="73"/>
      <c r="E2024" s="73"/>
      <c r="F2024" s="73"/>
      <c r="G2024" s="73"/>
    </row>
    <row r="2025" spans="2:7" ht="32.25" customHeight="1" x14ac:dyDescent="0.35">
      <c r="B2025" s="73"/>
      <c r="C2025" s="73"/>
      <c r="D2025" s="73"/>
      <c r="E2025" s="73"/>
      <c r="F2025" s="73"/>
      <c r="G2025" s="73"/>
    </row>
    <row r="2026" spans="2:7" ht="32.25" customHeight="1" x14ac:dyDescent="0.35">
      <c r="B2026" s="73"/>
      <c r="C2026" s="73"/>
      <c r="D2026" s="73"/>
      <c r="E2026" s="73"/>
      <c r="F2026" s="73"/>
      <c r="G2026" s="73"/>
    </row>
    <row r="2027" spans="2:7" ht="32.25" customHeight="1" x14ac:dyDescent="0.35">
      <c r="B2027" s="73"/>
      <c r="C2027" s="73"/>
      <c r="D2027" s="73"/>
      <c r="E2027" s="73"/>
      <c r="F2027" s="73"/>
      <c r="G2027" s="73"/>
    </row>
    <row r="2028" spans="2:7" ht="32.25" customHeight="1" x14ac:dyDescent="0.35">
      <c r="B2028" s="73"/>
      <c r="C2028" s="73"/>
      <c r="D2028" s="73"/>
      <c r="E2028" s="73"/>
      <c r="F2028" s="73"/>
      <c r="G2028" s="73"/>
    </row>
    <row r="2029" spans="2:7" ht="32.25" customHeight="1" x14ac:dyDescent="0.35">
      <c r="B2029" s="73"/>
      <c r="C2029" s="73"/>
      <c r="D2029" s="73"/>
      <c r="E2029" s="73"/>
      <c r="F2029" s="73"/>
      <c r="G2029" s="73"/>
    </row>
    <row r="2030" spans="2:7" ht="32.25" customHeight="1" x14ac:dyDescent="0.35">
      <c r="B2030" s="73"/>
      <c r="C2030" s="73"/>
      <c r="D2030" s="73"/>
      <c r="E2030" s="73"/>
      <c r="F2030" s="73"/>
      <c r="G2030" s="73"/>
    </row>
    <row r="2031" spans="2:7" ht="32.25" customHeight="1" x14ac:dyDescent="0.35">
      <c r="B2031" s="73"/>
      <c r="C2031" s="73"/>
      <c r="D2031" s="73"/>
      <c r="E2031" s="73"/>
      <c r="F2031" s="73"/>
      <c r="G2031" s="73"/>
    </row>
    <row r="2032" spans="2:7" ht="32.25" customHeight="1" x14ac:dyDescent="0.35">
      <c r="B2032" s="73"/>
      <c r="C2032" s="73"/>
      <c r="D2032" s="73"/>
      <c r="E2032" s="73"/>
      <c r="F2032" s="73"/>
      <c r="G2032" s="73"/>
    </row>
    <row r="2033" spans="2:7" ht="32.25" customHeight="1" x14ac:dyDescent="0.35">
      <c r="B2033" s="73"/>
      <c r="C2033" s="73"/>
      <c r="D2033" s="73"/>
      <c r="E2033" s="73"/>
      <c r="F2033" s="73"/>
      <c r="G2033" s="73"/>
    </row>
    <row r="2034" spans="2:7" ht="32.25" customHeight="1" x14ac:dyDescent="0.35">
      <c r="B2034" s="73"/>
      <c r="C2034" s="73"/>
      <c r="D2034" s="73"/>
      <c r="E2034" s="73"/>
      <c r="F2034" s="73"/>
      <c r="G2034" s="73"/>
    </row>
    <row r="2035" spans="2:7" ht="32.25" customHeight="1" x14ac:dyDescent="0.35">
      <c r="B2035" s="73"/>
      <c r="C2035" s="73"/>
      <c r="D2035" s="73"/>
      <c r="E2035" s="73"/>
      <c r="F2035" s="73"/>
      <c r="G2035" s="73"/>
    </row>
    <row r="2036" spans="2:7" ht="32.25" customHeight="1" x14ac:dyDescent="0.35">
      <c r="B2036" s="73"/>
      <c r="C2036" s="73"/>
      <c r="D2036" s="73"/>
      <c r="E2036" s="73"/>
      <c r="F2036" s="73"/>
      <c r="G2036" s="73"/>
    </row>
    <row r="2037" spans="2:7" ht="32.25" customHeight="1" x14ac:dyDescent="0.35">
      <c r="B2037" s="73"/>
      <c r="C2037" s="73"/>
      <c r="D2037" s="73"/>
      <c r="E2037" s="73"/>
      <c r="F2037" s="73"/>
      <c r="G2037" s="73"/>
    </row>
    <row r="2038" spans="2:7" ht="32.25" customHeight="1" x14ac:dyDescent="0.35">
      <c r="B2038" s="73"/>
      <c r="C2038" s="73"/>
      <c r="D2038" s="73"/>
      <c r="E2038" s="73"/>
      <c r="F2038" s="73"/>
      <c r="G2038" s="73"/>
    </row>
    <row r="2039" spans="2:7" ht="32.25" customHeight="1" x14ac:dyDescent="0.35">
      <c r="B2039" s="73"/>
      <c r="C2039" s="73"/>
      <c r="D2039" s="73"/>
      <c r="E2039" s="73"/>
      <c r="F2039" s="73"/>
      <c r="G2039" s="73"/>
    </row>
    <row r="2040" spans="2:7" ht="32.25" customHeight="1" x14ac:dyDescent="0.35">
      <c r="B2040" s="73"/>
      <c r="C2040" s="73"/>
      <c r="D2040" s="73"/>
      <c r="E2040" s="73"/>
      <c r="F2040" s="73"/>
      <c r="G2040" s="73"/>
    </row>
    <row r="2041" spans="2:7" ht="32.25" customHeight="1" x14ac:dyDescent="0.35">
      <c r="B2041" s="73"/>
      <c r="C2041" s="73"/>
      <c r="D2041" s="73"/>
      <c r="E2041" s="73"/>
      <c r="F2041" s="73"/>
      <c r="G2041" s="73"/>
    </row>
    <row r="2042" spans="2:7" ht="32.25" customHeight="1" x14ac:dyDescent="0.35">
      <c r="B2042" s="73"/>
      <c r="C2042" s="73"/>
      <c r="D2042" s="73"/>
      <c r="E2042" s="73"/>
      <c r="F2042" s="73"/>
      <c r="G2042" s="73"/>
    </row>
    <row r="2043" spans="2:7" ht="32.25" customHeight="1" x14ac:dyDescent="0.35">
      <c r="B2043" s="73"/>
      <c r="C2043" s="73"/>
      <c r="D2043" s="73"/>
      <c r="E2043" s="73"/>
      <c r="F2043" s="73"/>
      <c r="G2043" s="73"/>
    </row>
    <row r="2044" spans="2:7" ht="32.25" customHeight="1" x14ac:dyDescent="0.35">
      <c r="B2044" s="73"/>
      <c r="C2044" s="73"/>
      <c r="D2044" s="73"/>
      <c r="E2044" s="73"/>
      <c r="F2044" s="73"/>
      <c r="G2044" s="73"/>
    </row>
    <row r="2045" spans="2:7" ht="32.25" customHeight="1" x14ac:dyDescent="0.35">
      <c r="B2045" s="73"/>
      <c r="C2045" s="73"/>
      <c r="D2045" s="73"/>
      <c r="E2045" s="73"/>
      <c r="F2045" s="73"/>
      <c r="G2045" s="73"/>
    </row>
    <row r="2046" spans="2:7" ht="32.25" customHeight="1" x14ac:dyDescent="0.35">
      <c r="B2046" s="73"/>
      <c r="C2046" s="73"/>
      <c r="D2046" s="73"/>
      <c r="E2046" s="73"/>
      <c r="F2046" s="73"/>
      <c r="G2046" s="73"/>
    </row>
    <row r="2047" spans="2:7" ht="32.25" customHeight="1" x14ac:dyDescent="0.35">
      <c r="B2047" s="73"/>
      <c r="C2047" s="73"/>
      <c r="D2047" s="73"/>
      <c r="E2047" s="73"/>
      <c r="F2047" s="73"/>
      <c r="G2047" s="73"/>
    </row>
    <row r="2048" spans="2:7" ht="32.25" customHeight="1" x14ac:dyDescent="0.35">
      <c r="B2048" s="73"/>
      <c r="C2048" s="73"/>
      <c r="D2048" s="73"/>
      <c r="E2048" s="73"/>
      <c r="F2048" s="73"/>
      <c r="G2048" s="73"/>
    </row>
    <row r="2049" spans="2:7" ht="32.25" customHeight="1" x14ac:dyDescent="0.35">
      <c r="B2049" s="73"/>
      <c r="C2049" s="73"/>
      <c r="D2049" s="73"/>
      <c r="E2049" s="73"/>
      <c r="F2049" s="73"/>
      <c r="G2049" s="73"/>
    </row>
    <row r="2050" spans="2:7" ht="32.25" customHeight="1" x14ac:dyDescent="0.35">
      <c r="B2050" s="73"/>
      <c r="C2050" s="73"/>
      <c r="D2050" s="73"/>
      <c r="E2050" s="73"/>
      <c r="F2050" s="73"/>
      <c r="G2050" s="73"/>
    </row>
    <row r="2051" spans="2:7" ht="32.25" customHeight="1" x14ac:dyDescent="0.35">
      <c r="B2051" s="73"/>
      <c r="C2051" s="73"/>
      <c r="D2051" s="73"/>
      <c r="E2051" s="73"/>
      <c r="F2051" s="73"/>
      <c r="G2051" s="73"/>
    </row>
    <row r="2052" spans="2:7" ht="32.25" customHeight="1" x14ac:dyDescent="0.35">
      <c r="B2052" s="73"/>
      <c r="C2052" s="73"/>
      <c r="D2052" s="73"/>
      <c r="E2052" s="73"/>
      <c r="F2052" s="73"/>
      <c r="G2052" s="73"/>
    </row>
    <row r="2053" spans="2:7" ht="32.25" customHeight="1" x14ac:dyDescent="0.35">
      <c r="B2053" s="73"/>
      <c r="C2053" s="73"/>
      <c r="D2053" s="73"/>
      <c r="E2053" s="73"/>
      <c r="F2053" s="73"/>
      <c r="G2053" s="73"/>
    </row>
    <row r="2054" spans="2:7" ht="32.25" customHeight="1" x14ac:dyDescent="0.35">
      <c r="B2054" s="73"/>
      <c r="C2054" s="73"/>
      <c r="D2054" s="73"/>
      <c r="E2054" s="73"/>
      <c r="F2054" s="73"/>
      <c r="G2054" s="73"/>
    </row>
    <row r="2055" spans="2:7" ht="32.25" customHeight="1" x14ac:dyDescent="0.35">
      <c r="B2055" s="73"/>
      <c r="C2055" s="73"/>
      <c r="D2055" s="73"/>
      <c r="E2055" s="73"/>
      <c r="F2055" s="73"/>
      <c r="G2055" s="73"/>
    </row>
    <row r="2056" spans="2:7" ht="32.25" customHeight="1" x14ac:dyDescent="0.35">
      <c r="B2056" s="73"/>
      <c r="C2056" s="73"/>
      <c r="D2056" s="73"/>
      <c r="E2056" s="73"/>
      <c r="F2056" s="73"/>
      <c r="G2056" s="73"/>
    </row>
    <row r="2057" spans="2:7" ht="32.25" customHeight="1" x14ac:dyDescent="0.35">
      <c r="B2057" s="73"/>
      <c r="C2057" s="73"/>
      <c r="D2057" s="73"/>
      <c r="E2057" s="73"/>
      <c r="F2057" s="73"/>
      <c r="G2057" s="73"/>
    </row>
    <row r="2058" spans="2:7" ht="32.25" customHeight="1" x14ac:dyDescent="0.35">
      <c r="B2058" s="73"/>
      <c r="C2058" s="73"/>
      <c r="D2058" s="73"/>
      <c r="E2058" s="73"/>
      <c r="F2058" s="73"/>
      <c r="G2058" s="73"/>
    </row>
    <row r="2059" spans="2:7" ht="32.25" customHeight="1" x14ac:dyDescent="0.35">
      <c r="B2059" s="73"/>
      <c r="C2059" s="73"/>
      <c r="D2059" s="73"/>
      <c r="E2059" s="73"/>
      <c r="F2059" s="73"/>
      <c r="G2059" s="73"/>
    </row>
    <row r="2060" spans="2:7" ht="32.25" customHeight="1" x14ac:dyDescent="0.35">
      <c r="B2060" s="73"/>
      <c r="C2060" s="73"/>
      <c r="D2060" s="73"/>
      <c r="E2060" s="73"/>
      <c r="F2060" s="73"/>
      <c r="G2060" s="73"/>
    </row>
    <row r="2061" spans="2:7" ht="32.25" customHeight="1" x14ac:dyDescent="0.35">
      <c r="B2061" s="73"/>
      <c r="C2061" s="73"/>
      <c r="D2061" s="73"/>
      <c r="E2061" s="73"/>
      <c r="F2061" s="73"/>
      <c r="G2061" s="73"/>
    </row>
    <row r="2062" spans="2:7" ht="32.25" customHeight="1" x14ac:dyDescent="0.35">
      <c r="B2062" s="73"/>
      <c r="C2062" s="73"/>
      <c r="D2062" s="73"/>
      <c r="E2062" s="73"/>
      <c r="F2062" s="73"/>
      <c r="G2062" s="73"/>
    </row>
    <row r="2063" spans="2:7" ht="32.25" customHeight="1" x14ac:dyDescent="0.35">
      <c r="B2063" s="73"/>
      <c r="C2063" s="73"/>
      <c r="D2063" s="73"/>
      <c r="E2063" s="73"/>
      <c r="F2063" s="73"/>
      <c r="G2063" s="73"/>
    </row>
    <row r="2064" spans="2:7" ht="32.25" customHeight="1" x14ac:dyDescent="0.35">
      <c r="B2064" s="73"/>
      <c r="C2064" s="73"/>
      <c r="D2064" s="73"/>
      <c r="E2064" s="73"/>
      <c r="F2064" s="73"/>
      <c r="G2064" s="73"/>
    </row>
    <row r="2065" spans="2:7" ht="32.25" customHeight="1" x14ac:dyDescent="0.35">
      <c r="B2065" s="73"/>
      <c r="C2065" s="73"/>
      <c r="D2065" s="73"/>
      <c r="E2065" s="73"/>
      <c r="F2065" s="73"/>
      <c r="G2065" s="73"/>
    </row>
    <row r="2066" spans="2:7" ht="32.25" customHeight="1" x14ac:dyDescent="0.35">
      <c r="B2066" s="73"/>
      <c r="C2066" s="73"/>
      <c r="D2066" s="73"/>
      <c r="E2066" s="73"/>
      <c r="F2066" s="73"/>
      <c r="G2066" s="73"/>
    </row>
    <row r="2067" spans="2:7" ht="32.25" customHeight="1" x14ac:dyDescent="0.35">
      <c r="B2067" s="73"/>
      <c r="C2067" s="73"/>
      <c r="D2067" s="73"/>
      <c r="E2067" s="73"/>
      <c r="F2067" s="73"/>
      <c r="G2067" s="73"/>
    </row>
    <row r="2068" spans="2:7" ht="32.25" customHeight="1" x14ac:dyDescent="0.35">
      <c r="B2068" s="73"/>
      <c r="C2068" s="73"/>
      <c r="D2068" s="73"/>
      <c r="E2068" s="73"/>
      <c r="F2068" s="73"/>
      <c r="G2068" s="73"/>
    </row>
    <row r="2069" spans="2:7" ht="32.25" customHeight="1" x14ac:dyDescent="0.35">
      <c r="B2069" s="73"/>
      <c r="C2069" s="73"/>
      <c r="D2069" s="73"/>
      <c r="E2069" s="73"/>
      <c r="F2069" s="73"/>
      <c r="G2069" s="73"/>
    </row>
    <row r="2070" spans="2:7" ht="32.25" customHeight="1" x14ac:dyDescent="0.35">
      <c r="B2070" s="73"/>
      <c r="C2070" s="73"/>
      <c r="D2070" s="73"/>
      <c r="E2070" s="73"/>
      <c r="F2070" s="73"/>
      <c r="G2070" s="73"/>
    </row>
    <row r="2071" spans="2:7" ht="32.25" customHeight="1" x14ac:dyDescent="0.35">
      <c r="B2071" s="73"/>
      <c r="C2071" s="73"/>
      <c r="D2071" s="73"/>
      <c r="E2071" s="73"/>
      <c r="F2071" s="73"/>
      <c r="G2071" s="73"/>
    </row>
    <row r="2072" spans="2:7" ht="32.25" customHeight="1" x14ac:dyDescent="0.35">
      <c r="B2072" s="73"/>
      <c r="C2072" s="73"/>
      <c r="D2072" s="73"/>
      <c r="E2072" s="73"/>
      <c r="F2072" s="73"/>
      <c r="G2072" s="73"/>
    </row>
    <row r="2073" spans="2:7" ht="32.25" customHeight="1" x14ac:dyDescent="0.35">
      <c r="B2073" s="73"/>
      <c r="C2073" s="73"/>
      <c r="D2073" s="73"/>
      <c r="E2073" s="73"/>
      <c r="F2073" s="73"/>
      <c r="G2073" s="73"/>
    </row>
    <row r="2074" spans="2:7" ht="32.25" customHeight="1" x14ac:dyDescent="0.35">
      <c r="B2074" s="73"/>
      <c r="C2074" s="73"/>
      <c r="D2074" s="73"/>
      <c r="E2074" s="73"/>
      <c r="F2074" s="73"/>
      <c r="G2074" s="73"/>
    </row>
    <row r="2075" spans="2:7" ht="32.25" customHeight="1" x14ac:dyDescent="0.35">
      <c r="B2075" s="73"/>
      <c r="C2075" s="73"/>
      <c r="D2075" s="73"/>
      <c r="E2075" s="73"/>
      <c r="F2075" s="73"/>
      <c r="G2075" s="73"/>
    </row>
    <row r="2076" spans="2:7" ht="32.25" customHeight="1" x14ac:dyDescent="0.35">
      <c r="B2076" s="73"/>
      <c r="C2076" s="73"/>
      <c r="D2076" s="73"/>
      <c r="E2076" s="73"/>
      <c r="F2076" s="73"/>
      <c r="G2076" s="73"/>
    </row>
    <row r="2077" spans="2:7" ht="32.25" customHeight="1" x14ac:dyDescent="0.35">
      <c r="B2077" s="73"/>
      <c r="C2077" s="73"/>
      <c r="D2077" s="73"/>
      <c r="E2077" s="73"/>
      <c r="F2077" s="73"/>
      <c r="G2077" s="73"/>
    </row>
    <row r="2078" spans="2:7" ht="32.25" customHeight="1" x14ac:dyDescent="0.35">
      <c r="B2078" s="73"/>
      <c r="C2078" s="73"/>
      <c r="D2078" s="73"/>
      <c r="E2078" s="73"/>
      <c r="F2078" s="73"/>
      <c r="G2078" s="73"/>
    </row>
    <row r="2079" spans="2:7" ht="32.25" customHeight="1" x14ac:dyDescent="0.35">
      <c r="B2079" s="73"/>
      <c r="C2079" s="73"/>
      <c r="D2079" s="73"/>
      <c r="E2079" s="73"/>
      <c r="F2079" s="73"/>
      <c r="G2079" s="73"/>
    </row>
    <row r="2080" spans="2:7" ht="32.25" customHeight="1" x14ac:dyDescent="0.35">
      <c r="B2080" s="73"/>
      <c r="C2080" s="73"/>
      <c r="D2080" s="73"/>
      <c r="E2080" s="73"/>
      <c r="F2080" s="73"/>
      <c r="G2080" s="73"/>
    </row>
    <row r="2081" spans="2:7" ht="32.25" customHeight="1" x14ac:dyDescent="0.35">
      <c r="B2081" s="73"/>
      <c r="C2081" s="73"/>
      <c r="D2081" s="73"/>
      <c r="E2081" s="73"/>
      <c r="F2081" s="73"/>
      <c r="G2081" s="73"/>
    </row>
    <row r="2082" spans="2:7" ht="32.25" customHeight="1" x14ac:dyDescent="0.35">
      <c r="B2082" s="73"/>
      <c r="C2082" s="73"/>
      <c r="D2082" s="73"/>
      <c r="E2082" s="73"/>
      <c r="F2082" s="73"/>
      <c r="G2082" s="73"/>
    </row>
    <row r="2083" spans="2:7" ht="32.25" customHeight="1" x14ac:dyDescent="0.35">
      <c r="B2083" s="73"/>
      <c r="C2083" s="73"/>
      <c r="D2083" s="73"/>
      <c r="E2083" s="73"/>
      <c r="F2083" s="73"/>
      <c r="G2083" s="73"/>
    </row>
    <row r="2084" spans="2:7" ht="32.25" customHeight="1" x14ac:dyDescent="0.35">
      <c r="B2084" s="73"/>
      <c r="C2084" s="73"/>
      <c r="D2084" s="73"/>
      <c r="E2084" s="73"/>
      <c r="F2084" s="73"/>
      <c r="G2084" s="73"/>
    </row>
    <row r="2085" spans="2:7" ht="32.25" customHeight="1" x14ac:dyDescent="0.35">
      <c r="B2085" s="73"/>
      <c r="C2085" s="73"/>
      <c r="D2085" s="73"/>
      <c r="E2085" s="73"/>
      <c r="F2085" s="73"/>
      <c r="G2085" s="73"/>
    </row>
    <row r="2086" spans="2:7" ht="32.25" customHeight="1" x14ac:dyDescent="0.35">
      <c r="B2086" s="73"/>
      <c r="C2086" s="73"/>
      <c r="D2086" s="73"/>
      <c r="E2086" s="73"/>
      <c r="F2086" s="73"/>
      <c r="G2086" s="73"/>
    </row>
    <row r="2087" spans="2:7" ht="32.25" customHeight="1" x14ac:dyDescent="0.35">
      <c r="B2087" s="73"/>
      <c r="C2087" s="73"/>
      <c r="D2087" s="73"/>
      <c r="E2087" s="73"/>
      <c r="F2087" s="73"/>
      <c r="G2087" s="73"/>
    </row>
    <row r="2088" spans="2:7" ht="32.25" customHeight="1" x14ac:dyDescent="0.35">
      <c r="B2088" s="73"/>
      <c r="C2088" s="73"/>
      <c r="D2088" s="73"/>
      <c r="E2088" s="73"/>
      <c r="F2088" s="73"/>
      <c r="G2088" s="73"/>
    </row>
    <row r="2089" spans="2:7" ht="32.25" customHeight="1" x14ac:dyDescent="0.35">
      <c r="B2089" s="73"/>
      <c r="C2089" s="73"/>
      <c r="D2089" s="73"/>
      <c r="E2089" s="73"/>
      <c r="F2089" s="73"/>
      <c r="G2089" s="73"/>
    </row>
    <row r="2090" spans="2:7" ht="32.25" customHeight="1" x14ac:dyDescent="0.35">
      <c r="B2090" s="73"/>
      <c r="C2090" s="73"/>
      <c r="D2090" s="73"/>
      <c r="E2090" s="73"/>
      <c r="F2090" s="73"/>
      <c r="G2090" s="73"/>
    </row>
    <row r="2091" spans="2:7" ht="32.25" customHeight="1" x14ac:dyDescent="0.35">
      <c r="B2091" s="73"/>
      <c r="C2091" s="73"/>
      <c r="D2091" s="73"/>
      <c r="E2091" s="73"/>
      <c r="F2091" s="73"/>
      <c r="G2091" s="73"/>
    </row>
    <row r="2092" spans="2:7" ht="32.25" customHeight="1" x14ac:dyDescent="0.35">
      <c r="B2092" s="73"/>
      <c r="C2092" s="73"/>
      <c r="D2092" s="73"/>
      <c r="E2092" s="73"/>
      <c r="F2092" s="73"/>
      <c r="G2092" s="73"/>
    </row>
    <row r="2093" spans="2:7" ht="32.25" customHeight="1" x14ac:dyDescent="0.35">
      <c r="B2093" s="73"/>
      <c r="C2093" s="73"/>
      <c r="D2093" s="73"/>
      <c r="E2093" s="73"/>
      <c r="F2093" s="73"/>
      <c r="G2093" s="73"/>
    </row>
    <row r="2094" spans="2:7" ht="32.25" customHeight="1" x14ac:dyDescent="0.35">
      <c r="B2094" s="73"/>
      <c r="C2094" s="73"/>
      <c r="D2094" s="73"/>
      <c r="E2094" s="73"/>
      <c r="F2094" s="73"/>
      <c r="G2094" s="73"/>
    </row>
    <row r="2095" spans="2:7" ht="32.25" customHeight="1" x14ac:dyDescent="0.35">
      <c r="B2095" s="73"/>
      <c r="C2095" s="73"/>
      <c r="D2095" s="73"/>
      <c r="E2095" s="73"/>
      <c r="F2095" s="73"/>
      <c r="G2095" s="73"/>
    </row>
    <row r="2096" spans="2:7" ht="32.25" customHeight="1" x14ac:dyDescent="0.35">
      <c r="B2096" s="73"/>
      <c r="C2096" s="73"/>
      <c r="D2096" s="73"/>
      <c r="E2096" s="73"/>
      <c r="F2096" s="73"/>
      <c r="G2096" s="73"/>
    </row>
    <row r="2097" spans="2:7" ht="32.25" customHeight="1" x14ac:dyDescent="0.35">
      <c r="B2097" s="73"/>
      <c r="C2097" s="73"/>
      <c r="D2097" s="73"/>
      <c r="E2097" s="73"/>
      <c r="F2097" s="73"/>
      <c r="G2097" s="73"/>
    </row>
    <row r="2098" spans="2:7" ht="32.25" customHeight="1" x14ac:dyDescent="0.35">
      <c r="B2098" s="73"/>
      <c r="C2098" s="73"/>
      <c r="D2098" s="73"/>
      <c r="E2098" s="73"/>
      <c r="F2098" s="73"/>
      <c r="G2098" s="73"/>
    </row>
    <row r="2099" spans="2:7" ht="32.25" customHeight="1" x14ac:dyDescent="0.35">
      <c r="B2099" s="73"/>
      <c r="C2099" s="73"/>
      <c r="D2099" s="73"/>
      <c r="E2099" s="73"/>
      <c r="F2099" s="73"/>
      <c r="G2099" s="73"/>
    </row>
    <row r="2100" spans="2:7" ht="32.25" customHeight="1" x14ac:dyDescent="0.35">
      <c r="B2100" s="73"/>
      <c r="C2100" s="73"/>
      <c r="D2100" s="73"/>
      <c r="E2100" s="73"/>
      <c r="F2100" s="73"/>
      <c r="G2100" s="73"/>
    </row>
    <row r="2101" spans="2:7" ht="32.25" customHeight="1" x14ac:dyDescent="0.35">
      <c r="B2101" s="73"/>
      <c r="C2101" s="73"/>
      <c r="D2101" s="73"/>
      <c r="E2101" s="73"/>
      <c r="F2101" s="73"/>
      <c r="G2101" s="73"/>
    </row>
    <row r="2102" spans="2:7" ht="32.25" customHeight="1" x14ac:dyDescent="0.35">
      <c r="B2102" s="73"/>
      <c r="C2102" s="73"/>
      <c r="D2102" s="73"/>
      <c r="E2102" s="73"/>
      <c r="F2102" s="73"/>
      <c r="G2102" s="73"/>
    </row>
    <row r="2103" spans="2:7" ht="32.25" customHeight="1" x14ac:dyDescent="0.35">
      <c r="B2103" s="73"/>
      <c r="C2103" s="73"/>
      <c r="D2103" s="73"/>
      <c r="E2103" s="73"/>
      <c r="F2103" s="73"/>
      <c r="G2103" s="73"/>
    </row>
    <row r="2104" spans="2:7" ht="32.25" customHeight="1" x14ac:dyDescent="0.35">
      <c r="B2104" s="73"/>
      <c r="C2104" s="73"/>
      <c r="D2104" s="73"/>
      <c r="E2104" s="73"/>
      <c r="F2104" s="73"/>
      <c r="G2104" s="73"/>
    </row>
    <row r="2105" spans="2:7" ht="32.25" customHeight="1" x14ac:dyDescent="0.35">
      <c r="B2105" s="73"/>
      <c r="C2105" s="73"/>
      <c r="D2105" s="73"/>
      <c r="E2105" s="73"/>
      <c r="F2105" s="73"/>
      <c r="G2105" s="73"/>
    </row>
    <row r="2106" spans="2:7" ht="32.25" customHeight="1" x14ac:dyDescent="0.35">
      <c r="B2106" s="73"/>
      <c r="C2106" s="73"/>
      <c r="D2106" s="73"/>
      <c r="E2106" s="73"/>
      <c r="F2106" s="73"/>
      <c r="G2106" s="73"/>
    </row>
    <row r="2107" spans="2:7" ht="32.25" customHeight="1" x14ac:dyDescent="0.35">
      <c r="B2107" s="73"/>
      <c r="C2107" s="73"/>
      <c r="D2107" s="73"/>
      <c r="E2107" s="73"/>
      <c r="F2107" s="73"/>
      <c r="G2107" s="73"/>
    </row>
    <row r="2108" spans="2:7" ht="32.25" customHeight="1" x14ac:dyDescent="0.35">
      <c r="B2108" s="73"/>
      <c r="C2108" s="73"/>
      <c r="D2108" s="73"/>
      <c r="E2108" s="73"/>
      <c r="F2108" s="73"/>
      <c r="G2108" s="73"/>
    </row>
    <row r="2109" spans="2:7" ht="32.25" customHeight="1" x14ac:dyDescent="0.35">
      <c r="B2109" s="73"/>
      <c r="C2109" s="73"/>
      <c r="D2109" s="73"/>
      <c r="E2109" s="73"/>
      <c r="F2109" s="73"/>
      <c r="G2109" s="73"/>
    </row>
    <row r="2110" spans="2:7" ht="32.25" customHeight="1" x14ac:dyDescent="0.35">
      <c r="B2110" s="73"/>
      <c r="C2110" s="73"/>
      <c r="D2110" s="73"/>
      <c r="E2110" s="73"/>
      <c r="F2110" s="73"/>
      <c r="G2110" s="73"/>
    </row>
    <row r="2111" spans="2:7" ht="32.25" customHeight="1" x14ac:dyDescent="0.35">
      <c r="B2111" s="73"/>
      <c r="C2111" s="73"/>
      <c r="D2111" s="73"/>
      <c r="E2111" s="73"/>
      <c r="F2111" s="73"/>
      <c r="G2111" s="73"/>
    </row>
    <row r="2112" spans="2:7" ht="32.25" customHeight="1" x14ac:dyDescent="0.35">
      <c r="B2112" s="73"/>
      <c r="C2112" s="73"/>
      <c r="D2112" s="73"/>
      <c r="E2112" s="73"/>
      <c r="F2112" s="73"/>
      <c r="G2112" s="73"/>
    </row>
    <row r="2113" spans="2:7" ht="32.25" customHeight="1" x14ac:dyDescent="0.35">
      <c r="B2113" s="73"/>
      <c r="C2113" s="73"/>
      <c r="D2113" s="73"/>
      <c r="E2113" s="73"/>
      <c r="F2113" s="73"/>
      <c r="G2113" s="73"/>
    </row>
    <row r="2114" spans="2:7" ht="32.25" customHeight="1" x14ac:dyDescent="0.35">
      <c r="B2114" s="73"/>
      <c r="C2114" s="73"/>
      <c r="D2114" s="73"/>
      <c r="E2114" s="73"/>
      <c r="F2114" s="73"/>
      <c r="G2114" s="73"/>
    </row>
    <row r="2115" spans="2:7" ht="32.25" customHeight="1" x14ac:dyDescent="0.35">
      <c r="B2115" s="73"/>
      <c r="C2115" s="73"/>
      <c r="D2115" s="73"/>
      <c r="E2115" s="73"/>
      <c r="F2115" s="73"/>
      <c r="G2115" s="73"/>
    </row>
    <row r="2116" spans="2:7" ht="32.25" customHeight="1" x14ac:dyDescent="0.35">
      <c r="B2116" s="73"/>
      <c r="C2116" s="73"/>
      <c r="D2116" s="73"/>
      <c r="E2116" s="73"/>
      <c r="F2116" s="73"/>
      <c r="G2116" s="73"/>
    </row>
    <row r="2117" spans="2:7" ht="32.25" customHeight="1" x14ac:dyDescent="0.35">
      <c r="B2117" s="73"/>
      <c r="C2117" s="73"/>
      <c r="D2117" s="73"/>
      <c r="E2117" s="73"/>
      <c r="F2117" s="73"/>
      <c r="G2117" s="73"/>
    </row>
    <row r="2118" spans="2:7" ht="32.25" customHeight="1" x14ac:dyDescent="0.35">
      <c r="B2118" s="73"/>
      <c r="C2118" s="73"/>
      <c r="D2118" s="73"/>
      <c r="E2118" s="73"/>
      <c r="F2118" s="73"/>
      <c r="G2118" s="73"/>
    </row>
    <row r="2119" spans="2:7" ht="32.25" customHeight="1" x14ac:dyDescent="0.35">
      <c r="B2119" s="73"/>
      <c r="C2119" s="73"/>
      <c r="D2119" s="73"/>
      <c r="E2119" s="73"/>
      <c r="F2119" s="73"/>
      <c r="G2119" s="73"/>
    </row>
    <row r="2120" spans="2:7" ht="32.25" customHeight="1" x14ac:dyDescent="0.35">
      <c r="B2120" s="73"/>
      <c r="C2120" s="73"/>
      <c r="D2120" s="73"/>
      <c r="E2120" s="73"/>
      <c r="F2120" s="73"/>
      <c r="G2120" s="73"/>
    </row>
    <row r="2121" spans="2:7" ht="32.25" customHeight="1" x14ac:dyDescent="0.35">
      <c r="B2121" s="73"/>
      <c r="C2121" s="73"/>
      <c r="D2121" s="73"/>
      <c r="E2121" s="73"/>
      <c r="F2121" s="73"/>
      <c r="G2121" s="73"/>
    </row>
    <row r="2122" spans="2:7" ht="32.25" customHeight="1" x14ac:dyDescent="0.35">
      <c r="B2122" s="73"/>
      <c r="C2122" s="73"/>
      <c r="D2122" s="73"/>
      <c r="E2122" s="73"/>
      <c r="F2122" s="73"/>
      <c r="G2122" s="73"/>
    </row>
    <row r="2123" spans="2:7" ht="32.25" customHeight="1" x14ac:dyDescent="0.35">
      <c r="B2123" s="73"/>
      <c r="C2123" s="73"/>
      <c r="D2123" s="73"/>
      <c r="E2123" s="73"/>
      <c r="F2123" s="73"/>
      <c r="G2123" s="73"/>
    </row>
    <row r="2124" spans="2:7" ht="32.25" customHeight="1" x14ac:dyDescent="0.35">
      <c r="B2124" s="73"/>
      <c r="C2124" s="73"/>
      <c r="D2124" s="73"/>
      <c r="E2124" s="73"/>
      <c r="F2124" s="73"/>
      <c r="G2124" s="73"/>
    </row>
    <row r="2125" spans="2:7" ht="32.25" customHeight="1" x14ac:dyDescent="0.35">
      <c r="B2125" s="73"/>
      <c r="C2125" s="73"/>
      <c r="D2125" s="73"/>
      <c r="E2125" s="73"/>
      <c r="F2125" s="73"/>
      <c r="G2125" s="73"/>
    </row>
    <row r="2126" spans="2:7" ht="32.25" customHeight="1" x14ac:dyDescent="0.35">
      <c r="B2126" s="73"/>
      <c r="C2126" s="73"/>
      <c r="D2126" s="73"/>
      <c r="E2126" s="73"/>
      <c r="F2126" s="73"/>
      <c r="G2126" s="73"/>
    </row>
    <row r="2127" spans="2:7" ht="32.25" customHeight="1" x14ac:dyDescent="0.35">
      <c r="B2127" s="73"/>
      <c r="C2127" s="73"/>
      <c r="D2127" s="73"/>
      <c r="E2127" s="73"/>
      <c r="F2127" s="73"/>
      <c r="G2127" s="73"/>
    </row>
    <row r="2128" spans="2:7" ht="32.25" customHeight="1" x14ac:dyDescent="0.35">
      <c r="B2128" s="73"/>
      <c r="C2128" s="73"/>
      <c r="D2128" s="73"/>
      <c r="E2128" s="73"/>
      <c r="F2128" s="73"/>
      <c r="G2128" s="73"/>
    </row>
    <row r="2129" spans="2:7" ht="32.25" customHeight="1" x14ac:dyDescent="0.35">
      <c r="B2129" s="73"/>
      <c r="C2129" s="73"/>
      <c r="D2129" s="73"/>
      <c r="E2129" s="73"/>
      <c r="F2129" s="73"/>
      <c r="G2129" s="73"/>
    </row>
    <row r="2130" spans="2:7" ht="32.25" customHeight="1" x14ac:dyDescent="0.35">
      <c r="B2130" s="73"/>
      <c r="C2130" s="73"/>
      <c r="D2130" s="73"/>
      <c r="E2130" s="73"/>
      <c r="F2130" s="73"/>
      <c r="G2130" s="73"/>
    </row>
    <row r="2131" spans="2:7" ht="32.25" customHeight="1" x14ac:dyDescent="0.35">
      <c r="B2131" s="73"/>
      <c r="C2131" s="73"/>
      <c r="D2131" s="73"/>
      <c r="E2131" s="73"/>
      <c r="F2131" s="73"/>
      <c r="G2131" s="73"/>
    </row>
    <row r="2132" spans="2:7" ht="32.25" customHeight="1" x14ac:dyDescent="0.35">
      <c r="B2132" s="73"/>
      <c r="C2132" s="73"/>
      <c r="D2132" s="73"/>
      <c r="E2132" s="73"/>
      <c r="F2132" s="73"/>
      <c r="G2132" s="73"/>
    </row>
    <row r="2133" spans="2:7" ht="32.25" customHeight="1" x14ac:dyDescent="0.35">
      <c r="B2133" s="73"/>
      <c r="C2133" s="73"/>
      <c r="D2133" s="73"/>
      <c r="E2133" s="73"/>
      <c r="F2133" s="73"/>
      <c r="G2133" s="73"/>
    </row>
    <row r="2134" spans="2:7" ht="32.25" customHeight="1" x14ac:dyDescent="0.35">
      <c r="B2134" s="73"/>
      <c r="C2134" s="73"/>
      <c r="D2134" s="73"/>
      <c r="E2134" s="73"/>
      <c r="F2134" s="73"/>
      <c r="G2134" s="73"/>
    </row>
    <row r="2135" spans="2:7" ht="32.25" customHeight="1" x14ac:dyDescent="0.35">
      <c r="B2135" s="73"/>
      <c r="C2135" s="73"/>
      <c r="D2135" s="73"/>
      <c r="E2135" s="73"/>
      <c r="F2135" s="73"/>
      <c r="G2135" s="73"/>
    </row>
    <row r="2136" spans="2:7" ht="32.25" customHeight="1" x14ac:dyDescent="0.35">
      <c r="B2136" s="73"/>
      <c r="C2136" s="73"/>
      <c r="D2136" s="73"/>
      <c r="E2136" s="73"/>
      <c r="F2136" s="73"/>
      <c r="G2136" s="73"/>
    </row>
    <row r="2137" spans="2:7" ht="32.25" customHeight="1" x14ac:dyDescent="0.35">
      <c r="B2137" s="73"/>
      <c r="C2137" s="73"/>
      <c r="D2137" s="73"/>
      <c r="E2137" s="73"/>
      <c r="F2137" s="73"/>
      <c r="G2137" s="73"/>
    </row>
    <row r="2138" spans="2:7" ht="32.25" customHeight="1" x14ac:dyDescent="0.35">
      <c r="B2138" s="73"/>
      <c r="C2138" s="73"/>
      <c r="D2138" s="73"/>
      <c r="E2138" s="73"/>
      <c r="F2138" s="73"/>
      <c r="G2138" s="73"/>
    </row>
    <row r="2139" spans="2:7" ht="32.25" customHeight="1" x14ac:dyDescent="0.35">
      <c r="B2139" s="73"/>
      <c r="C2139" s="73"/>
      <c r="D2139" s="73"/>
      <c r="E2139" s="73"/>
      <c r="F2139" s="73"/>
      <c r="G2139" s="73"/>
    </row>
    <row r="2140" spans="2:7" ht="32.25" customHeight="1" x14ac:dyDescent="0.35">
      <c r="B2140" s="73"/>
      <c r="C2140" s="73"/>
      <c r="D2140" s="73"/>
      <c r="E2140" s="73"/>
      <c r="F2140" s="73"/>
      <c r="G2140" s="73"/>
    </row>
    <row r="2141" spans="2:7" ht="32.25" customHeight="1" x14ac:dyDescent="0.35">
      <c r="B2141" s="73"/>
      <c r="C2141" s="73"/>
      <c r="D2141" s="73"/>
      <c r="E2141" s="73"/>
      <c r="F2141" s="73"/>
      <c r="G2141" s="73"/>
    </row>
    <row r="2142" spans="2:7" ht="32.25" customHeight="1" x14ac:dyDescent="0.35">
      <c r="B2142" s="73"/>
      <c r="C2142" s="73"/>
      <c r="D2142" s="73"/>
      <c r="E2142" s="73"/>
      <c r="F2142" s="73"/>
      <c r="G2142" s="73"/>
    </row>
    <row r="2143" spans="2:7" ht="32.25" customHeight="1" x14ac:dyDescent="0.35">
      <c r="B2143" s="73"/>
      <c r="C2143" s="73"/>
      <c r="D2143" s="73"/>
      <c r="E2143" s="73"/>
      <c r="F2143" s="73"/>
      <c r="G2143" s="73"/>
    </row>
    <row r="2144" spans="2:7" ht="32.25" customHeight="1" x14ac:dyDescent="0.35">
      <c r="B2144" s="73"/>
      <c r="C2144" s="73"/>
      <c r="D2144" s="73"/>
      <c r="E2144" s="73"/>
      <c r="F2144" s="73"/>
      <c r="G2144" s="73"/>
    </row>
    <row r="2145" spans="2:7" ht="32.25" customHeight="1" x14ac:dyDescent="0.35">
      <c r="B2145" s="73"/>
      <c r="C2145" s="73"/>
      <c r="D2145" s="73"/>
      <c r="E2145" s="73"/>
      <c r="F2145" s="73"/>
      <c r="G2145" s="73"/>
    </row>
    <row r="2146" spans="2:7" ht="32.25" customHeight="1" x14ac:dyDescent="0.35">
      <c r="B2146" s="73"/>
      <c r="C2146" s="73"/>
      <c r="D2146" s="73"/>
      <c r="E2146" s="73"/>
      <c r="F2146" s="73"/>
      <c r="G2146" s="73"/>
    </row>
    <row r="2147" spans="2:7" ht="32.25" customHeight="1" x14ac:dyDescent="0.35">
      <c r="B2147" s="73"/>
      <c r="C2147" s="73"/>
      <c r="D2147" s="73"/>
      <c r="E2147" s="73"/>
      <c r="F2147" s="73"/>
      <c r="G2147" s="73"/>
    </row>
    <row r="2148" spans="2:7" ht="32.25" customHeight="1" x14ac:dyDescent="0.35">
      <c r="B2148" s="73"/>
      <c r="C2148" s="73"/>
      <c r="D2148" s="73"/>
      <c r="E2148" s="73"/>
      <c r="F2148" s="73"/>
      <c r="G2148" s="73"/>
    </row>
    <row r="2149" spans="2:7" ht="32.25" customHeight="1" x14ac:dyDescent="0.35">
      <c r="B2149" s="73"/>
      <c r="C2149" s="73"/>
      <c r="D2149" s="73"/>
      <c r="E2149" s="73"/>
      <c r="F2149" s="73"/>
      <c r="G2149" s="73"/>
    </row>
    <row r="2150" spans="2:7" ht="32.25" customHeight="1" x14ac:dyDescent="0.35">
      <c r="B2150" s="73"/>
      <c r="C2150" s="73"/>
      <c r="D2150" s="73"/>
      <c r="E2150" s="73"/>
      <c r="F2150" s="73"/>
      <c r="G2150" s="73"/>
    </row>
    <row r="2151" spans="2:7" ht="32.25" customHeight="1" x14ac:dyDescent="0.35">
      <c r="B2151" s="73"/>
      <c r="C2151" s="73"/>
      <c r="D2151" s="73"/>
      <c r="E2151" s="73"/>
      <c r="F2151" s="73"/>
      <c r="G2151" s="73"/>
    </row>
    <row r="2152" spans="2:7" ht="32.25" customHeight="1" x14ac:dyDescent="0.35">
      <c r="B2152" s="73"/>
      <c r="C2152" s="73"/>
      <c r="D2152" s="73"/>
      <c r="E2152" s="73"/>
      <c r="F2152" s="73"/>
      <c r="G2152" s="73"/>
    </row>
    <row r="2153" spans="2:7" ht="32.25" customHeight="1" x14ac:dyDescent="0.35">
      <c r="B2153" s="73"/>
      <c r="C2153" s="73"/>
      <c r="D2153" s="73"/>
      <c r="E2153" s="73"/>
      <c r="F2153" s="73"/>
      <c r="G2153" s="73"/>
    </row>
    <row r="2154" spans="2:7" ht="32.25" customHeight="1" x14ac:dyDescent="0.35">
      <c r="B2154" s="73"/>
      <c r="C2154" s="73"/>
      <c r="D2154" s="73"/>
      <c r="E2154" s="73"/>
      <c r="F2154" s="73"/>
      <c r="G2154" s="73"/>
    </row>
    <row r="2155" spans="2:7" ht="32.25" customHeight="1" x14ac:dyDescent="0.35">
      <c r="B2155" s="73"/>
      <c r="C2155" s="73"/>
      <c r="D2155" s="73"/>
      <c r="E2155" s="73"/>
      <c r="F2155" s="73"/>
      <c r="G2155" s="73"/>
    </row>
    <row r="2156" spans="2:7" ht="32.25" customHeight="1" x14ac:dyDescent="0.35">
      <c r="B2156" s="73"/>
      <c r="C2156" s="73"/>
      <c r="D2156" s="73"/>
      <c r="E2156" s="73"/>
      <c r="F2156" s="73"/>
      <c r="G2156" s="73"/>
    </row>
    <row r="2157" spans="2:7" ht="32.25" customHeight="1" x14ac:dyDescent="0.35">
      <c r="B2157" s="73"/>
      <c r="C2157" s="73"/>
      <c r="D2157" s="73"/>
      <c r="E2157" s="73"/>
      <c r="F2157" s="73"/>
      <c r="G2157" s="73"/>
    </row>
    <row r="2158" spans="2:7" ht="32.25" customHeight="1" x14ac:dyDescent="0.35">
      <c r="B2158" s="73"/>
      <c r="C2158" s="73"/>
      <c r="D2158" s="73"/>
      <c r="E2158" s="73"/>
      <c r="F2158" s="73"/>
      <c r="G2158" s="73"/>
    </row>
    <row r="2159" spans="2:7" ht="32.25" customHeight="1" x14ac:dyDescent="0.35">
      <c r="B2159" s="73"/>
      <c r="C2159" s="73"/>
      <c r="D2159" s="73"/>
      <c r="E2159" s="73"/>
      <c r="F2159" s="73"/>
      <c r="G2159" s="73"/>
    </row>
    <row r="2160" spans="2:7" ht="32.25" customHeight="1" x14ac:dyDescent="0.35">
      <c r="B2160" s="73"/>
      <c r="C2160" s="73"/>
      <c r="D2160" s="73"/>
      <c r="E2160" s="73"/>
      <c r="F2160" s="73"/>
      <c r="G2160" s="73"/>
    </row>
    <row r="2161" spans="2:7" ht="32.25" customHeight="1" x14ac:dyDescent="0.35">
      <c r="B2161" s="73"/>
      <c r="C2161" s="73"/>
      <c r="D2161" s="73"/>
      <c r="E2161" s="73"/>
      <c r="F2161" s="73"/>
      <c r="G2161" s="73"/>
    </row>
    <row r="2162" spans="2:7" ht="32.25" customHeight="1" x14ac:dyDescent="0.35">
      <c r="B2162" s="73"/>
      <c r="C2162" s="73"/>
      <c r="D2162" s="73"/>
      <c r="E2162" s="73"/>
      <c r="F2162" s="73"/>
      <c r="G2162" s="73"/>
    </row>
    <row r="2163" spans="2:7" ht="32.25" customHeight="1" x14ac:dyDescent="0.35">
      <c r="B2163" s="73"/>
      <c r="C2163" s="73"/>
      <c r="D2163" s="73"/>
      <c r="E2163" s="73"/>
      <c r="F2163" s="73"/>
      <c r="G2163" s="73"/>
    </row>
    <row r="2164" spans="2:7" ht="32.25" customHeight="1" x14ac:dyDescent="0.35">
      <c r="B2164" s="73"/>
      <c r="C2164" s="73"/>
      <c r="D2164" s="73"/>
      <c r="E2164" s="73"/>
      <c r="F2164" s="73"/>
      <c r="G2164" s="73"/>
    </row>
    <row r="2165" spans="2:7" ht="32.25" customHeight="1" x14ac:dyDescent="0.35">
      <c r="B2165" s="73"/>
      <c r="C2165" s="73"/>
      <c r="D2165" s="73"/>
      <c r="E2165" s="73"/>
      <c r="F2165" s="73"/>
      <c r="G2165" s="73"/>
    </row>
    <row r="2166" spans="2:7" ht="32.25" customHeight="1" x14ac:dyDescent="0.35">
      <c r="B2166" s="73"/>
      <c r="C2166" s="73"/>
      <c r="D2166" s="73"/>
      <c r="E2166" s="73"/>
      <c r="F2166" s="73"/>
      <c r="G2166" s="73"/>
    </row>
    <row r="2167" spans="2:7" ht="32.25" customHeight="1" x14ac:dyDescent="0.35">
      <c r="B2167" s="73"/>
      <c r="C2167" s="73"/>
      <c r="D2167" s="73"/>
      <c r="E2167" s="73"/>
      <c r="F2167" s="73"/>
      <c r="G2167" s="73"/>
    </row>
    <row r="2168" spans="2:7" ht="32.25" customHeight="1" x14ac:dyDescent="0.35">
      <c r="B2168" s="73"/>
      <c r="C2168" s="73"/>
      <c r="D2168" s="73"/>
      <c r="E2168" s="73"/>
      <c r="F2168" s="73"/>
      <c r="G2168" s="73"/>
    </row>
    <row r="2169" spans="2:7" ht="32.25" customHeight="1" x14ac:dyDescent="0.35">
      <c r="B2169" s="73"/>
      <c r="C2169" s="73"/>
      <c r="D2169" s="73"/>
      <c r="E2169" s="73"/>
      <c r="F2169" s="73"/>
      <c r="G2169" s="73"/>
    </row>
    <row r="2170" spans="2:7" ht="32.25" customHeight="1" x14ac:dyDescent="0.35">
      <c r="B2170" s="73"/>
      <c r="C2170" s="73"/>
      <c r="D2170" s="73"/>
      <c r="E2170" s="73"/>
      <c r="F2170" s="73"/>
      <c r="G2170" s="73"/>
    </row>
    <row r="2171" spans="2:7" ht="32.25" customHeight="1" x14ac:dyDescent="0.35">
      <c r="B2171" s="73"/>
      <c r="C2171" s="73"/>
      <c r="D2171" s="73"/>
      <c r="E2171" s="73"/>
      <c r="F2171" s="73"/>
      <c r="G2171" s="73"/>
    </row>
    <row r="2172" spans="2:7" ht="32.25" customHeight="1" x14ac:dyDescent="0.35">
      <c r="B2172" s="73"/>
      <c r="C2172" s="73"/>
      <c r="D2172" s="73"/>
      <c r="E2172" s="73"/>
      <c r="F2172" s="73"/>
      <c r="G2172" s="73"/>
    </row>
    <row r="2173" spans="2:7" ht="32.25" customHeight="1" x14ac:dyDescent="0.35">
      <c r="B2173" s="73"/>
      <c r="C2173" s="73"/>
      <c r="D2173" s="73"/>
      <c r="E2173" s="73"/>
      <c r="F2173" s="73"/>
      <c r="G2173" s="73"/>
    </row>
    <row r="2174" spans="2:7" ht="32.25" customHeight="1" x14ac:dyDescent="0.35">
      <c r="B2174" s="73"/>
      <c r="C2174" s="73"/>
      <c r="D2174" s="73"/>
      <c r="E2174" s="73"/>
      <c r="F2174" s="73"/>
      <c r="G2174" s="73"/>
    </row>
    <row r="2175" spans="2:7" ht="32.25" customHeight="1" x14ac:dyDescent="0.35">
      <c r="B2175" s="73"/>
      <c r="C2175" s="73"/>
      <c r="D2175" s="73"/>
      <c r="E2175" s="73"/>
      <c r="F2175" s="73"/>
      <c r="G2175" s="73"/>
    </row>
    <row r="2176" spans="2:7" ht="32.25" customHeight="1" x14ac:dyDescent="0.35">
      <c r="B2176" s="73"/>
      <c r="C2176" s="73"/>
      <c r="D2176" s="73"/>
      <c r="E2176" s="73"/>
      <c r="F2176" s="73"/>
      <c r="G2176" s="73"/>
    </row>
    <row r="2177" spans="2:7" ht="32.25" customHeight="1" x14ac:dyDescent="0.35">
      <c r="B2177" s="73"/>
      <c r="C2177" s="73"/>
      <c r="D2177" s="73"/>
      <c r="E2177" s="73"/>
      <c r="F2177" s="73"/>
      <c r="G2177" s="73"/>
    </row>
    <row r="2178" spans="2:7" ht="32.25" customHeight="1" x14ac:dyDescent="0.35">
      <c r="B2178" s="73"/>
      <c r="C2178" s="73"/>
      <c r="D2178" s="73"/>
      <c r="E2178" s="73"/>
      <c r="F2178" s="73"/>
      <c r="G2178" s="73"/>
    </row>
    <row r="2179" spans="2:7" ht="32.25" customHeight="1" x14ac:dyDescent="0.35">
      <c r="B2179" s="73"/>
      <c r="C2179" s="73"/>
      <c r="D2179" s="73"/>
      <c r="E2179" s="73"/>
      <c r="F2179" s="73"/>
      <c r="G2179" s="73"/>
    </row>
    <row r="2180" spans="2:7" ht="32.25" customHeight="1" x14ac:dyDescent="0.35">
      <c r="B2180" s="73"/>
      <c r="C2180" s="73"/>
      <c r="D2180" s="73"/>
      <c r="E2180" s="73"/>
      <c r="F2180" s="73"/>
      <c r="G2180" s="73"/>
    </row>
    <row r="2181" spans="2:7" ht="32.25" customHeight="1" x14ac:dyDescent="0.35">
      <c r="B2181" s="73"/>
      <c r="C2181" s="73"/>
      <c r="D2181" s="73"/>
      <c r="E2181" s="73"/>
      <c r="F2181" s="73"/>
      <c r="G2181" s="73"/>
    </row>
    <row r="2182" spans="2:7" ht="32.25" customHeight="1" x14ac:dyDescent="0.35">
      <c r="B2182" s="73"/>
      <c r="C2182" s="73"/>
      <c r="D2182" s="73"/>
      <c r="E2182" s="73"/>
      <c r="F2182" s="73"/>
      <c r="G2182" s="73"/>
    </row>
    <row r="2183" spans="2:7" ht="32.25" customHeight="1" x14ac:dyDescent="0.35">
      <c r="B2183" s="73"/>
      <c r="C2183" s="73"/>
      <c r="D2183" s="73"/>
      <c r="E2183" s="73"/>
      <c r="F2183" s="73"/>
      <c r="G2183" s="73"/>
    </row>
    <row r="2184" spans="2:7" ht="32.25" customHeight="1" x14ac:dyDescent="0.35">
      <c r="B2184" s="73"/>
      <c r="C2184" s="73"/>
      <c r="D2184" s="73"/>
      <c r="E2184" s="73"/>
      <c r="F2184" s="73"/>
      <c r="G2184" s="73"/>
    </row>
    <row r="2185" spans="2:7" ht="32.25" customHeight="1" x14ac:dyDescent="0.35">
      <c r="B2185" s="73"/>
      <c r="C2185" s="73"/>
      <c r="D2185" s="73"/>
      <c r="E2185" s="73"/>
      <c r="F2185" s="73"/>
      <c r="G2185" s="73"/>
    </row>
    <row r="2186" spans="2:7" ht="32.25" customHeight="1" x14ac:dyDescent="0.35">
      <c r="B2186" s="73"/>
      <c r="C2186" s="73"/>
      <c r="D2186" s="73"/>
      <c r="E2186" s="73"/>
      <c r="F2186" s="73"/>
      <c r="G2186" s="73"/>
    </row>
    <row r="2187" spans="2:7" ht="32.25" customHeight="1" x14ac:dyDescent="0.35">
      <c r="B2187" s="73"/>
      <c r="C2187" s="73"/>
      <c r="D2187" s="73"/>
      <c r="E2187" s="73"/>
      <c r="F2187" s="73"/>
      <c r="G2187" s="73"/>
    </row>
    <row r="2188" spans="2:7" ht="32.25" customHeight="1" x14ac:dyDescent="0.35">
      <c r="B2188" s="73"/>
      <c r="C2188" s="73"/>
      <c r="D2188" s="73"/>
      <c r="E2188" s="73"/>
      <c r="F2188" s="73"/>
      <c r="G2188" s="73"/>
    </row>
    <row r="2189" spans="2:7" ht="32.25" customHeight="1" x14ac:dyDescent="0.35">
      <c r="B2189" s="73"/>
      <c r="C2189" s="73"/>
      <c r="D2189" s="73"/>
      <c r="E2189" s="73"/>
      <c r="F2189" s="73"/>
      <c r="G2189" s="73"/>
    </row>
    <row r="2190" spans="2:7" ht="32.25" customHeight="1" x14ac:dyDescent="0.35">
      <c r="B2190" s="73"/>
      <c r="C2190" s="73"/>
      <c r="D2190" s="73"/>
      <c r="E2190" s="73"/>
      <c r="F2190" s="73"/>
      <c r="G2190" s="73"/>
    </row>
    <row r="2191" spans="2:7" ht="32.25" customHeight="1" x14ac:dyDescent="0.35">
      <c r="B2191" s="73"/>
      <c r="C2191" s="73"/>
      <c r="D2191" s="73"/>
      <c r="E2191" s="73"/>
      <c r="F2191" s="73"/>
      <c r="G2191" s="73"/>
    </row>
    <row r="2192" spans="2:7" ht="32.25" customHeight="1" x14ac:dyDescent="0.35">
      <c r="B2192" s="73"/>
      <c r="C2192" s="73"/>
      <c r="D2192" s="73"/>
      <c r="E2192" s="73"/>
      <c r="F2192" s="73"/>
      <c r="G2192" s="73"/>
    </row>
    <row r="2193" spans="2:7" ht="32.25" customHeight="1" x14ac:dyDescent="0.35">
      <c r="B2193" s="73"/>
      <c r="C2193" s="73"/>
      <c r="D2193" s="73"/>
      <c r="E2193" s="73"/>
      <c r="F2193" s="73"/>
      <c r="G2193" s="73"/>
    </row>
    <row r="2194" spans="2:7" ht="32.25" customHeight="1" x14ac:dyDescent="0.35">
      <c r="B2194" s="73"/>
      <c r="C2194" s="73"/>
      <c r="D2194" s="73"/>
      <c r="E2194" s="73"/>
      <c r="F2194" s="73"/>
      <c r="G2194" s="73"/>
    </row>
    <row r="2195" spans="2:7" ht="32.25" customHeight="1" x14ac:dyDescent="0.35">
      <c r="B2195" s="73"/>
      <c r="C2195" s="73"/>
      <c r="D2195" s="73"/>
      <c r="E2195" s="73"/>
      <c r="F2195" s="73"/>
      <c r="G2195" s="73"/>
    </row>
    <row r="2196" spans="2:7" ht="32.25" customHeight="1" x14ac:dyDescent="0.35">
      <c r="B2196" s="73"/>
      <c r="C2196" s="73"/>
      <c r="D2196" s="73"/>
      <c r="E2196" s="73"/>
      <c r="F2196" s="73"/>
      <c r="G2196" s="73"/>
    </row>
    <row r="2197" spans="2:7" ht="32.25" customHeight="1" x14ac:dyDescent="0.35">
      <c r="B2197" s="73"/>
      <c r="C2197" s="73"/>
      <c r="D2197" s="73"/>
      <c r="E2197" s="73"/>
      <c r="F2197" s="73"/>
      <c r="G2197" s="73"/>
    </row>
    <row r="2198" spans="2:7" ht="32.25" customHeight="1" x14ac:dyDescent="0.35">
      <c r="B2198" s="73"/>
      <c r="C2198" s="73"/>
      <c r="D2198" s="73"/>
      <c r="E2198" s="73"/>
      <c r="F2198" s="73"/>
      <c r="G2198" s="73"/>
    </row>
    <row r="2199" spans="2:7" ht="32.25" customHeight="1" x14ac:dyDescent="0.35">
      <c r="B2199" s="73"/>
      <c r="C2199" s="73"/>
      <c r="D2199" s="73"/>
      <c r="E2199" s="73"/>
      <c r="F2199" s="73"/>
      <c r="G2199" s="73"/>
    </row>
    <row r="2200" spans="2:7" ht="32.25" customHeight="1" x14ac:dyDescent="0.35">
      <c r="B2200" s="73"/>
      <c r="C2200" s="73"/>
      <c r="D2200" s="73"/>
      <c r="E2200" s="73"/>
      <c r="F2200" s="73"/>
      <c r="G2200" s="73"/>
    </row>
    <row r="2201" spans="2:7" ht="32.25" customHeight="1" x14ac:dyDescent="0.35">
      <c r="B2201" s="73"/>
      <c r="C2201" s="73"/>
      <c r="D2201" s="73"/>
      <c r="E2201" s="73"/>
      <c r="F2201" s="73"/>
      <c r="G2201" s="73"/>
    </row>
    <row r="2202" spans="2:7" ht="32.25" customHeight="1" x14ac:dyDescent="0.35">
      <c r="B2202" s="73"/>
      <c r="C2202" s="73"/>
      <c r="D2202" s="73"/>
      <c r="E2202" s="73"/>
      <c r="F2202" s="73"/>
      <c r="G2202" s="73"/>
    </row>
    <row r="2203" spans="2:7" ht="32.25" customHeight="1" x14ac:dyDescent="0.35">
      <c r="B2203" s="73"/>
      <c r="C2203" s="73"/>
      <c r="D2203" s="73"/>
      <c r="E2203" s="73"/>
      <c r="F2203" s="73"/>
      <c r="G2203" s="73"/>
    </row>
    <row r="2204" spans="2:7" ht="32.25" customHeight="1" x14ac:dyDescent="0.35">
      <c r="B2204" s="73"/>
      <c r="C2204" s="73"/>
      <c r="D2204" s="73"/>
      <c r="E2204" s="73"/>
      <c r="F2204" s="73"/>
      <c r="G2204" s="73"/>
    </row>
    <row r="2205" spans="2:7" ht="32.25" customHeight="1" x14ac:dyDescent="0.35">
      <c r="B2205" s="73"/>
      <c r="C2205" s="73"/>
      <c r="D2205" s="73"/>
      <c r="E2205" s="73"/>
      <c r="F2205" s="73"/>
      <c r="G2205" s="73"/>
    </row>
    <row r="2206" spans="2:7" ht="32.25" customHeight="1" x14ac:dyDescent="0.35">
      <c r="B2206" s="73"/>
      <c r="C2206" s="73"/>
      <c r="D2206" s="73"/>
      <c r="E2206" s="73"/>
      <c r="F2206" s="73"/>
      <c r="G2206" s="73"/>
    </row>
    <row r="2207" spans="2:7" ht="32.25" customHeight="1" x14ac:dyDescent="0.35">
      <c r="B2207" s="73"/>
      <c r="C2207" s="73"/>
      <c r="D2207" s="73"/>
      <c r="E2207" s="73"/>
      <c r="F2207" s="73"/>
      <c r="G2207" s="73"/>
    </row>
    <row r="2208" spans="2:7" ht="32.25" customHeight="1" x14ac:dyDescent="0.35">
      <c r="B2208" s="73"/>
      <c r="C2208" s="73"/>
      <c r="D2208" s="73"/>
      <c r="E2208" s="73"/>
      <c r="F2208" s="73"/>
      <c r="G2208" s="73"/>
    </row>
    <row r="2209" spans="2:7" ht="32.25" customHeight="1" x14ac:dyDescent="0.35">
      <c r="B2209" s="73"/>
      <c r="C2209" s="73"/>
      <c r="D2209" s="73"/>
      <c r="E2209" s="73"/>
      <c r="F2209" s="73"/>
      <c r="G2209" s="73"/>
    </row>
    <row r="2210" spans="2:7" ht="32.25" customHeight="1" x14ac:dyDescent="0.35">
      <c r="B2210" s="73"/>
      <c r="C2210" s="73"/>
      <c r="D2210" s="73"/>
      <c r="E2210" s="73"/>
      <c r="F2210" s="73"/>
      <c r="G2210" s="73"/>
    </row>
    <row r="2211" spans="2:7" ht="32.25" customHeight="1" x14ac:dyDescent="0.35">
      <c r="B2211" s="73"/>
      <c r="C2211" s="73"/>
      <c r="D2211" s="73"/>
      <c r="E2211" s="73"/>
      <c r="F2211" s="73"/>
      <c r="G2211" s="73"/>
    </row>
    <row r="2212" spans="2:7" ht="32.25" customHeight="1" x14ac:dyDescent="0.35">
      <c r="B2212" s="73"/>
      <c r="C2212" s="73"/>
      <c r="D2212" s="73"/>
      <c r="E2212" s="73"/>
      <c r="F2212" s="73"/>
      <c r="G2212" s="73"/>
    </row>
    <row r="2213" spans="2:7" ht="32.25" customHeight="1" x14ac:dyDescent="0.35">
      <c r="B2213" s="73"/>
      <c r="C2213" s="73"/>
      <c r="D2213" s="73"/>
      <c r="E2213" s="73"/>
      <c r="F2213" s="73"/>
      <c r="G2213" s="73"/>
    </row>
    <row r="2214" spans="2:7" ht="32.25" customHeight="1" x14ac:dyDescent="0.35">
      <c r="B2214" s="73"/>
      <c r="C2214" s="73"/>
      <c r="D2214" s="73"/>
      <c r="E2214" s="73"/>
      <c r="F2214" s="73"/>
      <c r="G2214" s="73"/>
    </row>
    <row r="2215" spans="2:7" ht="32.25" customHeight="1" x14ac:dyDescent="0.35">
      <c r="B2215" s="73"/>
      <c r="C2215" s="73"/>
      <c r="D2215" s="73"/>
      <c r="E2215" s="73"/>
      <c r="F2215" s="73"/>
      <c r="G2215" s="73"/>
    </row>
    <row r="2216" spans="2:7" ht="32.25" customHeight="1" x14ac:dyDescent="0.35">
      <c r="B2216" s="73"/>
      <c r="C2216" s="73"/>
      <c r="D2216" s="73"/>
      <c r="E2216" s="73"/>
      <c r="F2216" s="73"/>
      <c r="G2216" s="73"/>
    </row>
    <row r="2217" spans="2:7" ht="32.25" customHeight="1" x14ac:dyDescent="0.35">
      <c r="B2217" s="73"/>
      <c r="C2217" s="73"/>
      <c r="D2217" s="73"/>
      <c r="E2217" s="73"/>
      <c r="F2217" s="73"/>
      <c r="G2217" s="73"/>
    </row>
    <row r="2218" spans="2:7" ht="32.25" customHeight="1" x14ac:dyDescent="0.35">
      <c r="B2218" s="73"/>
      <c r="C2218" s="73"/>
      <c r="D2218" s="73"/>
      <c r="E2218" s="73"/>
      <c r="F2218" s="73"/>
      <c r="G2218" s="73"/>
    </row>
    <row r="2219" spans="2:7" ht="32.25" customHeight="1" x14ac:dyDescent="0.35">
      <c r="B2219" s="73"/>
      <c r="C2219" s="73"/>
      <c r="D2219" s="73"/>
      <c r="E2219" s="73"/>
      <c r="F2219" s="73"/>
      <c r="G2219" s="73"/>
    </row>
    <row r="2220" spans="2:7" ht="32.25" customHeight="1" x14ac:dyDescent="0.35">
      <c r="B2220" s="73"/>
      <c r="C2220" s="73"/>
      <c r="D2220" s="73"/>
      <c r="E2220" s="73"/>
      <c r="F2220" s="73"/>
      <c r="G2220" s="73"/>
    </row>
    <row r="2221" spans="2:7" ht="32.25" customHeight="1" x14ac:dyDescent="0.35">
      <c r="B2221" s="73"/>
      <c r="C2221" s="73"/>
      <c r="D2221" s="73"/>
      <c r="E2221" s="73"/>
      <c r="F2221" s="73"/>
      <c r="G2221" s="73"/>
    </row>
    <row r="2222" spans="2:7" ht="32.25" customHeight="1" x14ac:dyDescent="0.35">
      <c r="B2222" s="73"/>
      <c r="C2222" s="73"/>
      <c r="D2222" s="73"/>
      <c r="E2222" s="73"/>
      <c r="F2222" s="73"/>
      <c r="G2222" s="73"/>
    </row>
    <row r="2223" spans="2:7" ht="32.25" customHeight="1" x14ac:dyDescent="0.35">
      <c r="B2223" s="73"/>
      <c r="C2223" s="73"/>
      <c r="D2223" s="73"/>
      <c r="E2223" s="73"/>
      <c r="F2223" s="73"/>
      <c r="G2223" s="73"/>
    </row>
    <row r="2224" spans="2:7" ht="32.25" customHeight="1" x14ac:dyDescent="0.35">
      <c r="B2224" s="73"/>
      <c r="C2224" s="73"/>
      <c r="D2224" s="73"/>
      <c r="E2224" s="73"/>
      <c r="F2224" s="73"/>
      <c r="G2224" s="73"/>
    </row>
    <row r="2225" spans="2:7" ht="32.25" customHeight="1" x14ac:dyDescent="0.35">
      <c r="B2225" s="73"/>
      <c r="C2225" s="73"/>
      <c r="D2225" s="73"/>
      <c r="E2225" s="73"/>
      <c r="F2225" s="73"/>
      <c r="G2225" s="73"/>
    </row>
    <row r="2226" spans="2:7" ht="32.25" customHeight="1" x14ac:dyDescent="0.35">
      <c r="B2226" s="73"/>
      <c r="C2226" s="73"/>
      <c r="D2226" s="73"/>
      <c r="E2226" s="73"/>
      <c r="F2226" s="73"/>
      <c r="G2226" s="73"/>
    </row>
    <row r="2227" spans="2:7" ht="32.25" customHeight="1" x14ac:dyDescent="0.35">
      <c r="B2227" s="73"/>
      <c r="C2227" s="73"/>
      <c r="D2227" s="73"/>
      <c r="E2227" s="73"/>
      <c r="F2227" s="73"/>
      <c r="G2227" s="73"/>
    </row>
    <row r="2228" spans="2:7" ht="32.25" customHeight="1" x14ac:dyDescent="0.35">
      <c r="B2228" s="73"/>
      <c r="C2228" s="73"/>
      <c r="D2228" s="73"/>
      <c r="E2228" s="73"/>
      <c r="F2228" s="73"/>
      <c r="G2228" s="73"/>
    </row>
    <row r="2229" spans="2:7" ht="32.25" customHeight="1" x14ac:dyDescent="0.35">
      <c r="B2229" s="73"/>
      <c r="C2229" s="73"/>
      <c r="D2229" s="73"/>
      <c r="E2229" s="73"/>
      <c r="F2229" s="73"/>
      <c r="G2229" s="73"/>
    </row>
    <row r="2230" spans="2:7" ht="32.25" customHeight="1" x14ac:dyDescent="0.35">
      <c r="B2230" s="73"/>
      <c r="C2230" s="73"/>
      <c r="D2230" s="73"/>
      <c r="E2230" s="73"/>
      <c r="F2230" s="73"/>
      <c r="G2230" s="73"/>
    </row>
    <row r="2231" spans="2:7" ht="32.25" customHeight="1" x14ac:dyDescent="0.35">
      <c r="B2231" s="73"/>
      <c r="C2231" s="73"/>
      <c r="D2231" s="73"/>
      <c r="E2231" s="73"/>
      <c r="F2231" s="73"/>
      <c r="G2231" s="73"/>
    </row>
    <row r="2232" spans="2:7" ht="32.25" customHeight="1" x14ac:dyDescent="0.35">
      <c r="B2232" s="73"/>
      <c r="C2232" s="73"/>
      <c r="D2232" s="73"/>
      <c r="E2232" s="73"/>
      <c r="F2232" s="73"/>
      <c r="G2232" s="73"/>
    </row>
    <row r="2233" spans="2:7" ht="32.25" customHeight="1" x14ac:dyDescent="0.35">
      <c r="B2233" s="73"/>
      <c r="C2233" s="73"/>
      <c r="D2233" s="73"/>
      <c r="E2233" s="73"/>
      <c r="F2233" s="73"/>
      <c r="G2233" s="73"/>
    </row>
    <row r="2234" spans="2:7" ht="32.25" customHeight="1" x14ac:dyDescent="0.35">
      <c r="B2234" s="73"/>
      <c r="C2234" s="73"/>
      <c r="D2234" s="73"/>
      <c r="E2234" s="73"/>
      <c r="F2234" s="73"/>
      <c r="G2234" s="73"/>
    </row>
    <row r="2235" spans="2:7" ht="32.25" customHeight="1" x14ac:dyDescent="0.35">
      <c r="B2235" s="73"/>
      <c r="C2235" s="73"/>
      <c r="D2235" s="73"/>
      <c r="E2235" s="73"/>
      <c r="F2235" s="73"/>
      <c r="G2235" s="73"/>
    </row>
    <row r="2236" spans="2:7" ht="32.25" customHeight="1" x14ac:dyDescent="0.35">
      <c r="B2236" s="73"/>
      <c r="C2236" s="73"/>
      <c r="D2236" s="73"/>
      <c r="E2236" s="73"/>
      <c r="F2236" s="73"/>
      <c r="G2236" s="73"/>
    </row>
    <row r="2237" spans="2:7" ht="32.25" customHeight="1" x14ac:dyDescent="0.35">
      <c r="B2237" s="73"/>
      <c r="C2237" s="73"/>
      <c r="D2237" s="73"/>
      <c r="E2237" s="73"/>
      <c r="F2237" s="73"/>
      <c r="G2237" s="73"/>
    </row>
    <row r="2238" spans="2:7" ht="32.25" customHeight="1" x14ac:dyDescent="0.35">
      <c r="B2238" s="73"/>
      <c r="C2238" s="73"/>
      <c r="D2238" s="73"/>
      <c r="E2238" s="73"/>
      <c r="F2238" s="73"/>
      <c r="G2238" s="73"/>
    </row>
    <row r="2239" spans="2:7" ht="32.25" customHeight="1" x14ac:dyDescent="0.35">
      <c r="B2239" s="73"/>
      <c r="C2239" s="73"/>
      <c r="D2239" s="73"/>
      <c r="E2239" s="73"/>
      <c r="F2239" s="73"/>
      <c r="G2239" s="73"/>
    </row>
    <row r="2240" spans="2:7" ht="32.25" customHeight="1" x14ac:dyDescent="0.35">
      <c r="B2240" s="73"/>
      <c r="C2240" s="73"/>
      <c r="D2240" s="73"/>
      <c r="E2240" s="73"/>
      <c r="F2240" s="73"/>
      <c r="G2240" s="73"/>
    </row>
    <row r="2241" spans="2:7" ht="32.25" customHeight="1" x14ac:dyDescent="0.35">
      <c r="B2241" s="73"/>
      <c r="C2241" s="73"/>
      <c r="D2241" s="73"/>
      <c r="E2241" s="73"/>
      <c r="F2241" s="73"/>
      <c r="G2241" s="73"/>
    </row>
    <row r="2242" spans="2:7" ht="32.25" customHeight="1" x14ac:dyDescent="0.35">
      <c r="B2242" s="73"/>
      <c r="C2242" s="73"/>
      <c r="D2242" s="73"/>
      <c r="E2242" s="73"/>
      <c r="F2242" s="73"/>
      <c r="G2242" s="73"/>
    </row>
    <row r="2243" spans="2:7" ht="32.25" customHeight="1" x14ac:dyDescent="0.35">
      <c r="B2243" s="73"/>
      <c r="C2243" s="73"/>
      <c r="D2243" s="73"/>
      <c r="E2243" s="73"/>
      <c r="F2243" s="73"/>
      <c r="G2243" s="73"/>
    </row>
    <row r="2244" spans="2:7" ht="32.25" customHeight="1" x14ac:dyDescent="0.35">
      <c r="B2244" s="73"/>
      <c r="C2244" s="73"/>
      <c r="D2244" s="73"/>
      <c r="E2244" s="73"/>
      <c r="F2244" s="73"/>
      <c r="G2244" s="73"/>
    </row>
    <row r="2245" spans="2:7" ht="32.25" customHeight="1" x14ac:dyDescent="0.35">
      <c r="B2245" s="73"/>
      <c r="C2245" s="73"/>
      <c r="D2245" s="73"/>
      <c r="E2245" s="73"/>
      <c r="F2245" s="73"/>
      <c r="G2245" s="73"/>
    </row>
    <row r="2246" spans="2:7" ht="32.25" customHeight="1" x14ac:dyDescent="0.35">
      <c r="B2246" s="73"/>
      <c r="C2246" s="73"/>
      <c r="D2246" s="73"/>
      <c r="E2246" s="73"/>
      <c r="F2246" s="73"/>
      <c r="G2246" s="73"/>
    </row>
    <row r="2247" spans="2:7" ht="32.25" customHeight="1" x14ac:dyDescent="0.35">
      <c r="B2247" s="73"/>
      <c r="C2247" s="73"/>
      <c r="D2247" s="73"/>
      <c r="E2247" s="73"/>
      <c r="F2247" s="73"/>
      <c r="G2247" s="73"/>
    </row>
    <row r="2248" spans="2:7" ht="32.25" customHeight="1" x14ac:dyDescent="0.35">
      <c r="B2248" s="73"/>
      <c r="C2248" s="73"/>
      <c r="D2248" s="73"/>
      <c r="E2248" s="73"/>
      <c r="F2248" s="73"/>
      <c r="G2248" s="73"/>
    </row>
    <row r="2249" spans="2:7" ht="32.25" customHeight="1" x14ac:dyDescent="0.35">
      <c r="B2249" s="73"/>
      <c r="C2249" s="73"/>
      <c r="D2249" s="73"/>
      <c r="E2249" s="73"/>
      <c r="F2249" s="73"/>
      <c r="G2249" s="73"/>
    </row>
    <row r="2250" spans="2:7" ht="32.25" customHeight="1" x14ac:dyDescent="0.35">
      <c r="B2250" s="73"/>
      <c r="C2250" s="73"/>
      <c r="D2250" s="73"/>
      <c r="E2250" s="73"/>
      <c r="F2250" s="73"/>
      <c r="G2250" s="73"/>
    </row>
    <row r="2251" spans="2:7" ht="32.25" customHeight="1" x14ac:dyDescent="0.35">
      <c r="B2251" s="73"/>
      <c r="C2251" s="73"/>
      <c r="D2251" s="73"/>
      <c r="E2251" s="73"/>
      <c r="F2251" s="73"/>
      <c r="G2251" s="73"/>
    </row>
    <row r="2252" spans="2:7" ht="32.25" customHeight="1" x14ac:dyDescent="0.35">
      <c r="B2252" s="73"/>
      <c r="C2252" s="73"/>
      <c r="D2252" s="73"/>
      <c r="E2252" s="73"/>
      <c r="F2252" s="73"/>
      <c r="G2252" s="73"/>
    </row>
    <row r="2253" spans="2:7" ht="32.25" customHeight="1" x14ac:dyDescent="0.35">
      <c r="B2253" s="73"/>
      <c r="C2253" s="73"/>
      <c r="D2253" s="73"/>
      <c r="E2253" s="73"/>
      <c r="F2253" s="73"/>
      <c r="G2253" s="73"/>
    </row>
    <row r="2254" spans="2:7" ht="32.25" customHeight="1" x14ac:dyDescent="0.35">
      <c r="B2254" s="73"/>
      <c r="C2254" s="73"/>
      <c r="D2254" s="73"/>
      <c r="E2254" s="73"/>
      <c r="F2254" s="73"/>
      <c r="G2254" s="73"/>
    </row>
    <row r="2255" spans="2:7" ht="32.25" customHeight="1" x14ac:dyDescent="0.35">
      <c r="B2255" s="73"/>
      <c r="C2255" s="73"/>
      <c r="D2255" s="73"/>
      <c r="E2255" s="73"/>
      <c r="F2255" s="73"/>
      <c r="G2255" s="73"/>
    </row>
    <row r="2256" spans="2:7" ht="32.25" customHeight="1" x14ac:dyDescent="0.35">
      <c r="B2256" s="73"/>
      <c r="C2256" s="73"/>
      <c r="D2256" s="73"/>
      <c r="E2256" s="73"/>
      <c r="F2256" s="73"/>
      <c r="G2256" s="73"/>
    </row>
    <row r="2257" spans="2:7" ht="32.25" customHeight="1" x14ac:dyDescent="0.35">
      <c r="B2257" s="73"/>
      <c r="C2257" s="73"/>
      <c r="D2257" s="73"/>
      <c r="E2257" s="73"/>
      <c r="F2257" s="73"/>
      <c r="G2257" s="73"/>
    </row>
    <row r="2258" spans="2:7" ht="32.25" customHeight="1" x14ac:dyDescent="0.35">
      <c r="B2258" s="73"/>
      <c r="C2258" s="73"/>
      <c r="D2258" s="73"/>
      <c r="E2258" s="73"/>
      <c r="F2258" s="73"/>
      <c r="G2258" s="73"/>
    </row>
    <row r="2259" spans="2:7" ht="32.25" customHeight="1" x14ac:dyDescent="0.35">
      <c r="B2259" s="73"/>
      <c r="C2259" s="73"/>
      <c r="D2259" s="73"/>
      <c r="E2259" s="73"/>
      <c r="F2259" s="73"/>
      <c r="G2259" s="73"/>
    </row>
    <row r="2260" spans="2:7" ht="32.25" customHeight="1" x14ac:dyDescent="0.35">
      <c r="B2260" s="73"/>
      <c r="C2260" s="73"/>
      <c r="D2260" s="73"/>
      <c r="E2260" s="73"/>
      <c r="F2260" s="73"/>
      <c r="G2260" s="73"/>
    </row>
    <row r="2261" spans="2:7" ht="32.25" customHeight="1" x14ac:dyDescent="0.35">
      <c r="B2261" s="73"/>
      <c r="C2261" s="73"/>
      <c r="D2261" s="73"/>
      <c r="E2261" s="73"/>
      <c r="F2261" s="73"/>
      <c r="G2261" s="73"/>
    </row>
    <row r="2262" spans="2:7" ht="32.25" customHeight="1" x14ac:dyDescent="0.35">
      <c r="B2262" s="73"/>
      <c r="C2262" s="73"/>
      <c r="D2262" s="73"/>
      <c r="E2262" s="73"/>
      <c r="F2262" s="73"/>
      <c r="G2262" s="73"/>
    </row>
    <row r="2263" spans="2:7" ht="32.25" customHeight="1" x14ac:dyDescent="0.35">
      <c r="B2263" s="73"/>
      <c r="C2263" s="73"/>
      <c r="D2263" s="73"/>
      <c r="E2263" s="73"/>
      <c r="F2263" s="73"/>
      <c r="G2263" s="73"/>
    </row>
    <row r="2264" spans="2:7" ht="32.25" customHeight="1" x14ac:dyDescent="0.35">
      <c r="B2264" s="73"/>
      <c r="C2264" s="73"/>
      <c r="D2264" s="73"/>
      <c r="E2264" s="73"/>
      <c r="F2264" s="73"/>
      <c r="G2264" s="73"/>
    </row>
    <row r="2265" spans="2:7" ht="32.25" customHeight="1" x14ac:dyDescent="0.35">
      <c r="B2265" s="73"/>
      <c r="C2265" s="73"/>
      <c r="D2265" s="73"/>
      <c r="E2265" s="73"/>
      <c r="F2265" s="73"/>
      <c r="G2265" s="73"/>
    </row>
    <row r="2266" spans="2:7" ht="32.25" customHeight="1" x14ac:dyDescent="0.35">
      <c r="B2266" s="73"/>
      <c r="C2266" s="73"/>
      <c r="D2266" s="73"/>
      <c r="E2266" s="73"/>
      <c r="F2266" s="73"/>
      <c r="G2266" s="73"/>
    </row>
    <row r="2267" spans="2:7" ht="32.25" customHeight="1" x14ac:dyDescent="0.35">
      <c r="B2267" s="73"/>
      <c r="C2267" s="73"/>
      <c r="D2267" s="73"/>
      <c r="E2267" s="73"/>
      <c r="F2267" s="73"/>
      <c r="G2267" s="73"/>
    </row>
    <row r="2268" spans="2:7" ht="32.25" customHeight="1" x14ac:dyDescent="0.35">
      <c r="B2268" s="73"/>
      <c r="C2268" s="73"/>
      <c r="D2268" s="73"/>
      <c r="E2268" s="73"/>
      <c r="F2268" s="73"/>
      <c r="G2268" s="73"/>
    </row>
    <row r="2269" spans="2:7" ht="32.25" customHeight="1" x14ac:dyDescent="0.35">
      <c r="B2269" s="73"/>
      <c r="C2269" s="73"/>
      <c r="D2269" s="73"/>
      <c r="E2269" s="73"/>
      <c r="F2269" s="73"/>
      <c r="G2269" s="73"/>
    </row>
    <row r="2270" spans="2:7" ht="32.25" customHeight="1" x14ac:dyDescent="0.35">
      <c r="B2270" s="73"/>
      <c r="C2270" s="73"/>
      <c r="D2270" s="73"/>
      <c r="E2270" s="73"/>
      <c r="F2270" s="73"/>
      <c r="G2270" s="73"/>
    </row>
    <row r="2271" spans="2:7" ht="32.25" customHeight="1" x14ac:dyDescent="0.35">
      <c r="B2271" s="73"/>
      <c r="C2271" s="73"/>
      <c r="D2271" s="73"/>
      <c r="E2271" s="73"/>
      <c r="F2271" s="73"/>
      <c r="G2271" s="73"/>
    </row>
    <row r="2272" spans="2:7" ht="32.25" customHeight="1" x14ac:dyDescent="0.35">
      <c r="B2272" s="73"/>
      <c r="C2272" s="73"/>
      <c r="D2272" s="73"/>
      <c r="E2272" s="73"/>
      <c r="F2272" s="73"/>
      <c r="G2272" s="73"/>
    </row>
    <row r="2273" spans="2:7" ht="32.25" customHeight="1" x14ac:dyDescent="0.35">
      <c r="B2273" s="73"/>
      <c r="C2273" s="73"/>
      <c r="D2273" s="73"/>
      <c r="E2273" s="73"/>
      <c r="F2273" s="73"/>
      <c r="G2273" s="73"/>
    </row>
    <row r="2274" spans="2:7" ht="32.25" customHeight="1" x14ac:dyDescent="0.35">
      <c r="B2274" s="73"/>
      <c r="C2274" s="73"/>
      <c r="D2274" s="73"/>
      <c r="E2274" s="73"/>
      <c r="F2274" s="73"/>
      <c r="G2274" s="73"/>
    </row>
    <row r="2275" spans="2:7" ht="32.25" customHeight="1" x14ac:dyDescent="0.35">
      <c r="B2275" s="73"/>
      <c r="C2275" s="73"/>
      <c r="D2275" s="73"/>
      <c r="E2275" s="73"/>
      <c r="F2275" s="73"/>
      <c r="G2275" s="73"/>
    </row>
    <row r="2276" spans="2:7" ht="32.25" customHeight="1" x14ac:dyDescent="0.35">
      <c r="B2276" s="73"/>
      <c r="C2276" s="73"/>
      <c r="D2276" s="73"/>
      <c r="E2276" s="73"/>
      <c r="F2276" s="73"/>
      <c r="G2276" s="73"/>
    </row>
    <row r="2277" spans="2:7" ht="32.25" customHeight="1" x14ac:dyDescent="0.35">
      <c r="B2277" s="73"/>
      <c r="C2277" s="73"/>
      <c r="D2277" s="73"/>
      <c r="E2277" s="73"/>
      <c r="F2277" s="73"/>
      <c r="G2277" s="73"/>
    </row>
    <row r="2278" spans="2:7" ht="32.25" customHeight="1" x14ac:dyDescent="0.35">
      <c r="B2278" s="73"/>
      <c r="C2278" s="73"/>
      <c r="D2278" s="73"/>
      <c r="E2278" s="73"/>
      <c r="F2278" s="73"/>
      <c r="G2278" s="73"/>
    </row>
    <row r="2279" spans="2:7" ht="32.25" customHeight="1" x14ac:dyDescent="0.35">
      <c r="B2279" s="73"/>
      <c r="C2279" s="73"/>
      <c r="D2279" s="73"/>
      <c r="E2279" s="73"/>
      <c r="F2279" s="73"/>
      <c r="G2279" s="73"/>
    </row>
    <row r="2280" spans="2:7" ht="32.25" customHeight="1" x14ac:dyDescent="0.35">
      <c r="B2280" s="73"/>
      <c r="C2280" s="73"/>
      <c r="D2280" s="73"/>
      <c r="E2280" s="73"/>
      <c r="F2280" s="73"/>
      <c r="G2280" s="73"/>
    </row>
    <row r="2281" spans="2:7" ht="32.25" customHeight="1" x14ac:dyDescent="0.35">
      <c r="B2281" s="73"/>
      <c r="C2281" s="73"/>
      <c r="D2281" s="73"/>
      <c r="E2281" s="73"/>
      <c r="F2281" s="73"/>
      <c r="G2281" s="73"/>
    </row>
    <row r="2282" spans="2:7" ht="32.25" customHeight="1" x14ac:dyDescent="0.35">
      <c r="B2282" s="73"/>
      <c r="C2282" s="73"/>
      <c r="D2282" s="73"/>
      <c r="E2282" s="73"/>
      <c r="F2282" s="73"/>
      <c r="G2282" s="73"/>
    </row>
    <row r="2283" spans="2:7" ht="32.25" customHeight="1" x14ac:dyDescent="0.35">
      <c r="B2283" s="73"/>
      <c r="C2283" s="73"/>
      <c r="D2283" s="73"/>
      <c r="E2283" s="73"/>
      <c r="F2283" s="73"/>
      <c r="G2283" s="73"/>
    </row>
    <row r="2284" spans="2:7" ht="32.25" customHeight="1" x14ac:dyDescent="0.35">
      <c r="B2284" s="73"/>
      <c r="C2284" s="73"/>
      <c r="D2284" s="73"/>
      <c r="E2284" s="73"/>
      <c r="F2284" s="73"/>
      <c r="G2284" s="73"/>
    </row>
    <row r="2285" spans="2:7" ht="32.25" customHeight="1" x14ac:dyDescent="0.35">
      <c r="B2285" s="73"/>
      <c r="C2285" s="73"/>
      <c r="D2285" s="73"/>
      <c r="E2285" s="73"/>
      <c r="F2285" s="73"/>
      <c r="G2285" s="73"/>
    </row>
    <row r="2286" spans="2:7" ht="32.25" customHeight="1" x14ac:dyDescent="0.35">
      <c r="B2286" s="73"/>
      <c r="C2286" s="73"/>
      <c r="D2286" s="73"/>
      <c r="E2286" s="73"/>
      <c r="F2286" s="73"/>
      <c r="G2286" s="73"/>
    </row>
    <row r="2287" spans="2:7" ht="32.25" customHeight="1" x14ac:dyDescent="0.35">
      <c r="B2287" s="73"/>
      <c r="C2287" s="73"/>
      <c r="D2287" s="73"/>
      <c r="E2287" s="73"/>
      <c r="F2287" s="73"/>
      <c r="G2287" s="73"/>
    </row>
    <row r="2288" spans="2:7" ht="32.25" customHeight="1" x14ac:dyDescent="0.35">
      <c r="B2288" s="73"/>
      <c r="C2288" s="73"/>
      <c r="D2288" s="73"/>
      <c r="E2288" s="73"/>
      <c r="F2288" s="73"/>
      <c r="G2288" s="73"/>
    </row>
    <row r="2289" spans="2:7" ht="32.25" customHeight="1" x14ac:dyDescent="0.35">
      <c r="B2289" s="73"/>
      <c r="C2289" s="73"/>
      <c r="D2289" s="73"/>
      <c r="E2289" s="73"/>
      <c r="F2289" s="73"/>
      <c r="G2289" s="73"/>
    </row>
    <row r="2290" spans="2:7" ht="32.25" customHeight="1" x14ac:dyDescent="0.35">
      <c r="B2290" s="73"/>
      <c r="C2290" s="73"/>
      <c r="D2290" s="73"/>
      <c r="E2290" s="73"/>
      <c r="F2290" s="73"/>
      <c r="G2290" s="73"/>
    </row>
    <row r="2291" spans="2:7" ht="32.25" customHeight="1" x14ac:dyDescent="0.35">
      <c r="B2291" s="73"/>
      <c r="C2291" s="73"/>
      <c r="D2291" s="73"/>
      <c r="E2291" s="73"/>
      <c r="F2291" s="73"/>
      <c r="G2291" s="73"/>
    </row>
    <row r="2292" spans="2:7" ht="32.25" customHeight="1" x14ac:dyDescent="0.35">
      <c r="B2292" s="73"/>
      <c r="C2292" s="73"/>
      <c r="D2292" s="73"/>
      <c r="E2292" s="73"/>
      <c r="F2292" s="73"/>
      <c r="G2292" s="73"/>
    </row>
    <row r="2293" spans="2:7" ht="32.25" customHeight="1" x14ac:dyDescent="0.35">
      <c r="B2293" s="73"/>
      <c r="C2293" s="73"/>
      <c r="D2293" s="73"/>
      <c r="E2293" s="73"/>
      <c r="F2293" s="73"/>
      <c r="G2293" s="73"/>
    </row>
    <row r="2294" spans="2:7" ht="32.25" customHeight="1" x14ac:dyDescent="0.35">
      <c r="B2294" s="73"/>
      <c r="C2294" s="73"/>
      <c r="D2294" s="73"/>
      <c r="E2294" s="73"/>
      <c r="F2294" s="73"/>
      <c r="G2294" s="73"/>
    </row>
    <row r="2295" spans="2:7" ht="32.25" customHeight="1" x14ac:dyDescent="0.35">
      <c r="B2295" s="73"/>
      <c r="C2295" s="73"/>
      <c r="D2295" s="73"/>
      <c r="E2295" s="73"/>
      <c r="F2295" s="73"/>
      <c r="G2295" s="73"/>
    </row>
    <row r="2296" spans="2:7" ht="32.25" customHeight="1" x14ac:dyDescent="0.35">
      <c r="B2296" s="73"/>
      <c r="C2296" s="73"/>
      <c r="D2296" s="73"/>
      <c r="E2296" s="73"/>
      <c r="F2296" s="73"/>
      <c r="G2296" s="73"/>
    </row>
    <row r="2297" spans="2:7" ht="32.25" customHeight="1" x14ac:dyDescent="0.35">
      <c r="B2297" s="73"/>
      <c r="C2297" s="73"/>
      <c r="D2297" s="73"/>
      <c r="E2297" s="73"/>
      <c r="F2297" s="73"/>
      <c r="G2297" s="73"/>
    </row>
    <row r="2298" spans="2:7" ht="32.25" customHeight="1" x14ac:dyDescent="0.35">
      <c r="B2298" s="73"/>
      <c r="C2298" s="73"/>
      <c r="D2298" s="73"/>
      <c r="E2298" s="73"/>
      <c r="F2298" s="73"/>
      <c r="G2298" s="73"/>
    </row>
    <row r="2299" spans="2:7" ht="32.25" customHeight="1" x14ac:dyDescent="0.35">
      <c r="B2299" s="73"/>
      <c r="C2299" s="73"/>
      <c r="D2299" s="73"/>
      <c r="E2299" s="73"/>
      <c r="F2299" s="73"/>
      <c r="G2299" s="73"/>
    </row>
    <row r="2300" spans="2:7" ht="32.25" customHeight="1" x14ac:dyDescent="0.35">
      <c r="B2300" s="73"/>
      <c r="C2300" s="73"/>
      <c r="D2300" s="73"/>
      <c r="E2300" s="73"/>
      <c r="F2300" s="73"/>
      <c r="G2300" s="73"/>
    </row>
    <row r="2301" spans="2:7" ht="32.25" customHeight="1" x14ac:dyDescent="0.35">
      <c r="B2301" s="73"/>
      <c r="C2301" s="73"/>
      <c r="D2301" s="73"/>
      <c r="E2301" s="73"/>
      <c r="F2301" s="73"/>
      <c r="G2301" s="73"/>
    </row>
    <row r="2302" spans="2:7" ht="32.25" customHeight="1" x14ac:dyDescent="0.35">
      <c r="B2302" s="73"/>
      <c r="C2302" s="73"/>
      <c r="D2302" s="73"/>
      <c r="E2302" s="73"/>
      <c r="F2302" s="73"/>
      <c r="G2302" s="73"/>
    </row>
    <row r="2303" spans="2:7" ht="32.25" customHeight="1" x14ac:dyDescent="0.35">
      <c r="B2303" s="73"/>
      <c r="C2303" s="73"/>
      <c r="D2303" s="73"/>
      <c r="E2303" s="73"/>
      <c r="F2303" s="73"/>
      <c r="G2303" s="73"/>
    </row>
    <row r="2304" spans="2:7" ht="32.25" customHeight="1" x14ac:dyDescent="0.35">
      <c r="B2304" s="73"/>
      <c r="C2304" s="73"/>
      <c r="D2304" s="73"/>
      <c r="E2304" s="73"/>
      <c r="F2304" s="73"/>
      <c r="G2304" s="73"/>
    </row>
    <row r="2305" spans="2:7" ht="32.25" customHeight="1" x14ac:dyDescent="0.35">
      <c r="B2305" s="73"/>
      <c r="C2305" s="73"/>
      <c r="D2305" s="73"/>
      <c r="E2305" s="73"/>
      <c r="F2305" s="73"/>
      <c r="G2305" s="73"/>
    </row>
    <row r="2306" spans="2:7" ht="32.25" customHeight="1" x14ac:dyDescent="0.35">
      <c r="B2306" s="73"/>
      <c r="C2306" s="73"/>
      <c r="D2306" s="73"/>
      <c r="E2306" s="73"/>
      <c r="F2306" s="73"/>
      <c r="G2306" s="73"/>
    </row>
    <row r="2307" spans="2:7" ht="32.25" customHeight="1" x14ac:dyDescent="0.35">
      <c r="B2307" s="73"/>
      <c r="C2307" s="73"/>
      <c r="D2307" s="73"/>
      <c r="E2307" s="73"/>
      <c r="F2307" s="73"/>
      <c r="G2307" s="73"/>
    </row>
    <row r="2308" spans="2:7" ht="32.25" customHeight="1" x14ac:dyDescent="0.35">
      <c r="B2308" s="73"/>
      <c r="C2308" s="73"/>
      <c r="D2308" s="73"/>
      <c r="E2308" s="73"/>
      <c r="F2308" s="73"/>
      <c r="G2308" s="73"/>
    </row>
    <row r="2309" spans="2:7" ht="32.25" customHeight="1" x14ac:dyDescent="0.35">
      <c r="B2309" s="73"/>
      <c r="C2309" s="73"/>
      <c r="D2309" s="73"/>
      <c r="E2309" s="73"/>
      <c r="F2309" s="73"/>
      <c r="G2309" s="73"/>
    </row>
    <row r="2310" spans="2:7" ht="32.25" customHeight="1" x14ac:dyDescent="0.35">
      <c r="B2310" s="73"/>
      <c r="C2310" s="73"/>
      <c r="D2310" s="73"/>
      <c r="E2310" s="73"/>
      <c r="F2310" s="73"/>
      <c r="G2310" s="73"/>
    </row>
    <row r="2311" spans="2:7" ht="32.25" customHeight="1" x14ac:dyDescent="0.35">
      <c r="B2311" s="73"/>
      <c r="C2311" s="73"/>
      <c r="D2311" s="73"/>
      <c r="E2311" s="73"/>
      <c r="F2311" s="73"/>
      <c r="G2311" s="73"/>
    </row>
    <row r="2312" spans="2:7" ht="32.25" customHeight="1" x14ac:dyDescent="0.35">
      <c r="B2312" s="73"/>
      <c r="C2312" s="73"/>
      <c r="D2312" s="73"/>
      <c r="E2312" s="73"/>
      <c r="F2312" s="73"/>
      <c r="G2312" s="73"/>
    </row>
    <row r="2313" spans="2:7" ht="32.25" customHeight="1" x14ac:dyDescent="0.35">
      <c r="B2313" s="73"/>
      <c r="C2313" s="73"/>
      <c r="D2313" s="73"/>
      <c r="E2313" s="73"/>
      <c r="F2313" s="73"/>
      <c r="G2313" s="73"/>
    </row>
    <row r="2314" spans="2:7" ht="32.25" customHeight="1" x14ac:dyDescent="0.35">
      <c r="B2314" s="73"/>
      <c r="C2314" s="73"/>
      <c r="D2314" s="73"/>
      <c r="E2314" s="73"/>
      <c r="F2314" s="73"/>
      <c r="G2314" s="73"/>
    </row>
    <row r="2315" spans="2:7" ht="32.25" customHeight="1" x14ac:dyDescent="0.35">
      <c r="B2315" s="73"/>
      <c r="C2315" s="73"/>
      <c r="D2315" s="73"/>
      <c r="E2315" s="73"/>
      <c r="F2315" s="73"/>
      <c r="G2315" s="73"/>
    </row>
    <row r="2316" spans="2:7" ht="32.25" customHeight="1" x14ac:dyDescent="0.35">
      <c r="B2316" s="73"/>
      <c r="C2316" s="73"/>
      <c r="D2316" s="73"/>
      <c r="E2316" s="73"/>
      <c r="F2316" s="73"/>
      <c r="G2316" s="73"/>
    </row>
    <row r="2317" spans="2:7" ht="32.25" customHeight="1" x14ac:dyDescent="0.35">
      <c r="B2317" s="73"/>
      <c r="C2317" s="73"/>
      <c r="D2317" s="73"/>
      <c r="E2317" s="73"/>
      <c r="F2317" s="73"/>
      <c r="G2317" s="73"/>
    </row>
    <row r="2318" spans="2:7" ht="32.25" customHeight="1" x14ac:dyDescent="0.35">
      <c r="B2318" s="73"/>
      <c r="C2318" s="73"/>
      <c r="D2318" s="73"/>
      <c r="E2318" s="73"/>
      <c r="F2318" s="73"/>
      <c r="G2318" s="73"/>
    </row>
    <row r="2319" spans="2:7" ht="32.25" customHeight="1" x14ac:dyDescent="0.35">
      <c r="B2319" s="73"/>
      <c r="C2319" s="73"/>
      <c r="D2319" s="73"/>
      <c r="E2319" s="73"/>
      <c r="F2319" s="73"/>
      <c r="G2319" s="73"/>
    </row>
    <row r="2320" spans="2:7" ht="32.25" customHeight="1" x14ac:dyDescent="0.35">
      <c r="B2320" s="73"/>
      <c r="C2320" s="73"/>
      <c r="D2320" s="73"/>
      <c r="E2320" s="73"/>
      <c r="F2320" s="73"/>
      <c r="G2320" s="73"/>
    </row>
    <row r="2321" spans="2:7" ht="32.25" customHeight="1" x14ac:dyDescent="0.35">
      <c r="B2321" s="73"/>
      <c r="C2321" s="73"/>
      <c r="D2321" s="73"/>
      <c r="E2321" s="73"/>
      <c r="F2321" s="73"/>
      <c r="G2321" s="73"/>
    </row>
    <row r="2322" spans="2:7" ht="32.25" customHeight="1" x14ac:dyDescent="0.35">
      <c r="B2322" s="73"/>
      <c r="C2322" s="73"/>
      <c r="D2322" s="73"/>
      <c r="E2322" s="73"/>
      <c r="F2322" s="73"/>
      <c r="G2322" s="73"/>
    </row>
    <row r="2323" spans="2:7" ht="32.25" customHeight="1" x14ac:dyDescent="0.35">
      <c r="B2323" s="73"/>
      <c r="C2323" s="73"/>
      <c r="D2323" s="73"/>
      <c r="E2323" s="73"/>
      <c r="F2323" s="73"/>
      <c r="G2323" s="73"/>
    </row>
    <row r="2324" spans="2:7" ht="32.25" customHeight="1" x14ac:dyDescent="0.35">
      <c r="B2324" s="73"/>
      <c r="C2324" s="73"/>
      <c r="D2324" s="73"/>
      <c r="E2324" s="73"/>
      <c r="F2324" s="73"/>
      <c r="G2324" s="73"/>
    </row>
    <row r="2325" spans="2:7" ht="32.25" customHeight="1" x14ac:dyDescent="0.35">
      <c r="B2325" s="73"/>
      <c r="C2325" s="73"/>
      <c r="D2325" s="73"/>
      <c r="E2325" s="73"/>
      <c r="F2325" s="73"/>
      <c r="G2325" s="73"/>
    </row>
    <row r="2326" spans="2:7" ht="32.25" customHeight="1" x14ac:dyDescent="0.35">
      <c r="B2326" s="73"/>
      <c r="C2326" s="73"/>
      <c r="D2326" s="73"/>
      <c r="E2326" s="73"/>
      <c r="F2326" s="73"/>
      <c r="G2326" s="73"/>
    </row>
    <row r="2327" spans="2:7" ht="32.25" customHeight="1" x14ac:dyDescent="0.35">
      <c r="B2327" s="73"/>
      <c r="C2327" s="73"/>
      <c r="D2327" s="73"/>
      <c r="E2327" s="73"/>
      <c r="F2327" s="73"/>
      <c r="G2327" s="73"/>
    </row>
    <row r="2328" spans="2:7" ht="32.25" customHeight="1" x14ac:dyDescent="0.35">
      <c r="B2328" s="73"/>
      <c r="C2328" s="73"/>
      <c r="D2328" s="73"/>
      <c r="E2328" s="73"/>
      <c r="F2328" s="73"/>
      <c r="G2328" s="73"/>
    </row>
    <row r="2329" spans="2:7" ht="32.25" customHeight="1" x14ac:dyDescent="0.35">
      <c r="B2329" s="73"/>
      <c r="C2329" s="73"/>
      <c r="D2329" s="73"/>
      <c r="E2329" s="73"/>
      <c r="F2329" s="73"/>
      <c r="G2329" s="73"/>
    </row>
    <row r="2330" spans="2:7" ht="32.25" customHeight="1" x14ac:dyDescent="0.35">
      <c r="B2330" s="73"/>
      <c r="C2330" s="73"/>
      <c r="D2330" s="73"/>
      <c r="E2330" s="73"/>
      <c r="F2330" s="73"/>
      <c r="G2330" s="73"/>
    </row>
    <row r="2331" spans="2:7" ht="32.25" customHeight="1" x14ac:dyDescent="0.35">
      <c r="B2331" s="73"/>
      <c r="C2331" s="73"/>
      <c r="D2331" s="73"/>
      <c r="E2331" s="73"/>
      <c r="F2331" s="73"/>
      <c r="G2331" s="73"/>
    </row>
    <row r="2332" spans="2:7" ht="32.25" customHeight="1" x14ac:dyDescent="0.35">
      <c r="B2332" s="73"/>
      <c r="C2332" s="73"/>
      <c r="D2332" s="73"/>
      <c r="E2332" s="73"/>
      <c r="F2332" s="73"/>
      <c r="G2332" s="73"/>
    </row>
    <row r="2333" spans="2:7" ht="32.25" customHeight="1" x14ac:dyDescent="0.35">
      <c r="B2333" s="73"/>
      <c r="C2333" s="73"/>
      <c r="D2333" s="73"/>
      <c r="E2333" s="73"/>
      <c r="F2333" s="73"/>
      <c r="G2333" s="73"/>
    </row>
    <row r="2334" spans="2:7" ht="32.25" customHeight="1" x14ac:dyDescent="0.35">
      <c r="B2334" s="73"/>
      <c r="C2334" s="73"/>
      <c r="D2334" s="73"/>
      <c r="E2334" s="73"/>
      <c r="F2334" s="73"/>
      <c r="G2334" s="73"/>
    </row>
    <row r="2335" spans="2:7" ht="32.25" customHeight="1" x14ac:dyDescent="0.35">
      <c r="B2335" s="73"/>
      <c r="C2335" s="73"/>
      <c r="D2335" s="73"/>
      <c r="E2335" s="73"/>
      <c r="F2335" s="73"/>
      <c r="G2335" s="73"/>
    </row>
    <row r="2336" spans="2:7" ht="32.25" customHeight="1" x14ac:dyDescent="0.35">
      <c r="B2336" s="73"/>
      <c r="C2336" s="73"/>
      <c r="D2336" s="73"/>
      <c r="E2336" s="73"/>
      <c r="F2336" s="73"/>
      <c r="G2336" s="73"/>
    </row>
    <row r="2337" spans="2:7" ht="32.25" customHeight="1" x14ac:dyDescent="0.35">
      <c r="B2337" s="73"/>
      <c r="C2337" s="73"/>
      <c r="D2337" s="73"/>
      <c r="E2337" s="73"/>
      <c r="F2337" s="73"/>
      <c r="G2337" s="73"/>
    </row>
    <row r="2338" spans="2:7" ht="32.25" customHeight="1" x14ac:dyDescent="0.35">
      <c r="B2338" s="73"/>
      <c r="C2338" s="73"/>
      <c r="D2338" s="73"/>
      <c r="E2338" s="73"/>
      <c r="F2338" s="73"/>
      <c r="G2338" s="73"/>
    </row>
    <row r="2339" spans="2:7" ht="32.25" customHeight="1" x14ac:dyDescent="0.35">
      <c r="B2339" s="73"/>
      <c r="C2339" s="73"/>
      <c r="D2339" s="73"/>
      <c r="E2339" s="73"/>
      <c r="F2339" s="73"/>
      <c r="G2339" s="73"/>
    </row>
    <row r="2340" spans="2:7" ht="32.25" customHeight="1" x14ac:dyDescent="0.35">
      <c r="B2340" s="73"/>
      <c r="C2340" s="73"/>
      <c r="D2340" s="73"/>
      <c r="E2340" s="73"/>
      <c r="F2340" s="73"/>
      <c r="G2340" s="73"/>
    </row>
    <row r="2341" spans="2:7" ht="32.25" customHeight="1" x14ac:dyDescent="0.35">
      <c r="B2341" s="73"/>
      <c r="C2341" s="73"/>
      <c r="D2341" s="73"/>
      <c r="E2341" s="73"/>
      <c r="F2341" s="73"/>
      <c r="G2341" s="73"/>
    </row>
    <row r="2342" spans="2:7" ht="32.25" customHeight="1" x14ac:dyDescent="0.35">
      <c r="B2342" s="73"/>
      <c r="C2342" s="73"/>
      <c r="D2342" s="73"/>
      <c r="E2342" s="73"/>
      <c r="F2342" s="73"/>
      <c r="G2342" s="73"/>
    </row>
    <row r="2343" spans="2:7" ht="32.25" customHeight="1" x14ac:dyDescent="0.35">
      <c r="B2343" s="73"/>
      <c r="C2343" s="73"/>
      <c r="D2343" s="73"/>
      <c r="E2343" s="73"/>
      <c r="F2343" s="73"/>
      <c r="G2343" s="73"/>
    </row>
    <row r="2344" spans="2:7" ht="32.25" customHeight="1" x14ac:dyDescent="0.35">
      <c r="B2344" s="73"/>
      <c r="C2344" s="73"/>
      <c r="D2344" s="73"/>
      <c r="E2344" s="73"/>
      <c r="F2344" s="73"/>
      <c r="G2344" s="73"/>
    </row>
    <row r="2345" spans="2:7" ht="32.25" customHeight="1" x14ac:dyDescent="0.35">
      <c r="B2345" s="73"/>
      <c r="C2345" s="73"/>
      <c r="D2345" s="73"/>
      <c r="E2345" s="73"/>
      <c r="F2345" s="73"/>
      <c r="G2345" s="73"/>
    </row>
    <row r="2346" spans="2:7" ht="32.25" customHeight="1" x14ac:dyDescent="0.35">
      <c r="B2346" s="73"/>
      <c r="C2346" s="73"/>
      <c r="D2346" s="73"/>
      <c r="E2346" s="73"/>
      <c r="F2346" s="73"/>
      <c r="G2346" s="73"/>
    </row>
    <row r="2347" spans="2:7" ht="32.25" customHeight="1" x14ac:dyDescent="0.35">
      <c r="B2347" s="73"/>
      <c r="C2347" s="73"/>
      <c r="D2347" s="73"/>
      <c r="E2347" s="73"/>
      <c r="F2347" s="73"/>
      <c r="G2347" s="73"/>
    </row>
    <row r="2348" spans="2:7" ht="32.25" customHeight="1" x14ac:dyDescent="0.35">
      <c r="B2348" s="73"/>
      <c r="C2348" s="73"/>
      <c r="D2348" s="73"/>
      <c r="E2348" s="73"/>
      <c r="F2348" s="73"/>
      <c r="G2348" s="73"/>
    </row>
    <row r="2349" spans="2:7" ht="32.25" customHeight="1" x14ac:dyDescent="0.35">
      <c r="B2349" s="73"/>
      <c r="C2349" s="73"/>
      <c r="D2349" s="73"/>
      <c r="E2349" s="73"/>
      <c r="F2349" s="73"/>
      <c r="G2349" s="73"/>
    </row>
    <row r="2350" spans="2:7" ht="32.25" customHeight="1" x14ac:dyDescent="0.35">
      <c r="B2350" s="73"/>
      <c r="C2350" s="73"/>
      <c r="D2350" s="73"/>
      <c r="E2350" s="73"/>
      <c r="F2350" s="73"/>
      <c r="G2350" s="73"/>
    </row>
    <row r="2351" spans="2:7" ht="32.25" customHeight="1" x14ac:dyDescent="0.35">
      <c r="B2351" s="73"/>
      <c r="C2351" s="73"/>
      <c r="D2351" s="73"/>
      <c r="E2351" s="73"/>
      <c r="F2351" s="73"/>
      <c r="G2351" s="73"/>
    </row>
    <row r="2352" spans="2:7" ht="32.25" customHeight="1" x14ac:dyDescent="0.35">
      <c r="B2352" s="73"/>
      <c r="C2352" s="73"/>
      <c r="D2352" s="73"/>
      <c r="E2352" s="73"/>
      <c r="F2352" s="73"/>
      <c r="G2352" s="73"/>
    </row>
    <row r="2353" spans="2:7" ht="32.25" customHeight="1" x14ac:dyDescent="0.35">
      <c r="B2353" s="73"/>
      <c r="C2353" s="73"/>
      <c r="D2353" s="73"/>
      <c r="E2353" s="73"/>
      <c r="F2353" s="73"/>
      <c r="G2353" s="73"/>
    </row>
    <row r="2354" spans="2:7" ht="32.25" customHeight="1" x14ac:dyDescent="0.35">
      <c r="B2354" s="73"/>
      <c r="C2354" s="73"/>
      <c r="D2354" s="73"/>
      <c r="E2354" s="73"/>
      <c r="F2354" s="73"/>
      <c r="G2354" s="73"/>
    </row>
    <row r="2355" spans="2:7" ht="32.25" customHeight="1" x14ac:dyDescent="0.35">
      <c r="B2355" s="73"/>
      <c r="C2355" s="73"/>
      <c r="D2355" s="73"/>
      <c r="E2355" s="73"/>
      <c r="F2355" s="73"/>
      <c r="G2355" s="73"/>
    </row>
    <row r="2356" spans="2:7" ht="32.25" customHeight="1" x14ac:dyDescent="0.35">
      <c r="B2356" s="73"/>
      <c r="C2356" s="73"/>
      <c r="D2356" s="73"/>
      <c r="E2356" s="73"/>
      <c r="F2356" s="73"/>
      <c r="G2356" s="73"/>
    </row>
    <row r="2357" spans="2:7" ht="32.25" customHeight="1" x14ac:dyDescent="0.35">
      <c r="B2357" s="73"/>
      <c r="C2357" s="73"/>
      <c r="D2357" s="73"/>
      <c r="E2357" s="73"/>
      <c r="F2357" s="73"/>
      <c r="G2357" s="73"/>
    </row>
    <row r="2358" spans="2:7" ht="32.25" customHeight="1" x14ac:dyDescent="0.35">
      <c r="B2358" s="73"/>
      <c r="C2358" s="73"/>
      <c r="D2358" s="73"/>
      <c r="E2358" s="73"/>
      <c r="F2358" s="73"/>
      <c r="G2358" s="73"/>
    </row>
    <row r="2359" spans="2:7" ht="32.25" customHeight="1" x14ac:dyDescent="0.35">
      <c r="B2359" s="73"/>
      <c r="C2359" s="73"/>
      <c r="D2359" s="73"/>
      <c r="E2359" s="73"/>
      <c r="F2359" s="73"/>
      <c r="G2359" s="73"/>
    </row>
    <row r="2360" spans="2:7" ht="32.25" customHeight="1" x14ac:dyDescent="0.35">
      <c r="B2360" s="73"/>
      <c r="C2360" s="73"/>
      <c r="D2360" s="73"/>
      <c r="E2360" s="73"/>
      <c r="F2360" s="73"/>
      <c r="G2360" s="73"/>
    </row>
    <row r="2361" spans="2:7" ht="32.25" customHeight="1" x14ac:dyDescent="0.35">
      <c r="B2361" s="73"/>
      <c r="C2361" s="73"/>
      <c r="D2361" s="73"/>
      <c r="E2361" s="73"/>
      <c r="F2361" s="73"/>
      <c r="G2361" s="73"/>
    </row>
    <row r="2362" spans="2:7" ht="32.25" customHeight="1" x14ac:dyDescent="0.35">
      <c r="B2362" s="73"/>
      <c r="C2362" s="73"/>
      <c r="D2362" s="73"/>
      <c r="E2362" s="73"/>
      <c r="F2362" s="73"/>
      <c r="G2362" s="73"/>
    </row>
    <row r="2363" spans="2:7" ht="32.25" customHeight="1" x14ac:dyDescent="0.35">
      <c r="B2363" s="73"/>
      <c r="C2363" s="73"/>
      <c r="D2363" s="73"/>
      <c r="E2363" s="73"/>
      <c r="F2363" s="73"/>
      <c r="G2363" s="73"/>
    </row>
    <row r="2364" spans="2:7" ht="32.25" customHeight="1" x14ac:dyDescent="0.35">
      <c r="B2364" s="73"/>
      <c r="C2364" s="73"/>
      <c r="D2364" s="73"/>
      <c r="E2364" s="73"/>
      <c r="F2364" s="73"/>
      <c r="G2364" s="73"/>
    </row>
    <row r="2365" spans="2:7" ht="32.25" customHeight="1" x14ac:dyDescent="0.35">
      <c r="B2365" s="73"/>
      <c r="C2365" s="73"/>
      <c r="D2365" s="73"/>
      <c r="E2365" s="73"/>
      <c r="F2365" s="73"/>
      <c r="G2365" s="73"/>
    </row>
    <row r="2366" spans="2:7" ht="32.25" customHeight="1" x14ac:dyDescent="0.35">
      <c r="B2366" s="73"/>
      <c r="C2366" s="73"/>
      <c r="D2366" s="73"/>
      <c r="E2366" s="73"/>
      <c r="F2366" s="73"/>
      <c r="G2366" s="73"/>
    </row>
    <row r="2367" spans="2:7" ht="32.25" customHeight="1" x14ac:dyDescent="0.35">
      <c r="B2367" s="73"/>
      <c r="C2367" s="73"/>
      <c r="D2367" s="73"/>
      <c r="E2367" s="73"/>
      <c r="F2367" s="73"/>
      <c r="G2367" s="73"/>
    </row>
    <row r="2368" spans="2:7" ht="32.25" customHeight="1" x14ac:dyDescent="0.35">
      <c r="B2368" s="73"/>
      <c r="C2368" s="73"/>
      <c r="D2368" s="73"/>
      <c r="E2368" s="73"/>
      <c r="F2368" s="73"/>
      <c r="G2368" s="73"/>
    </row>
    <row r="2369" spans="2:7" ht="32.25" customHeight="1" x14ac:dyDescent="0.35">
      <c r="B2369" s="73"/>
      <c r="C2369" s="73"/>
      <c r="D2369" s="73"/>
      <c r="E2369" s="73"/>
      <c r="F2369" s="73"/>
      <c r="G2369" s="73"/>
    </row>
    <row r="2370" spans="2:7" ht="32.25" customHeight="1" x14ac:dyDescent="0.35">
      <c r="B2370" s="73"/>
      <c r="C2370" s="73"/>
      <c r="D2370" s="73"/>
      <c r="E2370" s="73"/>
      <c r="F2370" s="73"/>
      <c r="G2370" s="73"/>
    </row>
    <row r="2371" spans="2:7" ht="32.25" customHeight="1" x14ac:dyDescent="0.35">
      <c r="B2371" s="73"/>
      <c r="C2371" s="73"/>
      <c r="D2371" s="73"/>
      <c r="E2371" s="73"/>
      <c r="F2371" s="73"/>
      <c r="G2371" s="73"/>
    </row>
    <row r="2372" spans="2:7" ht="32.25" customHeight="1" x14ac:dyDescent="0.35">
      <c r="B2372" s="73"/>
      <c r="C2372" s="73"/>
      <c r="D2372" s="73"/>
      <c r="E2372" s="73"/>
      <c r="F2372" s="73"/>
      <c r="G2372" s="73"/>
    </row>
    <row r="2373" spans="2:7" ht="32.25" customHeight="1" x14ac:dyDescent="0.35">
      <c r="B2373" s="73"/>
      <c r="C2373" s="73"/>
      <c r="D2373" s="73"/>
      <c r="E2373" s="73"/>
      <c r="F2373" s="73"/>
      <c r="G2373" s="73"/>
    </row>
    <row r="2374" spans="2:7" ht="32.25" customHeight="1" x14ac:dyDescent="0.35">
      <c r="B2374" s="73"/>
      <c r="C2374" s="73"/>
      <c r="D2374" s="73"/>
      <c r="E2374" s="73"/>
      <c r="F2374" s="73"/>
      <c r="G2374" s="73"/>
    </row>
    <row r="2375" spans="2:7" ht="32.25" customHeight="1" x14ac:dyDescent="0.35">
      <c r="B2375" s="73"/>
      <c r="C2375" s="73"/>
      <c r="D2375" s="73"/>
      <c r="E2375" s="73"/>
      <c r="F2375" s="73"/>
      <c r="G2375" s="73"/>
    </row>
    <row r="2376" spans="2:7" ht="32.25" customHeight="1" x14ac:dyDescent="0.35">
      <c r="B2376" s="73"/>
      <c r="C2376" s="73"/>
      <c r="D2376" s="73"/>
      <c r="E2376" s="73"/>
      <c r="F2376" s="73"/>
      <c r="G2376" s="73"/>
    </row>
    <row r="2377" spans="2:7" ht="32.25" customHeight="1" x14ac:dyDescent="0.35">
      <c r="B2377" s="73"/>
      <c r="C2377" s="73"/>
      <c r="D2377" s="73"/>
      <c r="E2377" s="73"/>
      <c r="F2377" s="73"/>
      <c r="G2377" s="73"/>
    </row>
    <row r="2378" spans="2:7" ht="32.25" customHeight="1" x14ac:dyDescent="0.35">
      <c r="B2378" s="73"/>
      <c r="C2378" s="73"/>
      <c r="D2378" s="73"/>
      <c r="E2378" s="73"/>
      <c r="F2378" s="73"/>
      <c r="G2378" s="73"/>
    </row>
    <row r="2379" spans="2:7" ht="32.25" customHeight="1" x14ac:dyDescent="0.35">
      <c r="B2379" s="73"/>
      <c r="C2379" s="73"/>
      <c r="D2379" s="73"/>
      <c r="E2379" s="73"/>
      <c r="F2379" s="73"/>
      <c r="G2379" s="73"/>
    </row>
    <row r="2380" spans="2:7" ht="32.25" customHeight="1" x14ac:dyDescent="0.35">
      <c r="B2380" s="73"/>
      <c r="C2380" s="73"/>
      <c r="D2380" s="73"/>
      <c r="E2380" s="73"/>
      <c r="F2380" s="73"/>
      <c r="G2380" s="73"/>
    </row>
    <row r="2381" spans="2:7" ht="32.25" customHeight="1" x14ac:dyDescent="0.35">
      <c r="B2381" s="73"/>
      <c r="C2381" s="73"/>
      <c r="D2381" s="73"/>
      <c r="E2381" s="73"/>
      <c r="F2381" s="73"/>
      <c r="G2381" s="73"/>
    </row>
    <row r="2382" spans="2:7" ht="32.25" customHeight="1" x14ac:dyDescent="0.35">
      <c r="B2382" s="73"/>
      <c r="C2382" s="73"/>
      <c r="D2382" s="73"/>
      <c r="E2382" s="73"/>
      <c r="F2382" s="73"/>
      <c r="G2382" s="73"/>
    </row>
    <row r="2383" spans="2:7" ht="32.25" customHeight="1" x14ac:dyDescent="0.35">
      <c r="B2383" s="73"/>
      <c r="C2383" s="73"/>
      <c r="D2383" s="73"/>
      <c r="E2383" s="73"/>
      <c r="F2383" s="73"/>
      <c r="G2383" s="73"/>
    </row>
    <row r="2384" spans="2:7" ht="32.25" customHeight="1" x14ac:dyDescent="0.35">
      <c r="B2384" s="73"/>
      <c r="C2384" s="73"/>
      <c r="D2384" s="73"/>
      <c r="E2384" s="73"/>
      <c r="F2384" s="73"/>
      <c r="G2384" s="73"/>
    </row>
    <row r="2385" spans="2:7" ht="32.25" customHeight="1" x14ac:dyDescent="0.35">
      <c r="B2385" s="73"/>
      <c r="C2385" s="73"/>
      <c r="D2385" s="73"/>
      <c r="E2385" s="73"/>
      <c r="F2385" s="73"/>
      <c r="G2385" s="73"/>
    </row>
    <row r="2386" spans="2:7" ht="32.25" customHeight="1" x14ac:dyDescent="0.35">
      <c r="B2386" s="73"/>
      <c r="C2386" s="73"/>
      <c r="D2386" s="73"/>
      <c r="E2386" s="73"/>
      <c r="F2386" s="73"/>
      <c r="G2386" s="73"/>
    </row>
    <row r="2387" spans="2:7" ht="32.25" customHeight="1" x14ac:dyDescent="0.35">
      <c r="B2387" s="73"/>
      <c r="C2387" s="73"/>
      <c r="D2387" s="73"/>
      <c r="E2387" s="73"/>
      <c r="F2387" s="73"/>
      <c r="G2387" s="73"/>
    </row>
    <row r="2388" spans="2:7" ht="32.25" customHeight="1" x14ac:dyDescent="0.35">
      <c r="B2388" s="73"/>
      <c r="C2388" s="73"/>
      <c r="D2388" s="73"/>
      <c r="E2388" s="73"/>
      <c r="F2388" s="73"/>
      <c r="G2388" s="73"/>
    </row>
    <row r="2389" spans="2:7" ht="32.25" customHeight="1" x14ac:dyDescent="0.35">
      <c r="B2389" s="73"/>
      <c r="C2389" s="73"/>
      <c r="D2389" s="73"/>
      <c r="E2389" s="73"/>
      <c r="F2389" s="73"/>
      <c r="G2389" s="73"/>
    </row>
    <row r="2390" spans="2:7" ht="32.25" customHeight="1" x14ac:dyDescent="0.35">
      <c r="B2390" s="73"/>
      <c r="C2390" s="73"/>
      <c r="D2390" s="73"/>
      <c r="E2390" s="73"/>
      <c r="F2390" s="73"/>
      <c r="G2390" s="73"/>
    </row>
    <row r="2391" spans="2:7" ht="32.25" customHeight="1" x14ac:dyDescent="0.35">
      <c r="B2391" s="73"/>
      <c r="C2391" s="73"/>
      <c r="D2391" s="73"/>
      <c r="E2391" s="73"/>
      <c r="F2391" s="73"/>
      <c r="G2391" s="73"/>
    </row>
    <row r="2392" spans="2:7" ht="32.25" customHeight="1" x14ac:dyDescent="0.35">
      <c r="B2392" s="73"/>
      <c r="C2392" s="73"/>
      <c r="D2392" s="73"/>
      <c r="E2392" s="73"/>
      <c r="F2392" s="73"/>
      <c r="G2392" s="73"/>
    </row>
    <row r="2393" spans="2:7" ht="32.25" customHeight="1" x14ac:dyDescent="0.35">
      <c r="B2393" s="73"/>
      <c r="C2393" s="73"/>
      <c r="D2393" s="73"/>
      <c r="E2393" s="73"/>
      <c r="F2393" s="73"/>
      <c r="G2393" s="73"/>
    </row>
    <row r="2394" spans="2:7" ht="32.25" customHeight="1" x14ac:dyDescent="0.35">
      <c r="B2394" s="73"/>
      <c r="C2394" s="73"/>
      <c r="D2394" s="73"/>
      <c r="E2394" s="73"/>
      <c r="F2394" s="73"/>
      <c r="G2394" s="73"/>
    </row>
    <row r="2395" spans="2:7" ht="32.25" customHeight="1" x14ac:dyDescent="0.35">
      <c r="B2395" s="73"/>
      <c r="C2395" s="73"/>
      <c r="D2395" s="73"/>
      <c r="E2395" s="73"/>
      <c r="F2395" s="73"/>
      <c r="G2395" s="73"/>
    </row>
    <row r="2396" spans="2:7" ht="32.25" customHeight="1" x14ac:dyDescent="0.35">
      <c r="B2396" s="73"/>
      <c r="C2396" s="73"/>
      <c r="D2396" s="73"/>
      <c r="E2396" s="73"/>
      <c r="F2396" s="73"/>
      <c r="G2396" s="73"/>
    </row>
    <row r="2397" spans="2:7" ht="32.25" customHeight="1" x14ac:dyDescent="0.35">
      <c r="B2397" s="73"/>
      <c r="C2397" s="73"/>
      <c r="D2397" s="73"/>
      <c r="E2397" s="73"/>
      <c r="F2397" s="73"/>
      <c r="G2397" s="73"/>
    </row>
    <row r="2398" spans="2:7" ht="32.25" customHeight="1" x14ac:dyDescent="0.35">
      <c r="B2398" s="73"/>
      <c r="C2398" s="73"/>
      <c r="D2398" s="73"/>
      <c r="E2398" s="73"/>
      <c r="F2398" s="73"/>
      <c r="G2398" s="73"/>
    </row>
    <row r="2399" spans="2:7" ht="32.25" customHeight="1" x14ac:dyDescent="0.35">
      <c r="B2399" s="73"/>
      <c r="C2399" s="73"/>
      <c r="D2399" s="73"/>
      <c r="E2399" s="73"/>
      <c r="F2399" s="73"/>
      <c r="G2399" s="73"/>
    </row>
    <row r="2400" spans="2:7" ht="32.25" customHeight="1" x14ac:dyDescent="0.35">
      <c r="B2400" s="73"/>
      <c r="C2400" s="73"/>
      <c r="D2400" s="73"/>
      <c r="E2400" s="73"/>
      <c r="F2400" s="73"/>
      <c r="G2400" s="73"/>
    </row>
    <row r="2401" spans="2:7" ht="32.25" customHeight="1" x14ac:dyDescent="0.35">
      <c r="B2401" s="73"/>
      <c r="C2401" s="73"/>
      <c r="D2401" s="73"/>
      <c r="E2401" s="73"/>
      <c r="F2401" s="73"/>
      <c r="G2401" s="73"/>
    </row>
    <row r="2402" spans="2:7" ht="32.25" customHeight="1" x14ac:dyDescent="0.35">
      <c r="B2402" s="73"/>
      <c r="C2402" s="73"/>
      <c r="D2402" s="73"/>
      <c r="E2402" s="73"/>
      <c r="F2402" s="73"/>
      <c r="G2402" s="73"/>
    </row>
    <row r="2403" spans="2:7" ht="32.25" customHeight="1" x14ac:dyDescent="0.35">
      <c r="B2403" s="73"/>
      <c r="C2403" s="73"/>
      <c r="D2403" s="73"/>
      <c r="E2403" s="73"/>
      <c r="F2403" s="73"/>
      <c r="G2403" s="73"/>
    </row>
    <row r="2404" spans="2:7" ht="32.25" customHeight="1" x14ac:dyDescent="0.35">
      <c r="B2404" s="73"/>
      <c r="C2404" s="73"/>
      <c r="D2404" s="73"/>
      <c r="E2404" s="73"/>
      <c r="F2404" s="73"/>
      <c r="G2404" s="73"/>
    </row>
    <row r="2405" spans="2:7" ht="32.25" customHeight="1" x14ac:dyDescent="0.35">
      <c r="B2405" s="73"/>
      <c r="C2405" s="73"/>
      <c r="D2405" s="73"/>
      <c r="E2405" s="73"/>
      <c r="F2405" s="73"/>
      <c r="G2405" s="73"/>
    </row>
    <row r="2406" spans="2:7" ht="32.25" customHeight="1" x14ac:dyDescent="0.35">
      <c r="B2406" s="73"/>
      <c r="C2406" s="73"/>
      <c r="D2406" s="73"/>
      <c r="E2406" s="73"/>
      <c r="F2406" s="73"/>
      <c r="G2406" s="73"/>
    </row>
    <row r="2407" spans="2:7" ht="32.25" customHeight="1" x14ac:dyDescent="0.35">
      <c r="B2407" s="73"/>
      <c r="C2407" s="73"/>
      <c r="D2407" s="73"/>
      <c r="E2407" s="73"/>
      <c r="F2407" s="73"/>
      <c r="G2407" s="73"/>
    </row>
    <row r="2408" spans="2:7" ht="32.25" customHeight="1" x14ac:dyDescent="0.35">
      <c r="B2408" s="73"/>
      <c r="C2408" s="73"/>
      <c r="D2408" s="73"/>
      <c r="E2408" s="73"/>
      <c r="F2408" s="73"/>
      <c r="G2408" s="73"/>
    </row>
    <row r="2409" spans="2:7" ht="32.25" customHeight="1" x14ac:dyDescent="0.35">
      <c r="B2409" s="73"/>
      <c r="C2409" s="73"/>
      <c r="D2409" s="73"/>
      <c r="E2409" s="73"/>
      <c r="F2409" s="73"/>
      <c r="G2409" s="73"/>
    </row>
    <row r="2410" spans="2:7" ht="32.25" customHeight="1" x14ac:dyDescent="0.35">
      <c r="B2410" s="73"/>
      <c r="C2410" s="73"/>
      <c r="D2410" s="73"/>
      <c r="E2410" s="73"/>
      <c r="F2410" s="73"/>
      <c r="G2410" s="73"/>
    </row>
    <row r="2411" spans="2:7" ht="32.25" customHeight="1" x14ac:dyDescent="0.35">
      <c r="B2411" s="73"/>
      <c r="C2411" s="73"/>
      <c r="D2411" s="73"/>
      <c r="E2411" s="73"/>
      <c r="F2411" s="73"/>
      <c r="G2411" s="73"/>
    </row>
    <row r="2412" spans="2:7" ht="32.25" customHeight="1" x14ac:dyDescent="0.35">
      <c r="B2412" s="73"/>
      <c r="C2412" s="73"/>
      <c r="D2412" s="73"/>
      <c r="E2412" s="73"/>
      <c r="F2412" s="73"/>
      <c r="G2412" s="73"/>
    </row>
    <row r="2413" spans="2:7" ht="32.25" customHeight="1" x14ac:dyDescent="0.35">
      <c r="B2413" s="73"/>
      <c r="C2413" s="73"/>
      <c r="D2413" s="73"/>
      <c r="E2413" s="73"/>
      <c r="F2413" s="73"/>
      <c r="G2413" s="73"/>
    </row>
    <row r="2414" spans="2:7" ht="32.25" customHeight="1" x14ac:dyDescent="0.35">
      <c r="B2414" s="73"/>
      <c r="C2414" s="73"/>
      <c r="D2414" s="73"/>
      <c r="E2414" s="73"/>
      <c r="F2414" s="73"/>
      <c r="G2414" s="73"/>
    </row>
    <row r="2415" spans="2:7" ht="32.25" customHeight="1" x14ac:dyDescent="0.35">
      <c r="B2415" s="73"/>
      <c r="C2415" s="73"/>
      <c r="D2415" s="73"/>
      <c r="E2415" s="73"/>
      <c r="F2415" s="73"/>
      <c r="G2415" s="73"/>
    </row>
    <row r="2416" spans="2:7" ht="32.25" customHeight="1" x14ac:dyDescent="0.35">
      <c r="B2416" s="73"/>
      <c r="C2416" s="73"/>
      <c r="D2416" s="73"/>
      <c r="E2416" s="73"/>
      <c r="F2416" s="73"/>
      <c r="G2416" s="73"/>
    </row>
    <row r="2417" spans="2:7" ht="32.25" customHeight="1" x14ac:dyDescent="0.35">
      <c r="B2417" s="73"/>
      <c r="C2417" s="73"/>
      <c r="D2417" s="73"/>
      <c r="E2417" s="73"/>
      <c r="F2417" s="73"/>
      <c r="G2417" s="73"/>
    </row>
    <row r="2418" spans="2:7" ht="32.25" customHeight="1" x14ac:dyDescent="0.35">
      <c r="B2418" s="73"/>
      <c r="C2418" s="73"/>
      <c r="D2418" s="73"/>
      <c r="E2418" s="73"/>
      <c r="F2418" s="73"/>
      <c r="G2418" s="73"/>
    </row>
    <row r="2419" spans="2:7" ht="32.25" customHeight="1" x14ac:dyDescent="0.35">
      <c r="B2419" s="73"/>
      <c r="C2419" s="73"/>
      <c r="D2419" s="73"/>
      <c r="E2419" s="73"/>
      <c r="F2419" s="73"/>
      <c r="G2419" s="73"/>
    </row>
    <row r="2420" spans="2:7" ht="32.25" customHeight="1" x14ac:dyDescent="0.35">
      <c r="B2420" s="73"/>
      <c r="C2420" s="73"/>
      <c r="D2420" s="73"/>
      <c r="E2420" s="73"/>
      <c r="F2420" s="73"/>
      <c r="G2420" s="73"/>
    </row>
    <row r="2421" spans="2:7" ht="32.25" customHeight="1" x14ac:dyDescent="0.35">
      <c r="B2421" s="73"/>
      <c r="C2421" s="73"/>
      <c r="D2421" s="73"/>
      <c r="E2421" s="73"/>
      <c r="F2421" s="73"/>
      <c r="G2421" s="73"/>
    </row>
    <row r="2422" spans="2:7" ht="32.25" customHeight="1" x14ac:dyDescent="0.35">
      <c r="B2422" s="73"/>
      <c r="C2422" s="73"/>
      <c r="D2422" s="73"/>
      <c r="E2422" s="73"/>
      <c r="F2422" s="73"/>
      <c r="G2422" s="73"/>
    </row>
    <row r="2423" spans="2:7" ht="32.25" customHeight="1" x14ac:dyDescent="0.35">
      <c r="B2423" s="73"/>
      <c r="C2423" s="73"/>
      <c r="D2423" s="73"/>
      <c r="E2423" s="73"/>
      <c r="F2423" s="73"/>
      <c r="G2423" s="73"/>
    </row>
    <row r="2424" spans="2:7" ht="32.25" customHeight="1" x14ac:dyDescent="0.35">
      <c r="B2424" s="73"/>
      <c r="C2424" s="73"/>
      <c r="D2424" s="73"/>
      <c r="E2424" s="73"/>
      <c r="F2424" s="73"/>
      <c r="G2424" s="73"/>
    </row>
    <row r="2425" spans="2:7" ht="32.25" customHeight="1" x14ac:dyDescent="0.35">
      <c r="B2425" s="73"/>
      <c r="C2425" s="73"/>
      <c r="D2425" s="73"/>
      <c r="E2425" s="73"/>
      <c r="F2425" s="73"/>
      <c r="G2425" s="73"/>
    </row>
    <row r="2426" spans="2:7" ht="32.25" customHeight="1" x14ac:dyDescent="0.35">
      <c r="B2426" s="73"/>
      <c r="C2426" s="73"/>
      <c r="D2426" s="73"/>
      <c r="E2426" s="73"/>
      <c r="F2426" s="73"/>
      <c r="G2426" s="73"/>
    </row>
    <row r="2427" spans="2:7" ht="32.25" customHeight="1" x14ac:dyDescent="0.35">
      <c r="B2427" s="73"/>
      <c r="C2427" s="73"/>
      <c r="D2427" s="73"/>
      <c r="E2427" s="73"/>
      <c r="F2427" s="73"/>
      <c r="G2427" s="73"/>
    </row>
    <row r="2428" spans="2:7" ht="32.25" customHeight="1" x14ac:dyDescent="0.35">
      <c r="B2428" s="73"/>
      <c r="C2428" s="73"/>
      <c r="D2428" s="73"/>
      <c r="E2428" s="73"/>
      <c r="F2428" s="73"/>
      <c r="G2428" s="73"/>
    </row>
    <row r="2429" spans="2:7" ht="32.25" customHeight="1" x14ac:dyDescent="0.35">
      <c r="B2429" s="73"/>
      <c r="C2429" s="73"/>
      <c r="D2429" s="73"/>
      <c r="E2429" s="73"/>
      <c r="F2429" s="73"/>
      <c r="G2429" s="73"/>
    </row>
    <row r="2430" spans="2:7" ht="32.25" customHeight="1" x14ac:dyDescent="0.35">
      <c r="B2430" s="73"/>
      <c r="C2430" s="73"/>
      <c r="D2430" s="73"/>
      <c r="E2430" s="73"/>
      <c r="F2430" s="73"/>
      <c r="G2430" s="73"/>
    </row>
    <row r="2431" spans="2:7" ht="32.25" customHeight="1" x14ac:dyDescent="0.35">
      <c r="B2431" s="73"/>
      <c r="C2431" s="73"/>
      <c r="D2431" s="73"/>
      <c r="E2431" s="73"/>
      <c r="F2431" s="73"/>
      <c r="G2431" s="73"/>
    </row>
    <row r="2432" spans="2:7" ht="32.25" customHeight="1" x14ac:dyDescent="0.35">
      <c r="B2432" s="73"/>
      <c r="C2432" s="73"/>
      <c r="D2432" s="73"/>
      <c r="E2432" s="73"/>
      <c r="F2432" s="73"/>
      <c r="G2432" s="73"/>
    </row>
    <row r="2433" spans="2:7" ht="32.25" customHeight="1" x14ac:dyDescent="0.35">
      <c r="B2433" s="73"/>
      <c r="C2433" s="73"/>
      <c r="D2433" s="73"/>
      <c r="E2433" s="73"/>
      <c r="F2433" s="73"/>
      <c r="G2433" s="73"/>
    </row>
    <row r="2434" spans="2:7" ht="32.25" customHeight="1" x14ac:dyDescent="0.35">
      <c r="B2434" s="73"/>
      <c r="C2434" s="73"/>
      <c r="D2434" s="73"/>
      <c r="E2434" s="73"/>
      <c r="F2434" s="73"/>
      <c r="G2434" s="73"/>
    </row>
    <row r="2435" spans="2:7" ht="32.25" customHeight="1" x14ac:dyDescent="0.35">
      <c r="B2435" s="73"/>
      <c r="C2435" s="73"/>
      <c r="D2435" s="73"/>
      <c r="E2435" s="73"/>
      <c r="F2435" s="73"/>
      <c r="G2435" s="73"/>
    </row>
    <row r="2436" spans="2:7" ht="32.25" customHeight="1" x14ac:dyDescent="0.35">
      <c r="B2436" s="73"/>
      <c r="C2436" s="73"/>
      <c r="D2436" s="73"/>
      <c r="E2436" s="73"/>
      <c r="F2436" s="73"/>
      <c r="G2436" s="73"/>
    </row>
    <row r="2437" spans="2:7" ht="32.25" customHeight="1" x14ac:dyDescent="0.35">
      <c r="B2437" s="73"/>
      <c r="C2437" s="73"/>
      <c r="D2437" s="73"/>
      <c r="E2437" s="73"/>
      <c r="F2437" s="73"/>
      <c r="G2437" s="73"/>
    </row>
    <row r="2438" spans="2:7" ht="32.25" customHeight="1" x14ac:dyDescent="0.35">
      <c r="B2438" s="73"/>
      <c r="C2438" s="73"/>
      <c r="D2438" s="73"/>
      <c r="E2438" s="73"/>
      <c r="F2438" s="73"/>
      <c r="G2438" s="73"/>
    </row>
    <row r="2439" spans="2:7" ht="32.25" customHeight="1" x14ac:dyDescent="0.35">
      <c r="B2439" s="73"/>
      <c r="C2439" s="73"/>
      <c r="D2439" s="73"/>
      <c r="E2439" s="73"/>
      <c r="F2439" s="73"/>
      <c r="G2439" s="73"/>
    </row>
    <row r="2440" spans="2:7" ht="32.25" customHeight="1" x14ac:dyDescent="0.35">
      <c r="B2440" s="73"/>
      <c r="C2440" s="73"/>
      <c r="D2440" s="73"/>
      <c r="E2440" s="73"/>
      <c r="F2440" s="73"/>
      <c r="G2440" s="73"/>
    </row>
    <row r="2441" spans="2:7" ht="32.25" customHeight="1" x14ac:dyDescent="0.35">
      <c r="B2441" s="73"/>
      <c r="C2441" s="73"/>
      <c r="D2441" s="73"/>
      <c r="E2441" s="73"/>
      <c r="F2441" s="73"/>
      <c r="G2441" s="73"/>
    </row>
    <row r="2442" spans="2:7" ht="32.25" customHeight="1" x14ac:dyDescent="0.35">
      <c r="B2442" s="73"/>
      <c r="C2442" s="73"/>
      <c r="D2442" s="73"/>
      <c r="E2442" s="73"/>
      <c r="F2442" s="73"/>
      <c r="G2442" s="73"/>
    </row>
    <row r="2443" spans="2:7" ht="32.25" customHeight="1" x14ac:dyDescent="0.35">
      <c r="B2443" s="73"/>
      <c r="C2443" s="73"/>
      <c r="D2443" s="73"/>
      <c r="E2443" s="73"/>
      <c r="F2443" s="73"/>
      <c r="G2443" s="73"/>
    </row>
    <row r="2444" spans="2:7" ht="32.25" customHeight="1" x14ac:dyDescent="0.35">
      <c r="B2444" s="73"/>
      <c r="C2444" s="73"/>
      <c r="D2444" s="73"/>
      <c r="E2444" s="73"/>
      <c r="F2444" s="73"/>
      <c r="G2444" s="73"/>
    </row>
    <row r="2445" spans="2:7" ht="32.25" customHeight="1" x14ac:dyDescent="0.35">
      <c r="B2445" s="73"/>
      <c r="C2445" s="73"/>
      <c r="D2445" s="73"/>
      <c r="E2445" s="73"/>
      <c r="F2445" s="73"/>
      <c r="G2445" s="73"/>
    </row>
    <row r="2446" spans="2:7" ht="32.25" customHeight="1" x14ac:dyDescent="0.35">
      <c r="B2446" s="73"/>
      <c r="C2446" s="73"/>
      <c r="D2446" s="73"/>
      <c r="E2446" s="73"/>
      <c r="F2446" s="73"/>
      <c r="G2446" s="73"/>
    </row>
    <row r="2447" spans="2:7" ht="32.25" customHeight="1" x14ac:dyDescent="0.35">
      <c r="B2447" s="73"/>
      <c r="C2447" s="73"/>
      <c r="D2447" s="73"/>
      <c r="E2447" s="73"/>
      <c r="F2447" s="73"/>
      <c r="G2447" s="73"/>
    </row>
    <row r="2448" spans="2:7" ht="32.25" customHeight="1" x14ac:dyDescent="0.35">
      <c r="B2448" s="73"/>
      <c r="C2448" s="73"/>
      <c r="D2448" s="73"/>
      <c r="E2448" s="73"/>
      <c r="F2448" s="73"/>
      <c r="G2448" s="73"/>
    </row>
    <row r="2449" spans="2:7" ht="32.25" customHeight="1" x14ac:dyDescent="0.35">
      <c r="B2449" s="73"/>
      <c r="C2449" s="73"/>
      <c r="D2449" s="73"/>
      <c r="E2449" s="73"/>
      <c r="F2449" s="73"/>
      <c r="G2449" s="73"/>
    </row>
    <row r="2450" spans="2:7" ht="32.25" customHeight="1" x14ac:dyDescent="0.35">
      <c r="B2450" s="73"/>
      <c r="C2450" s="73"/>
      <c r="D2450" s="73"/>
      <c r="E2450" s="73"/>
      <c r="F2450" s="73"/>
      <c r="G2450" s="73"/>
    </row>
    <row r="2451" spans="2:7" ht="32.25" customHeight="1" x14ac:dyDescent="0.35">
      <c r="B2451" s="73"/>
      <c r="C2451" s="73"/>
      <c r="D2451" s="73"/>
      <c r="E2451" s="73"/>
      <c r="F2451" s="73"/>
      <c r="G2451" s="73"/>
    </row>
    <row r="2452" spans="2:7" ht="32.25" customHeight="1" x14ac:dyDescent="0.35">
      <c r="B2452" s="73"/>
      <c r="C2452" s="73"/>
      <c r="D2452" s="73"/>
      <c r="E2452" s="73"/>
      <c r="F2452" s="73"/>
      <c r="G2452" s="73"/>
    </row>
    <row r="2453" spans="2:7" ht="32.25" customHeight="1" x14ac:dyDescent="0.35">
      <c r="B2453" s="73"/>
      <c r="C2453" s="73"/>
      <c r="D2453" s="73"/>
      <c r="E2453" s="73"/>
      <c r="F2453" s="73"/>
      <c r="G2453" s="73"/>
    </row>
    <row r="2454" spans="2:7" ht="32.25" customHeight="1" x14ac:dyDescent="0.35">
      <c r="B2454" s="73"/>
      <c r="C2454" s="73"/>
      <c r="D2454" s="73"/>
      <c r="E2454" s="73"/>
      <c r="F2454" s="73"/>
      <c r="G2454" s="73"/>
    </row>
    <row r="2455" spans="2:7" ht="32.25" customHeight="1" x14ac:dyDescent="0.35">
      <c r="B2455" s="73"/>
      <c r="C2455" s="73"/>
      <c r="D2455" s="73"/>
      <c r="E2455" s="73"/>
      <c r="F2455" s="73"/>
      <c r="G2455" s="73"/>
    </row>
    <row r="2456" spans="2:7" ht="32.25" customHeight="1" x14ac:dyDescent="0.35">
      <c r="B2456" s="73"/>
      <c r="C2456" s="73"/>
      <c r="D2456" s="73"/>
      <c r="E2456" s="73"/>
      <c r="F2456" s="73"/>
      <c r="G2456" s="73"/>
    </row>
    <row r="2457" spans="2:7" ht="32.25" customHeight="1" x14ac:dyDescent="0.35">
      <c r="B2457" s="73"/>
      <c r="C2457" s="73"/>
      <c r="D2457" s="73"/>
      <c r="E2457" s="73"/>
      <c r="F2457" s="73"/>
      <c r="G2457" s="73"/>
    </row>
    <row r="2458" spans="2:7" ht="32.25" customHeight="1" x14ac:dyDescent="0.35">
      <c r="B2458" s="73"/>
      <c r="C2458" s="73"/>
      <c r="D2458" s="73"/>
      <c r="E2458" s="73"/>
      <c r="F2458" s="73"/>
      <c r="G2458" s="73"/>
    </row>
    <row r="2459" spans="2:7" ht="32.25" customHeight="1" x14ac:dyDescent="0.35">
      <c r="B2459" s="73"/>
      <c r="C2459" s="73"/>
      <c r="D2459" s="73"/>
      <c r="E2459" s="73"/>
      <c r="F2459" s="73"/>
      <c r="G2459" s="73"/>
    </row>
    <row r="2460" spans="2:7" ht="32.25" customHeight="1" x14ac:dyDescent="0.35">
      <c r="B2460" s="73"/>
      <c r="C2460" s="73"/>
      <c r="D2460" s="73"/>
      <c r="E2460" s="73"/>
      <c r="F2460" s="73"/>
      <c r="G2460" s="73"/>
    </row>
    <row r="2461" spans="2:7" ht="32.25" customHeight="1" x14ac:dyDescent="0.35">
      <c r="B2461" s="73"/>
      <c r="C2461" s="73"/>
      <c r="D2461" s="73"/>
      <c r="E2461" s="73"/>
      <c r="F2461" s="73"/>
      <c r="G2461" s="73"/>
    </row>
    <row r="2462" spans="2:7" ht="32.25" customHeight="1" x14ac:dyDescent="0.35">
      <c r="B2462" s="73"/>
      <c r="C2462" s="73"/>
      <c r="D2462" s="73"/>
      <c r="E2462" s="73"/>
      <c r="F2462" s="73"/>
      <c r="G2462" s="73"/>
    </row>
    <row r="2463" spans="2:7" ht="32.25" customHeight="1" x14ac:dyDescent="0.35">
      <c r="B2463" s="73"/>
      <c r="C2463" s="73"/>
      <c r="D2463" s="73"/>
      <c r="E2463" s="73"/>
      <c r="F2463" s="73"/>
      <c r="G2463" s="73"/>
    </row>
    <row r="2464" spans="2:7" ht="32.25" customHeight="1" x14ac:dyDescent="0.35">
      <c r="B2464" s="73"/>
      <c r="C2464" s="73"/>
      <c r="D2464" s="73"/>
      <c r="E2464" s="73"/>
      <c r="F2464" s="73"/>
      <c r="G2464" s="73"/>
    </row>
    <row r="2465" spans="2:7" ht="32.25" customHeight="1" x14ac:dyDescent="0.35">
      <c r="B2465" s="73"/>
      <c r="C2465" s="73"/>
      <c r="D2465" s="73"/>
      <c r="E2465" s="73"/>
      <c r="F2465" s="73"/>
      <c r="G2465" s="73"/>
    </row>
    <row r="2466" spans="2:7" ht="32.25" customHeight="1" x14ac:dyDescent="0.35">
      <c r="B2466" s="73"/>
      <c r="C2466" s="73"/>
      <c r="D2466" s="73"/>
      <c r="E2466" s="73"/>
      <c r="F2466" s="73"/>
      <c r="G2466" s="73"/>
    </row>
    <row r="2467" spans="2:7" ht="32.25" customHeight="1" x14ac:dyDescent="0.35">
      <c r="B2467" s="73"/>
      <c r="C2467" s="73"/>
      <c r="D2467" s="73"/>
      <c r="E2467" s="73"/>
      <c r="F2467" s="73"/>
      <c r="G2467" s="73"/>
    </row>
    <row r="2468" spans="2:7" ht="32.25" customHeight="1" x14ac:dyDescent="0.35">
      <c r="B2468" s="73"/>
      <c r="C2468" s="73"/>
      <c r="D2468" s="73"/>
      <c r="E2468" s="73"/>
      <c r="F2468" s="73"/>
      <c r="G2468" s="73"/>
    </row>
    <row r="2469" spans="2:7" ht="32.25" customHeight="1" x14ac:dyDescent="0.35">
      <c r="B2469" s="73"/>
      <c r="C2469" s="73"/>
      <c r="D2469" s="73"/>
      <c r="E2469" s="73"/>
      <c r="F2469" s="73"/>
      <c r="G2469" s="73"/>
    </row>
    <row r="2470" spans="2:7" ht="32.25" customHeight="1" x14ac:dyDescent="0.35">
      <c r="B2470" s="73"/>
      <c r="C2470" s="73"/>
      <c r="D2470" s="73"/>
      <c r="E2470" s="73"/>
      <c r="F2470" s="73"/>
      <c r="G2470" s="73"/>
    </row>
    <row r="2471" spans="2:7" ht="32.25" customHeight="1" x14ac:dyDescent="0.35">
      <c r="B2471" s="73"/>
      <c r="C2471" s="73"/>
      <c r="D2471" s="73"/>
      <c r="E2471" s="73"/>
      <c r="F2471" s="73"/>
      <c r="G2471" s="73"/>
    </row>
    <row r="2472" spans="2:7" ht="32.25" customHeight="1" x14ac:dyDescent="0.35">
      <c r="B2472" s="73"/>
      <c r="C2472" s="73"/>
      <c r="D2472" s="73"/>
      <c r="E2472" s="73"/>
      <c r="F2472" s="73"/>
      <c r="G2472" s="73"/>
    </row>
    <row r="2473" spans="2:7" ht="32.25" customHeight="1" x14ac:dyDescent="0.35">
      <c r="B2473" s="73"/>
      <c r="C2473" s="73"/>
      <c r="D2473" s="73"/>
      <c r="E2473" s="73"/>
      <c r="F2473" s="73"/>
      <c r="G2473" s="73"/>
    </row>
    <row r="2474" spans="2:7" ht="32.25" customHeight="1" x14ac:dyDescent="0.35">
      <c r="B2474" s="73"/>
      <c r="C2474" s="73"/>
      <c r="D2474" s="73"/>
      <c r="E2474" s="73"/>
      <c r="F2474" s="73"/>
      <c r="G2474" s="73"/>
    </row>
    <row r="2475" spans="2:7" ht="32.25" customHeight="1" x14ac:dyDescent="0.35">
      <c r="B2475" s="73"/>
      <c r="C2475" s="73"/>
      <c r="D2475" s="73"/>
      <c r="E2475" s="73"/>
      <c r="F2475" s="73"/>
      <c r="G2475" s="73"/>
    </row>
    <row r="2476" spans="2:7" ht="32.25" customHeight="1" x14ac:dyDescent="0.35">
      <c r="B2476" s="73"/>
      <c r="C2476" s="73"/>
      <c r="D2476" s="73"/>
      <c r="E2476" s="73"/>
      <c r="F2476" s="73"/>
      <c r="G2476" s="73"/>
    </row>
    <row r="2477" spans="2:7" ht="32.25" customHeight="1" x14ac:dyDescent="0.35">
      <c r="B2477" s="73"/>
      <c r="C2477" s="73"/>
      <c r="D2477" s="73"/>
      <c r="E2477" s="73"/>
      <c r="F2477" s="73"/>
      <c r="G2477" s="73"/>
    </row>
    <row r="2478" spans="2:7" ht="32.25" customHeight="1" x14ac:dyDescent="0.35">
      <c r="B2478" s="73"/>
      <c r="C2478" s="73"/>
      <c r="D2478" s="73"/>
      <c r="E2478" s="73"/>
      <c r="F2478" s="73"/>
      <c r="G2478" s="73"/>
    </row>
    <row r="2479" spans="2:7" ht="32.25" customHeight="1" x14ac:dyDescent="0.35">
      <c r="B2479" s="73"/>
      <c r="C2479" s="73"/>
      <c r="D2479" s="73"/>
      <c r="E2479" s="73"/>
      <c r="F2479" s="73"/>
      <c r="G2479" s="73"/>
    </row>
    <row r="2480" spans="2:7" ht="32.25" customHeight="1" x14ac:dyDescent="0.35">
      <c r="B2480" s="73"/>
      <c r="C2480" s="73"/>
      <c r="D2480" s="73"/>
      <c r="E2480" s="73"/>
      <c r="F2480" s="73"/>
      <c r="G2480" s="73"/>
    </row>
    <row r="2481" spans="2:7" ht="32.25" customHeight="1" x14ac:dyDescent="0.35">
      <c r="B2481" s="73"/>
      <c r="C2481" s="73"/>
      <c r="D2481" s="73"/>
      <c r="E2481" s="73"/>
      <c r="F2481" s="73"/>
      <c r="G2481" s="73"/>
    </row>
    <row r="2482" spans="2:7" ht="32.25" customHeight="1" x14ac:dyDescent="0.35">
      <c r="B2482" s="73"/>
      <c r="C2482" s="73"/>
      <c r="D2482" s="73"/>
      <c r="E2482" s="73"/>
      <c r="F2482" s="73"/>
      <c r="G2482" s="73"/>
    </row>
    <row r="2483" spans="2:7" ht="32.25" customHeight="1" x14ac:dyDescent="0.35">
      <c r="B2483" s="73"/>
      <c r="C2483" s="73"/>
      <c r="D2483" s="73"/>
      <c r="E2483" s="73"/>
      <c r="F2483" s="73"/>
      <c r="G2483" s="73"/>
    </row>
    <row r="2484" spans="2:7" ht="32.25" customHeight="1" x14ac:dyDescent="0.35">
      <c r="B2484" s="73"/>
      <c r="C2484" s="73"/>
      <c r="D2484" s="73"/>
      <c r="E2484" s="73"/>
      <c r="F2484" s="73"/>
      <c r="G2484" s="73"/>
    </row>
    <row r="2485" spans="2:7" ht="32.25" customHeight="1" x14ac:dyDescent="0.35">
      <c r="B2485" s="73"/>
      <c r="C2485" s="73"/>
      <c r="D2485" s="73"/>
      <c r="E2485" s="73"/>
      <c r="F2485" s="73"/>
      <c r="G2485" s="73"/>
    </row>
    <row r="2486" spans="2:7" ht="32.25" customHeight="1" x14ac:dyDescent="0.35">
      <c r="B2486" s="73"/>
      <c r="C2486" s="73"/>
      <c r="D2486" s="73"/>
      <c r="E2486" s="73"/>
      <c r="F2486" s="73"/>
      <c r="G2486" s="73"/>
    </row>
    <row r="2487" spans="2:7" ht="32.25" customHeight="1" x14ac:dyDescent="0.35">
      <c r="B2487" s="73"/>
      <c r="C2487" s="73"/>
      <c r="D2487" s="73"/>
      <c r="E2487" s="73"/>
      <c r="F2487" s="73"/>
      <c r="G2487" s="73"/>
    </row>
    <row r="2488" spans="2:7" ht="32.25" customHeight="1" x14ac:dyDescent="0.35">
      <c r="B2488" s="73"/>
      <c r="C2488" s="73"/>
      <c r="D2488" s="73"/>
      <c r="E2488" s="73"/>
      <c r="F2488" s="73"/>
      <c r="G2488" s="73"/>
    </row>
    <row r="2489" spans="2:7" ht="32.25" customHeight="1" x14ac:dyDescent="0.35">
      <c r="B2489" s="73"/>
      <c r="C2489" s="73"/>
      <c r="D2489" s="73"/>
      <c r="E2489" s="73"/>
      <c r="F2489" s="73"/>
      <c r="G2489" s="73"/>
    </row>
    <row r="2490" spans="2:7" ht="32.25" customHeight="1" x14ac:dyDescent="0.35">
      <c r="B2490" s="73"/>
      <c r="C2490" s="73"/>
      <c r="D2490" s="73"/>
      <c r="E2490" s="73"/>
      <c r="F2490" s="73"/>
      <c r="G2490" s="73"/>
    </row>
    <row r="2491" spans="2:7" ht="32.25" customHeight="1" x14ac:dyDescent="0.35">
      <c r="B2491" s="73"/>
      <c r="C2491" s="73"/>
      <c r="D2491" s="73"/>
      <c r="E2491" s="73"/>
      <c r="F2491" s="73"/>
      <c r="G2491" s="73"/>
    </row>
    <row r="2492" spans="2:7" ht="32.25" customHeight="1" x14ac:dyDescent="0.35">
      <c r="B2492" s="73"/>
      <c r="C2492" s="73"/>
      <c r="D2492" s="73"/>
      <c r="E2492" s="73"/>
      <c r="F2492" s="73"/>
      <c r="G2492" s="73"/>
    </row>
    <row r="2493" spans="2:7" ht="32.25" customHeight="1" x14ac:dyDescent="0.35">
      <c r="B2493" s="73"/>
      <c r="C2493" s="73"/>
      <c r="D2493" s="73"/>
      <c r="E2493" s="73"/>
      <c r="F2493" s="73"/>
      <c r="G2493" s="73"/>
    </row>
    <row r="2494" spans="2:7" ht="32.25" customHeight="1" x14ac:dyDescent="0.35">
      <c r="B2494" s="73"/>
      <c r="C2494" s="73"/>
      <c r="D2494" s="73"/>
      <c r="E2494" s="73"/>
      <c r="F2494" s="73"/>
      <c r="G2494" s="73"/>
    </row>
    <row r="2495" spans="2:7" ht="32.25" customHeight="1" x14ac:dyDescent="0.35">
      <c r="B2495" s="73"/>
      <c r="C2495" s="73"/>
      <c r="D2495" s="73"/>
      <c r="E2495" s="73"/>
      <c r="F2495" s="73"/>
      <c r="G2495" s="73"/>
    </row>
    <row r="2496" spans="2:7" ht="32.25" customHeight="1" x14ac:dyDescent="0.35">
      <c r="B2496" s="73"/>
      <c r="C2496" s="73"/>
      <c r="D2496" s="73"/>
      <c r="E2496" s="73"/>
      <c r="F2496" s="73"/>
      <c r="G2496" s="73"/>
    </row>
    <row r="2497" spans="2:7" ht="32.25" customHeight="1" x14ac:dyDescent="0.35">
      <c r="B2497" s="73"/>
      <c r="C2497" s="73"/>
      <c r="D2497" s="73"/>
      <c r="E2497" s="73"/>
      <c r="F2497" s="73"/>
      <c r="G2497" s="73"/>
    </row>
    <row r="2498" spans="2:7" ht="32.25" customHeight="1" x14ac:dyDescent="0.35">
      <c r="B2498" s="73"/>
      <c r="C2498" s="73"/>
      <c r="D2498" s="73"/>
      <c r="E2498" s="73"/>
      <c r="F2498" s="73"/>
      <c r="G2498" s="73"/>
    </row>
    <row r="2499" spans="2:7" ht="32.25" customHeight="1" x14ac:dyDescent="0.35">
      <c r="B2499" s="73"/>
      <c r="C2499" s="73"/>
      <c r="D2499" s="73"/>
      <c r="E2499" s="73"/>
      <c r="F2499" s="73"/>
      <c r="G2499" s="73"/>
    </row>
    <row r="2500" spans="2:7" ht="32.25" customHeight="1" x14ac:dyDescent="0.35">
      <c r="B2500" s="73"/>
      <c r="C2500" s="73"/>
      <c r="D2500" s="73"/>
      <c r="E2500" s="73"/>
      <c r="F2500" s="73"/>
      <c r="G2500" s="73"/>
    </row>
    <row r="2501" spans="2:7" ht="32.25" customHeight="1" x14ac:dyDescent="0.35">
      <c r="B2501" s="73"/>
      <c r="C2501" s="73"/>
      <c r="D2501" s="73"/>
      <c r="E2501" s="73"/>
      <c r="F2501" s="73"/>
      <c r="G2501" s="73"/>
    </row>
    <row r="2502" spans="2:7" ht="32.25" customHeight="1" x14ac:dyDescent="0.35">
      <c r="B2502" s="73"/>
      <c r="C2502" s="73"/>
      <c r="D2502" s="73"/>
      <c r="E2502" s="73"/>
      <c r="F2502" s="73"/>
      <c r="G2502" s="73"/>
    </row>
    <row r="2503" spans="2:7" ht="32.25" customHeight="1" x14ac:dyDescent="0.35">
      <c r="B2503" s="73"/>
      <c r="C2503" s="73"/>
      <c r="D2503" s="73"/>
      <c r="E2503" s="73"/>
      <c r="F2503" s="73"/>
      <c r="G2503" s="73"/>
    </row>
    <row r="2504" spans="2:7" ht="32.25" customHeight="1" x14ac:dyDescent="0.35">
      <c r="B2504" s="73"/>
      <c r="C2504" s="73"/>
      <c r="D2504" s="73"/>
      <c r="E2504" s="73"/>
      <c r="F2504" s="73"/>
      <c r="G2504" s="73"/>
    </row>
    <row r="2505" spans="2:7" ht="32.25" customHeight="1" x14ac:dyDescent="0.35">
      <c r="B2505" s="73"/>
      <c r="C2505" s="73"/>
      <c r="D2505" s="73"/>
      <c r="E2505" s="73"/>
      <c r="F2505" s="73"/>
      <c r="G2505" s="73"/>
    </row>
    <row r="2506" spans="2:7" ht="32.25" customHeight="1" x14ac:dyDescent="0.35">
      <c r="B2506" s="73"/>
      <c r="C2506" s="73"/>
      <c r="D2506" s="73"/>
      <c r="E2506" s="73"/>
      <c r="F2506" s="73"/>
      <c r="G2506" s="73"/>
    </row>
    <row r="2507" spans="2:7" ht="32.25" customHeight="1" x14ac:dyDescent="0.35">
      <c r="B2507" s="73"/>
      <c r="C2507" s="73"/>
      <c r="D2507" s="73"/>
      <c r="E2507" s="73"/>
      <c r="F2507" s="73"/>
      <c r="G2507" s="73"/>
    </row>
    <row r="2508" spans="2:7" ht="32.25" customHeight="1" x14ac:dyDescent="0.35">
      <c r="B2508" s="73"/>
      <c r="C2508" s="73"/>
      <c r="D2508" s="73"/>
      <c r="E2508" s="73"/>
      <c r="F2508" s="73"/>
      <c r="G2508" s="73"/>
    </row>
    <row r="2509" spans="2:7" ht="32.25" customHeight="1" x14ac:dyDescent="0.35">
      <c r="B2509" s="73"/>
      <c r="C2509" s="73"/>
      <c r="D2509" s="73"/>
      <c r="E2509" s="73"/>
      <c r="F2509" s="73"/>
      <c r="G2509" s="73"/>
    </row>
    <row r="2510" spans="2:7" ht="32.25" customHeight="1" x14ac:dyDescent="0.35">
      <c r="B2510" s="73"/>
      <c r="C2510" s="73"/>
      <c r="D2510" s="73"/>
      <c r="E2510" s="73"/>
      <c r="F2510" s="73"/>
      <c r="G2510" s="73"/>
    </row>
    <row r="2511" spans="2:7" ht="32.25" customHeight="1" x14ac:dyDescent="0.35">
      <c r="B2511" s="73"/>
      <c r="C2511" s="73"/>
      <c r="D2511" s="73"/>
      <c r="E2511" s="73"/>
      <c r="F2511" s="73"/>
      <c r="G2511" s="73"/>
    </row>
    <row r="2512" spans="2:7" ht="32.25" customHeight="1" x14ac:dyDescent="0.35">
      <c r="B2512" s="73"/>
      <c r="C2512" s="73"/>
      <c r="D2512" s="73"/>
      <c r="E2512" s="73"/>
      <c r="F2512" s="73"/>
      <c r="G2512" s="73"/>
    </row>
    <row r="2513" spans="2:7" ht="32.25" customHeight="1" x14ac:dyDescent="0.35">
      <c r="B2513" s="73"/>
      <c r="C2513" s="73"/>
      <c r="D2513" s="73"/>
      <c r="E2513" s="73"/>
      <c r="F2513" s="73"/>
      <c r="G2513" s="73"/>
    </row>
    <row r="2514" spans="2:7" ht="32.25" customHeight="1" x14ac:dyDescent="0.35">
      <c r="B2514" s="73"/>
      <c r="C2514" s="73"/>
      <c r="D2514" s="73"/>
      <c r="E2514" s="73"/>
      <c r="F2514" s="73"/>
      <c r="G2514" s="73"/>
    </row>
    <row r="2515" spans="2:7" ht="32.25" customHeight="1" x14ac:dyDescent="0.35">
      <c r="B2515" s="73"/>
      <c r="C2515" s="73"/>
      <c r="D2515" s="73"/>
      <c r="E2515" s="73"/>
      <c r="F2515" s="73"/>
      <c r="G2515" s="73"/>
    </row>
    <row r="2516" spans="2:7" ht="32.25" customHeight="1" x14ac:dyDescent="0.35">
      <c r="B2516" s="73"/>
      <c r="C2516" s="73"/>
      <c r="D2516" s="73"/>
      <c r="E2516" s="73"/>
      <c r="F2516" s="73"/>
      <c r="G2516" s="73"/>
    </row>
    <row r="2517" spans="2:7" ht="32.25" customHeight="1" x14ac:dyDescent="0.35">
      <c r="B2517" s="73"/>
      <c r="C2517" s="73"/>
      <c r="D2517" s="73"/>
      <c r="E2517" s="73"/>
      <c r="F2517" s="73"/>
      <c r="G2517" s="73"/>
    </row>
    <row r="2518" spans="2:7" ht="32.25" customHeight="1" x14ac:dyDescent="0.35">
      <c r="B2518" s="73"/>
      <c r="C2518" s="73"/>
      <c r="D2518" s="73"/>
      <c r="E2518" s="73"/>
      <c r="F2518" s="73"/>
      <c r="G2518" s="73"/>
    </row>
    <row r="2519" spans="2:7" ht="32.25" customHeight="1" x14ac:dyDescent="0.35">
      <c r="B2519" s="73"/>
      <c r="C2519" s="73"/>
      <c r="D2519" s="73"/>
      <c r="E2519" s="73"/>
      <c r="F2519" s="73"/>
      <c r="G2519" s="73"/>
    </row>
    <row r="2520" spans="2:7" ht="32.25" customHeight="1" x14ac:dyDescent="0.35">
      <c r="B2520" s="73"/>
      <c r="C2520" s="73"/>
      <c r="D2520" s="73"/>
      <c r="E2520" s="73"/>
      <c r="F2520" s="73"/>
      <c r="G2520" s="73"/>
    </row>
    <row r="2521" spans="2:7" ht="32.25" customHeight="1" x14ac:dyDescent="0.35">
      <c r="B2521" s="73"/>
      <c r="C2521" s="73"/>
      <c r="D2521" s="73"/>
      <c r="E2521" s="73"/>
      <c r="F2521" s="73"/>
      <c r="G2521" s="73"/>
    </row>
    <row r="2522" spans="2:7" ht="32.25" customHeight="1" x14ac:dyDescent="0.35">
      <c r="B2522" s="73"/>
      <c r="C2522" s="73"/>
      <c r="D2522" s="73"/>
      <c r="E2522" s="73"/>
      <c r="F2522" s="73"/>
      <c r="G2522" s="73"/>
    </row>
    <row r="2523" spans="2:7" ht="32.25" customHeight="1" x14ac:dyDescent="0.35">
      <c r="B2523" s="73"/>
      <c r="C2523" s="73"/>
      <c r="D2523" s="73"/>
      <c r="E2523" s="73"/>
      <c r="F2523" s="73"/>
      <c r="G2523" s="73"/>
    </row>
    <row r="2524" spans="2:7" ht="32.25" customHeight="1" x14ac:dyDescent="0.35">
      <c r="B2524" s="73"/>
      <c r="C2524" s="73"/>
      <c r="D2524" s="73"/>
      <c r="E2524" s="73"/>
      <c r="F2524" s="73"/>
      <c r="G2524" s="73"/>
    </row>
    <row r="2525" spans="2:7" ht="32.25" customHeight="1" x14ac:dyDescent="0.35">
      <c r="B2525" s="73"/>
      <c r="C2525" s="73"/>
      <c r="D2525" s="73"/>
      <c r="E2525" s="73"/>
      <c r="F2525" s="73"/>
      <c r="G2525" s="73"/>
    </row>
    <row r="2526" spans="2:7" ht="32.25" customHeight="1" x14ac:dyDescent="0.35">
      <c r="B2526" s="73"/>
      <c r="C2526" s="73"/>
      <c r="D2526" s="73"/>
      <c r="E2526" s="73"/>
      <c r="F2526" s="73"/>
      <c r="G2526" s="73"/>
    </row>
    <row r="2527" spans="2:7" ht="32.25" customHeight="1" x14ac:dyDescent="0.35">
      <c r="B2527" s="73"/>
      <c r="C2527" s="73"/>
      <c r="D2527" s="73"/>
      <c r="E2527" s="73"/>
      <c r="F2527" s="73"/>
      <c r="G2527" s="73"/>
    </row>
    <row r="2528" spans="2:7" ht="32.25" customHeight="1" x14ac:dyDescent="0.35">
      <c r="B2528" s="73"/>
      <c r="C2528" s="73"/>
      <c r="D2528" s="73"/>
      <c r="E2528" s="73"/>
      <c r="F2528" s="73"/>
      <c r="G2528" s="73"/>
    </row>
    <row r="2529" spans="2:7" ht="32.25" customHeight="1" x14ac:dyDescent="0.35">
      <c r="B2529" s="73"/>
      <c r="C2529" s="73"/>
      <c r="D2529" s="73"/>
      <c r="E2529" s="73"/>
      <c r="F2529" s="73"/>
      <c r="G2529" s="73"/>
    </row>
    <row r="2530" spans="2:7" ht="32.25" customHeight="1" x14ac:dyDescent="0.35">
      <c r="B2530" s="73"/>
      <c r="C2530" s="73"/>
      <c r="D2530" s="73"/>
      <c r="E2530" s="73"/>
      <c r="F2530" s="73"/>
      <c r="G2530" s="73"/>
    </row>
    <row r="2531" spans="2:7" ht="32.25" customHeight="1" x14ac:dyDescent="0.35">
      <c r="B2531" s="73"/>
      <c r="C2531" s="73"/>
      <c r="D2531" s="73"/>
      <c r="E2531" s="73"/>
      <c r="F2531" s="73"/>
      <c r="G2531" s="73"/>
    </row>
    <row r="2532" spans="2:7" ht="32.25" customHeight="1" x14ac:dyDescent="0.35">
      <c r="B2532" s="73"/>
      <c r="C2532" s="73"/>
      <c r="D2532" s="73"/>
      <c r="E2532" s="73"/>
      <c r="F2532" s="73"/>
      <c r="G2532" s="73"/>
    </row>
    <row r="2533" spans="2:7" ht="32.25" customHeight="1" x14ac:dyDescent="0.35">
      <c r="B2533" s="73"/>
      <c r="C2533" s="73"/>
      <c r="D2533" s="73"/>
      <c r="E2533" s="73"/>
      <c r="F2533" s="73"/>
      <c r="G2533" s="73"/>
    </row>
    <row r="2534" spans="2:7" ht="32.25" customHeight="1" x14ac:dyDescent="0.35">
      <c r="B2534" s="73"/>
      <c r="C2534" s="73"/>
      <c r="D2534" s="73"/>
      <c r="E2534" s="73"/>
      <c r="F2534" s="73"/>
      <c r="G2534" s="73"/>
    </row>
    <row r="2535" spans="2:7" ht="32.25" customHeight="1" x14ac:dyDescent="0.35">
      <c r="B2535" s="73"/>
      <c r="C2535" s="73"/>
      <c r="D2535" s="73"/>
      <c r="E2535" s="73"/>
      <c r="F2535" s="73"/>
      <c r="G2535" s="73"/>
    </row>
    <row r="2536" spans="2:7" ht="32.25" customHeight="1" x14ac:dyDescent="0.35">
      <c r="B2536" s="73"/>
      <c r="C2536" s="73"/>
      <c r="D2536" s="73"/>
      <c r="E2536" s="73"/>
      <c r="F2536" s="73"/>
      <c r="G2536" s="73"/>
    </row>
    <row r="2537" spans="2:7" ht="32.25" customHeight="1" x14ac:dyDescent="0.35">
      <c r="B2537" s="73"/>
      <c r="C2537" s="73"/>
      <c r="D2537" s="73"/>
      <c r="E2537" s="73"/>
      <c r="F2537" s="73"/>
      <c r="G2537" s="73"/>
    </row>
    <row r="2538" spans="2:7" ht="32.25" customHeight="1" x14ac:dyDescent="0.35">
      <c r="B2538" s="73"/>
      <c r="C2538" s="73"/>
      <c r="D2538" s="73"/>
      <c r="E2538" s="73"/>
      <c r="F2538" s="73"/>
      <c r="G2538" s="73"/>
    </row>
    <row r="2539" spans="2:7" ht="32.25" customHeight="1" x14ac:dyDescent="0.35">
      <c r="B2539" s="73"/>
      <c r="C2539" s="73"/>
      <c r="D2539" s="73"/>
      <c r="E2539" s="73"/>
      <c r="F2539" s="73"/>
      <c r="G2539" s="73"/>
    </row>
    <row r="2540" spans="2:7" ht="32.25" customHeight="1" x14ac:dyDescent="0.35">
      <c r="B2540" s="73"/>
      <c r="C2540" s="73"/>
      <c r="D2540" s="73"/>
      <c r="E2540" s="73"/>
      <c r="F2540" s="73"/>
      <c r="G2540" s="73"/>
    </row>
    <row r="2541" spans="2:7" ht="32.25" customHeight="1" x14ac:dyDescent="0.35">
      <c r="B2541" s="73"/>
      <c r="C2541" s="73"/>
      <c r="D2541" s="73"/>
      <c r="E2541" s="73"/>
      <c r="F2541" s="73"/>
      <c r="G2541" s="73"/>
    </row>
    <row r="2542" spans="2:7" ht="32.25" customHeight="1" x14ac:dyDescent="0.35">
      <c r="B2542" s="73"/>
      <c r="C2542" s="73"/>
      <c r="D2542" s="73"/>
      <c r="E2542" s="73"/>
      <c r="F2542" s="73"/>
      <c r="G2542" s="73"/>
    </row>
    <row r="2543" spans="2:7" ht="32.25" customHeight="1" x14ac:dyDescent="0.35">
      <c r="B2543" s="73"/>
      <c r="C2543" s="73"/>
      <c r="D2543" s="73"/>
      <c r="E2543" s="73"/>
      <c r="F2543" s="73"/>
      <c r="G2543" s="73"/>
    </row>
    <row r="2544" spans="2:7" ht="32.25" customHeight="1" x14ac:dyDescent="0.35">
      <c r="B2544" s="73"/>
      <c r="C2544" s="73"/>
      <c r="D2544" s="73"/>
      <c r="E2544" s="73"/>
      <c r="F2544" s="73"/>
      <c r="G2544" s="73"/>
    </row>
    <row r="2545" spans="2:7" ht="32.25" customHeight="1" x14ac:dyDescent="0.35">
      <c r="B2545" s="73"/>
      <c r="C2545" s="73"/>
      <c r="D2545" s="73"/>
      <c r="E2545" s="73"/>
      <c r="F2545" s="73"/>
      <c r="G2545" s="73"/>
    </row>
    <row r="2546" spans="2:7" ht="32.25" customHeight="1" x14ac:dyDescent="0.35">
      <c r="B2546" s="73"/>
      <c r="C2546" s="73"/>
      <c r="D2546" s="73"/>
      <c r="E2546" s="73"/>
      <c r="F2546" s="73"/>
      <c r="G2546" s="73"/>
    </row>
    <row r="2547" spans="2:7" ht="32.25" customHeight="1" x14ac:dyDescent="0.35">
      <c r="B2547" s="73"/>
      <c r="C2547" s="73"/>
      <c r="D2547" s="73"/>
      <c r="E2547" s="73"/>
      <c r="F2547" s="73"/>
      <c r="G2547" s="73"/>
    </row>
    <row r="2548" spans="2:7" ht="32.25" customHeight="1" x14ac:dyDescent="0.35">
      <c r="B2548" s="73"/>
      <c r="C2548" s="73"/>
      <c r="D2548" s="73"/>
      <c r="E2548" s="73"/>
      <c r="F2548" s="73"/>
      <c r="G2548" s="73"/>
    </row>
    <row r="2549" spans="2:7" ht="32.25" customHeight="1" x14ac:dyDescent="0.35">
      <c r="B2549" s="73"/>
      <c r="C2549" s="73"/>
      <c r="D2549" s="73"/>
      <c r="E2549" s="73"/>
      <c r="F2549" s="73"/>
      <c r="G2549" s="73"/>
    </row>
    <row r="2550" spans="2:7" ht="32.25" customHeight="1" x14ac:dyDescent="0.35">
      <c r="B2550" s="73"/>
      <c r="C2550" s="73"/>
      <c r="D2550" s="73"/>
      <c r="E2550" s="73"/>
      <c r="F2550" s="73"/>
      <c r="G2550" s="73"/>
    </row>
    <row r="2551" spans="2:7" ht="32.25" customHeight="1" x14ac:dyDescent="0.35">
      <c r="B2551" s="73"/>
      <c r="C2551" s="73"/>
      <c r="D2551" s="73"/>
      <c r="E2551" s="73"/>
      <c r="F2551" s="73"/>
      <c r="G2551" s="73"/>
    </row>
    <row r="2552" spans="2:7" ht="32.25" customHeight="1" x14ac:dyDescent="0.35">
      <c r="B2552" s="73"/>
      <c r="C2552" s="73"/>
      <c r="D2552" s="73"/>
      <c r="E2552" s="73"/>
      <c r="F2552" s="73"/>
      <c r="G2552" s="73"/>
    </row>
    <row r="2553" spans="2:7" ht="32.25" customHeight="1" x14ac:dyDescent="0.35">
      <c r="B2553" s="73"/>
      <c r="C2553" s="73"/>
      <c r="D2553" s="73"/>
      <c r="E2553" s="73"/>
      <c r="F2553" s="73"/>
      <c r="G2553" s="73"/>
    </row>
    <row r="2554" spans="2:7" ht="32.25" customHeight="1" x14ac:dyDescent="0.35">
      <c r="B2554" s="73"/>
      <c r="C2554" s="73"/>
      <c r="D2554" s="73"/>
      <c r="E2554" s="73"/>
      <c r="F2554" s="73"/>
      <c r="G2554" s="73"/>
    </row>
    <row r="2555" spans="2:7" ht="32.25" customHeight="1" x14ac:dyDescent="0.35">
      <c r="B2555" s="73"/>
      <c r="C2555" s="73"/>
      <c r="D2555" s="73"/>
      <c r="E2555" s="73"/>
      <c r="F2555" s="73"/>
      <c r="G2555" s="73"/>
    </row>
    <row r="2556" spans="2:7" ht="32.25" customHeight="1" x14ac:dyDescent="0.35">
      <c r="B2556" s="73"/>
      <c r="C2556" s="73"/>
      <c r="D2556" s="73"/>
      <c r="E2556" s="73"/>
      <c r="F2556" s="73"/>
      <c r="G2556" s="73"/>
    </row>
    <row r="2557" spans="2:7" ht="32.25" customHeight="1" x14ac:dyDescent="0.35">
      <c r="B2557" s="73"/>
      <c r="C2557" s="73"/>
      <c r="D2557" s="73"/>
      <c r="E2557" s="73"/>
      <c r="F2557" s="73"/>
      <c r="G2557" s="73"/>
    </row>
    <row r="2558" spans="2:7" ht="32.25" customHeight="1" x14ac:dyDescent="0.35">
      <c r="B2558" s="73"/>
      <c r="C2558" s="73"/>
      <c r="D2558" s="73"/>
      <c r="E2558" s="73"/>
      <c r="F2558" s="73"/>
      <c r="G2558" s="73"/>
    </row>
    <row r="2559" spans="2:7" ht="32.25" customHeight="1" x14ac:dyDescent="0.35">
      <c r="B2559" s="73"/>
      <c r="C2559" s="73"/>
      <c r="D2559" s="73"/>
      <c r="E2559" s="73"/>
      <c r="F2559" s="73"/>
      <c r="G2559" s="73"/>
    </row>
    <row r="2560" spans="2:7" ht="32.25" customHeight="1" x14ac:dyDescent="0.35">
      <c r="B2560" s="73"/>
      <c r="C2560" s="73"/>
      <c r="D2560" s="73"/>
      <c r="E2560" s="73"/>
      <c r="F2560" s="73"/>
      <c r="G2560" s="73"/>
    </row>
    <row r="2561" spans="2:7" ht="32.25" customHeight="1" x14ac:dyDescent="0.35">
      <c r="B2561" s="73"/>
      <c r="C2561" s="73"/>
      <c r="D2561" s="73"/>
      <c r="E2561" s="73"/>
      <c r="F2561" s="73"/>
      <c r="G2561" s="73"/>
    </row>
    <row r="2562" spans="2:7" ht="32.25" customHeight="1" x14ac:dyDescent="0.35">
      <c r="B2562" s="73"/>
      <c r="C2562" s="73"/>
      <c r="D2562" s="73"/>
      <c r="E2562" s="73"/>
      <c r="F2562" s="73"/>
      <c r="G2562" s="73"/>
    </row>
    <row r="2563" spans="2:7" ht="32.25" customHeight="1" x14ac:dyDescent="0.35">
      <c r="B2563" s="73"/>
      <c r="C2563" s="73"/>
      <c r="D2563" s="73"/>
      <c r="E2563" s="73"/>
      <c r="F2563" s="73"/>
      <c r="G2563" s="73"/>
    </row>
    <row r="2564" spans="2:7" ht="32.25" customHeight="1" x14ac:dyDescent="0.35">
      <c r="B2564" s="73"/>
      <c r="C2564" s="73"/>
      <c r="D2564" s="73"/>
      <c r="E2564" s="73"/>
      <c r="F2564" s="73"/>
      <c r="G2564" s="73"/>
    </row>
    <row r="2565" spans="2:7" ht="32.25" customHeight="1" x14ac:dyDescent="0.35">
      <c r="B2565" s="73"/>
      <c r="C2565" s="73"/>
      <c r="D2565" s="73"/>
      <c r="E2565" s="73"/>
      <c r="F2565" s="73"/>
      <c r="G2565" s="73"/>
    </row>
    <row r="2566" spans="2:7" ht="32.25" customHeight="1" x14ac:dyDescent="0.35">
      <c r="B2566" s="73"/>
      <c r="C2566" s="73"/>
      <c r="D2566" s="73"/>
      <c r="E2566" s="73"/>
      <c r="F2566" s="73"/>
      <c r="G2566" s="73"/>
    </row>
    <row r="2567" spans="2:7" ht="32.25" customHeight="1" x14ac:dyDescent="0.35">
      <c r="B2567" s="73"/>
      <c r="C2567" s="73"/>
      <c r="D2567" s="73"/>
      <c r="E2567" s="73"/>
      <c r="F2567" s="73"/>
      <c r="G2567" s="73"/>
    </row>
    <row r="2568" spans="2:7" ht="32.25" customHeight="1" x14ac:dyDescent="0.35">
      <c r="B2568" s="73"/>
      <c r="C2568" s="73"/>
      <c r="D2568" s="73"/>
      <c r="E2568" s="73"/>
      <c r="F2568" s="73"/>
      <c r="G2568" s="73"/>
    </row>
    <row r="2569" spans="2:7" ht="32.25" customHeight="1" x14ac:dyDescent="0.35">
      <c r="B2569" s="73"/>
      <c r="C2569" s="73"/>
      <c r="D2569" s="73"/>
      <c r="E2569" s="73"/>
      <c r="F2569" s="73"/>
      <c r="G2569" s="73"/>
    </row>
    <row r="2570" spans="2:7" ht="32.25" customHeight="1" x14ac:dyDescent="0.35">
      <c r="B2570" s="73"/>
      <c r="C2570" s="73"/>
      <c r="D2570" s="73"/>
      <c r="E2570" s="73"/>
      <c r="F2570" s="73"/>
      <c r="G2570" s="73"/>
    </row>
    <row r="2571" spans="2:7" ht="32.25" customHeight="1" x14ac:dyDescent="0.35">
      <c r="B2571" s="73"/>
      <c r="C2571" s="73"/>
      <c r="D2571" s="73"/>
      <c r="E2571" s="73"/>
      <c r="F2571" s="73"/>
      <c r="G2571" s="73"/>
    </row>
    <row r="2572" spans="2:7" ht="32.25" customHeight="1" x14ac:dyDescent="0.35">
      <c r="B2572" s="73"/>
      <c r="C2572" s="73"/>
      <c r="D2572" s="73"/>
      <c r="E2572" s="73"/>
      <c r="F2572" s="73"/>
      <c r="G2572" s="73"/>
    </row>
    <row r="2573" spans="2:7" ht="32.25" customHeight="1" x14ac:dyDescent="0.35">
      <c r="B2573" s="73"/>
      <c r="C2573" s="73"/>
      <c r="D2573" s="73"/>
      <c r="E2573" s="73"/>
      <c r="F2573" s="73"/>
      <c r="G2573" s="73"/>
    </row>
    <row r="2574" spans="2:7" ht="32.25" customHeight="1" x14ac:dyDescent="0.35">
      <c r="B2574" s="73"/>
      <c r="C2574" s="73"/>
      <c r="D2574" s="73"/>
      <c r="E2574" s="73"/>
      <c r="F2574" s="73"/>
      <c r="G2574" s="73"/>
    </row>
    <row r="2575" spans="2:7" ht="32.25" customHeight="1" x14ac:dyDescent="0.35">
      <c r="B2575" s="73"/>
      <c r="C2575" s="73"/>
      <c r="D2575" s="73"/>
      <c r="E2575" s="73"/>
      <c r="F2575" s="73"/>
      <c r="G2575" s="73"/>
    </row>
    <row r="2576" spans="2:7" ht="32.25" customHeight="1" x14ac:dyDescent="0.35">
      <c r="B2576" s="73"/>
      <c r="C2576" s="73"/>
      <c r="D2576" s="73"/>
      <c r="E2576" s="73"/>
      <c r="F2576" s="73"/>
      <c r="G2576" s="73"/>
    </row>
    <row r="2577" spans="2:7" ht="32.25" customHeight="1" x14ac:dyDescent="0.35">
      <c r="B2577" s="73"/>
      <c r="C2577" s="73"/>
      <c r="D2577" s="73"/>
      <c r="E2577" s="73"/>
      <c r="F2577" s="73"/>
      <c r="G2577" s="73"/>
    </row>
    <row r="2578" spans="2:7" ht="32.25" customHeight="1" x14ac:dyDescent="0.35">
      <c r="B2578" s="73"/>
      <c r="C2578" s="73"/>
      <c r="D2578" s="73"/>
      <c r="E2578" s="73"/>
      <c r="F2578" s="73"/>
      <c r="G2578" s="73"/>
    </row>
    <row r="2579" spans="2:7" ht="32.25" customHeight="1" x14ac:dyDescent="0.35">
      <c r="B2579" s="73"/>
      <c r="C2579" s="73"/>
      <c r="D2579" s="73"/>
      <c r="E2579" s="73"/>
      <c r="F2579" s="73"/>
      <c r="G2579" s="73"/>
    </row>
    <row r="2580" spans="2:7" ht="32.25" customHeight="1" x14ac:dyDescent="0.35">
      <c r="B2580" s="73"/>
      <c r="C2580" s="73"/>
      <c r="D2580" s="73"/>
      <c r="E2580" s="73"/>
      <c r="F2580" s="73"/>
      <c r="G2580" s="73"/>
    </row>
    <row r="2581" spans="2:7" ht="32.25" customHeight="1" x14ac:dyDescent="0.35">
      <c r="B2581" s="73"/>
      <c r="C2581" s="73"/>
      <c r="D2581" s="73"/>
      <c r="E2581" s="73"/>
      <c r="F2581" s="73"/>
      <c r="G2581" s="73"/>
    </row>
    <row r="2582" spans="2:7" ht="32.25" customHeight="1" x14ac:dyDescent="0.35">
      <c r="B2582" s="73"/>
      <c r="C2582" s="73"/>
      <c r="D2582" s="73"/>
      <c r="E2582" s="73"/>
      <c r="F2582" s="73"/>
      <c r="G2582" s="73"/>
    </row>
    <row r="2583" spans="2:7" ht="32.25" customHeight="1" x14ac:dyDescent="0.35">
      <c r="B2583" s="73"/>
      <c r="C2583" s="73"/>
      <c r="D2583" s="73"/>
      <c r="E2583" s="73"/>
      <c r="F2583" s="73"/>
      <c r="G2583" s="73"/>
    </row>
    <row r="2584" spans="2:7" ht="32.25" customHeight="1" x14ac:dyDescent="0.35">
      <c r="B2584" s="73"/>
      <c r="C2584" s="73"/>
      <c r="D2584" s="73"/>
      <c r="E2584" s="73"/>
      <c r="F2584" s="73"/>
      <c r="G2584" s="73"/>
    </row>
    <row r="2585" spans="2:7" ht="32.25" customHeight="1" x14ac:dyDescent="0.35">
      <c r="B2585" s="73"/>
      <c r="C2585" s="73"/>
      <c r="D2585" s="73"/>
      <c r="E2585" s="73"/>
      <c r="F2585" s="73"/>
      <c r="G2585" s="73"/>
    </row>
    <row r="2586" spans="2:7" ht="32.25" customHeight="1" x14ac:dyDescent="0.35">
      <c r="B2586" s="73"/>
      <c r="C2586" s="73"/>
      <c r="D2586" s="73"/>
      <c r="E2586" s="73"/>
      <c r="F2586" s="73"/>
      <c r="G2586" s="73"/>
    </row>
    <row r="2587" spans="2:7" ht="32.25" customHeight="1" x14ac:dyDescent="0.35">
      <c r="B2587" s="73"/>
      <c r="C2587" s="73"/>
      <c r="D2587" s="73"/>
      <c r="E2587" s="73"/>
      <c r="F2587" s="73"/>
      <c r="G2587" s="73"/>
    </row>
    <row r="2588" spans="2:7" ht="32.25" customHeight="1" x14ac:dyDescent="0.35">
      <c r="B2588" s="73"/>
      <c r="C2588" s="73"/>
      <c r="D2588" s="73"/>
      <c r="E2588" s="73"/>
      <c r="F2588" s="73"/>
      <c r="G2588" s="73"/>
    </row>
    <row r="2589" spans="2:7" ht="32.25" customHeight="1" x14ac:dyDescent="0.35">
      <c r="B2589" s="73"/>
      <c r="C2589" s="73"/>
      <c r="D2589" s="73"/>
      <c r="E2589" s="73"/>
      <c r="F2589" s="73"/>
      <c r="G2589" s="73"/>
    </row>
    <row r="2590" spans="2:7" ht="32.25" customHeight="1" x14ac:dyDescent="0.35">
      <c r="B2590" s="73"/>
      <c r="C2590" s="73"/>
      <c r="D2590" s="73"/>
      <c r="E2590" s="73"/>
      <c r="F2590" s="73"/>
      <c r="G2590" s="73"/>
    </row>
    <row r="2591" spans="2:7" ht="32.25" customHeight="1" x14ac:dyDescent="0.35">
      <c r="B2591" s="73"/>
      <c r="C2591" s="73"/>
      <c r="D2591" s="73"/>
      <c r="E2591" s="73"/>
      <c r="F2591" s="73"/>
      <c r="G2591" s="73"/>
    </row>
    <row r="2592" spans="2:7" ht="32.25" customHeight="1" x14ac:dyDescent="0.35">
      <c r="B2592" s="73"/>
      <c r="C2592" s="73"/>
      <c r="D2592" s="73"/>
      <c r="E2592" s="73"/>
      <c r="F2592" s="73"/>
      <c r="G2592" s="73"/>
    </row>
    <row r="2593" spans="2:7" ht="32.25" customHeight="1" x14ac:dyDescent="0.35">
      <c r="B2593" s="73"/>
      <c r="C2593" s="73"/>
      <c r="D2593" s="73"/>
      <c r="E2593" s="73"/>
      <c r="F2593" s="73"/>
      <c r="G2593" s="73"/>
    </row>
    <row r="2594" spans="2:7" ht="32.25" customHeight="1" x14ac:dyDescent="0.35">
      <c r="B2594" s="73"/>
      <c r="C2594" s="73"/>
      <c r="D2594" s="73"/>
      <c r="E2594" s="73"/>
      <c r="F2594" s="73"/>
      <c r="G2594" s="73"/>
    </row>
    <row r="2595" spans="2:7" ht="32.25" customHeight="1" x14ac:dyDescent="0.35">
      <c r="B2595" s="73"/>
      <c r="C2595" s="73"/>
      <c r="D2595" s="73"/>
      <c r="E2595" s="73"/>
      <c r="F2595" s="73"/>
      <c r="G2595" s="73"/>
    </row>
    <row r="2596" spans="2:7" ht="32.25" customHeight="1" x14ac:dyDescent="0.35">
      <c r="B2596" s="73"/>
      <c r="C2596" s="73"/>
      <c r="D2596" s="73"/>
      <c r="E2596" s="73"/>
      <c r="F2596" s="73"/>
      <c r="G2596" s="73"/>
    </row>
    <row r="2597" spans="2:7" ht="32.25" customHeight="1" x14ac:dyDescent="0.35">
      <c r="B2597" s="73"/>
      <c r="C2597" s="73"/>
      <c r="D2597" s="73"/>
      <c r="E2597" s="73"/>
      <c r="F2597" s="73"/>
      <c r="G2597" s="73"/>
    </row>
    <row r="2598" spans="2:7" ht="32.25" customHeight="1" x14ac:dyDescent="0.35">
      <c r="B2598" s="73"/>
      <c r="C2598" s="73"/>
      <c r="D2598" s="73"/>
      <c r="E2598" s="73"/>
      <c r="F2598" s="73"/>
      <c r="G2598" s="73"/>
    </row>
    <row r="2599" spans="2:7" ht="32.25" customHeight="1" x14ac:dyDescent="0.35">
      <c r="B2599" s="73"/>
      <c r="C2599" s="73"/>
      <c r="D2599" s="73"/>
      <c r="E2599" s="73"/>
      <c r="F2599" s="73"/>
      <c r="G2599" s="73"/>
    </row>
    <row r="2600" spans="2:7" ht="32.25" customHeight="1" x14ac:dyDescent="0.35">
      <c r="B2600" s="73"/>
      <c r="C2600" s="73"/>
      <c r="D2600" s="73"/>
      <c r="E2600" s="73"/>
      <c r="F2600" s="73"/>
      <c r="G2600" s="73"/>
    </row>
    <row r="2601" spans="2:7" ht="32.25" customHeight="1" x14ac:dyDescent="0.35">
      <c r="B2601" s="73"/>
      <c r="C2601" s="73"/>
      <c r="D2601" s="73"/>
      <c r="E2601" s="73"/>
      <c r="F2601" s="73"/>
      <c r="G2601" s="73"/>
    </row>
    <row r="2602" spans="2:7" ht="32.25" customHeight="1" x14ac:dyDescent="0.35">
      <c r="B2602" s="73"/>
      <c r="C2602" s="73"/>
      <c r="D2602" s="73"/>
      <c r="E2602" s="73"/>
      <c r="F2602" s="73"/>
      <c r="G2602" s="73"/>
    </row>
    <row r="2603" spans="2:7" ht="32.25" customHeight="1" x14ac:dyDescent="0.35">
      <c r="B2603" s="73"/>
      <c r="C2603" s="73"/>
      <c r="D2603" s="73"/>
      <c r="E2603" s="73"/>
      <c r="F2603" s="73"/>
      <c r="G2603" s="73"/>
    </row>
    <row r="2604" spans="2:7" ht="32.25" customHeight="1" x14ac:dyDescent="0.35">
      <c r="B2604" s="73"/>
      <c r="C2604" s="73"/>
      <c r="D2604" s="73"/>
      <c r="E2604" s="73"/>
      <c r="F2604" s="73"/>
      <c r="G2604" s="73"/>
    </row>
    <row r="2605" spans="2:7" ht="32.25" customHeight="1" x14ac:dyDescent="0.35">
      <c r="B2605" s="73"/>
      <c r="C2605" s="73"/>
      <c r="D2605" s="73"/>
      <c r="E2605" s="73"/>
      <c r="F2605" s="73"/>
      <c r="G2605" s="73"/>
    </row>
    <row r="2606" spans="2:7" ht="32.25" customHeight="1" x14ac:dyDescent="0.35">
      <c r="B2606" s="73"/>
      <c r="C2606" s="73"/>
      <c r="D2606" s="73"/>
      <c r="E2606" s="73"/>
      <c r="F2606" s="73"/>
      <c r="G2606" s="73"/>
    </row>
    <row r="2607" spans="2:7" ht="32.25" customHeight="1" x14ac:dyDescent="0.35">
      <c r="B2607" s="73"/>
      <c r="C2607" s="73"/>
      <c r="D2607" s="73"/>
      <c r="E2607" s="73"/>
      <c r="F2607" s="73"/>
      <c r="G2607" s="73"/>
    </row>
    <row r="2608" spans="2:7" ht="32.25" customHeight="1" x14ac:dyDescent="0.35">
      <c r="B2608" s="73"/>
      <c r="C2608" s="73"/>
      <c r="D2608" s="73"/>
      <c r="E2608" s="73"/>
      <c r="F2608" s="73"/>
      <c r="G2608" s="73"/>
    </row>
    <row r="2609" spans="2:7" ht="32.25" customHeight="1" x14ac:dyDescent="0.35">
      <c r="B2609" s="73"/>
      <c r="C2609" s="73"/>
      <c r="D2609" s="73"/>
      <c r="E2609" s="73"/>
      <c r="F2609" s="73"/>
      <c r="G2609" s="73"/>
    </row>
    <row r="2610" spans="2:7" ht="32.25" customHeight="1" x14ac:dyDescent="0.35">
      <c r="B2610" s="73"/>
      <c r="C2610" s="73"/>
      <c r="D2610" s="73"/>
      <c r="E2610" s="73"/>
      <c r="F2610" s="73"/>
      <c r="G2610" s="73"/>
    </row>
    <row r="2611" spans="2:7" ht="32.25" customHeight="1" x14ac:dyDescent="0.35">
      <c r="B2611" s="73"/>
      <c r="C2611" s="73"/>
      <c r="D2611" s="73"/>
      <c r="E2611" s="73"/>
      <c r="F2611" s="73"/>
      <c r="G2611" s="73"/>
    </row>
    <row r="2612" spans="2:7" ht="32.25" customHeight="1" x14ac:dyDescent="0.35">
      <c r="B2612" s="73"/>
      <c r="C2612" s="73"/>
      <c r="D2612" s="73"/>
      <c r="E2612" s="73"/>
      <c r="F2612" s="73"/>
      <c r="G2612" s="73"/>
    </row>
    <row r="2613" spans="2:7" ht="32.25" customHeight="1" x14ac:dyDescent="0.35">
      <c r="B2613" s="73"/>
      <c r="C2613" s="73"/>
      <c r="D2613" s="73"/>
      <c r="E2613" s="73"/>
      <c r="F2613" s="73"/>
      <c r="G2613" s="73"/>
    </row>
    <row r="2614" spans="2:7" ht="32.25" customHeight="1" x14ac:dyDescent="0.35">
      <c r="B2614" s="73"/>
      <c r="C2614" s="73"/>
      <c r="D2614" s="73"/>
      <c r="E2614" s="73"/>
      <c r="F2614" s="73"/>
      <c r="G2614" s="73"/>
    </row>
    <row r="2615" spans="2:7" ht="32.25" customHeight="1" x14ac:dyDescent="0.35">
      <c r="B2615" s="73"/>
      <c r="C2615" s="73"/>
      <c r="D2615" s="73"/>
      <c r="E2615" s="73"/>
      <c r="F2615" s="73"/>
      <c r="G2615" s="73"/>
    </row>
    <row r="2616" spans="2:7" ht="32.25" customHeight="1" x14ac:dyDescent="0.35">
      <c r="B2616" s="73"/>
      <c r="C2616" s="73"/>
      <c r="D2616" s="73"/>
      <c r="E2616" s="73"/>
      <c r="F2616" s="73"/>
      <c r="G2616" s="73"/>
    </row>
    <row r="2617" spans="2:7" ht="32.25" customHeight="1" x14ac:dyDescent="0.35">
      <c r="B2617" s="73"/>
      <c r="C2617" s="73"/>
      <c r="D2617" s="73"/>
      <c r="E2617" s="73"/>
      <c r="F2617" s="73"/>
      <c r="G2617" s="73"/>
    </row>
    <row r="2618" spans="2:7" ht="32.25" customHeight="1" x14ac:dyDescent="0.35">
      <c r="B2618" s="73"/>
      <c r="C2618" s="73"/>
      <c r="D2618" s="73"/>
      <c r="E2618" s="73"/>
      <c r="F2618" s="73"/>
      <c r="G2618" s="73"/>
    </row>
    <row r="2619" spans="2:7" ht="32.25" customHeight="1" x14ac:dyDescent="0.35">
      <c r="B2619" s="73"/>
      <c r="C2619" s="73"/>
      <c r="D2619" s="73"/>
      <c r="E2619" s="73"/>
      <c r="F2619" s="73"/>
      <c r="G2619" s="73"/>
    </row>
    <row r="2620" spans="2:7" ht="32.25" customHeight="1" x14ac:dyDescent="0.35">
      <c r="B2620" s="73"/>
      <c r="C2620" s="73"/>
      <c r="D2620" s="73"/>
      <c r="E2620" s="73"/>
      <c r="F2620" s="73"/>
      <c r="G2620" s="73"/>
    </row>
    <row r="2621" spans="2:7" ht="32.25" customHeight="1" x14ac:dyDescent="0.35">
      <c r="B2621" s="73"/>
      <c r="C2621" s="73"/>
      <c r="D2621" s="73"/>
      <c r="E2621" s="73"/>
      <c r="F2621" s="73"/>
      <c r="G2621" s="73"/>
    </row>
    <row r="2622" spans="2:7" ht="32.25" customHeight="1" x14ac:dyDescent="0.35">
      <c r="B2622" s="73"/>
      <c r="C2622" s="73"/>
      <c r="D2622" s="73"/>
      <c r="E2622" s="73"/>
      <c r="F2622" s="73"/>
      <c r="G2622" s="73"/>
    </row>
    <row r="2623" spans="2:7" ht="32.25" customHeight="1" x14ac:dyDescent="0.35">
      <c r="B2623" s="73"/>
      <c r="C2623" s="73"/>
      <c r="D2623" s="73"/>
      <c r="E2623" s="73"/>
      <c r="F2623" s="73"/>
      <c r="G2623" s="73"/>
    </row>
    <row r="2624" spans="2:7" ht="32.25" customHeight="1" x14ac:dyDescent="0.35">
      <c r="B2624" s="73"/>
      <c r="C2624" s="73"/>
      <c r="D2624" s="73"/>
      <c r="E2624" s="73"/>
      <c r="F2624" s="73"/>
      <c r="G2624" s="73"/>
    </row>
    <row r="2625" spans="2:7" ht="32.25" customHeight="1" x14ac:dyDescent="0.35">
      <c r="B2625" s="73"/>
      <c r="C2625" s="73"/>
      <c r="D2625" s="73"/>
      <c r="E2625" s="73"/>
      <c r="F2625" s="73"/>
      <c r="G2625" s="73"/>
    </row>
    <row r="2626" spans="2:7" ht="32.25" customHeight="1" x14ac:dyDescent="0.35">
      <c r="B2626" s="73"/>
      <c r="C2626" s="73"/>
      <c r="D2626" s="73"/>
      <c r="E2626" s="73"/>
      <c r="F2626" s="73"/>
      <c r="G2626" s="73"/>
    </row>
    <row r="2627" spans="2:7" ht="32.25" customHeight="1" x14ac:dyDescent="0.35">
      <c r="B2627" s="73"/>
      <c r="C2627" s="73"/>
      <c r="D2627" s="73"/>
      <c r="E2627" s="73"/>
      <c r="F2627" s="73"/>
      <c r="G2627" s="73"/>
    </row>
    <row r="2628" spans="2:7" ht="32.25" customHeight="1" x14ac:dyDescent="0.35">
      <c r="B2628" s="73"/>
      <c r="C2628" s="73"/>
      <c r="D2628" s="73"/>
      <c r="E2628" s="73"/>
      <c r="F2628" s="73"/>
      <c r="G2628" s="73"/>
    </row>
    <row r="2629" spans="2:7" ht="32.25" customHeight="1" x14ac:dyDescent="0.35">
      <c r="B2629" s="73"/>
      <c r="C2629" s="73"/>
      <c r="D2629" s="73"/>
      <c r="E2629" s="73"/>
      <c r="F2629" s="73"/>
      <c r="G2629" s="73"/>
    </row>
    <row r="2630" spans="2:7" ht="32.25" customHeight="1" x14ac:dyDescent="0.35">
      <c r="B2630" s="73"/>
      <c r="C2630" s="73"/>
      <c r="D2630" s="73"/>
      <c r="E2630" s="73"/>
      <c r="F2630" s="73"/>
      <c r="G2630" s="73"/>
    </row>
    <row r="2631" spans="2:7" ht="32.25" customHeight="1" x14ac:dyDescent="0.35">
      <c r="B2631" s="73"/>
      <c r="C2631" s="73"/>
      <c r="D2631" s="73"/>
      <c r="E2631" s="73"/>
      <c r="F2631" s="73"/>
      <c r="G2631" s="73"/>
    </row>
    <row r="2632" spans="2:7" ht="32.25" customHeight="1" x14ac:dyDescent="0.35">
      <c r="B2632" s="73"/>
      <c r="C2632" s="73"/>
      <c r="D2632" s="73"/>
      <c r="E2632" s="73"/>
      <c r="F2632" s="73"/>
      <c r="G2632" s="73"/>
    </row>
    <row r="2633" spans="2:7" ht="32.25" customHeight="1" x14ac:dyDescent="0.35">
      <c r="B2633" s="73"/>
      <c r="C2633" s="73"/>
      <c r="D2633" s="73"/>
      <c r="E2633" s="73"/>
      <c r="F2633" s="73"/>
      <c r="G2633" s="73"/>
    </row>
    <row r="2634" spans="2:7" ht="32.25" customHeight="1" x14ac:dyDescent="0.35">
      <c r="B2634" s="73"/>
      <c r="C2634" s="73"/>
      <c r="D2634" s="73"/>
      <c r="E2634" s="73"/>
      <c r="F2634" s="73"/>
      <c r="G2634" s="73"/>
    </row>
    <row r="2635" spans="2:7" ht="32.25" customHeight="1" x14ac:dyDescent="0.35">
      <c r="B2635" s="73"/>
      <c r="C2635" s="73"/>
      <c r="D2635" s="73"/>
      <c r="E2635" s="73"/>
      <c r="F2635" s="73"/>
      <c r="G2635" s="73"/>
    </row>
    <row r="2636" spans="2:7" ht="32.25" customHeight="1" x14ac:dyDescent="0.35">
      <c r="B2636" s="73"/>
      <c r="C2636" s="73"/>
      <c r="D2636" s="73"/>
      <c r="E2636" s="73"/>
      <c r="F2636" s="73"/>
      <c r="G2636" s="73"/>
    </row>
    <row r="2637" spans="2:7" ht="32.25" customHeight="1" x14ac:dyDescent="0.35">
      <c r="B2637" s="73"/>
      <c r="C2637" s="73"/>
      <c r="D2637" s="73"/>
      <c r="E2637" s="73"/>
      <c r="F2637" s="73"/>
      <c r="G2637" s="73"/>
    </row>
    <row r="2638" spans="2:7" ht="32.25" customHeight="1" x14ac:dyDescent="0.35">
      <c r="B2638" s="73"/>
      <c r="C2638" s="73"/>
      <c r="D2638" s="73"/>
      <c r="E2638" s="73"/>
      <c r="F2638" s="73"/>
      <c r="G2638" s="73"/>
    </row>
    <row r="2639" spans="2:7" ht="32.25" customHeight="1" x14ac:dyDescent="0.35">
      <c r="B2639" s="73"/>
      <c r="C2639" s="73"/>
      <c r="D2639" s="73"/>
      <c r="E2639" s="73"/>
      <c r="F2639" s="73"/>
      <c r="G2639" s="73"/>
    </row>
    <row r="2640" spans="2:7" ht="32.25" customHeight="1" x14ac:dyDescent="0.35">
      <c r="B2640" s="73"/>
      <c r="C2640" s="73"/>
      <c r="D2640" s="73"/>
      <c r="E2640" s="73"/>
      <c r="F2640" s="73"/>
      <c r="G2640" s="73"/>
    </row>
    <row r="2641" spans="2:7" ht="32.25" customHeight="1" x14ac:dyDescent="0.35">
      <c r="B2641" s="73"/>
      <c r="C2641" s="73"/>
      <c r="D2641" s="73"/>
      <c r="E2641" s="73"/>
      <c r="F2641" s="73"/>
      <c r="G2641" s="73"/>
    </row>
    <row r="2642" spans="2:7" ht="32.25" customHeight="1" x14ac:dyDescent="0.35">
      <c r="B2642" s="73"/>
      <c r="C2642" s="73"/>
      <c r="D2642" s="73"/>
      <c r="E2642" s="73"/>
      <c r="F2642" s="73"/>
      <c r="G2642" s="73"/>
    </row>
    <row r="2643" spans="2:7" ht="32.25" customHeight="1" x14ac:dyDescent="0.35">
      <c r="B2643" s="73"/>
      <c r="C2643" s="73"/>
      <c r="D2643" s="73"/>
      <c r="E2643" s="73"/>
      <c r="F2643" s="73"/>
      <c r="G2643" s="73"/>
    </row>
    <row r="2644" spans="2:7" ht="32.25" customHeight="1" x14ac:dyDescent="0.35">
      <c r="B2644" s="73"/>
      <c r="C2644" s="73"/>
      <c r="D2644" s="73"/>
      <c r="E2644" s="73"/>
      <c r="F2644" s="73"/>
      <c r="G2644" s="73"/>
    </row>
    <row r="2645" spans="2:7" ht="32.25" customHeight="1" x14ac:dyDescent="0.35">
      <c r="B2645" s="73"/>
      <c r="C2645" s="73"/>
      <c r="D2645" s="73"/>
      <c r="E2645" s="73"/>
      <c r="F2645" s="73"/>
      <c r="G2645" s="73"/>
    </row>
    <row r="2646" spans="2:7" ht="32.25" customHeight="1" x14ac:dyDescent="0.35">
      <c r="B2646" s="73"/>
      <c r="C2646" s="73"/>
      <c r="D2646" s="73"/>
      <c r="E2646" s="73"/>
      <c r="F2646" s="73"/>
      <c r="G2646" s="73"/>
    </row>
    <row r="2647" spans="2:7" ht="32.25" customHeight="1" x14ac:dyDescent="0.35">
      <c r="B2647" s="73"/>
      <c r="C2647" s="73"/>
      <c r="D2647" s="73"/>
      <c r="E2647" s="73"/>
      <c r="F2647" s="73"/>
      <c r="G2647" s="73"/>
    </row>
    <row r="2648" spans="2:7" ht="32.25" customHeight="1" x14ac:dyDescent="0.35">
      <c r="B2648" s="73"/>
      <c r="C2648" s="73"/>
      <c r="D2648" s="73"/>
      <c r="E2648" s="73"/>
      <c r="F2648" s="73"/>
      <c r="G2648" s="73"/>
    </row>
    <row r="2649" spans="2:7" ht="32.25" customHeight="1" x14ac:dyDescent="0.35">
      <c r="B2649" s="73"/>
      <c r="C2649" s="73"/>
      <c r="D2649" s="73"/>
      <c r="E2649" s="73"/>
      <c r="F2649" s="73"/>
      <c r="G2649" s="73"/>
    </row>
    <row r="2650" spans="2:7" ht="32.25" customHeight="1" x14ac:dyDescent="0.35">
      <c r="B2650" s="73"/>
      <c r="C2650" s="73"/>
      <c r="D2650" s="73"/>
      <c r="E2650" s="73"/>
      <c r="F2650" s="73"/>
      <c r="G2650" s="73"/>
    </row>
    <row r="2651" spans="2:7" ht="32.25" customHeight="1" x14ac:dyDescent="0.35">
      <c r="B2651" s="73"/>
      <c r="C2651" s="73"/>
      <c r="D2651" s="73"/>
      <c r="E2651" s="73"/>
      <c r="F2651" s="73"/>
      <c r="G2651" s="73"/>
    </row>
    <row r="2652" spans="2:7" ht="32.25" customHeight="1" x14ac:dyDescent="0.35">
      <c r="B2652" s="73"/>
      <c r="C2652" s="73"/>
      <c r="D2652" s="73"/>
      <c r="E2652" s="73"/>
      <c r="F2652" s="73"/>
      <c r="G2652" s="73"/>
    </row>
    <row r="2653" spans="2:7" ht="32.25" customHeight="1" x14ac:dyDescent="0.35">
      <c r="B2653" s="73"/>
      <c r="C2653" s="73"/>
      <c r="D2653" s="73"/>
      <c r="E2653" s="73"/>
      <c r="F2653" s="73"/>
      <c r="G2653" s="73"/>
    </row>
    <row r="2654" spans="2:7" ht="32.25" customHeight="1" x14ac:dyDescent="0.35">
      <c r="B2654" s="73"/>
      <c r="C2654" s="73"/>
      <c r="D2654" s="73"/>
      <c r="E2654" s="73"/>
      <c r="F2654" s="73"/>
      <c r="G2654" s="73"/>
    </row>
    <row r="2655" spans="2:7" ht="32.25" customHeight="1" x14ac:dyDescent="0.35">
      <c r="B2655" s="73"/>
      <c r="C2655" s="73"/>
      <c r="D2655" s="73"/>
      <c r="E2655" s="73"/>
      <c r="F2655" s="73"/>
      <c r="G2655" s="73"/>
    </row>
    <row r="2656" spans="2:7" ht="32.25" customHeight="1" x14ac:dyDescent="0.35">
      <c r="B2656" s="73"/>
      <c r="C2656" s="73"/>
      <c r="D2656" s="73"/>
      <c r="E2656" s="73"/>
      <c r="F2656" s="73"/>
      <c r="G2656" s="73"/>
    </row>
    <row r="2657" spans="2:7" ht="32.25" customHeight="1" x14ac:dyDescent="0.35">
      <c r="B2657" s="73"/>
      <c r="C2657" s="73"/>
      <c r="D2657" s="73"/>
      <c r="E2657" s="73"/>
      <c r="F2657" s="73"/>
      <c r="G2657" s="73"/>
    </row>
    <row r="2658" spans="2:7" ht="32.25" customHeight="1" x14ac:dyDescent="0.35">
      <c r="B2658" s="73"/>
      <c r="C2658" s="73"/>
      <c r="D2658" s="73"/>
      <c r="E2658" s="73"/>
      <c r="F2658" s="73"/>
      <c r="G2658" s="73"/>
    </row>
    <row r="2659" spans="2:7" ht="32.25" customHeight="1" x14ac:dyDescent="0.35">
      <c r="B2659" s="73"/>
      <c r="C2659" s="73"/>
      <c r="D2659" s="73"/>
      <c r="E2659" s="73"/>
      <c r="F2659" s="73"/>
      <c r="G2659" s="73"/>
    </row>
    <row r="2660" spans="2:7" ht="32.25" customHeight="1" x14ac:dyDescent="0.35">
      <c r="B2660" s="73"/>
      <c r="C2660" s="73"/>
      <c r="D2660" s="73"/>
      <c r="E2660" s="73"/>
      <c r="F2660" s="73"/>
      <c r="G2660" s="73"/>
    </row>
    <row r="2661" spans="2:7" ht="32.25" customHeight="1" x14ac:dyDescent="0.35">
      <c r="B2661" s="73"/>
      <c r="C2661" s="73"/>
      <c r="D2661" s="73"/>
      <c r="E2661" s="73"/>
      <c r="F2661" s="73"/>
      <c r="G2661" s="73"/>
    </row>
    <row r="2662" spans="2:7" ht="32.25" customHeight="1" x14ac:dyDescent="0.35">
      <c r="B2662" s="73"/>
      <c r="C2662" s="73"/>
      <c r="D2662" s="73"/>
      <c r="E2662" s="73"/>
      <c r="F2662" s="73"/>
      <c r="G2662" s="73"/>
    </row>
    <row r="2663" spans="2:7" ht="32.25" customHeight="1" x14ac:dyDescent="0.35">
      <c r="B2663" s="73"/>
      <c r="C2663" s="73"/>
      <c r="D2663" s="73"/>
      <c r="E2663" s="73"/>
      <c r="F2663" s="73"/>
      <c r="G2663" s="73"/>
    </row>
    <row r="2664" spans="2:7" ht="32.25" customHeight="1" x14ac:dyDescent="0.35">
      <c r="B2664" s="73"/>
      <c r="C2664" s="73"/>
      <c r="D2664" s="73"/>
      <c r="E2664" s="73"/>
      <c r="F2664" s="73"/>
      <c r="G2664" s="73"/>
    </row>
    <row r="2665" spans="2:7" ht="32.25" customHeight="1" x14ac:dyDescent="0.35">
      <c r="B2665" s="73"/>
      <c r="C2665" s="73"/>
      <c r="D2665" s="73"/>
      <c r="E2665" s="73"/>
      <c r="F2665" s="73"/>
      <c r="G2665" s="73"/>
    </row>
    <row r="2666" spans="2:7" ht="32.25" customHeight="1" x14ac:dyDescent="0.35">
      <c r="B2666" s="73"/>
      <c r="C2666" s="73"/>
      <c r="D2666" s="73"/>
      <c r="E2666" s="73"/>
      <c r="F2666" s="73"/>
      <c r="G2666" s="73"/>
    </row>
    <row r="2667" spans="2:7" ht="32.25" customHeight="1" x14ac:dyDescent="0.35">
      <c r="B2667" s="73"/>
      <c r="C2667" s="73"/>
      <c r="D2667" s="73"/>
      <c r="E2667" s="73"/>
      <c r="F2667" s="73"/>
      <c r="G2667" s="73"/>
    </row>
    <row r="2668" spans="2:7" ht="32.25" customHeight="1" x14ac:dyDescent="0.35">
      <c r="B2668" s="73"/>
      <c r="C2668" s="73"/>
      <c r="D2668" s="73"/>
      <c r="E2668" s="73"/>
      <c r="F2668" s="73"/>
      <c r="G2668" s="73"/>
    </row>
    <row r="2669" spans="2:7" ht="32.25" customHeight="1" x14ac:dyDescent="0.35">
      <c r="B2669" s="73"/>
      <c r="C2669" s="73"/>
      <c r="D2669" s="73"/>
      <c r="E2669" s="73"/>
      <c r="F2669" s="73"/>
      <c r="G2669" s="73"/>
    </row>
    <row r="2670" spans="2:7" ht="32.25" customHeight="1" x14ac:dyDescent="0.35">
      <c r="B2670" s="73"/>
      <c r="C2670" s="73"/>
      <c r="D2670" s="73"/>
      <c r="E2670" s="73"/>
      <c r="F2670" s="73"/>
      <c r="G2670" s="73"/>
    </row>
    <row r="2671" spans="2:7" ht="32.25" customHeight="1" x14ac:dyDescent="0.35">
      <c r="B2671" s="73"/>
      <c r="C2671" s="73"/>
      <c r="D2671" s="73"/>
      <c r="E2671" s="73"/>
      <c r="F2671" s="73"/>
      <c r="G2671" s="73"/>
    </row>
    <row r="2672" spans="2:7" ht="32.25" customHeight="1" x14ac:dyDescent="0.35">
      <c r="B2672" s="73"/>
      <c r="C2672" s="73"/>
      <c r="D2672" s="73"/>
      <c r="E2672" s="73"/>
      <c r="F2672" s="73"/>
      <c r="G2672" s="73"/>
    </row>
    <row r="2673" spans="2:7" ht="32.25" customHeight="1" x14ac:dyDescent="0.35">
      <c r="B2673" s="73"/>
      <c r="C2673" s="73"/>
      <c r="D2673" s="73"/>
      <c r="E2673" s="73"/>
      <c r="F2673" s="73"/>
      <c r="G2673" s="73"/>
    </row>
    <row r="2674" spans="2:7" ht="32.25" customHeight="1" x14ac:dyDescent="0.35">
      <c r="B2674" s="73"/>
      <c r="C2674" s="73"/>
      <c r="D2674" s="73"/>
      <c r="E2674" s="73"/>
      <c r="F2674" s="73"/>
      <c r="G2674" s="73"/>
    </row>
    <row r="2675" spans="2:7" ht="32.25" customHeight="1" x14ac:dyDescent="0.35">
      <c r="B2675" s="73"/>
      <c r="C2675" s="73"/>
      <c r="D2675" s="73"/>
      <c r="E2675" s="73"/>
      <c r="F2675" s="73"/>
      <c r="G2675" s="73"/>
    </row>
    <row r="2676" spans="2:7" ht="32.25" customHeight="1" x14ac:dyDescent="0.35">
      <c r="B2676" s="73"/>
      <c r="C2676" s="73"/>
      <c r="D2676" s="73"/>
      <c r="E2676" s="73"/>
      <c r="F2676" s="73"/>
      <c r="G2676" s="73"/>
    </row>
    <row r="2677" spans="2:7" ht="32.25" customHeight="1" x14ac:dyDescent="0.35">
      <c r="B2677" s="73"/>
      <c r="C2677" s="73"/>
      <c r="D2677" s="73"/>
      <c r="E2677" s="73"/>
      <c r="F2677" s="73"/>
      <c r="G2677" s="73"/>
    </row>
    <row r="2678" spans="2:7" ht="32.25" customHeight="1" x14ac:dyDescent="0.35">
      <c r="B2678" s="73"/>
      <c r="C2678" s="73"/>
      <c r="D2678" s="73"/>
      <c r="E2678" s="73"/>
      <c r="F2678" s="73"/>
      <c r="G2678" s="73"/>
    </row>
    <row r="2679" spans="2:7" ht="32.25" customHeight="1" x14ac:dyDescent="0.35">
      <c r="B2679" s="73"/>
      <c r="C2679" s="73"/>
      <c r="D2679" s="73"/>
      <c r="E2679" s="73"/>
      <c r="F2679" s="73"/>
      <c r="G2679" s="73"/>
    </row>
    <row r="2680" spans="2:7" ht="32.25" customHeight="1" x14ac:dyDescent="0.35">
      <c r="B2680" s="73"/>
      <c r="C2680" s="73"/>
      <c r="D2680" s="73"/>
      <c r="E2680" s="73"/>
      <c r="F2680" s="73"/>
      <c r="G2680" s="73"/>
    </row>
    <row r="2681" spans="2:7" ht="32.25" customHeight="1" x14ac:dyDescent="0.35">
      <c r="B2681" s="73"/>
      <c r="C2681" s="73"/>
      <c r="D2681" s="73"/>
      <c r="E2681" s="73"/>
      <c r="F2681" s="73"/>
      <c r="G2681" s="73"/>
    </row>
    <row r="2682" spans="2:7" ht="32.25" customHeight="1" x14ac:dyDescent="0.35">
      <c r="B2682" s="73"/>
      <c r="C2682" s="73"/>
      <c r="D2682" s="73"/>
      <c r="E2682" s="73"/>
      <c r="F2682" s="73"/>
      <c r="G2682" s="73"/>
    </row>
    <row r="2683" spans="2:7" ht="32.25" customHeight="1" x14ac:dyDescent="0.35">
      <c r="B2683" s="73"/>
      <c r="C2683" s="73"/>
      <c r="D2683" s="73"/>
      <c r="E2683" s="73"/>
      <c r="F2683" s="73"/>
      <c r="G2683" s="73"/>
    </row>
    <row r="2684" spans="2:7" ht="32.25" customHeight="1" x14ac:dyDescent="0.35">
      <c r="B2684" s="73"/>
      <c r="C2684" s="73"/>
      <c r="D2684" s="73"/>
      <c r="E2684" s="73"/>
      <c r="F2684" s="73"/>
      <c r="G2684" s="73"/>
    </row>
    <row r="2685" spans="2:7" ht="32.25" customHeight="1" x14ac:dyDescent="0.35">
      <c r="B2685" s="73"/>
      <c r="C2685" s="73"/>
      <c r="D2685" s="73"/>
      <c r="E2685" s="73"/>
      <c r="F2685" s="73"/>
      <c r="G2685" s="73"/>
    </row>
    <row r="2686" spans="2:7" ht="32.25" customHeight="1" x14ac:dyDescent="0.35">
      <c r="B2686" s="73"/>
      <c r="C2686" s="73"/>
      <c r="D2686" s="73"/>
      <c r="E2686" s="73"/>
      <c r="F2686" s="73"/>
      <c r="G2686" s="73"/>
    </row>
    <row r="2687" spans="2:7" ht="32.25" customHeight="1" x14ac:dyDescent="0.35">
      <c r="B2687" s="73"/>
      <c r="C2687" s="73"/>
      <c r="D2687" s="73"/>
      <c r="E2687" s="73"/>
      <c r="F2687" s="73"/>
      <c r="G2687" s="73"/>
    </row>
    <row r="2688" spans="2:7" ht="32.25" customHeight="1" x14ac:dyDescent="0.35">
      <c r="B2688" s="73"/>
      <c r="C2688" s="73"/>
      <c r="D2688" s="73"/>
      <c r="E2688" s="73"/>
      <c r="F2688" s="73"/>
      <c r="G2688" s="73"/>
    </row>
    <row r="2689" spans="2:7" ht="32.25" customHeight="1" x14ac:dyDescent="0.35">
      <c r="B2689" s="73"/>
      <c r="C2689" s="73"/>
      <c r="D2689" s="73"/>
      <c r="E2689" s="73"/>
      <c r="F2689" s="73"/>
      <c r="G2689" s="73"/>
    </row>
    <row r="2690" spans="2:7" ht="32.25" customHeight="1" x14ac:dyDescent="0.35">
      <c r="B2690" s="73"/>
      <c r="C2690" s="73"/>
      <c r="D2690" s="73"/>
      <c r="E2690" s="73"/>
      <c r="F2690" s="73"/>
      <c r="G2690" s="73"/>
    </row>
    <row r="2691" spans="2:7" ht="32.25" customHeight="1" x14ac:dyDescent="0.35">
      <c r="B2691" s="73"/>
      <c r="C2691" s="73"/>
      <c r="D2691" s="73"/>
      <c r="E2691" s="73"/>
      <c r="F2691" s="73"/>
      <c r="G2691" s="73"/>
    </row>
    <row r="2692" spans="2:7" ht="32.25" customHeight="1" x14ac:dyDescent="0.35">
      <c r="B2692" s="73"/>
      <c r="C2692" s="73"/>
      <c r="D2692" s="73"/>
      <c r="E2692" s="73"/>
      <c r="F2692" s="73"/>
      <c r="G2692" s="73"/>
    </row>
    <row r="2693" spans="2:7" ht="32.25" customHeight="1" x14ac:dyDescent="0.35">
      <c r="B2693" s="73"/>
      <c r="C2693" s="73"/>
      <c r="D2693" s="73"/>
      <c r="E2693" s="73"/>
      <c r="F2693" s="73"/>
      <c r="G2693" s="73"/>
    </row>
    <row r="2694" spans="2:7" ht="32.25" customHeight="1" x14ac:dyDescent="0.35">
      <c r="B2694" s="73"/>
      <c r="C2694" s="73"/>
      <c r="D2694" s="73"/>
      <c r="E2694" s="73"/>
      <c r="F2694" s="73"/>
      <c r="G2694" s="73"/>
    </row>
    <row r="2695" spans="2:7" ht="32.25" customHeight="1" x14ac:dyDescent="0.35">
      <c r="B2695" s="73"/>
      <c r="C2695" s="73"/>
      <c r="D2695" s="73"/>
      <c r="E2695" s="73"/>
      <c r="F2695" s="73"/>
      <c r="G2695" s="73"/>
    </row>
    <row r="2696" spans="2:7" ht="32.25" customHeight="1" x14ac:dyDescent="0.35">
      <c r="B2696" s="73"/>
      <c r="C2696" s="73"/>
      <c r="D2696" s="73"/>
      <c r="E2696" s="73"/>
      <c r="F2696" s="73"/>
      <c r="G2696" s="73"/>
    </row>
    <row r="2697" spans="2:7" ht="32.25" customHeight="1" x14ac:dyDescent="0.35">
      <c r="B2697" s="73"/>
      <c r="C2697" s="73"/>
      <c r="D2697" s="73"/>
      <c r="E2697" s="73"/>
      <c r="F2697" s="73"/>
      <c r="G2697" s="73"/>
    </row>
    <row r="2698" spans="2:7" ht="32.25" customHeight="1" x14ac:dyDescent="0.35">
      <c r="B2698" s="73"/>
      <c r="C2698" s="73"/>
      <c r="D2698" s="73"/>
      <c r="E2698" s="73"/>
      <c r="F2698" s="73"/>
      <c r="G2698" s="73"/>
    </row>
    <row r="2699" spans="2:7" ht="32.25" customHeight="1" x14ac:dyDescent="0.35">
      <c r="B2699" s="73"/>
      <c r="C2699" s="73"/>
      <c r="D2699" s="73"/>
      <c r="E2699" s="73"/>
      <c r="F2699" s="73"/>
      <c r="G2699" s="73"/>
    </row>
    <row r="2700" spans="2:7" ht="32.25" customHeight="1" x14ac:dyDescent="0.35">
      <c r="B2700" s="73"/>
      <c r="C2700" s="73"/>
      <c r="D2700" s="73"/>
      <c r="E2700" s="73"/>
      <c r="F2700" s="73"/>
      <c r="G2700" s="73"/>
    </row>
    <row r="2701" spans="2:7" ht="32.25" customHeight="1" x14ac:dyDescent="0.35">
      <c r="B2701" s="73"/>
      <c r="C2701" s="73"/>
      <c r="D2701" s="73"/>
      <c r="E2701" s="73"/>
      <c r="F2701" s="73"/>
      <c r="G2701" s="73"/>
    </row>
    <row r="2702" spans="2:7" ht="32.25" customHeight="1" x14ac:dyDescent="0.35">
      <c r="B2702" s="73"/>
      <c r="C2702" s="73"/>
      <c r="D2702" s="73"/>
      <c r="E2702" s="73"/>
      <c r="F2702" s="73"/>
      <c r="G2702" s="73"/>
    </row>
    <row r="2703" spans="2:7" ht="32.25" customHeight="1" x14ac:dyDescent="0.35">
      <c r="B2703" s="73"/>
      <c r="C2703" s="73"/>
      <c r="D2703" s="73"/>
      <c r="E2703" s="73"/>
      <c r="F2703" s="73"/>
      <c r="G2703" s="73"/>
    </row>
    <row r="2704" spans="2:7" ht="32.25" customHeight="1" x14ac:dyDescent="0.35">
      <c r="B2704" s="73"/>
      <c r="C2704" s="73"/>
      <c r="D2704" s="73"/>
      <c r="E2704" s="73"/>
      <c r="F2704" s="73"/>
      <c r="G2704" s="73"/>
    </row>
    <row r="2705" spans="2:7" ht="32.25" customHeight="1" x14ac:dyDescent="0.35">
      <c r="B2705" s="73"/>
      <c r="C2705" s="73"/>
      <c r="D2705" s="73"/>
      <c r="E2705" s="73"/>
      <c r="F2705" s="73"/>
      <c r="G2705" s="73"/>
    </row>
    <row r="2706" spans="2:7" ht="32.25" customHeight="1" x14ac:dyDescent="0.35">
      <c r="B2706" s="73"/>
      <c r="C2706" s="73"/>
      <c r="D2706" s="73"/>
      <c r="E2706" s="73"/>
      <c r="F2706" s="73"/>
      <c r="G2706" s="73"/>
    </row>
    <row r="2707" spans="2:7" ht="32.25" customHeight="1" x14ac:dyDescent="0.35">
      <c r="B2707" s="73"/>
      <c r="C2707" s="73"/>
      <c r="D2707" s="73"/>
      <c r="E2707" s="73"/>
      <c r="F2707" s="73"/>
      <c r="G2707" s="73"/>
    </row>
    <row r="2708" spans="2:7" ht="32.25" customHeight="1" x14ac:dyDescent="0.35">
      <c r="B2708" s="73"/>
      <c r="C2708" s="73"/>
      <c r="D2708" s="73"/>
      <c r="E2708" s="73"/>
      <c r="F2708" s="73"/>
      <c r="G2708" s="73"/>
    </row>
    <row r="2709" spans="2:7" ht="32.25" customHeight="1" x14ac:dyDescent="0.35">
      <c r="B2709" s="73"/>
      <c r="C2709" s="73"/>
      <c r="D2709" s="73"/>
      <c r="E2709" s="73"/>
      <c r="F2709" s="73"/>
      <c r="G2709" s="73"/>
    </row>
    <row r="2710" spans="2:7" ht="32.25" customHeight="1" x14ac:dyDescent="0.35">
      <c r="B2710" s="73"/>
      <c r="C2710" s="73"/>
      <c r="D2710" s="73"/>
      <c r="E2710" s="73"/>
      <c r="F2710" s="73"/>
      <c r="G2710" s="73"/>
    </row>
    <row r="2711" spans="2:7" ht="32.25" customHeight="1" x14ac:dyDescent="0.35">
      <c r="B2711" s="73"/>
      <c r="C2711" s="73"/>
      <c r="D2711" s="73"/>
      <c r="E2711" s="73"/>
      <c r="F2711" s="73"/>
      <c r="G2711" s="73"/>
    </row>
    <row r="2712" spans="2:7" ht="32.25" customHeight="1" x14ac:dyDescent="0.35">
      <c r="B2712" s="73"/>
      <c r="C2712" s="73"/>
      <c r="D2712" s="73"/>
      <c r="E2712" s="73"/>
      <c r="F2712" s="73"/>
      <c r="G2712" s="73"/>
    </row>
    <row r="2713" spans="2:7" ht="32.25" customHeight="1" x14ac:dyDescent="0.35">
      <c r="B2713" s="73"/>
      <c r="C2713" s="73"/>
      <c r="D2713" s="73"/>
      <c r="E2713" s="73"/>
      <c r="F2713" s="73"/>
      <c r="G2713" s="73"/>
    </row>
    <row r="2714" spans="2:7" ht="32.25" customHeight="1" x14ac:dyDescent="0.35">
      <c r="B2714" s="73"/>
      <c r="C2714" s="73"/>
      <c r="D2714" s="73"/>
      <c r="E2714" s="73"/>
      <c r="F2714" s="73"/>
      <c r="G2714" s="73"/>
    </row>
    <row r="2715" spans="2:7" ht="32.25" customHeight="1" x14ac:dyDescent="0.35">
      <c r="B2715" s="73"/>
      <c r="C2715" s="73"/>
      <c r="D2715" s="73"/>
      <c r="E2715" s="73"/>
      <c r="F2715" s="73"/>
      <c r="G2715" s="73"/>
    </row>
    <row r="2716" spans="2:7" ht="32.25" customHeight="1" x14ac:dyDescent="0.35">
      <c r="B2716" s="73"/>
      <c r="C2716" s="73"/>
      <c r="D2716" s="73"/>
      <c r="E2716" s="73"/>
      <c r="F2716" s="73"/>
      <c r="G2716" s="73"/>
    </row>
    <row r="2717" spans="2:7" ht="32.25" customHeight="1" x14ac:dyDescent="0.35">
      <c r="B2717" s="73"/>
      <c r="C2717" s="73"/>
      <c r="D2717" s="73"/>
      <c r="E2717" s="73"/>
      <c r="F2717" s="73"/>
      <c r="G2717" s="73"/>
    </row>
    <row r="2718" spans="2:7" ht="32.25" customHeight="1" x14ac:dyDescent="0.35">
      <c r="B2718" s="73"/>
      <c r="C2718" s="73"/>
      <c r="D2718" s="73"/>
      <c r="E2718" s="73"/>
      <c r="F2718" s="73"/>
      <c r="G2718" s="73"/>
    </row>
    <row r="2719" spans="2:7" ht="32.25" customHeight="1" x14ac:dyDescent="0.35">
      <c r="B2719" s="73"/>
      <c r="C2719" s="73"/>
      <c r="D2719" s="73"/>
      <c r="E2719" s="73"/>
      <c r="F2719" s="73"/>
      <c r="G2719" s="73"/>
    </row>
    <row r="2720" spans="2:7" ht="32.25" customHeight="1" x14ac:dyDescent="0.35">
      <c r="B2720" s="73"/>
      <c r="C2720" s="73"/>
      <c r="D2720" s="73"/>
      <c r="E2720" s="73"/>
      <c r="F2720" s="73"/>
      <c r="G2720" s="73"/>
    </row>
    <row r="2721" spans="2:7" ht="32.25" customHeight="1" x14ac:dyDescent="0.35">
      <c r="B2721" s="73"/>
      <c r="C2721" s="73"/>
      <c r="D2721" s="73"/>
      <c r="E2721" s="73"/>
      <c r="F2721" s="73"/>
      <c r="G2721" s="73"/>
    </row>
    <row r="2722" spans="2:7" ht="32.25" customHeight="1" x14ac:dyDescent="0.35">
      <c r="B2722" s="73"/>
      <c r="C2722" s="73"/>
      <c r="D2722" s="73"/>
      <c r="E2722" s="73"/>
      <c r="F2722" s="73"/>
      <c r="G2722" s="73"/>
    </row>
    <row r="2723" spans="2:7" ht="32.25" customHeight="1" x14ac:dyDescent="0.35">
      <c r="B2723" s="73"/>
      <c r="C2723" s="73"/>
      <c r="D2723" s="73"/>
      <c r="E2723" s="73"/>
      <c r="F2723" s="73"/>
      <c r="G2723" s="73"/>
    </row>
    <row r="2724" spans="2:7" ht="32.25" customHeight="1" x14ac:dyDescent="0.35">
      <c r="B2724" s="73"/>
      <c r="C2724" s="73"/>
      <c r="D2724" s="73"/>
      <c r="E2724" s="73"/>
      <c r="F2724" s="73"/>
      <c r="G2724" s="73"/>
    </row>
    <row r="2725" spans="2:7" ht="32.25" customHeight="1" x14ac:dyDescent="0.35">
      <c r="B2725" s="73"/>
      <c r="C2725" s="73"/>
      <c r="D2725" s="73"/>
      <c r="E2725" s="73"/>
      <c r="F2725" s="73"/>
      <c r="G2725" s="73"/>
    </row>
    <row r="2726" spans="2:7" ht="32.25" customHeight="1" x14ac:dyDescent="0.35">
      <c r="B2726" s="73"/>
      <c r="C2726" s="73"/>
      <c r="D2726" s="73"/>
      <c r="E2726" s="73"/>
      <c r="F2726" s="73"/>
      <c r="G2726" s="73"/>
    </row>
    <row r="2727" spans="2:7" ht="32.25" customHeight="1" x14ac:dyDescent="0.35">
      <c r="B2727" s="73"/>
      <c r="C2727" s="73"/>
      <c r="D2727" s="73"/>
      <c r="E2727" s="73"/>
      <c r="F2727" s="73"/>
      <c r="G2727" s="73"/>
    </row>
    <row r="2728" spans="2:7" ht="32.25" customHeight="1" x14ac:dyDescent="0.35">
      <c r="B2728" s="73"/>
      <c r="C2728" s="73"/>
      <c r="D2728" s="73"/>
      <c r="E2728" s="73"/>
      <c r="F2728" s="73"/>
      <c r="G2728" s="73"/>
    </row>
    <row r="2729" spans="2:7" ht="32.25" customHeight="1" x14ac:dyDescent="0.35">
      <c r="B2729" s="73"/>
      <c r="C2729" s="73"/>
      <c r="D2729" s="73"/>
      <c r="E2729" s="73"/>
      <c r="F2729" s="73"/>
      <c r="G2729" s="73"/>
    </row>
    <row r="2730" spans="2:7" ht="32.25" customHeight="1" x14ac:dyDescent="0.35">
      <c r="B2730" s="73"/>
      <c r="C2730" s="73"/>
      <c r="D2730" s="73"/>
      <c r="E2730" s="73"/>
      <c r="F2730" s="73"/>
      <c r="G2730" s="73"/>
    </row>
    <row r="2731" spans="2:7" ht="32.25" customHeight="1" x14ac:dyDescent="0.35">
      <c r="B2731" s="73"/>
      <c r="C2731" s="73"/>
      <c r="D2731" s="73"/>
      <c r="E2731" s="73"/>
      <c r="F2731" s="73"/>
      <c r="G2731" s="73"/>
    </row>
    <row r="2732" spans="2:7" ht="32.25" customHeight="1" x14ac:dyDescent="0.35">
      <c r="B2732" s="73"/>
      <c r="C2732" s="73"/>
      <c r="D2732" s="73"/>
      <c r="E2732" s="73"/>
      <c r="F2732" s="73"/>
      <c r="G2732" s="73"/>
    </row>
    <row r="2733" spans="2:7" ht="32.25" customHeight="1" x14ac:dyDescent="0.35">
      <c r="B2733" s="73"/>
      <c r="C2733" s="73"/>
      <c r="D2733" s="73"/>
      <c r="E2733" s="73"/>
      <c r="F2733" s="73"/>
      <c r="G2733" s="73"/>
    </row>
    <row r="2734" spans="2:7" ht="32.25" customHeight="1" x14ac:dyDescent="0.35">
      <c r="B2734" s="73"/>
      <c r="C2734" s="73"/>
      <c r="D2734" s="73"/>
      <c r="E2734" s="73"/>
      <c r="F2734" s="73"/>
      <c r="G2734" s="73"/>
    </row>
    <row r="2735" spans="2:7" ht="32.25" customHeight="1" x14ac:dyDescent="0.35">
      <c r="B2735" s="73"/>
      <c r="C2735" s="73"/>
      <c r="D2735" s="73"/>
      <c r="E2735" s="73"/>
      <c r="F2735" s="73"/>
      <c r="G2735" s="73"/>
    </row>
    <row r="2736" spans="2:7" ht="32.25" customHeight="1" x14ac:dyDescent="0.35">
      <c r="B2736" s="73"/>
      <c r="C2736" s="73"/>
      <c r="D2736" s="73"/>
      <c r="E2736" s="73"/>
      <c r="F2736" s="73"/>
      <c r="G2736" s="73"/>
    </row>
    <row r="2737" spans="2:7" ht="32.25" customHeight="1" x14ac:dyDescent="0.35">
      <c r="B2737" s="73"/>
      <c r="C2737" s="73"/>
      <c r="D2737" s="73"/>
      <c r="E2737" s="73"/>
      <c r="F2737" s="73"/>
      <c r="G2737" s="73"/>
    </row>
    <row r="2738" spans="2:7" ht="32.25" customHeight="1" x14ac:dyDescent="0.35">
      <c r="B2738" s="73"/>
      <c r="C2738" s="73"/>
      <c r="D2738" s="73"/>
      <c r="E2738" s="73"/>
      <c r="F2738" s="73"/>
      <c r="G2738" s="73"/>
    </row>
    <row r="2739" spans="2:7" ht="32.25" customHeight="1" x14ac:dyDescent="0.35">
      <c r="B2739" s="73"/>
      <c r="C2739" s="73"/>
      <c r="D2739" s="73"/>
      <c r="E2739" s="73"/>
      <c r="F2739" s="73"/>
      <c r="G2739" s="73"/>
    </row>
    <row r="2740" spans="2:7" ht="32.25" customHeight="1" x14ac:dyDescent="0.35">
      <c r="B2740" s="73"/>
      <c r="C2740" s="73"/>
      <c r="D2740" s="73"/>
      <c r="E2740" s="73"/>
      <c r="F2740" s="73"/>
      <c r="G2740" s="73"/>
    </row>
    <row r="2741" spans="2:7" ht="32.25" customHeight="1" x14ac:dyDescent="0.35">
      <c r="B2741" s="73"/>
      <c r="C2741" s="73"/>
      <c r="D2741" s="73"/>
      <c r="E2741" s="73"/>
      <c r="F2741" s="73"/>
      <c r="G2741" s="73"/>
    </row>
    <row r="2742" spans="2:7" ht="32.25" customHeight="1" x14ac:dyDescent="0.35">
      <c r="B2742" s="73"/>
      <c r="C2742" s="73"/>
      <c r="D2742" s="73"/>
      <c r="E2742" s="73"/>
      <c r="F2742" s="73"/>
      <c r="G2742" s="73"/>
    </row>
    <row r="2743" spans="2:7" ht="32.25" customHeight="1" x14ac:dyDescent="0.35">
      <c r="B2743" s="73"/>
      <c r="C2743" s="73"/>
      <c r="D2743" s="73"/>
      <c r="E2743" s="73"/>
      <c r="F2743" s="73"/>
      <c r="G2743" s="73"/>
    </row>
    <row r="2744" spans="2:7" ht="32.25" customHeight="1" x14ac:dyDescent="0.35">
      <c r="B2744" s="73"/>
      <c r="C2744" s="73"/>
      <c r="D2744" s="73"/>
      <c r="E2744" s="73"/>
      <c r="F2744" s="73"/>
      <c r="G2744" s="73"/>
    </row>
    <row r="2745" spans="2:7" ht="32.25" customHeight="1" x14ac:dyDescent="0.35">
      <c r="B2745" s="73"/>
      <c r="C2745" s="73"/>
      <c r="D2745" s="73"/>
      <c r="E2745" s="73"/>
      <c r="F2745" s="73"/>
      <c r="G2745" s="73"/>
    </row>
    <row r="2746" spans="2:7" ht="32.25" customHeight="1" x14ac:dyDescent="0.35">
      <c r="B2746" s="73"/>
      <c r="C2746" s="73"/>
      <c r="D2746" s="73"/>
      <c r="E2746" s="73"/>
      <c r="F2746" s="73"/>
      <c r="G2746" s="73"/>
    </row>
    <row r="2747" spans="2:7" ht="32.25" customHeight="1" x14ac:dyDescent="0.35">
      <c r="B2747" s="73"/>
      <c r="C2747" s="73"/>
      <c r="D2747" s="73"/>
      <c r="E2747" s="73"/>
      <c r="F2747" s="73"/>
      <c r="G2747" s="73"/>
    </row>
    <row r="2748" spans="2:7" ht="32.25" customHeight="1" x14ac:dyDescent="0.35">
      <c r="B2748" s="73"/>
      <c r="C2748" s="73"/>
      <c r="D2748" s="73"/>
      <c r="E2748" s="73"/>
      <c r="F2748" s="73"/>
      <c r="G2748" s="73"/>
    </row>
    <row r="2749" spans="2:7" ht="32.25" customHeight="1" x14ac:dyDescent="0.35">
      <c r="B2749" s="73"/>
      <c r="C2749" s="73"/>
      <c r="D2749" s="73"/>
      <c r="E2749" s="73"/>
      <c r="F2749" s="73"/>
      <c r="G2749" s="73"/>
    </row>
    <row r="2750" spans="2:7" ht="32.25" customHeight="1" x14ac:dyDescent="0.35">
      <c r="B2750" s="73"/>
      <c r="C2750" s="73"/>
      <c r="D2750" s="73"/>
      <c r="E2750" s="73"/>
      <c r="F2750" s="73"/>
      <c r="G2750" s="73"/>
    </row>
    <row r="2751" spans="2:7" ht="32.25" customHeight="1" x14ac:dyDescent="0.35">
      <c r="B2751" s="73"/>
      <c r="C2751" s="73"/>
      <c r="D2751" s="73"/>
      <c r="E2751" s="73"/>
      <c r="F2751" s="73"/>
      <c r="G2751" s="73"/>
    </row>
    <row r="2752" spans="2:7" ht="32.25" customHeight="1" x14ac:dyDescent="0.35">
      <c r="B2752" s="73"/>
      <c r="C2752" s="73"/>
      <c r="D2752" s="73"/>
      <c r="E2752" s="73"/>
      <c r="F2752" s="73"/>
      <c r="G2752" s="73"/>
    </row>
    <row r="2753" spans="2:7" ht="32.25" customHeight="1" x14ac:dyDescent="0.35">
      <c r="B2753" s="73"/>
      <c r="C2753" s="73"/>
      <c r="D2753" s="73"/>
      <c r="E2753" s="73"/>
      <c r="F2753" s="73"/>
      <c r="G2753" s="73"/>
    </row>
    <row r="2754" spans="2:7" ht="32.25" customHeight="1" x14ac:dyDescent="0.35">
      <c r="B2754" s="73"/>
      <c r="C2754" s="73"/>
      <c r="D2754" s="73"/>
      <c r="E2754" s="73"/>
      <c r="F2754" s="73"/>
      <c r="G2754" s="73"/>
    </row>
    <row r="2755" spans="2:7" ht="32.25" customHeight="1" x14ac:dyDescent="0.35">
      <c r="B2755" s="73"/>
      <c r="C2755" s="73"/>
      <c r="D2755" s="73"/>
      <c r="E2755" s="73"/>
      <c r="F2755" s="73"/>
      <c r="G2755" s="73"/>
    </row>
    <row r="2756" spans="2:7" ht="32.25" customHeight="1" x14ac:dyDescent="0.35">
      <c r="B2756" s="73"/>
      <c r="C2756" s="73"/>
      <c r="D2756" s="73"/>
      <c r="E2756" s="73"/>
      <c r="F2756" s="73"/>
      <c r="G2756" s="73"/>
    </row>
    <row r="2757" spans="2:7" ht="32.25" customHeight="1" x14ac:dyDescent="0.35">
      <c r="B2757" s="73"/>
      <c r="C2757" s="73"/>
      <c r="D2757" s="73"/>
      <c r="E2757" s="73"/>
      <c r="F2757" s="73"/>
      <c r="G2757" s="73"/>
    </row>
    <row r="2758" spans="2:7" ht="32.25" customHeight="1" x14ac:dyDescent="0.35">
      <c r="B2758" s="73"/>
      <c r="C2758" s="73"/>
      <c r="D2758" s="73"/>
      <c r="E2758" s="73"/>
      <c r="F2758" s="73"/>
      <c r="G2758" s="73"/>
    </row>
    <row r="2759" spans="2:7" ht="32.25" customHeight="1" x14ac:dyDescent="0.35">
      <c r="B2759" s="73"/>
      <c r="C2759" s="73"/>
      <c r="D2759" s="73"/>
      <c r="E2759" s="73"/>
      <c r="F2759" s="73"/>
      <c r="G2759" s="73"/>
    </row>
    <row r="2760" spans="2:7" ht="32.25" customHeight="1" x14ac:dyDescent="0.35">
      <c r="B2760" s="73"/>
      <c r="C2760" s="73"/>
      <c r="D2760" s="73"/>
      <c r="E2760" s="73"/>
      <c r="F2760" s="73"/>
      <c r="G2760" s="73"/>
    </row>
    <row r="2761" spans="2:7" ht="32.25" customHeight="1" x14ac:dyDescent="0.35">
      <c r="B2761" s="73"/>
      <c r="C2761" s="73"/>
      <c r="D2761" s="73"/>
      <c r="E2761" s="73"/>
      <c r="F2761" s="73"/>
      <c r="G2761" s="73"/>
    </row>
    <row r="2762" spans="2:7" ht="32.25" customHeight="1" x14ac:dyDescent="0.35">
      <c r="B2762" s="73"/>
      <c r="C2762" s="73"/>
      <c r="D2762" s="73"/>
      <c r="E2762" s="73"/>
      <c r="F2762" s="73"/>
      <c r="G2762" s="73"/>
    </row>
    <row r="2763" spans="2:7" ht="32.25" customHeight="1" x14ac:dyDescent="0.35">
      <c r="B2763" s="73"/>
      <c r="C2763" s="73"/>
      <c r="D2763" s="73"/>
      <c r="E2763" s="73"/>
      <c r="F2763" s="73"/>
      <c r="G2763" s="73"/>
    </row>
    <row r="2764" spans="2:7" ht="32.25" customHeight="1" x14ac:dyDescent="0.35">
      <c r="B2764" s="73"/>
      <c r="C2764" s="73"/>
      <c r="D2764" s="73"/>
      <c r="E2764" s="73"/>
      <c r="F2764" s="73"/>
      <c r="G2764" s="73"/>
    </row>
    <row r="2765" spans="2:7" ht="32.25" customHeight="1" x14ac:dyDescent="0.35">
      <c r="B2765" s="73"/>
      <c r="C2765" s="73"/>
      <c r="D2765" s="73"/>
      <c r="E2765" s="73"/>
      <c r="F2765" s="73"/>
      <c r="G2765" s="73"/>
    </row>
    <row r="2766" spans="2:7" ht="32.25" customHeight="1" x14ac:dyDescent="0.35">
      <c r="B2766" s="73"/>
      <c r="C2766" s="73"/>
      <c r="D2766" s="73"/>
      <c r="E2766" s="73"/>
      <c r="F2766" s="73"/>
      <c r="G2766" s="73"/>
    </row>
    <row r="2767" spans="2:7" ht="32.25" customHeight="1" x14ac:dyDescent="0.35">
      <c r="B2767" s="73"/>
      <c r="C2767" s="73"/>
      <c r="D2767" s="73"/>
      <c r="E2767" s="73"/>
      <c r="F2767" s="73"/>
      <c r="G2767" s="73"/>
    </row>
    <row r="2768" spans="2:7" ht="32.25" customHeight="1" x14ac:dyDescent="0.35">
      <c r="B2768" s="73"/>
      <c r="C2768" s="73"/>
      <c r="D2768" s="73"/>
      <c r="E2768" s="73"/>
      <c r="F2768" s="73"/>
      <c r="G2768" s="73"/>
    </row>
    <row r="2769" spans="2:7" ht="32.25" customHeight="1" x14ac:dyDescent="0.35">
      <c r="B2769" s="73"/>
      <c r="C2769" s="73"/>
      <c r="D2769" s="73"/>
      <c r="E2769" s="73"/>
      <c r="F2769" s="73"/>
      <c r="G2769" s="73"/>
    </row>
    <row r="2770" spans="2:7" ht="32.25" customHeight="1" x14ac:dyDescent="0.35">
      <c r="B2770" s="73"/>
      <c r="C2770" s="73"/>
      <c r="D2770" s="73"/>
      <c r="E2770" s="73"/>
      <c r="F2770" s="73"/>
      <c r="G2770" s="73"/>
    </row>
    <row r="2771" spans="2:7" ht="32.25" customHeight="1" x14ac:dyDescent="0.35">
      <c r="B2771" s="73"/>
      <c r="C2771" s="73"/>
      <c r="D2771" s="73"/>
      <c r="E2771" s="73"/>
      <c r="F2771" s="73"/>
      <c r="G2771" s="73"/>
    </row>
    <row r="2772" spans="2:7" ht="32.25" customHeight="1" x14ac:dyDescent="0.35">
      <c r="B2772" s="73"/>
      <c r="C2772" s="73"/>
      <c r="D2772" s="73"/>
      <c r="E2772" s="73"/>
      <c r="F2772" s="73"/>
      <c r="G2772" s="73"/>
    </row>
    <row r="2773" spans="2:7" ht="32.25" customHeight="1" x14ac:dyDescent="0.35">
      <c r="B2773" s="73"/>
      <c r="C2773" s="73"/>
      <c r="D2773" s="73"/>
      <c r="E2773" s="73"/>
      <c r="F2773" s="73"/>
      <c r="G2773" s="73"/>
    </row>
    <row r="2774" spans="2:7" ht="32.25" customHeight="1" x14ac:dyDescent="0.35">
      <c r="B2774" s="73"/>
      <c r="C2774" s="73"/>
      <c r="D2774" s="73"/>
      <c r="E2774" s="73"/>
      <c r="F2774" s="73"/>
      <c r="G2774" s="73"/>
    </row>
    <row r="2775" spans="2:7" ht="32.25" customHeight="1" x14ac:dyDescent="0.35">
      <c r="B2775" s="73"/>
      <c r="C2775" s="73"/>
      <c r="D2775" s="73"/>
      <c r="E2775" s="73"/>
      <c r="F2775" s="73"/>
      <c r="G2775" s="73"/>
    </row>
    <row r="2776" spans="2:7" ht="32.25" customHeight="1" x14ac:dyDescent="0.35">
      <c r="B2776" s="73"/>
      <c r="C2776" s="73"/>
      <c r="D2776" s="73"/>
      <c r="E2776" s="73"/>
      <c r="F2776" s="73"/>
      <c r="G2776" s="73"/>
    </row>
    <row r="2777" spans="2:7" ht="32.25" customHeight="1" x14ac:dyDescent="0.35">
      <c r="B2777" s="73"/>
      <c r="C2777" s="73"/>
      <c r="D2777" s="73"/>
      <c r="E2777" s="73"/>
      <c r="F2777" s="73"/>
      <c r="G2777" s="73"/>
    </row>
    <row r="2778" spans="2:7" ht="32.25" customHeight="1" x14ac:dyDescent="0.35">
      <c r="B2778" s="73"/>
      <c r="C2778" s="73"/>
      <c r="D2778" s="73"/>
      <c r="E2778" s="73"/>
      <c r="F2778" s="73"/>
      <c r="G2778" s="73"/>
    </row>
    <row r="2779" spans="2:7" ht="32.25" customHeight="1" x14ac:dyDescent="0.35">
      <c r="B2779" s="73"/>
      <c r="C2779" s="73"/>
      <c r="D2779" s="73"/>
      <c r="E2779" s="73"/>
      <c r="F2779" s="73"/>
      <c r="G2779" s="73"/>
    </row>
    <row r="2780" spans="2:7" ht="32.25" customHeight="1" x14ac:dyDescent="0.35">
      <c r="B2780" s="73"/>
      <c r="C2780" s="73"/>
      <c r="D2780" s="73"/>
      <c r="E2780" s="73"/>
      <c r="F2780" s="73"/>
      <c r="G2780" s="73"/>
    </row>
    <row r="2781" spans="2:7" ht="32.25" customHeight="1" x14ac:dyDescent="0.35">
      <c r="B2781" s="73"/>
      <c r="C2781" s="73"/>
      <c r="D2781" s="73"/>
      <c r="E2781" s="73"/>
      <c r="F2781" s="73"/>
      <c r="G2781" s="73"/>
    </row>
    <row r="2782" spans="2:7" ht="32.25" customHeight="1" x14ac:dyDescent="0.35">
      <c r="B2782" s="73"/>
      <c r="C2782" s="73"/>
      <c r="D2782" s="73"/>
      <c r="E2782" s="73"/>
      <c r="F2782" s="73"/>
      <c r="G2782" s="73"/>
    </row>
    <row r="2783" spans="2:7" ht="32.25" customHeight="1" x14ac:dyDescent="0.35">
      <c r="B2783" s="73"/>
      <c r="C2783" s="73"/>
      <c r="D2783" s="73"/>
      <c r="E2783" s="73"/>
      <c r="F2783" s="73"/>
      <c r="G2783" s="73"/>
    </row>
    <row r="2784" spans="2:7" ht="32.25" customHeight="1" x14ac:dyDescent="0.35">
      <c r="B2784" s="73"/>
      <c r="C2784" s="73"/>
      <c r="D2784" s="73"/>
      <c r="E2784" s="73"/>
      <c r="F2784" s="73"/>
      <c r="G2784" s="73"/>
    </row>
    <row r="2785" spans="2:7" ht="32.25" customHeight="1" x14ac:dyDescent="0.35">
      <c r="B2785" s="73"/>
      <c r="C2785" s="73"/>
      <c r="D2785" s="73"/>
      <c r="E2785" s="73"/>
      <c r="F2785" s="73"/>
      <c r="G2785" s="73"/>
    </row>
    <row r="2786" spans="2:7" ht="32.25" customHeight="1" x14ac:dyDescent="0.35">
      <c r="B2786" s="73"/>
      <c r="C2786" s="73"/>
      <c r="D2786" s="73"/>
      <c r="E2786" s="73"/>
      <c r="F2786" s="73"/>
      <c r="G2786" s="73"/>
    </row>
    <row r="2787" spans="2:7" ht="32.25" customHeight="1" x14ac:dyDescent="0.35">
      <c r="B2787" s="73"/>
      <c r="C2787" s="73"/>
      <c r="D2787" s="73"/>
      <c r="E2787" s="73"/>
      <c r="F2787" s="73"/>
      <c r="G2787" s="73"/>
    </row>
    <row r="2788" spans="2:7" ht="32.25" customHeight="1" x14ac:dyDescent="0.35">
      <c r="B2788" s="73"/>
      <c r="C2788" s="73"/>
      <c r="D2788" s="73"/>
      <c r="E2788" s="73"/>
      <c r="F2788" s="73"/>
      <c r="G2788" s="73"/>
    </row>
    <row r="2789" spans="2:7" ht="32.25" customHeight="1" x14ac:dyDescent="0.35">
      <c r="B2789" s="73"/>
      <c r="C2789" s="73"/>
      <c r="D2789" s="73"/>
      <c r="E2789" s="73"/>
      <c r="F2789" s="73"/>
      <c r="G2789" s="73"/>
    </row>
    <row r="2790" spans="2:7" ht="32.25" customHeight="1" x14ac:dyDescent="0.35">
      <c r="B2790" s="73"/>
      <c r="C2790" s="73"/>
      <c r="D2790" s="73"/>
      <c r="E2790" s="73"/>
      <c r="F2790" s="73"/>
      <c r="G2790" s="73"/>
    </row>
    <row r="2791" spans="2:7" ht="32.25" customHeight="1" x14ac:dyDescent="0.35">
      <c r="B2791" s="73"/>
      <c r="C2791" s="73"/>
      <c r="D2791" s="73"/>
      <c r="E2791" s="73"/>
      <c r="F2791" s="73"/>
      <c r="G2791" s="73"/>
    </row>
    <row r="2792" spans="2:7" ht="32.25" customHeight="1" x14ac:dyDescent="0.35">
      <c r="B2792" s="73"/>
      <c r="C2792" s="73"/>
      <c r="D2792" s="73"/>
      <c r="E2792" s="73"/>
      <c r="F2792" s="73"/>
      <c r="G2792" s="73"/>
    </row>
    <row r="2793" spans="2:7" ht="32.25" customHeight="1" x14ac:dyDescent="0.35">
      <c r="B2793" s="73"/>
      <c r="C2793" s="73"/>
      <c r="D2793" s="73"/>
      <c r="E2793" s="73"/>
      <c r="F2793" s="73"/>
      <c r="G2793" s="73"/>
    </row>
    <row r="2794" spans="2:7" ht="32.25" customHeight="1" x14ac:dyDescent="0.35">
      <c r="B2794" s="73"/>
      <c r="C2794" s="73"/>
      <c r="D2794" s="73"/>
      <c r="E2794" s="73"/>
      <c r="F2794" s="73"/>
      <c r="G2794" s="73"/>
    </row>
    <row r="2795" spans="2:7" ht="32.25" customHeight="1" x14ac:dyDescent="0.35">
      <c r="B2795" s="73"/>
      <c r="C2795" s="73"/>
      <c r="D2795" s="73"/>
      <c r="E2795" s="73"/>
      <c r="F2795" s="73"/>
      <c r="G2795" s="73"/>
    </row>
    <row r="2796" spans="2:7" ht="32.25" customHeight="1" x14ac:dyDescent="0.35">
      <c r="B2796" s="73"/>
      <c r="C2796" s="73"/>
      <c r="D2796" s="73"/>
      <c r="E2796" s="73"/>
      <c r="F2796" s="73"/>
      <c r="G2796" s="73"/>
    </row>
    <row r="2797" spans="2:7" ht="32.25" customHeight="1" x14ac:dyDescent="0.35">
      <c r="B2797" s="73"/>
      <c r="C2797" s="73"/>
      <c r="D2797" s="73"/>
      <c r="E2797" s="73"/>
      <c r="F2797" s="73"/>
      <c r="G2797" s="73"/>
    </row>
    <row r="2798" spans="2:7" ht="32.25" customHeight="1" x14ac:dyDescent="0.35">
      <c r="B2798" s="73"/>
      <c r="C2798" s="73"/>
      <c r="D2798" s="73"/>
      <c r="E2798" s="73"/>
      <c r="F2798" s="73"/>
      <c r="G2798" s="73"/>
    </row>
    <row r="2799" spans="2:7" ht="32.25" customHeight="1" x14ac:dyDescent="0.35">
      <c r="B2799" s="73"/>
      <c r="C2799" s="73"/>
      <c r="D2799" s="73"/>
      <c r="E2799" s="73"/>
      <c r="F2799" s="73"/>
      <c r="G2799" s="73"/>
    </row>
    <row r="2800" spans="2:7" ht="32.25" customHeight="1" x14ac:dyDescent="0.35">
      <c r="B2800" s="73"/>
      <c r="C2800" s="73"/>
      <c r="D2800" s="73"/>
      <c r="E2800" s="73"/>
      <c r="F2800" s="73"/>
      <c r="G2800" s="73"/>
    </row>
    <row r="2801" spans="2:7" ht="32.25" customHeight="1" x14ac:dyDescent="0.35">
      <c r="B2801" s="73"/>
      <c r="C2801" s="73"/>
      <c r="D2801" s="73"/>
      <c r="E2801" s="73"/>
      <c r="F2801" s="73"/>
      <c r="G2801" s="73"/>
    </row>
    <row r="2802" spans="2:7" ht="32.25" customHeight="1" x14ac:dyDescent="0.35">
      <c r="B2802" s="73"/>
      <c r="C2802" s="73"/>
      <c r="D2802" s="73"/>
      <c r="E2802" s="73"/>
      <c r="F2802" s="73"/>
      <c r="G2802" s="73"/>
    </row>
    <row r="2803" spans="2:7" ht="32.25" customHeight="1" x14ac:dyDescent="0.35">
      <c r="B2803" s="73"/>
      <c r="C2803" s="73"/>
      <c r="D2803" s="73"/>
      <c r="E2803" s="73"/>
      <c r="F2803" s="73"/>
      <c r="G2803" s="73"/>
    </row>
    <row r="2804" spans="2:7" ht="32.25" customHeight="1" x14ac:dyDescent="0.35">
      <c r="B2804" s="73"/>
      <c r="C2804" s="73"/>
      <c r="D2804" s="73"/>
      <c r="E2804" s="73"/>
      <c r="F2804" s="73"/>
      <c r="G2804" s="73"/>
    </row>
    <row r="2805" spans="2:7" ht="32.25" customHeight="1" x14ac:dyDescent="0.35">
      <c r="B2805" s="73"/>
      <c r="C2805" s="73"/>
      <c r="D2805" s="73"/>
      <c r="E2805" s="73"/>
      <c r="F2805" s="73"/>
      <c r="G2805" s="73"/>
    </row>
    <row r="2806" spans="2:7" ht="32.25" customHeight="1" x14ac:dyDescent="0.35">
      <c r="B2806" s="73"/>
      <c r="C2806" s="73"/>
      <c r="D2806" s="73"/>
      <c r="E2806" s="73"/>
      <c r="F2806" s="73"/>
      <c r="G2806" s="73"/>
    </row>
    <row r="2807" spans="2:7" ht="32.25" customHeight="1" x14ac:dyDescent="0.35">
      <c r="B2807" s="73"/>
      <c r="C2807" s="73"/>
      <c r="D2807" s="73"/>
      <c r="E2807" s="73"/>
      <c r="F2807" s="73"/>
      <c r="G2807" s="73"/>
    </row>
    <row r="2808" spans="2:7" ht="32.25" customHeight="1" x14ac:dyDescent="0.35">
      <c r="B2808" s="73"/>
      <c r="C2808" s="73"/>
      <c r="D2808" s="73"/>
      <c r="E2808" s="73"/>
      <c r="F2808" s="73"/>
      <c r="G2808" s="73"/>
    </row>
    <row r="2809" spans="2:7" ht="32.25" customHeight="1" x14ac:dyDescent="0.35">
      <c r="B2809" s="73"/>
      <c r="C2809" s="73"/>
      <c r="D2809" s="73"/>
      <c r="E2809" s="73"/>
      <c r="F2809" s="73"/>
      <c r="G2809" s="73"/>
    </row>
    <row r="2810" spans="2:7" ht="32.25" customHeight="1" x14ac:dyDescent="0.35">
      <c r="B2810" s="73"/>
      <c r="C2810" s="73"/>
      <c r="D2810" s="73"/>
      <c r="E2810" s="73"/>
      <c r="F2810" s="73"/>
      <c r="G2810" s="73"/>
    </row>
    <row r="2811" spans="2:7" ht="32.25" customHeight="1" x14ac:dyDescent="0.35">
      <c r="B2811" s="73"/>
      <c r="C2811" s="73"/>
      <c r="D2811" s="73"/>
      <c r="E2811" s="73"/>
      <c r="F2811" s="73"/>
      <c r="G2811" s="73"/>
    </row>
    <row r="2812" spans="2:7" ht="32.25" customHeight="1" x14ac:dyDescent="0.35">
      <c r="B2812" s="73"/>
      <c r="C2812" s="73"/>
      <c r="D2812" s="73"/>
      <c r="E2812" s="73"/>
      <c r="F2812" s="73"/>
      <c r="G2812" s="73"/>
    </row>
    <row r="2813" spans="2:7" ht="32.25" customHeight="1" x14ac:dyDescent="0.35">
      <c r="B2813" s="73"/>
      <c r="C2813" s="73"/>
      <c r="D2813" s="73"/>
      <c r="E2813" s="73"/>
      <c r="F2813" s="73"/>
      <c r="G2813" s="73"/>
    </row>
    <row r="2814" spans="2:7" ht="32.25" customHeight="1" x14ac:dyDescent="0.35">
      <c r="B2814" s="73"/>
      <c r="C2814" s="73"/>
      <c r="D2814" s="73"/>
      <c r="E2814" s="73"/>
      <c r="F2814" s="73"/>
      <c r="G2814" s="73"/>
    </row>
    <row r="2815" spans="2:7" ht="32.25" customHeight="1" x14ac:dyDescent="0.35">
      <c r="B2815" s="73"/>
      <c r="C2815" s="73"/>
      <c r="D2815" s="73"/>
      <c r="E2815" s="73"/>
      <c r="F2815" s="73"/>
      <c r="G2815" s="73"/>
    </row>
    <row r="2816" spans="2:7" ht="32.25" customHeight="1" x14ac:dyDescent="0.35">
      <c r="B2816" s="73"/>
      <c r="C2816" s="73"/>
      <c r="D2816" s="73"/>
      <c r="E2816" s="73"/>
      <c r="F2816" s="73"/>
      <c r="G2816" s="73"/>
    </row>
    <row r="2817" spans="2:7" ht="32.25" customHeight="1" x14ac:dyDescent="0.35">
      <c r="B2817" s="73"/>
      <c r="C2817" s="73"/>
      <c r="D2817" s="73"/>
      <c r="E2817" s="73"/>
      <c r="F2817" s="73"/>
      <c r="G2817" s="73"/>
    </row>
    <row r="2818" spans="2:7" ht="32.25" customHeight="1" x14ac:dyDescent="0.35">
      <c r="B2818" s="73"/>
      <c r="C2818" s="73"/>
      <c r="D2818" s="73"/>
      <c r="E2818" s="73"/>
      <c r="F2818" s="73"/>
      <c r="G2818" s="73"/>
    </row>
    <row r="2819" spans="2:7" ht="32.25" customHeight="1" x14ac:dyDescent="0.35">
      <c r="B2819" s="73"/>
      <c r="C2819" s="73"/>
      <c r="D2819" s="73"/>
      <c r="E2819" s="73"/>
      <c r="F2819" s="73"/>
      <c r="G2819" s="73"/>
    </row>
    <row r="2820" spans="2:7" ht="32.25" customHeight="1" x14ac:dyDescent="0.35">
      <c r="B2820" s="73"/>
      <c r="C2820" s="73"/>
      <c r="D2820" s="73"/>
      <c r="E2820" s="73"/>
      <c r="F2820" s="73"/>
      <c r="G2820" s="73"/>
    </row>
    <row r="2821" spans="2:7" ht="32.25" customHeight="1" x14ac:dyDescent="0.35">
      <c r="B2821" s="73"/>
      <c r="C2821" s="73"/>
      <c r="D2821" s="73"/>
      <c r="E2821" s="73"/>
      <c r="F2821" s="73"/>
      <c r="G2821" s="73"/>
    </row>
    <row r="2822" spans="2:7" ht="32.25" customHeight="1" x14ac:dyDescent="0.35">
      <c r="B2822" s="73"/>
      <c r="C2822" s="73"/>
      <c r="D2822" s="73"/>
      <c r="E2822" s="73"/>
      <c r="F2822" s="73"/>
      <c r="G2822" s="73"/>
    </row>
    <row r="2823" spans="2:7" ht="32.25" customHeight="1" x14ac:dyDescent="0.35">
      <c r="B2823" s="73"/>
      <c r="C2823" s="73"/>
      <c r="D2823" s="73"/>
      <c r="E2823" s="73"/>
      <c r="F2823" s="73"/>
      <c r="G2823" s="73"/>
    </row>
    <row r="2824" spans="2:7" ht="32.25" customHeight="1" x14ac:dyDescent="0.35">
      <c r="B2824" s="73"/>
      <c r="C2824" s="73"/>
      <c r="D2824" s="73"/>
      <c r="E2824" s="73"/>
      <c r="F2824" s="73"/>
      <c r="G2824" s="73"/>
    </row>
    <row r="2825" spans="2:7" ht="32.25" customHeight="1" x14ac:dyDescent="0.35">
      <c r="B2825" s="73"/>
      <c r="C2825" s="73"/>
      <c r="D2825" s="73"/>
      <c r="E2825" s="73"/>
      <c r="F2825" s="73"/>
      <c r="G2825" s="73"/>
    </row>
    <row r="2826" spans="2:7" ht="32.25" customHeight="1" x14ac:dyDescent="0.35">
      <c r="B2826" s="73"/>
      <c r="C2826" s="73"/>
      <c r="D2826" s="73"/>
      <c r="E2826" s="73"/>
      <c r="F2826" s="73"/>
      <c r="G2826" s="73"/>
    </row>
    <row r="2827" spans="2:7" ht="32.25" customHeight="1" x14ac:dyDescent="0.35">
      <c r="B2827" s="73"/>
      <c r="C2827" s="73"/>
      <c r="D2827" s="73"/>
      <c r="E2827" s="73"/>
      <c r="F2827" s="73"/>
      <c r="G2827" s="73"/>
    </row>
    <row r="2828" spans="2:7" ht="32.25" customHeight="1" x14ac:dyDescent="0.35">
      <c r="B2828" s="73"/>
      <c r="C2828" s="73"/>
      <c r="D2828" s="73"/>
      <c r="E2828" s="73"/>
      <c r="F2828" s="73"/>
      <c r="G2828" s="73"/>
    </row>
    <row r="2829" spans="2:7" ht="32.25" customHeight="1" x14ac:dyDescent="0.35">
      <c r="B2829" s="73"/>
      <c r="C2829" s="73"/>
      <c r="D2829" s="73"/>
      <c r="E2829" s="73"/>
      <c r="F2829" s="73"/>
      <c r="G2829" s="73"/>
    </row>
    <row r="2830" spans="2:7" ht="32.25" customHeight="1" x14ac:dyDescent="0.35">
      <c r="B2830" s="73"/>
      <c r="C2830" s="73"/>
      <c r="D2830" s="73"/>
      <c r="E2830" s="73"/>
      <c r="F2830" s="73"/>
      <c r="G2830" s="73"/>
    </row>
    <row r="2831" spans="2:7" ht="32.25" customHeight="1" x14ac:dyDescent="0.35">
      <c r="B2831" s="73"/>
      <c r="C2831" s="73"/>
      <c r="D2831" s="73"/>
      <c r="E2831" s="73"/>
      <c r="F2831" s="73"/>
      <c r="G2831" s="73"/>
    </row>
    <row r="2832" spans="2:7" ht="32.25" customHeight="1" x14ac:dyDescent="0.35">
      <c r="B2832" s="73"/>
      <c r="C2832" s="73"/>
      <c r="D2832" s="73"/>
      <c r="E2832" s="73"/>
      <c r="F2832" s="73"/>
      <c r="G2832" s="73"/>
    </row>
    <row r="2833" spans="2:7" ht="32.25" customHeight="1" x14ac:dyDescent="0.35">
      <c r="B2833" s="73"/>
      <c r="C2833" s="73"/>
      <c r="D2833" s="73"/>
      <c r="E2833" s="73"/>
      <c r="F2833" s="73"/>
      <c r="G2833" s="73"/>
    </row>
    <row r="2834" spans="2:7" ht="32.25" customHeight="1" x14ac:dyDescent="0.35">
      <c r="B2834" s="73"/>
      <c r="C2834" s="73"/>
      <c r="D2834" s="73"/>
      <c r="E2834" s="73"/>
      <c r="F2834" s="73"/>
      <c r="G2834" s="73"/>
    </row>
    <row r="2835" spans="2:7" ht="32.25" customHeight="1" x14ac:dyDescent="0.35">
      <c r="B2835" s="73"/>
      <c r="C2835" s="73"/>
      <c r="D2835" s="73"/>
      <c r="E2835" s="73"/>
      <c r="F2835" s="73"/>
      <c r="G2835" s="73"/>
    </row>
    <row r="2836" spans="2:7" ht="32.25" customHeight="1" x14ac:dyDescent="0.35">
      <c r="B2836" s="73"/>
      <c r="C2836" s="73"/>
      <c r="D2836" s="73"/>
      <c r="E2836" s="73"/>
      <c r="F2836" s="73"/>
      <c r="G2836" s="73"/>
    </row>
    <row r="2837" spans="2:7" ht="32.25" customHeight="1" x14ac:dyDescent="0.35">
      <c r="B2837" s="73"/>
      <c r="C2837" s="73"/>
      <c r="D2837" s="73"/>
      <c r="E2837" s="73"/>
      <c r="F2837" s="73"/>
      <c r="G2837" s="73"/>
    </row>
    <row r="2838" spans="2:7" ht="32.25" customHeight="1" x14ac:dyDescent="0.35">
      <c r="B2838" s="73"/>
      <c r="C2838" s="73"/>
      <c r="D2838" s="73"/>
      <c r="E2838" s="73"/>
      <c r="F2838" s="73"/>
      <c r="G2838" s="73"/>
    </row>
    <row r="2839" spans="2:7" ht="32.25" customHeight="1" x14ac:dyDescent="0.35">
      <c r="B2839" s="73"/>
      <c r="C2839" s="73"/>
      <c r="D2839" s="73"/>
      <c r="E2839" s="73"/>
      <c r="F2839" s="73"/>
      <c r="G2839" s="73"/>
    </row>
    <row r="2840" spans="2:7" ht="32.25" customHeight="1" x14ac:dyDescent="0.35">
      <c r="B2840" s="73"/>
      <c r="C2840" s="73"/>
      <c r="D2840" s="73"/>
      <c r="E2840" s="73"/>
      <c r="F2840" s="73"/>
      <c r="G2840" s="73"/>
    </row>
    <row r="2841" spans="2:7" ht="32.25" customHeight="1" x14ac:dyDescent="0.35">
      <c r="B2841" s="73"/>
      <c r="C2841" s="73"/>
      <c r="D2841" s="73"/>
      <c r="E2841" s="73"/>
      <c r="F2841" s="73"/>
      <c r="G2841" s="73"/>
    </row>
    <row r="2842" spans="2:7" ht="32.25" customHeight="1" x14ac:dyDescent="0.35">
      <c r="B2842" s="73"/>
      <c r="C2842" s="73"/>
      <c r="D2842" s="73"/>
      <c r="E2842" s="73"/>
      <c r="F2842" s="73"/>
      <c r="G2842" s="73"/>
    </row>
    <row r="2843" spans="2:7" ht="32.25" customHeight="1" x14ac:dyDescent="0.35">
      <c r="B2843" s="73"/>
      <c r="C2843" s="73"/>
      <c r="D2843" s="73"/>
      <c r="E2843" s="73"/>
      <c r="F2843" s="73"/>
      <c r="G2843" s="73"/>
    </row>
    <row r="2844" spans="2:7" ht="32.25" customHeight="1" x14ac:dyDescent="0.35">
      <c r="B2844" s="73"/>
      <c r="C2844" s="73"/>
      <c r="D2844" s="73"/>
      <c r="E2844" s="73"/>
      <c r="F2844" s="73"/>
      <c r="G2844" s="73"/>
    </row>
    <row r="2845" spans="2:7" ht="32.25" customHeight="1" x14ac:dyDescent="0.35">
      <c r="B2845" s="73"/>
      <c r="C2845" s="73"/>
      <c r="D2845" s="73"/>
      <c r="E2845" s="73"/>
      <c r="F2845" s="73"/>
      <c r="G2845" s="73"/>
    </row>
    <row r="2846" spans="2:7" ht="32.25" customHeight="1" x14ac:dyDescent="0.35">
      <c r="B2846" s="73"/>
      <c r="C2846" s="73"/>
      <c r="D2846" s="73"/>
      <c r="E2846" s="73"/>
      <c r="F2846" s="73"/>
      <c r="G2846" s="73"/>
    </row>
    <row r="2847" spans="2:7" ht="32.25" customHeight="1" x14ac:dyDescent="0.35">
      <c r="B2847" s="73"/>
      <c r="C2847" s="73"/>
      <c r="D2847" s="73"/>
      <c r="E2847" s="73"/>
      <c r="F2847" s="73"/>
      <c r="G2847" s="73"/>
    </row>
    <row r="2848" spans="2:7" ht="32.25" customHeight="1" x14ac:dyDescent="0.35">
      <c r="B2848" s="73"/>
      <c r="C2848" s="73"/>
      <c r="D2848" s="73"/>
      <c r="E2848" s="73"/>
      <c r="F2848" s="73"/>
      <c r="G2848" s="73"/>
    </row>
    <row r="2849" spans="2:7" ht="32.25" customHeight="1" x14ac:dyDescent="0.35">
      <c r="B2849" s="73"/>
      <c r="C2849" s="73"/>
      <c r="D2849" s="73"/>
      <c r="E2849" s="73"/>
      <c r="F2849" s="73"/>
      <c r="G2849" s="73"/>
    </row>
    <row r="2850" spans="2:7" ht="32.25" customHeight="1" x14ac:dyDescent="0.35">
      <c r="B2850" s="73"/>
      <c r="C2850" s="73"/>
      <c r="D2850" s="73"/>
      <c r="E2850" s="73"/>
      <c r="F2850" s="73"/>
      <c r="G2850" s="73"/>
    </row>
    <row r="2851" spans="2:7" ht="32.25" customHeight="1" x14ac:dyDescent="0.35">
      <c r="B2851" s="73"/>
      <c r="C2851" s="73"/>
      <c r="D2851" s="73"/>
      <c r="E2851" s="73"/>
      <c r="F2851" s="73"/>
      <c r="G2851" s="73"/>
    </row>
    <row r="2852" spans="2:7" ht="32.25" customHeight="1" x14ac:dyDescent="0.35">
      <c r="B2852" s="73"/>
      <c r="C2852" s="73"/>
      <c r="D2852" s="73"/>
      <c r="E2852" s="73"/>
      <c r="F2852" s="73"/>
      <c r="G2852" s="73"/>
    </row>
    <row r="2853" spans="2:7" ht="32.25" customHeight="1" x14ac:dyDescent="0.35">
      <c r="B2853" s="73"/>
      <c r="C2853" s="73"/>
      <c r="D2853" s="73"/>
      <c r="E2853" s="73"/>
      <c r="F2853" s="73"/>
      <c r="G2853" s="73"/>
    </row>
    <row r="2854" spans="2:7" ht="32.25" customHeight="1" x14ac:dyDescent="0.35">
      <c r="B2854" s="73"/>
      <c r="C2854" s="73"/>
      <c r="D2854" s="73"/>
      <c r="E2854" s="73"/>
      <c r="F2854" s="73"/>
      <c r="G2854" s="73"/>
    </row>
    <row r="2855" spans="2:7" ht="32.25" customHeight="1" x14ac:dyDescent="0.35">
      <c r="B2855" s="73"/>
      <c r="C2855" s="73"/>
      <c r="D2855" s="73"/>
      <c r="E2855" s="73"/>
      <c r="F2855" s="73"/>
      <c r="G2855" s="73"/>
    </row>
    <row r="2856" spans="2:7" ht="32.25" customHeight="1" x14ac:dyDescent="0.35">
      <c r="B2856" s="73"/>
      <c r="C2856" s="73"/>
      <c r="D2856" s="73"/>
      <c r="E2856" s="73"/>
      <c r="F2856" s="73"/>
      <c r="G2856" s="73"/>
    </row>
    <row r="2857" spans="2:7" ht="32.25" customHeight="1" x14ac:dyDescent="0.35">
      <c r="B2857" s="73"/>
      <c r="C2857" s="73"/>
      <c r="D2857" s="73"/>
      <c r="E2857" s="73"/>
      <c r="F2857" s="73"/>
      <c r="G2857" s="73"/>
    </row>
    <row r="2858" spans="2:7" ht="32.25" customHeight="1" x14ac:dyDescent="0.35">
      <c r="B2858" s="73"/>
      <c r="C2858" s="73"/>
      <c r="D2858" s="73"/>
      <c r="E2858" s="73"/>
      <c r="F2858" s="73"/>
      <c r="G2858" s="73"/>
    </row>
    <row r="2859" spans="2:7" ht="32.25" customHeight="1" x14ac:dyDescent="0.35">
      <c r="B2859" s="73"/>
      <c r="C2859" s="73"/>
      <c r="D2859" s="73"/>
      <c r="E2859" s="73"/>
      <c r="F2859" s="73"/>
      <c r="G2859" s="73"/>
    </row>
    <row r="2860" spans="2:7" ht="32.25" customHeight="1" x14ac:dyDescent="0.35">
      <c r="B2860" s="73"/>
      <c r="C2860" s="73"/>
      <c r="D2860" s="73"/>
      <c r="E2860" s="73"/>
      <c r="F2860" s="73"/>
      <c r="G2860" s="73"/>
    </row>
    <row r="2861" spans="2:7" ht="32.25" customHeight="1" x14ac:dyDescent="0.35">
      <c r="B2861" s="73"/>
      <c r="C2861" s="73"/>
      <c r="D2861" s="73"/>
      <c r="E2861" s="73"/>
      <c r="F2861" s="73"/>
      <c r="G2861" s="73"/>
    </row>
    <row r="2862" spans="2:7" ht="32.25" customHeight="1" x14ac:dyDescent="0.35">
      <c r="B2862" s="73"/>
      <c r="C2862" s="73"/>
      <c r="D2862" s="73"/>
      <c r="E2862" s="73"/>
      <c r="F2862" s="73"/>
      <c r="G2862" s="73"/>
    </row>
    <row r="2863" spans="2:7" ht="32.25" customHeight="1" x14ac:dyDescent="0.35">
      <c r="B2863" s="73"/>
      <c r="C2863" s="73"/>
      <c r="D2863" s="73"/>
      <c r="E2863" s="73"/>
      <c r="F2863" s="73"/>
      <c r="G2863" s="73"/>
    </row>
    <row r="2864" spans="2:7" ht="32.25" customHeight="1" x14ac:dyDescent="0.35">
      <c r="B2864" s="73"/>
      <c r="C2864" s="73"/>
      <c r="D2864" s="73"/>
      <c r="E2864" s="73"/>
      <c r="F2864" s="73"/>
      <c r="G2864" s="73"/>
    </row>
    <row r="2865" spans="2:7" ht="32.25" customHeight="1" x14ac:dyDescent="0.35">
      <c r="B2865" s="73"/>
      <c r="C2865" s="73"/>
      <c r="D2865" s="73"/>
      <c r="E2865" s="73"/>
      <c r="F2865" s="73"/>
      <c r="G2865" s="73"/>
    </row>
    <row r="2866" spans="2:7" ht="32.25" customHeight="1" x14ac:dyDescent="0.35">
      <c r="B2866" s="73"/>
      <c r="C2866" s="73"/>
      <c r="D2866" s="73"/>
      <c r="E2866" s="73"/>
      <c r="F2866" s="73"/>
      <c r="G2866" s="73"/>
    </row>
    <row r="2867" spans="2:7" ht="32.25" customHeight="1" x14ac:dyDescent="0.35">
      <c r="B2867" s="73"/>
      <c r="C2867" s="73"/>
      <c r="D2867" s="73"/>
      <c r="E2867" s="73"/>
      <c r="F2867" s="73"/>
      <c r="G2867" s="73"/>
    </row>
    <row r="2868" spans="2:7" ht="32.25" customHeight="1" x14ac:dyDescent="0.35">
      <c r="B2868" s="73"/>
      <c r="C2868" s="73"/>
      <c r="D2868" s="73"/>
      <c r="E2868" s="73"/>
      <c r="F2868" s="73"/>
      <c r="G2868" s="73"/>
    </row>
    <row r="2869" spans="2:7" ht="32.25" customHeight="1" x14ac:dyDescent="0.35">
      <c r="B2869" s="73"/>
      <c r="C2869" s="73"/>
      <c r="D2869" s="73"/>
      <c r="E2869" s="73"/>
      <c r="F2869" s="73"/>
      <c r="G2869" s="73"/>
    </row>
    <row r="2870" spans="2:7" ht="32.25" customHeight="1" x14ac:dyDescent="0.35">
      <c r="B2870" s="73"/>
      <c r="C2870" s="73"/>
      <c r="D2870" s="73"/>
      <c r="E2870" s="73"/>
      <c r="F2870" s="73"/>
      <c r="G2870" s="73"/>
    </row>
    <row r="2871" spans="2:7" ht="32.25" customHeight="1" x14ac:dyDescent="0.35">
      <c r="B2871" s="73"/>
      <c r="C2871" s="73"/>
      <c r="D2871" s="73"/>
      <c r="E2871" s="73"/>
      <c r="F2871" s="73"/>
      <c r="G2871" s="73"/>
    </row>
    <row r="2872" spans="2:7" ht="32.25" customHeight="1" x14ac:dyDescent="0.35">
      <c r="B2872" s="73"/>
      <c r="C2872" s="73"/>
      <c r="D2872" s="73"/>
      <c r="E2872" s="73"/>
      <c r="F2872" s="73"/>
      <c r="G2872" s="73"/>
    </row>
    <row r="2873" spans="2:7" ht="32.25" customHeight="1" x14ac:dyDescent="0.35">
      <c r="B2873" s="73"/>
      <c r="C2873" s="73"/>
      <c r="D2873" s="73"/>
      <c r="E2873" s="73"/>
      <c r="F2873" s="73"/>
      <c r="G2873" s="73"/>
    </row>
    <row r="2874" spans="2:7" ht="32.25" customHeight="1" x14ac:dyDescent="0.35">
      <c r="B2874" s="73"/>
      <c r="C2874" s="73"/>
      <c r="D2874" s="73"/>
      <c r="E2874" s="73"/>
      <c r="F2874" s="73"/>
      <c r="G2874" s="73"/>
    </row>
    <row r="2875" spans="2:7" ht="32.25" customHeight="1" x14ac:dyDescent="0.35">
      <c r="B2875" s="73"/>
      <c r="C2875" s="73"/>
      <c r="D2875" s="73"/>
      <c r="E2875" s="73"/>
      <c r="F2875" s="73"/>
      <c r="G2875" s="73"/>
    </row>
    <row r="2876" spans="2:7" ht="32.25" customHeight="1" x14ac:dyDescent="0.35">
      <c r="B2876" s="73"/>
      <c r="C2876" s="73"/>
      <c r="D2876" s="73"/>
      <c r="E2876" s="73"/>
      <c r="F2876" s="73"/>
      <c r="G2876" s="73"/>
    </row>
    <row r="2877" spans="2:7" ht="32.25" customHeight="1" x14ac:dyDescent="0.35">
      <c r="B2877" s="73"/>
      <c r="C2877" s="73"/>
      <c r="D2877" s="73"/>
      <c r="E2877" s="73"/>
      <c r="F2877" s="73"/>
      <c r="G2877" s="73"/>
    </row>
    <row r="2878" spans="2:7" ht="32.25" customHeight="1" x14ac:dyDescent="0.35">
      <c r="B2878" s="73"/>
      <c r="C2878" s="73"/>
      <c r="D2878" s="73"/>
      <c r="E2878" s="73"/>
      <c r="F2878" s="73"/>
      <c r="G2878" s="73"/>
    </row>
    <row r="2879" spans="2:7" ht="32.25" customHeight="1" x14ac:dyDescent="0.35">
      <c r="B2879" s="73"/>
      <c r="C2879" s="73"/>
      <c r="D2879" s="73"/>
      <c r="E2879" s="73"/>
      <c r="F2879" s="73"/>
      <c r="G2879" s="73"/>
    </row>
    <row r="2880" spans="2:7" ht="32.25" customHeight="1" x14ac:dyDescent="0.35">
      <c r="B2880" s="73"/>
      <c r="C2880" s="73"/>
      <c r="D2880" s="73"/>
      <c r="E2880" s="73"/>
      <c r="F2880" s="73"/>
      <c r="G2880" s="73"/>
    </row>
    <row r="2881" spans="2:7" ht="32.25" customHeight="1" x14ac:dyDescent="0.35">
      <c r="B2881" s="73"/>
      <c r="C2881" s="73"/>
      <c r="D2881" s="73"/>
      <c r="E2881" s="73"/>
      <c r="F2881" s="73"/>
      <c r="G2881" s="73"/>
    </row>
    <row r="2882" spans="2:7" ht="32.25" customHeight="1" x14ac:dyDescent="0.35">
      <c r="B2882" s="73"/>
      <c r="C2882" s="73"/>
      <c r="D2882" s="73"/>
      <c r="E2882" s="73"/>
      <c r="F2882" s="73"/>
      <c r="G2882" s="73"/>
    </row>
    <row r="2883" spans="2:7" ht="32.25" customHeight="1" x14ac:dyDescent="0.35">
      <c r="B2883" s="73"/>
      <c r="C2883" s="73"/>
      <c r="D2883" s="73"/>
      <c r="E2883" s="73"/>
      <c r="F2883" s="73"/>
      <c r="G2883" s="73"/>
    </row>
    <row r="2884" spans="2:7" ht="32.25" customHeight="1" x14ac:dyDescent="0.35">
      <c r="B2884" s="73"/>
      <c r="C2884" s="73"/>
      <c r="D2884" s="73"/>
      <c r="E2884" s="73"/>
      <c r="F2884" s="73"/>
      <c r="G2884" s="73"/>
    </row>
    <row r="2885" spans="2:7" ht="32.25" customHeight="1" x14ac:dyDescent="0.35">
      <c r="B2885" s="73"/>
      <c r="C2885" s="73"/>
      <c r="D2885" s="73"/>
      <c r="E2885" s="73"/>
      <c r="F2885" s="73"/>
      <c r="G2885" s="73"/>
    </row>
    <row r="2886" spans="2:7" ht="32.25" customHeight="1" x14ac:dyDescent="0.35">
      <c r="B2886" s="73"/>
      <c r="C2886" s="73"/>
      <c r="D2886" s="73"/>
      <c r="E2886" s="73"/>
      <c r="F2886" s="73"/>
      <c r="G2886" s="73"/>
    </row>
    <row r="2887" spans="2:7" ht="32.25" customHeight="1" x14ac:dyDescent="0.35">
      <c r="B2887" s="73"/>
      <c r="C2887" s="73"/>
      <c r="D2887" s="73"/>
      <c r="E2887" s="73"/>
      <c r="F2887" s="73"/>
      <c r="G2887" s="73"/>
    </row>
    <row r="2888" spans="2:7" ht="32.25" customHeight="1" x14ac:dyDescent="0.35">
      <c r="B2888" s="73"/>
      <c r="C2888" s="73"/>
      <c r="D2888" s="73"/>
      <c r="E2888" s="73"/>
      <c r="F2888" s="73"/>
      <c r="G2888" s="73"/>
    </row>
    <row r="2889" spans="2:7" ht="32.25" customHeight="1" x14ac:dyDescent="0.35">
      <c r="B2889" s="73"/>
      <c r="C2889" s="73"/>
      <c r="D2889" s="73"/>
      <c r="E2889" s="73"/>
      <c r="F2889" s="73"/>
      <c r="G2889" s="73"/>
    </row>
    <row r="2890" spans="2:7" ht="32.25" customHeight="1" x14ac:dyDescent="0.35">
      <c r="B2890" s="73"/>
      <c r="C2890" s="73"/>
      <c r="D2890" s="73"/>
      <c r="E2890" s="73"/>
      <c r="F2890" s="73"/>
      <c r="G2890" s="73"/>
    </row>
    <row r="2891" spans="2:7" ht="32.25" customHeight="1" x14ac:dyDescent="0.35">
      <c r="B2891" s="73"/>
      <c r="C2891" s="73"/>
      <c r="D2891" s="73"/>
      <c r="E2891" s="73"/>
      <c r="F2891" s="73"/>
      <c r="G2891" s="73"/>
    </row>
    <row r="2892" spans="2:7" ht="32.25" customHeight="1" x14ac:dyDescent="0.35">
      <c r="B2892" s="73"/>
      <c r="C2892" s="73"/>
      <c r="D2892" s="73"/>
      <c r="E2892" s="73"/>
      <c r="F2892" s="73"/>
      <c r="G2892" s="73"/>
    </row>
    <row r="2893" spans="2:7" ht="32.25" customHeight="1" x14ac:dyDescent="0.35">
      <c r="B2893" s="73"/>
      <c r="C2893" s="73"/>
      <c r="D2893" s="73"/>
      <c r="E2893" s="73"/>
      <c r="F2893" s="73"/>
      <c r="G2893" s="73"/>
    </row>
    <row r="2894" spans="2:7" ht="32.25" customHeight="1" x14ac:dyDescent="0.35">
      <c r="B2894" s="73"/>
      <c r="C2894" s="73"/>
      <c r="D2894" s="73"/>
      <c r="E2894" s="73"/>
      <c r="F2894" s="73"/>
      <c r="G2894" s="73"/>
    </row>
    <row r="2895" spans="2:7" ht="32.25" customHeight="1" x14ac:dyDescent="0.35">
      <c r="B2895" s="73"/>
      <c r="C2895" s="73"/>
      <c r="D2895" s="73"/>
      <c r="E2895" s="73"/>
      <c r="F2895" s="73"/>
      <c r="G2895" s="73"/>
    </row>
    <row r="2896" spans="2:7" ht="32.25" customHeight="1" x14ac:dyDescent="0.35">
      <c r="B2896" s="73"/>
      <c r="C2896" s="73"/>
      <c r="D2896" s="73"/>
      <c r="E2896" s="73"/>
      <c r="F2896" s="73"/>
      <c r="G2896" s="73"/>
    </row>
    <row r="2897" spans="2:7" ht="32.25" customHeight="1" x14ac:dyDescent="0.35">
      <c r="B2897" s="73"/>
      <c r="C2897" s="73"/>
      <c r="D2897" s="73"/>
      <c r="E2897" s="73"/>
      <c r="F2897" s="73"/>
      <c r="G2897" s="73"/>
    </row>
    <row r="2898" spans="2:7" ht="32.25" customHeight="1" x14ac:dyDescent="0.35">
      <c r="B2898" s="73"/>
      <c r="C2898" s="73"/>
      <c r="D2898" s="73"/>
      <c r="E2898" s="73"/>
      <c r="F2898" s="73"/>
      <c r="G2898" s="73"/>
    </row>
    <row r="2899" spans="2:7" ht="32.25" customHeight="1" x14ac:dyDescent="0.35">
      <c r="B2899" s="73"/>
      <c r="C2899" s="73"/>
      <c r="D2899" s="73"/>
      <c r="E2899" s="73"/>
      <c r="F2899" s="73"/>
      <c r="G2899" s="73"/>
    </row>
    <row r="2900" spans="2:7" ht="32.25" customHeight="1" x14ac:dyDescent="0.35">
      <c r="B2900" s="73"/>
      <c r="C2900" s="73"/>
      <c r="D2900" s="73"/>
      <c r="E2900" s="73"/>
      <c r="F2900" s="73"/>
      <c r="G2900" s="73"/>
    </row>
    <row r="2901" spans="2:7" ht="32.25" customHeight="1" x14ac:dyDescent="0.35">
      <c r="B2901" s="73"/>
      <c r="C2901" s="73"/>
      <c r="D2901" s="73"/>
      <c r="E2901" s="73"/>
      <c r="F2901" s="73"/>
      <c r="G2901" s="73"/>
    </row>
    <row r="2902" spans="2:7" ht="32.25" customHeight="1" x14ac:dyDescent="0.35">
      <c r="B2902" s="73"/>
      <c r="C2902" s="73"/>
      <c r="D2902" s="73"/>
      <c r="E2902" s="73"/>
      <c r="F2902" s="73"/>
      <c r="G2902" s="73"/>
    </row>
    <row r="2903" spans="2:7" ht="32.25" customHeight="1" x14ac:dyDescent="0.35">
      <c r="B2903" s="73"/>
      <c r="C2903" s="73"/>
      <c r="D2903" s="73"/>
      <c r="E2903" s="73"/>
      <c r="F2903" s="73"/>
      <c r="G2903" s="73"/>
    </row>
    <row r="2904" spans="2:7" ht="32.25" customHeight="1" x14ac:dyDescent="0.35">
      <c r="B2904" s="73"/>
      <c r="C2904" s="73"/>
      <c r="D2904" s="73"/>
      <c r="E2904" s="73"/>
      <c r="F2904" s="73"/>
      <c r="G2904" s="73"/>
    </row>
    <row r="2905" spans="2:7" ht="32.25" customHeight="1" x14ac:dyDescent="0.35">
      <c r="B2905" s="73"/>
      <c r="C2905" s="73"/>
      <c r="D2905" s="73"/>
      <c r="E2905" s="73"/>
      <c r="F2905" s="73"/>
      <c r="G2905" s="73"/>
    </row>
    <row r="2906" spans="2:7" ht="32.25" customHeight="1" x14ac:dyDescent="0.35">
      <c r="B2906" s="73"/>
      <c r="C2906" s="73"/>
      <c r="D2906" s="73"/>
      <c r="E2906" s="73"/>
      <c r="F2906" s="73"/>
      <c r="G2906" s="73"/>
    </row>
    <row r="2907" spans="2:7" ht="32.25" customHeight="1" x14ac:dyDescent="0.35">
      <c r="B2907" s="73"/>
      <c r="C2907" s="73"/>
      <c r="D2907" s="73"/>
      <c r="E2907" s="73"/>
      <c r="F2907" s="73"/>
      <c r="G2907" s="73"/>
    </row>
    <row r="2908" spans="2:7" ht="32.25" customHeight="1" x14ac:dyDescent="0.35">
      <c r="B2908" s="73"/>
      <c r="C2908" s="73"/>
      <c r="D2908" s="73"/>
      <c r="E2908" s="73"/>
      <c r="F2908" s="73"/>
      <c r="G2908" s="73"/>
    </row>
    <row r="2909" spans="2:7" ht="32.25" customHeight="1" x14ac:dyDescent="0.35">
      <c r="B2909" s="73"/>
      <c r="C2909" s="73"/>
      <c r="D2909" s="73"/>
      <c r="E2909" s="73"/>
      <c r="F2909" s="73"/>
      <c r="G2909" s="73"/>
    </row>
    <row r="2910" spans="2:7" ht="32.25" customHeight="1" x14ac:dyDescent="0.35">
      <c r="B2910" s="73"/>
      <c r="C2910" s="73"/>
      <c r="D2910" s="73"/>
      <c r="E2910" s="73"/>
      <c r="F2910" s="73"/>
      <c r="G2910" s="73"/>
    </row>
    <row r="2911" spans="2:7" ht="32.25" customHeight="1" x14ac:dyDescent="0.35">
      <c r="B2911" s="73"/>
      <c r="C2911" s="73"/>
      <c r="D2911" s="73"/>
      <c r="E2911" s="73"/>
      <c r="F2911" s="73"/>
      <c r="G2911" s="73"/>
    </row>
    <row r="2912" spans="2:7" ht="32.25" customHeight="1" x14ac:dyDescent="0.35">
      <c r="B2912" s="73"/>
      <c r="C2912" s="73"/>
      <c r="D2912" s="73"/>
      <c r="E2912" s="73"/>
      <c r="F2912" s="73"/>
      <c r="G2912" s="73"/>
    </row>
    <row r="2913" spans="2:7" ht="32.25" customHeight="1" x14ac:dyDescent="0.35">
      <c r="B2913" s="73"/>
      <c r="C2913" s="73"/>
      <c r="D2913" s="73"/>
      <c r="E2913" s="73"/>
      <c r="F2913" s="73"/>
      <c r="G2913" s="73"/>
    </row>
    <row r="2914" spans="2:7" ht="32.25" customHeight="1" x14ac:dyDescent="0.35">
      <c r="B2914" s="73"/>
      <c r="C2914" s="73"/>
      <c r="D2914" s="73"/>
      <c r="E2914" s="73"/>
      <c r="F2914" s="73"/>
      <c r="G2914" s="73"/>
    </row>
    <row r="2915" spans="2:7" ht="32.25" customHeight="1" x14ac:dyDescent="0.35">
      <c r="B2915" s="73"/>
      <c r="C2915" s="73"/>
      <c r="D2915" s="73"/>
      <c r="E2915" s="73"/>
      <c r="F2915" s="73"/>
      <c r="G2915" s="73"/>
    </row>
    <row r="2916" spans="2:7" ht="32.25" customHeight="1" x14ac:dyDescent="0.35">
      <c r="B2916" s="73"/>
      <c r="C2916" s="73"/>
      <c r="D2916" s="73"/>
      <c r="E2916" s="73"/>
      <c r="F2916" s="73"/>
      <c r="G2916" s="73"/>
    </row>
    <row r="2917" spans="2:7" ht="32.25" customHeight="1" x14ac:dyDescent="0.35">
      <c r="B2917" s="73"/>
      <c r="C2917" s="73"/>
      <c r="D2917" s="73"/>
      <c r="E2917" s="73"/>
      <c r="F2917" s="73"/>
      <c r="G2917" s="73"/>
    </row>
    <row r="2918" spans="2:7" ht="32.25" customHeight="1" x14ac:dyDescent="0.35">
      <c r="B2918" s="73"/>
      <c r="C2918" s="73"/>
      <c r="D2918" s="73"/>
      <c r="E2918" s="73"/>
      <c r="F2918" s="73"/>
      <c r="G2918" s="73"/>
    </row>
    <row r="2919" spans="2:7" ht="32.25" customHeight="1" x14ac:dyDescent="0.35">
      <c r="B2919" s="73"/>
      <c r="C2919" s="73"/>
      <c r="D2919" s="73"/>
      <c r="E2919" s="73"/>
      <c r="F2919" s="73"/>
      <c r="G2919" s="73"/>
    </row>
    <row r="2920" spans="2:7" ht="32.25" customHeight="1" x14ac:dyDescent="0.35">
      <c r="B2920" s="73"/>
      <c r="C2920" s="73"/>
      <c r="D2920" s="73"/>
      <c r="E2920" s="73"/>
      <c r="F2920" s="73"/>
      <c r="G2920" s="73"/>
    </row>
    <row r="2921" spans="2:7" ht="32.25" customHeight="1" x14ac:dyDescent="0.35">
      <c r="B2921" s="73"/>
      <c r="C2921" s="73"/>
      <c r="D2921" s="73"/>
      <c r="E2921" s="73"/>
      <c r="F2921" s="73"/>
      <c r="G2921" s="73"/>
    </row>
    <row r="2922" spans="2:7" ht="32.25" customHeight="1" x14ac:dyDescent="0.35">
      <c r="B2922" s="73"/>
      <c r="C2922" s="73"/>
      <c r="D2922" s="73"/>
      <c r="E2922" s="73"/>
      <c r="F2922" s="73"/>
      <c r="G2922" s="73"/>
    </row>
    <row r="2923" spans="2:7" ht="32.25" customHeight="1" x14ac:dyDescent="0.35">
      <c r="B2923" s="73"/>
      <c r="C2923" s="73"/>
      <c r="D2923" s="73"/>
      <c r="E2923" s="73"/>
      <c r="F2923" s="73"/>
      <c r="G2923" s="73"/>
    </row>
    <row r="2924" spans="2:7" ht="32.25" customHeight="1" x14ac:dyDescent="0.35">
      <c r="B2924" s="73"/>
      <c r="C2924" s="73"/>
      <c r="D2924" s="73"/>
      <c r="E2924" s="73"/>
      <c r="F2924" s="73"/>
      <c r="G2924" s="73"/>
    </row>
    <row r="2925" spans="2:7" ht="32.25" customHeight="1" x14ac:dyDescent="0.35">
      <c r="B2925" s="73"/>
      <c r="C2925" s="73"/>
      <c r="D2925" s="73"/>
      <c r="E2925" s="73"/>
      <c r="F2925" s="73"/>
      <c r="G2925" s="73"/>
    </row>
    <row r="2926" spans="2:7" ht="32.25" customHeight="1" x14ac:dyDescent="0.35">
      <c r="B2926" s="73"/>
      <c r="C2926" s="73"/>
      <c r="D2926" s="73"/>
      <c r="E2926" s="73"/>
      <c r="F2926" s="73"/>
      <c r="G2926" s="73"/>
    </row>
    <row r="2927" spans="2:7" ht="32.25" customHeight="1" x14ac:dyDescent="0.35">
      <c r="B2927" s="73"/>
      <c r="C2927" s="73"/>
      <c r="D2927" s="73"/>
      <c r="E2927" s="73"/>
      <c r="F2927" s="73"/>
      <c r="G2927" s="73"/>
    </row>
    <row r="2928" spans="2:7" ht="32.25" customHeight="1" x14ac:dyDescent="0.35">
      <c r="B2928" s="73"/>
      <c r="C2928" s="73"/>
      <c r="D2928" s="73"/>
      <c r="E2928" s="73"/>
      <c r="F2928" s="73"/>
      <c r="G2928" s="73"/>
    </row>
    <row r="2929" spans="2:7" ht="32.25" customHeight="1" x14ac:dyDescent="0.35">
      <c r="B2929" s="73"/>
      <c r="C2929" s="73"/>
      <c r="D2929" s="73"/>
      <c r="E2929" s="73"/>
      <c r="F2929" s="73"/>
      <c r="G2929" s="73"/>
    </row>
    <row r="2930" spans="2:7" ht="32.25" customHeight="1" x14ac:dyDescent="0.35">
      <c r="B2930" s="73"/>
      <c r="C2930" s="73"/>
      <c r="D2930" s="73"/>
      <c r="E2930" s="73"/>
      <c r="F2930" s="73"/>
      <c r="G2930" s="73"/>
    </row>
    <row r="2931" spans="2:7" ht="32.25" customHeight="1" x14ac:dyDescent="0.35">
      <c r="B2931" s="73"/>
      <c r="C2931" s="73"/>
      <c r="D2931" s="73"/>
      <c r="E2931" s="73"/>
      <c r="F2931" s="73"/>
      <c r="G2931" s="73"/>
    </row>
    <row r="2932" spans="2:7" ht="32.25" customHeight="1" x14ac:dyDescent="0.35">
      <c r="B2932" s="73"/>
      <c r="C2932" s="73"/>
      <c r="D2932" s="73"/>
      <c r="E2932" s="73"/>
      <c r="F2932" s="73"/>
      <c r="G2932" s="73"/>
    </row>
    <row r="2933" spans="2:7" ht="32.25" customHeight="1" x14ac:dyDescent="0.35">
      <c r="B2933" s="73"/>
      <c r="C2933" s="73"/>
      <c r="D2933" s="73"/>
      <c r="E2933" s="73"/>
      <c r="F2933" s="73"/>
      <c r="G2933" s="73"/>
    </row>
    <row r="2934" spans="2:7" ht="32.25" customHeight="1" x14ac:dyDescent="0.35">
      <c r="B2934" s="73"/>
      <c r="C2934" s="73"/>
      <c r="D2934" s="73"/>
      <c r="E2934" s="73"/>
      <c r="F2934" s="73"/>
      <c r="G2934" s="73"/>
    </row>
    <row r="2935" spans="2:7" ht="32.25" customHeight="1" x14ac:dyDescent="0.35">
      <c r="B2935" s="73"/>
      <c r="C2935" s="73"/>
      <c r="D2935" s="73"/>
      <c r="E2935" s="73"/>
      <c r="F2935" s="73"/>
      <c r="G2935" s="73"/>
    </row>
    <row r="2936" spans="2:7" ht="32.25" customHeight="1" x14ac:dyDescent="0.35">
      <c r="B2936" s="73"/>
      <c r="C2936" s="73"/>
      <c r="D2936" s="73"/>
      <c r="E2936" s="73"/>
      <c r="F2936" s="73"/>
      <c r="G2936" s="73"/>
    </row>
    <row r="2937" spans="2:7" ht="32.25" customHeight="1" x14ac:dyDescent="0.35">
      <c r="B2937" s="73"/>
      <c r="C2937" s="73"/>
      <c r="D2937" s="73"/>
      <c r="E2937" s="73"/>
      <c r="F2937" s="73"/>
      <c r="G2937" s="73"/>
    </row>
    <row r="2938" spans="2:7" ht="32.25" customHeight="1" x14ac:dyDescent="0.35">
      <c r="B2938" s="73"/>
      <c r="C2938" s="73"/>
      <c r="D2938" s="73"/>
      <c r="E2938" s="73"/>
      <c r="F2938" s="73"/>
      <c r="G2938" s="73"/>
    </row>
    <row r="2939" spans="2:7" ht="32.25" customHeight="1" x14ac:dyDescent="0.35">
      <c r="B2939" s="73"/>
      <c r="C2939" s="73"/>
      <c r="D2939" s="73"/>
      <c r="E2939" s="73"/>
      <c r="F2939" s="73"/>
      <c r="G2939" s="73"/>
    </row>
    <row r="2940" spans="2:7" ht="32.25" customHeight="1" x14ac:dyDescent="0.35">
      <c r="B2940" s="73"/>
      <c r="C2940" s="73"/>
      <c r="D2940" s="73"/>
      <c r="E2940" s="73"/>
      <c r="F2940" s="73"/>
      <c r="G2940" s="73"/>
    </row>
    <row r="2941" spans="2:7" ht="32.25" customHeight="1" x14ac:dyDescent="0.35">
      <c r="B2941" s="73"/>
      <c r="C2941" s="73"/>
      <c r="D2941" s="73"/>
      <c r="E2941" s="73"/>
      <c r="F2941" s="73"/>
      <c r="G2941" s="73"/>
    </row>
    <row r="2942" spans="2:7" ht="32.25" customHeight="1" x14ac:dyDescent="0.35">
      <c r="B2942" s="73"/>
      <c r="C2942" s="73"/>
      <c r="D2942" s="73"/>
      <c r="E2942" s="73"/>
      <c r="F2942" s="73"/>
      <c r="G2942" s="73"/>
    </row>
    <row r="2943" spans="2:7" ht="32.25" customHeight="1" x14ac:dyDescent="0.35">
      <c r="B2943" s="73"/>
      <c r="C2943" s="73"/>
      <c r="D2943" s="73"/>
      <c r="E2943" s="73"/>
      <c r="F2943" s="73"/>
      <c r="G2943" s="73"/>
    </row>
    <row r="2944" spans="2:7" ht="32.25" customHeight="1" x14ac:dyDescent="0.35">
      <c r="B2944" s="73"/>
      <c r="C2944" s="73"/>
      <c r="D2944" s="73"/>
      <c r="E2944" s="73"/>
      <c r="F2944" s="73"/>
      <c r="G2944" s="73"/>
    </row>
    <row r="2945" spans="2:7" ht="32.25" customHeight="1" x14ac:dyDescent="0.35">
      <c r="B2945" s="73"/>
      <c r="C2945" s="73"/>
      <c r="D2945" s="73"/>
      <c r="E2945" s="73"/>
      <c r="F2945" s="73"/>
      <c r="G2945" s="73"/>
    </row>
    <row r="2946" spans="2:7" ht="32.25" customHeight="1" x14ac:dyDescent="0.35">
      <c r="B2946" s="73"/>
      <c r="C2946" s="73"/>
      <c r="D2946" s="73"/>
      <c r="E2946" s="73"/>
      <c r="F2946" s="73"/>
      <c r="G2946" s="73"/>
    </row>
    <row r="2947" spans="2:7" ht="32.25" customHeight="1" x14ac:dyDescent="0.35">
      <c r="B2947" s="73"/>
      <c r="C2947" s="73"/>
      <c r="D2947" s="73"/>
      <c r="E2947" s="73"/>
      <c r="F2947" s="73"/>
      <c r="G2947" s="73"/>
    </row>
    <row r="2948" spans="2:7" ht="32.25" customHeight="1" x14ac:dyDescent="0.35">
      <c r="B2948" s="73"/>
      <c r="C2948" s="73"/>
      <c r="D2948" s="73"/>
      <c r="E2948" s="73"/>
      <c r="F2948" s="73"/>
      <c r="G2948" s="73"/>
    </row>
    <row r="2949" spans="2:7" ht="32.25" customHeight="1" x14ac:dyDescent="0.35">
      <c r="B2949" s="73"/>
      <c r="C2949" s="73"/>
      <c r="D2949" s="73"/>
      <c r="E2949" s="73"/>
      <c r="F2949" s="73"/>
      <c r="G2949" s="73"/>
    </row>
    <row r="2950" spans="2:7" ht="32.25" customHeight="1" x14ac:dyDescent="0.35">
      <c r="B2950" s="73"/>
      <c r="C2950" s="73"/>
      <c r="D2950" s="73"/>
      <c r="E2950" s="73"/>
      <c r="F2950" s="73"/>
      <c r="G2950" s="73"/>
    </row>
    <row r="2951" spans="2:7" ht="32.25" customHeight="1" x14ac:dyDescent="0.35">
      <c r="B2951" s="73"/>
      <c r="C2951" s="73"/>
      <c r="D2951" s="73"/>
      <c r="E2951" s="73"/>
      <c r="F2951" s="73"/>
      <c r="G2951" s="73"/>
    </row>
    <row r="2952" spans="2:7" ht="32.25" customHeight="1" x14ac:dyDescent="0.35">
      <c r="B2952" s="73"/>
      <c r="C2952" s="73"/>
      <c r="D2952" s="73"/>
      <c r="E2952" s="73"/>
      <c r="F2952" s="73"/>
      <c r="G2952" s="73"/>
    </row>
    <row r="2953" spans="2:7" ht="32.25" customHeight="1" x14ac:dyDescent="0.35">
      <c r="B2953" s="73"/>
      <c r="C2953" s="73"/>
      <c r="D2953" s="73"/>
      <c r="E2953" s="73"/>
      <c r="F2953" s="73"/>
      <c r="G2953" s="73"/>
    </row>
    <row r="2954" spans="2:7" ht="32.25" customHeight="1" x14ac:dyDescent="0.35">
      <c r="B2954" s="73"/>
      <c r="C2954" s="73"/>
      <c r="D2954" s="73"/>
      <c r="E2954" s="73"/>
      <c r="F2954" s="73"/>
      <c r="G2954" s="73"/>
    </row>
    <row r="2955" spans="2:7" ht="32.25" customHeight="1" x14ac:dyDescent="0.35">
      <c r="B2955" s="73"/>
      <c r="C2955" s="73"/>
      <c r="D2955" s="73"/>
      <c r="E2955" s="73"/>
      <c r="F2955" s="73"/>
      <c r="G2955" s="73"/>
    </row>
    <row r="2956" spans="2:7" ht="32.25" customHeight="1" x14ac:dyDescent="0.35">
      <c r="B2956" s="73"/>
      <c r="C2956" s="73"/>
      <c r="D2956" s="73"/>
      <c r="E2956" s="73"/>
      <c r="F2956" s="73"/>
      <c r="G2956" s="73"/>
    </row>
    <row r="2957" spans="2:7" ht="32.25" customHeight="1" x14ac:dyDescent="0.35">
      <c r="B2957" s="73"/>
      <c r="C2957" s="73"/>
      <c r="D2957" s="73"/>
      <c r="E2957" s="73"/>
      <c r="F2957" s="73"/>
      <c r="G2957" s="73"/>
    </row>
    <row r="2958" spans="2:7" ht="32.25" customHeight="1" x14ac:dyDescent="0.35">
      <c r="B2958" s="73"/>
      <c r="C2958" s="73"/>
      <c r="D2958" s="73"/>
      <c r="E2958" s="73"/>
      <c r="F2958" s="73"/>
      <c r="G2958" s="73"/>
    </row>
    <row r="2959" spans="2:7" ht="32.25" customHeight="1" x14ac:dyDescent="0.35">
      <c r="B2959" s="73"/>
      <c r="C2959" s="73"/>
      <c r="D2959" s="73"/>
      <c r="E2959" s="73"/>
      <c r="F2959" s="73"/>
      <c r="G2959" s="73"/>
    </row>
    <row r="2960" spans="2:7" ht="32.25" customHeight="1" x14ac:dyDescent="0.35">
      <c r="B2960" s="73"/>
      <c r="C2960" s="73"/>
      <c r="D2960" s="73"/>
      <c r="E2960" s="73"/>
      <c r="F2960" s="73"/>
      <c r="G2960" s="73"/>
    </row>
    <row r="2961" spans="2:7" ht="32.25" customHeight="1" x14ac:dyDescent="0.35">
      <c r="B2961" s="73"/>
      <c r="C2961" s="73"/>
      <c r="D2961" s="73"/>
      <c r="E2961" s="73"/>
      <c r="F2961" s="73"/>
      <c r="G2961" s="73"/>
    </row>
    <row r="2962" spans="2:7" ht="32.25" customHeight="1" x14ac:dyDescent="0.35">
      <c r="B2962" s="73"/>
      <c r="C2962" s="73"/>
      <c r="D2962" s="73"/>
      <c r="E2962" s="73"/>
      <c r="F2962" s="73"/>
      <c r="G2962" s="73"/>
    </row>
    <row r="2963" spans="2:7" ht="32.25" customHeight="1" x14ac:dyDescent="0.35">
      <c r="B2963" s="73"/>
      <c r="C2963" s="73"/>
      <c r="D2963" s="73"/>
      <c r="E2963" s="73"/>
      <c r="F2963" s="73"/>
      <c r="G2963" s="73"/>
    </row>
    <row r="2964" spans="2:7" ht="32.25" customHeight="1" x14ac:dyDescent="0.35">
      <c r="B2964" s="73"/>
      <c r="C2964" s="73"/>
      <c r="D2964" s="73"/>
      <c r="E2964" s="73"/>
      <c r="F2964" s="73"/>
      <c r="G2964" s="73"/>
    </row>
    <row r="2965" spans="2:7" ht="32.25" customHeight="1" x14ac:dyDescent="0.35">
      <c r="B2965" s="73"/>
      <c r="C2965" s="73"/>
      <c r="D2965" s="73"/>
      <c r="E2965" s="73"/>
      <c r="F2965" s="73"/>
      <c r="G2965" s="73"/>
    </row>
    <row r="2966" spans="2:7" ht="32.25" customHeight="1" x14ac:dyDescent="0.35">
      <c r="B2966" s="73"/>
      <c r="C2966" s="73"/>
      <c r="D2966" s="73"/>
      <c r="E2966" s="73"/>
      <c r="F2966" s="73"/>
      <c r="G2966" s="73"/>
    </row>
    <row r="2967" spans="2:7" ht="32.25" customHeight="1" x14ac:dyDescent="0.35">
      <c r="B2967" s="73"/>
      <c r="C2967" s="73"/>
      <c r="D2967" s="73"/>
      <c r="E2967" s="73"/>
      <c r="F2967" s="73"/>
      <c r="G2967" s="73"/>
    </row>
    <row r="2968" spans="2:7" ht="32.25" customHeight="1" x14ac:dyDescent="0.35">
      <c r="B2968" s="73"/>
      <c r="C2968" s="73"/>
      <c r="D2968" s="73"/>
      <c r="E2968" s="73"/>
      <c r="F2968" s="73"/>
      <c r="G2968" s="73"/>
    </row>
    <row r="2969" spans="2:7" ht="32.25" customHeight="1" x14ac:dyDescent="0.35">
      <c r="B2969" s="73"/>
      <c r="C2969" s="73"/>
      <c r="D2969" s="73"/>
      <c r="E2969" s="73"/>
      <c r="F2969" s="73"/>
      <c r="G2969" s="73"/>
    </row>
    <row r="2970" spans="2:7" ht="32.25" customHeight="1" x14ac:dyDescent="0.35">
      <c r="B2970" s="73"/>
      <c r="C2970" s="73"/>
      <c r="D2970" s="73"/>
      <c r="E2970" s="73"/>
      <c r="F2970" s="73"/>
      <c r="G2970" s="73"/>
    </row>
    <row r="2971" spans="2:7" ht="32.25" customHeight="1" x14ac:dyDescent="0.35">
      <c r="B2971" s="73"/>
      <c r="C2971" s="73"/>
      <c r="D2971" s="73"/>
      <c r="E2971" s="73"/>
      <c r="F2971" s="73"/>
      <c r="G2971" s="73"/>
    </row>
    <row r="2972" spans="2:7" ht="32.25" customHeight="1" x14ac:dyDescent="0.35">
      <c r="B2972" s="73"/>
      <c r="C2972" s="73"/>
      <c r="D2972" s="73"/>
      <c r="E2972" s="73"/>
      <c r="F2972" s="73"/>
      <c r="G2972" s="73"/>
    </row>
    <row r="2973" spans="2:7" ht="32.25" customHeight="1" x14ac:dyDescent="0.35">
      <c r="B2973" s="73"/>
      <c r="C2973" s="73"/>
      <c r="D2973" s="73"/>
      <c r="E2973" s="73"/>
      <c r="F2973" s="73"/>
      <c r="G2973" s="73"/>
    </row>
    <row r="2974" spans="2:7" ht="32.25" customHeight="1" x14ac:dyDescent="0.35">
      <c r="B2974" s="73"/>
      <c r="C2974" s="73"/>
      <c r="D2974" s="73"/>
      <c r="E2974" s="73"/>
      <c r="F2974" s="73"/>
      <c r="G2974" s="73"/>
    </row>
    <row r="2975" spans="2:7" ht="32.25" customHeight="1" x14ac:dyDescent="0.35">
      <c r="B2975" s="73"/>
      <c r="C2975" s="73"/>
      <c r="D2975" s="73"/>
      <c r="E2975" s="73"/>
      <c r="F2975" s="73"/>
      <c r="G2975" s="73"/>
    </row>
    <row r="2976" spans="2:7" ht="32.25" customHeight="1" x14ac:dyDescent="0.35">
      <c r="B2976" s="73"/>
      <c r="C2976" s="73"/>
      <c r="D2976" s="73"/>
      <c r="E2976" s="73"/>
      <c r="F2976" s="73"/>
      <c r="G2976" s="73"/>
    </row>
    <row r="2977" spans="2:7" ht="32.25" customHeight="1" x14ac:dyDescent="0.35">
      <c r="B2977" s="73"/>
      <c r="C2977" s="73"/>
      <c r="D2977" s="73"/>
      <c r="E2977" s="73"/>
      <c r="F2977" s="73"/>
      <c r="G2977" s="73"/>
    </row>
    <row r="2978" spans="2:7" ht="32.25" customHeight="1" x14ac:dyDescent="0.35">
      <c r="B2978" s="73"/>
      <c r="C2978" s="73"/>
      <c r="D2978" s="73"/>
      <c r="E2978" s="73"/>
      <c r="F2978" s="73"/>
      <c r="G2978" s="73"/>
    </row>
    <row r="2979" spans="2:7" ht="32.25" customHeight="1" x14ac:dyDescent="0.35">
      <c r="B2979" s="73"/>
      <c r="C2979" s="73"/>
      <c r="D2979" s="73"/>
      <c r="E2979" s="73"/>
      <c r="F2979" s="73"/>
      <c r="G2979" s="73"/>
    </row>
    <row r="2980" spans="2:7" ht="32.25" customHeight="1" x14ac:dyDescent="0.35">
      <c r="B2980" s="73"/>
      <c r="C2980" s="73"/>
      <c r="D2980" s="73"/>
      <c r="E2980" s="73"/>
      <c r="F2980" s="73"/>
      <c r="G2980" s="73"/>
    </row>
    <row r="2981" spans="2:7" ht="32.25" customHeight="1" x14ac:dyDescent="0.35">
      <c r="B2981" s="73"/>
      <c r="C2981" s="73"/>
      <c r="D2981" s="73"/>
      <c r="E2981" s="73"/>
      <c r="F2981" s="73"/>
      <c r="G2981" s="73"/>
    </row>
    <row r="2982" spans="2:7" ht="32.25" customHeight="1" x14ac:dyDescent="0.35">
      <c r="B2982" s="73"/>
      <c r="C2982" s="73"/>
      <c r="D2982" s="73"/>
      <c r="E2982" s="73"/>
      <c r="F2982" s="73"/>
      <c r="G2982" s="73"/>
    </row>
    <row r="2983" spans="2:7" ht="32.25" customHeight="1" x14ac:dyDescent="0.35">
      <c r="B2983" s="73"/>
      <c r="C2983" s="73"/>
      <c r="D2983" s="73"/>
      <c r="E2983" s="73"/>
      <c r="F2983" s="73"/>
      <c r="G2983" s="73"/>
    </row>
    <row r="2984" spans="2:7" ht="32.25" customHeight="1" x14ac:dyDescent="0.35">
      <c r="B2984" s="73"/>
      <c r="C2984" s="73"/>
      <c r="D2984" s="73"/>
      <c r="E2984" s="73"/>
      <c r="F2984" s="73"/>
      <c r="G2984" s="73"/>
    </row>
    <row r="2985" spans="2:7" ht="32.25" customHeight="1" x14ac:dyDescent="0.35">
      <c r="B2985" s="73"/>
      <c r="C2985" s="73"/>
      <c r="D2985" s="73"/>
      <c r="E2985" s="73"/>
      <c r="F2985" s="73"/>
      <c r="G2985" s="73"/>
    </row>
    <row r="2986" spans="2:7" ht="32.25" customHeight="1" x14ac:dyDescent="0.35">
      <c r="B2986" s="73"/>
      <c r="C2986" s="73"/>
      <c r="D2986" s="73"/>
      <c r="E2986" s="73"/>
      <c r="F2986" s="73"/>
      <c r="G2986" s="73"/>
    </row>
    <row r="2987" spans="2:7" ht="32.25" customHeight="1" x14ac:dyDescent="0.35">
      <c r="B2987" s="73"/>
      <c r="C2987" s="73"/>
      <c r="D2987" s="73"/>
      <c r="E2987" s="73"/>
      <c r="F2987" s="73"/>
      <c r="G2987" s="73"/>
    </row>
    <row r="2988" spans="2:7" ht="32.25" customHeight="1" x14ac:dyDescent="0.35">
      <c r="B2988" s="73"/>
      <c r="C2988" s="73"/>
      <c r="D2988" s="73"/>
      <c r="E2988" s="73"/>
      <c r="F2988" s="73"/>
      <c r="G2988" s="73"/>
    </row>
    <row r="2989" spans="2:7" ht="32.25" customHeight="1" x14ac:dyDescent="0.35">
      <c r="B2989" s="73"/>
      <c r="C2989" s="73"/>
      <c r="D2989" s="73"/>
      <c r="E2989" s="73"/>
      <c r="F2989" s="73"/>
      <c r="G2989" s="73"/>
    </row>
    <row r="2990" spans="2:7" ht="32.25" customHeight="1" x14ac:dyDescent="0.35">
      <c r="B2990" s="73"/>
      <c r="C2990" s="73"/>
      <c r="D2990" s="73"/>
      <c r="E2990" s="73"/>
      <c r="F2990" s="73"/>
      <c r="G2990" s="73"/>
    </row>
    <row r="2991" spans="2:7" ht="32.25" customHeight="1" x14ac:dyDescent="0.35">
      <c r="B2991" s="73"/>
      <c r="C2991" s="73"/>
      <c r="D2991" s="73"/>
      <c r="E2991" s="73"/>
      <c r="F2991" s="73"/>
      <c r="G2991" s="73"/>
    </row>
    <row r="2992" spans="2:7" ht="32.25" customHeight="1" x14ac:dyDescent="0.35">
      <c r="B2992" s="73"/>
      <c r="C2992" s="73"/>
      <c r="D2992" s="73"/>
      <c r="E2992" s="73"/>
      <c r="F2992" s="73"/>
      <c r="G2992" s="73"/>
    </row>
    <row r="2993" spans="2:7" ht="32.25" customHeight="1" x14ac:dyDescent="0.35">
      <c r="B2993" s="73"/>
      <c r="C2993" s="73"/>
      <c r="D2993" s="73"/>
      <c r="E2993" s="73"/>
      <c r="F2993" s="73"/>
      <c r="G2993" s="73"/>
    </row>
    <row r="2994" spans="2:7" ht="32.25" customHeight="1" x14ac:dyDescent="0.35">
      <c r="B2994" s="73"/>
      <c r="C2994" s="73"/>
      <c r="D2994" s="73"/>
      <c r="E2994" s="73"/>
      <c r="F2994" s="73"/>
      <c r="G2994" s="73"/>
    </row>
    <row r="2995" spans="2:7" ht="32.25" customHeight="1" x14ac:dyDescent="0.35">
      <c r="B2995" s="73"/>
      <c r="C2995" s="73"/>
      <c r="D2995" s="73"/>
      <c r="E2995" s="73"/>
      <c r="F2995" s="73"/>
      <c r="G2995" s="73"/>
    </row>
    <row r="2996" spans="2:7" ht="32.25" customHeight="1" x14ac:dyDescent="0.35">
      <c r="B2996" s="73"/>
      <c r="C2996" s="73"/>
      <c r="D2996" s="73"/>
      <c r="E2996" s="73"/>
      <c r="F2996" s="73"/>
      <c r="G2996" s="73"/>
    </row>
    <row r="2997" spans="2:7" ht="32.25" customHeight="1" x14ac:dyDescent="0.35">
      <c r="B2997" s="73"/>
      <c r="C2997" s="73"/>
      <c r="D2997" s="73"/>
      <c r="E2997" s="73"/>
      <c r="F2997" s="73"/>
      <c r="G2997" s="73"/>
    </row>
    <row r="2998" spans="2:7" ht="32.25" customHeight="1" x14ac:dyDescent="0.35">
      <c r="B2998" s="73"/>
      <c r="C2998" s="73"/>
      <c r="D2998" s="73"/>
      <c r="E2998" s="73"/>
      <c r="F2998" s="73"/>
      <c r="G2998" s="73"/>
    </row>
    <row r="2999" spans="2:7" ht="32.25" customHeight="1" x14ac:dyDescent="0.35">
      <c r="B2999" s="73"/>
      <c r="C2999" s="73"/>
      <c r="D2999" s="73"/>
      <c r="E2999" s="73"/>
      <c r="F2999" s="73"/>
      <c r="G2999" s="73"/>
    </row>
    <row r="3000" spans="2:7" ht="32.25" customHeight="1" x14ac:dyDescent="0.35">
      <c r="B3000" s="73"/>
      <c r="C3000" s="73"/>
      <c r="D3000" s="73"/>
      <c r="E3000" s="73"/>
      <c r="F3000" s="73"/>
      <c r="G3000" s="73"/>
    </row>
    <row r="3001" spans="2:7" ht="32.25" customHeight="1" x14ac:dyDescent="0.35">
      <c r="B3001" s="73"/>
      <c r="C3001" s="73"/>
      <c r="D3001" s="73"/>
      <c r="E3001" s="73"/>
      <c r="F3001" s="73"/>
      <c r="G3001" s="73"/>
    </row>
    <row r="3002" spans="2:7" ht="32.25" customHeight="1" x14ac:dyDescent="0.35">
      <c r="B3002" s="73"/>
      <c r="C3002" s="73"/>
      <c r="D3002" s="73"/>
      <c r="E3002" s="73"/>
      <c r="F3002" s="73"/>
      <c r="G3002" s="73"/>
    </row>
    <row r="3003" spans="2:7" ht="32.25" customHeight="1" x14ac:dyDescent="0.35">
      <c r="B3003" s="73"/>
      <c r="C3003" s="73"/>
      <c r="D3003" s="73"/>
      <c r="E3003" s="73"/>
      <c r="F3003" s="73"/>
      <c r="G3003" s="73"/>
    </row>
    <row r="3004" spans="2:7" ht="32.25" customHeight="1" x14ac:dyDescent="0.35">
      <c r="B3004" s="73"/>
      <c r="C3004" s="73"/>
      <c r="D3004" s="73"/>
      <c r="E3004" s="73"/>
      <c r="F3004" s="73"/>
      <c r="G3004" s="73"/>
    </row>
    <row r="3005" spans="2:7" ht="32.25" customHeight="1" x14ac:dyDescent="0.35">
      <c r="B3005" s="73"/>
      <c r="C3005" s="73"/>
      <c r="D3005" s="73"/>
      <c r="E3005" s="73"/>
      <c r="F3005" s="73"/>
      <c r="G3005" s="73"/>
    </row>
    <row r="3006" spans="2:7" ht="32.25" customHeight="1" x14ac:dyDescent="0.35">
      <c r="B3006" s="73"/>
      <c r="C3006" s="73"/>
      <c r="D3006" s="73"/>
      <c r="E3006" s="73"/>
      <c r="F3006" s="73"/>
      <c r="G3006" s="73"/>
    </row>
    <row r="3007" spans="2:7" ht="32.25" customHeight="1" x14ac:dyDescent="0.35">
      <c r="B3007" s="73"/>
      <c r="C3007" s="73"/>
      <c r="D3007" s="73"/>
      <c r="E3007" s="73"/>
      <c r="F3007" s="73"/>
      <c r="G3007" s="73"/>
    </row>
    <row r="3008" spans="2:7" ht="32.25" customHeight="1" x14ac:dyDescent="0.35">
      <c r="B3008" s="73"/>
      <c r="C3008" s="73"/>
      <c r="D3008" s="73"/>
      <c r="E3008" s="73"/>
      <c r="F3008" s="73"/>
      <c r="G3008" s="73"/>
    </row>
    <row r="3009" spans="2:7" ht="32.25" customHeight="1" x14ac:dyDescent="0.35">
      <c r="B3009" s="73"/>
      <c r="C3009" s="73"/>
      <c r="D3009" s="73"/>
      <c r="E3009" s="73"/>
      <c r="F3009" s="73"/>
      <c r="G3009" s="73"/>
    </row>
    <row r="3010" spans="2:7" ht="32.25" customHeight="1" x14ac:dyDescent="0.35">
      <c r="B3010" s="73"/>
      <c r="C3010" s="73"/>
      <c r="D3010" s="73"/>
      <c r="E3010" s="73"/>
      <c r="F3010" s="73"/>
      <c r="G3010" s="73"/>
    </row>
    <row r="3011" spans="2:7" ht="32.25" customHeight="1" x14ac:dyDescent="0.35">
      <c r="B3011" s="73"/>
      <c r="C3011" s="73"/>
      <c r="D3011" s="73"/>
      <c r="E3011" s="73"/>
      <c r="F3011" s="73"/>
      <c r="G3011" s="73"/>
    </row>
    <row r="3012" spans="2:7" ht="32.25" customHeight="1" x14ac:dyDescent="0.35">
      <c r="B3012" s="73"/>
      <c r="C3012" s="73"/>
      <c r="D3012" s="73"/>
      <c r="E3012" s="73"/>
      <c r="F3012" s="73"/>
      <c r="G3012" s="73"/>
    </row>
    <row r="3013" spans="2:7" ht="32.25" customHeight="1" x14ac:dyDescent="0.35">
      <c r="B3013" s="73"/>
      <c r="C3013" s="73"/>
      <c r="D3013" s="73"/>
      <c r="E3013" s="73"/>
      <c r="F3013" s="73"/>
      <c r="G3013" s="73"/>
    </row>
    <row r="3014" spans="2:7" ht="32.25" customHeight="1" x14ac:dyDescent="0.35">
      <c r="B3014" s="73"/>
      <c r="C3014" s="73"/>
      <c r="D3014" s="73"/>
      <c r="E3014" s="73"/>
      <c r="F3014" s="73"/>
      <c r="G3014" s="73"/>
    </row>
    <row r="3015" spans="2:7" ht="32.25" customHeight="1" x14ac:dyDescent="0.35">
      <c r="B3015" s="73"/>
      <c r="C3015" s="73"/>
      <c r="D3015" s="73"/>
      <c r="E3015" s="73"/>
      <c r="F3015" s="73"/>
      <c r="G3015" s="73"/>
    </row>
    <row r="3016" spans="2:7" ht="32.25" customHeight="1" x14ac:dyDescent="0.35">
      <c r="B3016" s="73"/>
      <c r="C3016" s="73"/>
      <c r="D3016" s="73"/>
      <c r="E3016" s="73"/>
      <c r="F3016" s="73"/>
      <c r="G3016" s="73"/>
    </row>
    <row r="3017" spans="2:7" ht="32.25" customHeight="1" x14ac:dyDescent="0.35">
      <c r="B3017" s="73"/>
      <c r="C3017" s="73"/>
      <c r="D3017" s="73"/>
      <c r="E3017" s="73"/>
      <c r="F3017" s="73"/>
      <c r="G3017" s="73"/>
    </row>
    <row r="3018" spans="2:7" ht="32.25" customHeight="1" x14ac:dyDescent="0.35">
      <c r="B3018" s="73"/>
      <c r="C3018" s="73"/>
      <c r="D3018" s="73"/>
      <c r="E3018" s="73"/>
      <c r="F3018" s="73"/>
      <c r="G3018" s="73"/>
    </row>
    <row r="3019" spans="2:7" ht="32.25" customHeight="1" x14ac:dyDescent="0.35">
      <c r="B3019" s="73"/>
      <c r="C3019" s="73"/>
      <c r="D3019" s="73"/>
      <c r="E3019" s="73"/>
      <c r="F3019" s="73"/>
      <c r="G3019" s="73"/>
    </row>
    <row r="3020" spans="2:7" ht="32.25" customHeight="1" x14ac:dyDescent="0.35">
      <c r="B3020" s="73"/>
      <c r="C3020" s="73"/>
      <c r="D3020" s="73"/>
      <c r="E3020" s="73"/>
      <c r="F3020" s="73"/>
      <c r="G3020" s="73"/>
    </row>
    <row r="3021" spans="2:7" ht="32.25" customHeight="1" x14ac:dyDescent="0.35">
      <c r="B3021" s="73"/>
      <c r="C3021" s="73"/>
      <c r="D3021" s="73"/>
      <c r="E3021" s="73"/>
      <c r="F3021" s="73"/>
      <c r="G3021" s="73"/>
    </row>
    <row r="3022" spans="2:7" ht="32.25" customHeight="1" x14ac:dyDescent="0.35">
      <c r="B3022" s="73"/>
      <c r="C3022" s="73"/>
      <c r="D3022" s="73"/>
      <c r="E3022" s="73"/>
      <c r="F3022" s="73"/>
      <c r="G3022" s="73"/>
    </row>
    <row r="3023" spans="2:7" ht="32.25" customHeight="1" x14ac:dyDescent="0.35">
      <c r="B3023" s="73"/>
      <c r="C3023" s="73"/>
      <c r="D3023" s="73"/>
      <c r="E3023" s="73"/>
      <c r="F3023" s="73"/>
      <c r="G3023" s="73"/>
    </row>
    <row r="3024" spans="2:7" ht="32.25" customHeight="1" x14ac:dyDescent="0.35">
      <c r="B3024" s="73"/>
      <c r="C3024" s="73"/>
      <c r="D3024" s="73"/>
      <c r="E3024" s="73"/>
      <c r="F3024" s="73"/>
      <c r="G3024" s="73"/>
    </row>
    <row r="3025" spans="2:7" ht="32.25" customHeight="1" x14ac:dyDescent="0.35">
      <c r="B3025" s="73"/>
      <c r="C3025" s="73"/>
      <c r="D3025" s="73"/>
      <c r="E3025" s="73"/>
      <c r="F3025" s="73"/>
      <c r="G3025" s="73"/>
    </row>
    <row r="3026" spans="2:7" ht="32.25" customHeight="1" x14ac:dyDescent="0.35">
      <c r="B3026" s="73"/>
      <c r="C3026" s="73"/>
      <c r="D3026" s="73"/>
      <c r="E3026" s="73"/>
      <c r="F3026" s="73"/>
      <c r="G3026" s="73"/>
    </row>
    <row r="3027" spans="2:7" ht="32.25" customHeight="1" x14ac:dyDescent="0.35">
      <c r="B3027" s="73"/>
      <c r="C3027" s="73"/>
      <c r="D3027" s="73"/>
      <c r="E3027" s="73"/>
      <c r="F3027" s="73"/>
      <c r="G3027" s="73"/>
    </row>
    <row r="3028" spans="2:7" ht="32.25" customHeight="1" x14ac:dyDescent="0.35">
      <c r="B3028" s="73"/>
      <c r="C3028" s="73"/>
      <c r="D3028" s="73"/>
      <c r="E3028" s="73"/>
      <c r="F3028" s="73"/>
      <c r="G3028" s="73"/>
    </row>
    <row r="3029" spans="2:7" ht="32.25" customHeight="1" x14ac:dyDescent="0.35">
      <c r="B3029" s="73"/>
      <c r="C3029" s="73"/>
      <c r="D3029" s="73"/>
      <c r="E3029" s="73"/>
      <c r="F3029" s="73"/>
      <c r="G3029" s="73"/>
    </row>
    <row r="3030" spans="2:7" ht="32.25" customHeight="1" x14ac:dyDescent="0.35">
      <c r="B3030" s="73"/>
      <c r="C3030" s="73"/>
      <c r="D3030" s="73"/>
      <c r="E3030" s="73"/>
      <c r="F3030" s="73"/>
      <c r="G3030" s="73"/>
    </row>
    <row r="3031" spans="2:7" ht="32.25" customHeight="1" x14ac:dyDescent="0.35">
      <c r="B3031" s="73"/>
      <c r="C3031" s="73"/>
      <c r="D3031" s="73"/>
      <c r="E3031" s="73"/>
      <c r="F3031" s="73"/>
      <c r="G3031" s="73"/>
    </row>
    <row r="3032" spans="2:7" ht="32.25" customHeight="1" x14ac:dyDescent="0.35">
      <c r="B3032" s="73"/>
      <c r="C3032" s="73"/>
      <c r="D3032" s="73"/>
      <c r="E3032" s="73"/>
      <c r="F3032" s="73"/>
      <c r="G3032" s="73"/>
    </row>
    <row r="3033" spans="2:7" ht="32.25" customHeight="1" x14ac:dyDescent="0.35">
      <c r="B3033" s="73"/>
      <c r="C3033" s="73"/>
      <c r="D3033" s="73"/>
      <c r="E3033" s="73"/>
      <c r="F3033" s="73"/>
      <c r="G3033" s="73"/>
    </row>
    <row r="3034" spans="2:7" ht="32.25" customHeight="1" x14ac:dyDescent="0.35">
      <c r="B3034" s="73"/>
      <c r="C3034" s="73"/>
      <c r="D3034" s="73"/>
      <c r="E3034" s="73"/>
      <c r="F3034" s="73"/>
      <c r="G3034" s="73"/>
    </row>
    <row r="3035" spans="2:7" ht="32.25" customHeight="1" x14ac:dyDescent="0.35">
      <c r="B3035" s="73"/>
      <c r="C3035" s="73"/>
      <c r="D3035" s="73"/>
      <c r="E3035" s="73"/>
      <c r="F3035" s="73"/>
      <c r="G3035" s="73"/>
    </row>
    <row r="3036" spans="2:7" ht="32.25" customHeight="1" x14ac:dyDescent="0.35">
      <c r="B3036" s="73"/>
      <c r="C3036" s="73"/>
      <c r="D3036" s="73"/>
      <c r="E3036" s="73"/>
      <c r="F3036" s="73"/>
      <c r="G3036" s="73"/>
    </row>
    <row r="3037" spans="2:7" ht="32.25" customHeight="1" x14ac:dyDescent="0.35">
      <c r="B3037" s="73"/>
      <c r="C3037" s="73"/>
      <c r="D3037" s="73"/>
      <c r="E3037" s="73"/>
      <c r="F3037" s="73"/>
      <c r="G3037" s="73"/>
    </row>
    <row r="3038" spans="2:7" ht="32.25" customHeight="1" x14ac:dyDescent="0.35">
      <c r="B3038" s="73"/>
      <c r="C3038" s="73"/>
      <c r="D3038" s="73"/>
      <c r="E3038" s="73"/>
      <c r="F3038" s="73"/>
      <c r="G3038" s="73"/>
    </row>
    <row r="3039" spans="2:7" ht="32.25" customHeight="1" x14ac:dyDescent="0.35">
      <c r="B3039" s="73"/>
      <c r="C3039" s="73"/>
      <c r="D3039" s="73"/>
      <c r="E3039" s="73"/>
      <c r="F3039" s="73"/>
      <c r="G3039" s="73"/>
    </row>
    <row r="3040" spans="2:7" ht="32.25" customHeight="1" x14ac:dyDescent="0.35">
      <c r="B3040" s="73"/>
      <c r="C3040" s="73"/>
      <c r="D3040" s="73"/>
      <c r="E3040" s="73"/>
      <c r="F3040" s="73"/>
      <c r="G3040" s="73"/>
    </row>
    <row r="3041" spans="2:7" ht="32.25" customHeight="1" x14ac:dyDescent="0.35">
      <c r="B3041" s="73"/>
      <c r="C3041" s="73"/>
      <c r="D3041" s="73"/>
      <c r="E3041" s="73"/>
      <c r="F3041" s="73"/>
      <c r="G3041" s="73"/>
    </row>
    <row r="3042" spans="2:7" ht="32.25" customHeight="1" x14ac:dyDescent="0.35">
      <c r="B3042" s="73"/>
      <c r="C3042" s="73"/>
      <c r="D3042" s="73"/>
      <c r="E3042" s="73"/>
      <c r="F3042" s="73"/>
      <c r="G3042" s="73"/>
    </row>
    <row r="3043" spans="2:7" ht="32.25" customHeight="1" x14ac:dyDescent="0.35">
      <c r="B3043" s="73"/>
      <c r="C3043" s="73"/>
      <c r="D3043" s="73"/>
      <c r="E3043" s="73"/>
      <c r="F3043" s="73"/>
      <c r="G3043" s="73"/>
    </row>
    <row r="3044" spans="2:7" ht="32.25" customHeight="1" x14ac:dyDescent="0.35">
      <c r="B3044" s="73"/>
      <c r="C3044" s="73"/>
      <c r="D3044" s="73"/>
      <c r="E3044" s="73"/>
      <c r="F3044" s="73"/>
      <c r="G3044" s="73"/>
    </row>
    <row r="3045" spans="2:7" ht="32.25" customHeight="1" x14ac:dyDescent="0.35">
      <c r="B3045" s="73"/>
      <c r="C3045" s="73"/>
      <c r="D3045" s="73"/>
      <c r="E3045" s="73"/>
      <c r="F3045" s="73"/>
      <c r="G3045" s="73"/>
    </row>
    <row r="3046" spans="2:7" ht="32.25" customHeight="1" x14ac:dyDescent="0.35">
      <c r="B3046" s="73"/>
      <c r="C3046" s="73"/>
      <c r="D3046" s="73"/>
      <c r="E3046" s="73"/>
      <c r="F3046" s="73"/>
      <c r="G3046" s="73"/>
    </row>
    <row r="3047" spans="2:7" ht="32.25" customHeight="1" x14ac:dyDescent="0.35">
      <c r="B3047" s="73"/>
      <c r="C3047" s="73"/>
      <c r="D3047" s="73"/>
      <c r="E3047" s="73"/>
      <c r="F3047" s="73"/>
      <c r="G3047" s="73"/>
    </row>
    <row r="3048" spans="2:7" ht="32.25" customHeight="1" x14ac:dyDescent="0.35">
      <c r="B3048" s="73"/>
      <c r="C3048" s="73"/>
      <c r="D3048" s="73"/>
      <c r="E3048" s="73"/>
      <c r="F3048" s="73"/>
      <c r="G3048" s="73"/>
    </row>
    <row r="3049" spans="2:7" ht="32.25" customHeight="1" x14ac:dyDescent="0.35">
      <c r="B3049" s="73"/>
      <c r="C3049" s="73"/>
      <c r="D3049" s="73"/>
      <c r="E3049" s="73"/>
      <c r="F3049" s="73"/>
      <c r="G3049" s="73"/>
    </row>
    <row r="3050" spans="2:7" ht="32.25" customHeight="1" x14ac:dyDescent="0.35">
      <c r="B3050" s="73"/>
      <c r="C3050" s="73"/>
      <c r="D3050" s="73"/>
      <c r="E3050" s="73"/>
      <c r="F3050" s="73"/>
      <c r="G3050" s="73"/>
    </row>
    <row r="3051" spans="2:7" ht="32.25" customHeight="1" x14ac:dyDescent="0.35">
      <c r="B3051" s="73"/>
      <c r="C3051" s="73"/>
      <c r="D3051" s="73"/>
      <c r="E3051" s="73"/>
      <c r="F3051" s="73"/>
      <c r="G3051" s="73"/>
    </row>
    <row r="3052" spans="2:7" ht="32.25" customHeight="1" x14ac:dyDescent="0.35">
      <c r="B3052" s="73"/>
      <c r="C3052" s="73"/>
      <c r="D3052" s="73"/>
      <c r="E3052" s="73"/>
      <c r="F3052" s="73"/>
      <c r="G3052" s="73"/>
    </row>
    <row r="3053" spans="2:7" ht="32.25" customHeight="1" x14ac:dyDescent="0.35">
      <c r="B3053" s="73"/>
      <c r="C3053" s="73"/>
      <c r="D3053" s="73"/>
      <c r="E3053" s="73"/>
      <c r="F3053" s="73"/>
      <c r="G3053" s="73"/>
    </row>
    <row r="3054" spans="2:7" ht="32.25" customHeight="1" x14ac:dyDescent="0.35">
      <c r="B3054" s="73"/>
      <c r="C3054" s="73"/>
      <c r="D3054" s="73"/>
      <c r="E3054" s="73"/>
      <c r="F3054" s="73"/>
      <c r="G3054" s="73"/>
    </row>
    <row r="3055" spans="2:7" ht="32.25" customHeight="1" x14ac:dyDescent="0.35">
      <c r="B3055" s="73"/>
      <c r="C3055" s="73"/>
      <c r="D3055" s="73"/>
      <c r="E3055" s="73"/>
      <c r="F3055" s="73"/>
      <c r="G3055" s="73"/>
    </row>
    <row r="3056" spans="2:7" ht="32.25" customHeight="1" x14ac:dyDescent="0.35">
      <c r="B3056" s="73"/>
      <c r="C3056" s="73"/>
      <c r="D3056" s="73"/>
      <c r="E3056" s="73"/>
      <c r="F3056" s="73"/>
      <c r="G3056" s="73"/>
    </row>
    <row r="3057" spans="2:7" ht="32.25" customHeight="1" x14ac:dyDescent="0.35">
      <c r="B3057" s="73"/>
      <c r="C3057" s="73"/>
      <c r="D3057" s="73"/>
      <c r="E3057" s="73"/>
      <c r="F3057" s="73"/>
      <c r="G3057" s="73"/>
    </row>
    <row r="3058" spans="2:7" ht="32.25" customHeight="1" x14ac:dyDescent="0.35">
      <c r="B3058" s="73"/>
      <c r="C3058" s="73"/>
      <c r="D3058" s="73"/>
      <c r="E3058" s="73"/>
      <c r="F3058" s="73"/>
      <c r="G3058" s="73"/>
    </row>
    <row r="3059" spans="2:7" ht="32.25" customHeight="1" x14ac:dyDescent="0.35">
      <c r="B3059" s="73"/>
      <c r="C3059" s="73"/>
      <c r="D3059" s="73"/>
      <c r="E3059" s="73"/>
      <c r="F3059" s="73"/>
      <c r="G3059" s="73"/>
    </row>
    <row r="3060" spans="2:7" ht="32.25" customHeight="1" x14ac:dyDescent="0.35">
      <c r="B3060" s="73"/>
      <c r="C3060" s="73"/>
      <c r="D3060" s="73"/>
      <c r="E3060" s="73"/>
      <c r="F3060" s="73"/>
      <c r="G3060" s="73"/>
    </row>
    <row r="3061" spans="2:7" ht="32.25" customHeight="1" x14ac:dyDescent="0.35">
      <c r="B3061" s="73"/>
      <c r="C3061" s="73"/>
      <c r="D3061" s="73"/>
      <c r="E3061" s="73"/>
      <c r="F3061" s="73"/>
      <c r="G3061" s="73"/>
    </row>
    <row r="3062" spans="2:7" ht="32.25" customHeight="1" x14ac:dyDescent="0.35">
      <c r="B3062" s="73"/>
      <c r="C3062" s="73"/>
      <c r="D3062" s="73"/>
      <c r="E3062" s="73"/>
      <c r="F3062" s="73"/>
      <c r="G3062" s="73"/>
    </row>
    <row r="3063" spans="2:7" ht="32.25" customHeight="1" x14ac:dyDescent="0.35">
      <c r="B3063" s="73"/>
      <c r="C3063" s="73"/>
      <c r="D3063" s="73"/>
      <c r="E3063" s="73"/>
      <c r="F3063" s="73"/>
      <c r="G3063" s="73"/>
    </row>
    <row r="3064" spans="2:7" ht="32.25" customHeight="1" x14ac:dyDescent="0.35">
      <c r="B3064" s="73"/>
      <c r="C3064" s="73"/>
      <c r="D3064" s="73"/>
      <c r="E3064" s="73"/>
      <c r="F3064" s="73"/>
      <c r="G3064" s="73"/>
    </row>
    <row r="3065" spans="2:7" ht="32.25" customHeight="1" x14ac:dyDescent="0.35">
      <c r="B3065" s="73"/>
      <c r="C3065" s="73"/>
      <c r="D3065" s="73"/>
      <c r="E3065" s="73"/>
      <c r="F3065" s="73"/>
      <c r="G3065" s="73"/>
    </row>
    <row r="3066" spans="2:7" ht="32.25" customHeight="1" x14ac:dyDescent="0.35">
      <c r="B3066" s="73"/>
      <c r="C3066" s="73"/>
      <c r="D3066" s="73"/>
      <c r="E3066" s="73"/>
      <c r="F3066" s="73"/>
      <c r="G3066" s="73"/>
    </row>
    <row r="3067" spans="2:7" ht="32.25" customHeight="1" x14ac:dyDescent="0.35">
      <c r="B3067" s="73"/>
      <c r="C3067" s="73"/>
      <c r="D3067" s="73"/>
      <c r="E3067" s="73"/>
      <c r="F3067" s="73"/>
      <c r="G3067" s="73"/>
    </row>
    <row r="3068" spans="2:7" ht="32.25" customHeight="1" x14ac:dyDescent="0.35">
      <c r="B3068" s="73"/>
      <c r="C3068" s="73"/>
      <c r="D3068" s="73"/>
      <c r="E3068" s="73"/>
      <c r="F3068" s="73"/>
      <c r="G3068" s="73"/>
    </row>
    <row r="3069" spans="2:7" ht="32.25" customHeight="1" x14ac:dyDescent="0.35">
      <c r="B3069" s="73"/>
      <c r="C3069" s="73"/>
      <c r="D3069" s="73"/>
      <c r="E3069" s="73"/>
      <c r="F3069" s="73"/>
      <c r="G3069" s="73"/>
    </row>
    <row r="3070" spans="2:7" ht="32.25" customHeight="1" x14ac:dyDescent="0.35">
      <c r="B3070" s="73"/>
      <c r="C3070" s="73"/>
      <c r="D3070" s="73"/>
      <c r="E3070" s="73"/>
      <c r="F3070" s="73"/>
      <c r="G3070" s="73"/>
    </row>
    <row r="3071" spans="2:7" ht="32.25" customHeight="1" x14ac:dyDescent="0.35">
      <c r="B3071" s="73"/>
      <c r="C3071" s="73"/>
      <c r="D3071" s="73"/>
      <c r="E3071" s="73"/>
      <c r="F3071" s="73"/>
      <c r="G3071" s="73"/>
    </row>
    <row r="3072" spans="2:7" ht="32.25" customHeight="1" x14ac:dyDescent="0.35">
      <c r="B3072" s="73"/>
      <c r="C3072" s="73"/>
      <c r="D3072" s="73"/>
      <c r="E3072" s="73"/>
      <c r="F3072" s="73"/>
      <c r="G3072" s="73"/>
    </row>
    <row r="3073" spans="2:7" ht="32.25" customHeight="1" x14ac:dyDescent="0.35">
      <c r="B3073" s="73"/>
      <c r="C3073" s="73"/>
      <c r="D3073" s="73"/>
      <c r="E3073" s="73"/>
      <c r="F3073" s="73"/>
      <c r="G3073" s="73"/>
    </row>
    <row r="3074" spans="2:7" ht="32.25" customHeight="1" x14ac:dyDescent="0.35">
      <c r="B3074" s="73"/>
      <c r="C3074" s="73"/>
      <c r="D3074" s="73"/>
      <c r="E3074" s="73"/>
      <c r="F3074" s="73"/>
      <c r="G3074" s="73"/>
    </row>
    <row r="3075" spans="2:7" ht="32.25" customHeight="1" x14ac:dyDescent="0.35">
      <c r="B3075" s="73"/>
      <c r="C3075" s="73"/>
      <c r="D3075" s="73"/>
      <c r="E3075" s="73"/>
      <c r="F3075" s="73"/>
      <c r="G3075" s="73"/>
    </row>
    <row r="3076" spans="2:7" ht="32.25" customHeight="1" x14ac:dyDescent="0.35">
      <c r="B3076" s="73"/>
      <c r="C3076" s="73"/>
      <c r="D3076" s="73"/>
      <c r="E3076" s="73"/>
      <c r="F3076" s="73"/>
      <c r="G3076" s="73"/>
    </row>
    <row r="3077" spans="2:7" ht="32.25" customHeight="1" x14ac:dyDescent="0.35">
      <c r="B3077" s="73"/>
      <c r="C3077" s="73"/>
      <c r="D3077" s="73"/>
      <c r="E3077" s="73"/>
      <c r="F3077" s="73"/>
      <c r="G3077" s="73"/>
    </row>
    <row r="3078" spans="2:7" ht="32.25" customHeight="1" x14ac:dyDescent="0.35">
      <c r="B3078" s="73"/>
      <c r="C3078" s="73"/>
      <c r="D3078" s="73"/>
      <c r="E3078" s="73"/>
      <c r="F3078" s="73"/>
      <c r="G3078" s="73"/>
    </row>
    <row r="3079" spans="2:7" ht="32.25" customHeight="1" x14ac:dyDescent="0.35">
      <c r="B3079" s="73"/>
      <c r="C3079" s="73"/>
      <c r="D3079" s="73"/>
      <c r="E3079" s="73"/>
      <c r="F3079" s="73"/>
      <c r="G3079" s="73"/>
    </row>
    <row r="3080" spans="2:7" ht="32.25" customHeight="1" x14ac:dyDescent="0.35">
      <c r="B3080" s="73"/>
      <c r="C3080" s="73"/>
      <c r="D3080" s="73"/>
      <c r="E3080" s="73"/>
      <c r="F3080" s="73"/>
      <c r="G3080" s="73"/>
    </row>
    <row r="3081" spans="2:7" ht="32.25" customHeight="1" x14ac:dyDescent="0.35">
      <c r="B3081" s="73"/>
      <c r="C3081" s="73"/>
      <c r="D3081" s="73"/>
      <c r="E3081" s="73"/>
      <c r="F3081" s="73"/>
      <c r="G3081" s="73"/>
    </row>
    <row r="3082" spans="2:7" ht="32.25" customHeight="1" x14ac:dyDescent="0.35">
      <c r="B3082" s="73"/>
      <c r="C3082" s="73"/>
      <c r="D3082" s="73"/>
      <c r="E3082" s="73"/>
      <c r="F3082" s="73"/>
      <c r="G3082" s="73"/>
    </row>
    <row r="3083" spans="2:7" ht="32.25" customHeight="1" x14ac:dyDescent="0.35">
      <c r="B3083" s="73"/>
      <c r="C3083" s="73"/>
      <c r="D3083" s="73"/>
      <c r="E3083" s="73"/>
      <c r="F3083" s="73"/>
      <c r="G3083" s="73"/>
    </row>
    <row r="3084" spans="2:7" ht="32.25" customHeight="1" x14ac:dyDescent="0.35">
      <c r="B3084" s="73"/>
      <c r="C3084" s="73"/>
      <c r="D3084" s="73"/>
      <c r="E3084" s="73"/>
      <c r="F3084" s="73"/>
      <c r="G3084" s="73"/>
    </row>
    <row r="3085" spans="2:7" ht="32.25" customHeight="1" x14ac:dyDescent="0.35">
      <c r="B3085" s="73"/>
      <c r="C3085" s="73"/>
      <c r="D3085" s="73"/>
      <c r="E3085" s="73"/>
      <c r="F3085" s="73"/>
      <c r="G3085" s="73"/>
    </row>
    <row r="3086" spans="2:7" ht="32.25" customHeight="1" x14ac:dyDescent="0.35">
      <c r="B3086" s="73"/>
      <c r="C3086" s="73"/>
      <c r="D3086" s="73"/>
      <c r="E3086" s="73"/>
      <c r="F3086" s="73"/>
      <c r="G3086" s="73"/>
    </row>
    <row r="3087" spans="2:7" ht="32.25" customHeight="1" x14ac:dyDescent="0.35">
      <c r="B3087" s="73"/>
      <c r="C3087" s="73"/>
      <c r="D3087" s="73"/>
      <c r="E3087" s="73"/>
      <c r="F3087" s="73"/>
      <c r="G3087" s="73"/>
    </row>
    <row r="3088" spans="2:7" ht="32.25" customHeight="1" x14ac:dyDescent="0.35">
      <c r="B3088" s="73"/>
      <c r="C3088" s="73"/>
      <c r="D3088" s="73"/>
      <c r="E3088" s="73"/>
      <c r="F3088" s="73"/>
      <c r="G3088" s="73"/>
    </row>
    <row r="3089" spans="2:7" ht="32.25" customHeight="1" x14ac:dyDescent="0.35">
      <c r="B3089" s="73"/>
      <c r="C3089" s="73"/>
      <c r="D3089" s="73"/>
      <c r="E3089" s="73"/>
      <c r="F3089" s="73"/>
      <c r="G3089" s="73"/>
    </row>
    <row r="3090" spans="2:7" ht="32.25" customHeight="1" x14ac:dyDescent="0.35">
      <c r="B3090" s="73"/>
      <c r="C3090" s="73"/>
      <c r="D3090" s="73"/>
      <c r="E3090" s="73"/>
      <c r="F3090" s="73"/>
      <c r="G3090" s="73"/>
    </row>
    <row r="3091" spans="2:7" ht="32.25" customHeight="1" x14ac:dyDescent="0.35">
      <c r="B3091" s="73"/>
      <c r="C3091" s="73"/>
      <c r="D3091" s="73"/>
      <c r="E3091" s="73"/>
      <c r="F3091" s="73"/>
      <c r="G3091" s="73"/>
    </row>
    <row r="3092" spans="2:7" ht="32.25" customHeight="1" x14ac:dyDescent="0.35">
      <c r="B3092" s="73"/>
      <c r="C3092" s="73"/>
      <c r="D3092" s="73"/>
      <c r="E3092" s="73"/>
      <c r="F3092" s="73"/>
      <c r="G3092" s="73"/>
    </row>
    <row r="3093" spans="2:7" ht="32.25" customHeight="1" x14ac:dyDescent="0.35">
      <c r="B3093" s="73"/>
      <c r="C3093" s="73"/>
      <c r="D3093" s="73"/>
      <c r="E3093" s="73"/>
      <c r="F3093" s="73"/>
      <c r="G3093" s="73"/>
    </row>
    <row r="3094" spans="2:7" ht="32.25" customHeight="1" x14ac:dyDescent="0.35">
      <c r="B3094" s="73"/>
      <c r="C3094" s="73"/>
      <c r="D3094" s="73"/>
      <c r="E3094" s="73"/>
      <c r="F3094" s="73"/>
      <c r="G3094" s="73"/>
    </row>
    <row r="3095" spans="2:7" ht="32.25" customHeight="1" x14ac:dyDescent="0.35">
      <c r="B3095" s="73"/>
      <c r="C3095" s="73"/>
      <c r="D3095" s="73"/>
      <c r="E3095" s="73"/>
      <c r="F3095" s="73"/>
      <c r="G3095" s="73"/>
    </row>
    <row r="3096" spans="2:7" ht="32.25" customHeight="1" x14ac:dyDescent="0.35">
      <c r="B3096" s="73"/>
      <c r="C3096" s="73"/>
      <c r="D3096" s="73"/>
      <c r="E3096" s="73"/>
      <c r="F3096" s="73"/>
      <c r="G3096" s="73"/>
    </row>
    <row r="3097" spans="2:7" ht="32.25" customHeight="1" x14ac:dyDescent="0.35">
      <c r="B3097" s="73"/>
      <c r="C3097" s="73"/>
      <c r="D3097" s="73"/>
      <c r="E3097" s="73"/>
      <c r="F3097" s="73"/>
      <c r="G3097" s="73"/>
    </row>
    <row r="3098" spans="2:7" ht="32.25" customHeight="1" x14ac:dyDescent="0.35">
      <c r="B3098" s="73"/>
      <c r="C3098" s="73"/>
      <c r="D3098" s="73"/>
      <c r="E3098" s="73"/>
      <c r="F3098" s="73"/>
      <c r="G3098" s="73"/>
    </row>
    <row r="3099" spans="2:7" ht="32.25" customHeight="1" x14ac:dyDescent="0.35">
      <c r="B3099" s="73"/>
      <c r="C3099" s="73"/>
      <c r="D3099" s="73"/>
      <c r="E3099" s="73"/>
      <c r="F3099" s="73"/>
      <c r="G3099" s="73"/>
    </row>
    <row r="3100" spans="2:7" ht="32.25" customHeight="1" x14ac:dyDescent="0.35">
      <c r="B3100" s="73"/>
      <c r="C3100" s="73"/>
      <c r="D3100" s="73"/>
      <c r="E3100" s="73"/>
      <c r="F3100" s="73"/>
      <c r="G3100" s="73"/>
    </row>
    <row r="3101" spans="2:7" ht="32.25" customHeight="1" x14ac:dyDescent="0.35">
      <c r="B3101" s="73"/>
      <c r="C3101" s="73"/>
      <c r="D3101" s="73"/>
      <c r="E3101" s="73"/>
      <c r="F3101" s="73"/>
      <c r="G3101" s="73"/>
    </row>
    <row r="3102" spans="2:7" ht="32.25" customHeight="1" x14ac:dyDescent="0.35">
      <c r="B3102" s="73"/>
      <c r="C3102" s="73"/>
      <c r="D3102" s="73"/>
      <c r="E3102" s="73"/>
      <c r="F3102" s="73"/>
      <c r="G3102" s="73"/>
    </row>
    <row r="3103" spans="2:7" ht="32.25" customHeight="1" x14ac:dyDescent="0.35">
      <c r="B3103" s="73"/>
      <c r="C3103" s="73"/>
      <c r="D3103" s="73"/>
      <c r="E3103" s="73"/>
      <c r="F3103" s="73"/>
      <c r="G3103" s="73"/>
    </row>
    <row r="3104" spans="2:7" ht="32.25" customHeight="1" x14ac:dyDescent="0.35">
      <c r="B3104" s="73"/>
      <c r="C3104" s="73"/>
      <c r="D3104" s="73"/>
      <c r="E3104" s="73"/>
      <c r="F3104" s="73"/>
      <c r="G3104" s="73"/>
    </row>
    <row r="3105" spans="2:7" ht="32.25" customHeight="1" x14ac:dyDescent="0.35">
      <c r="B3105" s="73"/>
      <c r="C3105" s="73"/>
      <c r="D3105" s="73"/>
      <c r="E3105" s="73"/>
      <c r="F3105" s="73"/>
      <c r="G3105" s="73"/>
    </row>
    <row r="3106" spans="2:7" ht="32.25" customHeight="1" x14ac:dyDescent="0.35">
      <c r="B3106" s="73"/>
      <c r="C3106" s="73"/>
      <c r="D3106" s="73"/>
      <c r="E3106" s="73"/>
      <c r="F3106" s="73"/>
      <c r="G3106" s="73"/>
    </row>
    <row r="3107" spans="2:7" ht="32.25" customHeight="1" x14ac:dyDescent="0.35">
      <c r="B3107" s="73"/>
      <c r="C3107" s="73"/>
      <c r="D3107" s="73"/>
      <c r="E3107" s="73"/>
      <c r="F3107" s="73"/>
      <c r="G3107" s="73"/>
    </row>
    <row r="3108" spans="2:7" ht="32.25" customHeight="1" x14ac:dyDescent="0.35">
      <c r="B3108" s="73"/>
      <c r="C3108" s="73"/>
      <c r="D3108" s="73"/>
      <c r="E3108" s="73"/>
      <c r="F3108" s="73"/>
      <c r="G3108" s="73"/>
    </row>
    <row r="3109" spans="2:7" ht="32.25" customHeight="1" x14ac:dyDescent="0.35">
      <c r="B3109" s="73"/>
      <c r="C3109" s="73"/>
      <c r="D3109" s="73"/>
      <c r="E3109" s="73"/>
      <c r="F3109" s="73"/>
      <c r="G3109" s="73"/>
    </row>
    <row r="3110" spans="2:7" ht="32.25" customHeight="1" x14ac:dyDescent="0.35">
      <c r="B3110" s="73"/>
      <c r="C3110" s="73"/>
      <c r="D3110" s="73"/>
      <c r="E3110" s="73"/>
      <c r="F3110" s="73"/>
      <c r="G3110" s="73"/>
    </row>
    <row r="3111" spans="2:7" ht="32.25" customHeight="1" x14ac:dyDescent="0.35">
      <c r="B3111" s="73"/>
      <c r="C3111" s="73"/>
      <c r="D3111" s="73"/>
      <c r="E3111" s="73"/>
      <c r="F3111" s="73"/>
      <c r="G3111" s="73"/>
    </row>
    <row r="3112" spans="2:7" ht="32.25" customHeight="1" x14ac:dyDescent="0.35">
      <c r="B3112" s="73"/>
      <c r="C3112" s="73"/>
      <c r="D3112" s="73"/>
      <c r="E3112" s="73"/>
      <c r="F3112" s="73"/>
      <c r="G3112" s="73"/>
    </row>
    <row r="3113" spans="2:7" ht="32.25" customHeight="1" x14ac:dyDescent="0.35">
      <c r="B3113" s="73"/>
      <c r="C3113" s="73"/>
      <c r="D3113" s="73"/>
      <c r="E3113" s="73"/>
      <c r="F3113" s="73"/>
      <c r="G3113" s="73"/>
    </row>
    <row r="3114" spans="2:7" ht="32.25" customHeight="1" x14ac:dyDescent="0.35">
      <c r="B3114" s="73"/>
      <c r="C3114" s="73"/>
      <c r="D3114" s="73"/>
      <c r="E3114" s="73"/>
      <c r="F3114" s="73"/>
      <c r="G3114" s="73"/>
    </row>
    <row r="3115" spans="2:7" ht="32.25" customHeight="1" x14ac:dyDescent="0.35">
      <c r="B3115" s="73"/>
      <c r="C3115" s="73"/>
      <c r="D3115" s="73"/>
      <c r="E3115" s="73"/>
      <c r="F3115" s="73"/>
      <c r="G3115" s="73"/>
    </row>
    <row r="3116" spans="2:7" ht="32.25" customHeight="1" x14ac:dyDescent="0.35">
      <c r="B3116" s="73"/>
      <c r="C3116" s="73"/>
      <c r="D3116" s="73"/>
      <c r="E3116" s="73"/>
      <c r="F3116" s="73"/>
      <c r="G3116" s="73"/>
    </row>
    <row r="3117" spans="2:7" ht="32.25" customHeight="1" x14ac:dyDescent="0.35">
      <c r="B3117" s="73"/>
      <c r="C3117" s="73"/>
      <c r="D3117" s="73"/>
      <c r="E3117" s="73"/>
      <c r="F3117" s="73"/>
      <c r="G3117" s="73"/>
    </row>
    <row r="3118" spans="2:7" ht="32.25" customHeight="1" x14ac:dyDescent="0.35">
      <c r="B3118" s="73"/>
      <c r="C3118" s="73"/>
      <c r="D3118" s="73"/>
      <c r="E3118" s="73"/>
      <c r="F3118" s="73"/>
      <c r="G3118" s="73"/>
    </row>
    <row r="3119" spans="2:7" ht="32.25" customHeight="1" x14ac:dyDescent="0.35">
      <c r="B3119" s="73"/>
      <c r="C3119" s="73"/>
      <c r="D3119" s="73"/>
      <c r="E3119" s="73"/>
      <c r="F3119" s="73"/>
      <c r="G3119" s="73"/>
    </row>
    <row r="3120" spans="2:7" ht="32.25" customHeight="1" x14ac:dyDescent="0.35">
      <c r="B3120" s="73"/>
      <c r="C3120" s="73"/>
      <c r="D3120" s="73"/>
      <c r="E3120" s="73"/>
      <c r="F3120" s="73"/>
      <c r="G3120" s="73"/>
    </row>
    <row r="3121" spans="2:7" ht="32.25" customHeight="1" x14ac:dyDescent="0.35">
      <c r="B3121" s="73"/>
      <c r="C3121" s="73"/>
      <c r="D3121" s="73"/>
      <c r="E3121" s="73"/>
      <c r="F3121" s="73"/>
      <c r="G3121" s="73"/>
    </row>
    <row r="3122" spans="2:7" ht="32.25" customHeight="1" x14ac:dyDescent="0.35">
      <c r="B3122" s="73"/>
      <c r="C3122" s="73"/>
      <c r="D3122" s="73"/>
      <c r="E3122" s="73"/>
      <c r="F3122" s="73"/>
      <c r="G3122" s="73"/>
    </row>
    <row r="3123" spans="2:7" ht="32.25" customHeight="1" x14ac:dyDescent="0.35">
      <c r="B3123" s="73"/>
      <c r="C3123" s="73"/>
      <c r="D3123" s="73"/>
      <c r="E3123" s="73"/>
      <c r="F3123" s="73"/>
      <c r="G3123" s="73"/>
    </row>
    <row r="3124" spans="2:7" ht="32.25" customHeight="1" x14ac:dyDescent="0.35">
      <c r="B3124" s="73"/>
      <c r="C3124" s="73"/>
      <c r="D3124" s="73"/>
      <c r="E3124" s="73"/>
      <c r="F3124" s="73"/>
      <c r="G3124" s="73"/>
    </row>
    <row r="3125" spans="2:7" ht="32.25" customHeight="1" x14ac:dyDescent="0.35">
      <c r="B3125" s="73"/>
      <c r="C3125" s="73"/>
      <c r="D3125" s="73"/>
      <c r="E3125" s="73"/>
      <c r="F3125" s="73"/>
      <c r="G3125" s="73"/>
    </row>
    <row r="3126" spans="2:7" ht="32.25" customHeight="1" x14ac:dyDescent="0.35">
      <c r="B3126" s="73"/>
      <c r="C3126" s="73"/>
      <c r="D3126" s="73"/>
      <c r="E3126" s="73"/>
      <c r="F3126" s="73"/>
      <c r="G3126" s="73"/>
    </row>
    <row r="3127" spans="2:7" ht="32.25" customHeight="1" x14ac:dyDescent="0.35">
      <c r="B3127" s="73"/>
      <c r="C3127" s="73"/>
      <c r="D3127" s="73"/>
      <c r="E3127" s="73"/>
      <c r="F3127" s="73"/>
      <c r="G3127" s="73"/>
    </row>
    <row r="3128" spans="2:7" ht="32.25" customHeight="1" x14ac:dyDescent="0.35">
      <c r="B3128" s="73"/>
      <c r="C3128" s="73"/>
      <c r="D3128" s="73"/>
      <c r="E3128" s="73"/>
      <c r="F3128" s="73"/>
      <c r="G3128" s="73"/>
    </row>
    <row r="3129" spans="2:7" ht="32.25" customHeight="1" x14ac:dyDescent="0.35">
      <c r="B3129" s="73"/>
      <c r="C3129" s="73"/>
      <c r="D3129" s="73"/>
      <c r="E3129" s="73"/>
      <c r="F3129" s="73"/>
      <c r="G3129" s="73"/>
    </row>
    <row r="3130" spans="2:7" ht="32.25" customHeight="1" x14ac:dyDescent="0.35">
      <c r="B3130" s="73"/>
      <c r="C3130" s="73"/>
      <c r="D3130" s="73"/>
      <c r="E3130" s="73"/>
      <c r="F3130" s="73"/>
      <c r="G3130" s="73"/>
    </row>
    <row r="3131" spans="2:7" ht="32.25" customHeight="1" x14ac:dyDescent="0.35">
      <c r="B3131" s="73"/>
      <c r="C3131" s="73"/>
      <c r="D3131" s="73"/>
      <c r="E3131" s="73"/>
      <c r="F3131" s="73"/>
      <c r="G3131" s="73"/>
    </row>
    <row r="3132" spans="2:7" ht="32.25" customHeight="1" x14ac:dyDescent="0.35">
      <c r="B3132" s="73"/>
      <c r="C3132" s="73"/>
      <c r="D3132" s="73"/>
      <c r="E3132" s="73"/>
      <c r="F3132" s="73"/>
      <c r="G3132" s="73"/>
    </row>
    <row r="3133" spans="2:7" ht="32.25" customHeight="1" x14ac:dyDescent="0.35">
      <c r="B3133" s="73"/>
      <c r="C3133" s="73"/>
      <c r="D3133" s="73"/>
      <c r="E3133" s="73"/>
      <c r="F3133" s="73"/>
      <c r="G3133" s="73"/>
    </row>
    <row r="3134" spans="2:7" ht="32.25" customHeight="1" x14ac:dyDescent="0.35">
      <c r="B3134" s="73"/>
      <c r="C3134" s="73"/>
      <c r="D3134" s="73"/>
      <c r="E3134" s="73"/>
      <c r="F3134" s="73"/>
      <c r="G3134" s="73"/>
    </row>
    <row r="3135" spans="2:7" ht="32.25" customHeight="1" x14ac:dyDescent="0.35">
      <c r="B3135" s="73"/>
      <c r="C3135" s="73"/>
      <c r="D3135" s="73"/>
      <c r="E3135" s="73"/>
      <c r="F3135" s="73"/>
      <c r="G3135" s="73"/>
    </row>
    <row r="3136" spans="2:7" ht="32.25" customHeight="1" x14ac:dyDescent="0.35">
      <c r="B3136" s="73"/>
      <c r="C3136" s="73"/>
      <c r="D3136" s="73"/>
      <c r="E3136" s="73"/>
      <c r="F3136" s="73"/>
      <c r="G3136" s="73"/>
    </row>
    <row r="3137" spans="2:7" ht="32.25" customHeight="1" x14ac:dyDescent="0.35">
      <c r="B3137" s="73"/>
      <c r="C3137" s="73"/>
      <c r="D3137" s="73"/>
      <c r="E3137" s="73"/>
      <c r="F3137" s="73"/>
      <c r="G3137" s="73"/>
    </row>
    <row r="3138" spans="2:7" ht="32.25" customHeight="1" x14ac:dyDescent="0.35">
      <c r="B3138" s="73"/>
      <c r="C3138" s="73"/>
      <c r="D3138" s="73"/>
      <c r="E3138" s="73"/>
      <c r="F3138" s="73"/>
      <c r="G3138" s="73"/>
    </row>
    <row r="3139" spans="2:7" ht="32.25" customHeight="1" x14ac:dyDescent="0.35">
      <c r="B3139" s="73"/>
      <c r="C3139" s="73"/>
      <c r="D3139" s="73"/>
      <c r="E3139" s="73"/>
      <c r="F3139" s="73"/>
      <c r="G3139" s="73"/>
    </row>
    <row r="3140" spans="2:7" ht="32.25" customHeight="1" x14ac:dyDescent="0.35">
      <c r="B3140" s="73"/>
      <c r="C3140" s="73"/>
      <c r="D3140" s="73"/>
      <c r="E3140" s="73"/>
      <c r="F3140" s="73"/>
      <c r="G3140" s="73"/>
    </row>
    <row r="3141" spans="2:7" ht="32.25" customHeight="1" x14ac:dyDescent="0.35">
      <c r="B3141" s="73"/>
      <c r="C3141" s="73"/>
      <c r="D3141" s="73"/>
      <c r="E3141" s="73"/>
      <c r="F3141" s="73"/>
      <c r="G3141" s="73"/>
    </row>
    <row r="3142" spans="2:7" ht="32.25" customHeight="1" x14ac:dyDescent="0.35">
      <c r="B3142" s="73"/>
      <c r="C3142" s="73"/>
      <c r="D3142" s="73"/>
      <c r="E3142" s="73"/>
      <c r="F3142" s="73"/>
      <c r="G3142" s="73"/>
    </row>
    <row r="3143" spans="2:7" ht="32.25" customHeight="1" x14ac:dyDescent="0.35">
      <c r="B3143" s="73"/>
      <c r="C3143" s="73"/>
      <c r="D3143" s="73"/>
      <c r="E3143" s="73"/>
      <c r="F3143" s="73"/>
      <c r="G3143" s="73"/>
    </row>
    <row r="3144" spans="2:7" ht="32.25" customHeight="1" x14ac:dyDescent="0.35">
      <c r="B3144" s="73"/>
      <c r="C3144" s="73"/>
      <c r="D3144" s="73"/>
      <c r="E3144" s="73"/>
      <c r="F3144" s="73"/>
      <c r="G3144" s="73"/>
    </row>
    <row r="3145" spans="2:7" ht="32.25" customHeight="1" x14ac:dyDescent="0.35">
      <c r="B3145" s="73"/>
      <c r="C3145" s="73"/>
      <c r="D3145" s="73"/>
      <c r="E3145" s="73"/>
      <c r="F3145" s="73"/>
      <c r="G3145" s="73"/>
    </row>
    <row r="3146" spans="2:7" ht="32.25" customHeight="1" x14ac:dyDescent="0.35">
      <c r="B3146" s="73"/>
      <c r="C3146" s="73"/>
      <c r="D3146" s="73"/>
      <c r="E3146" s="73"/>
      <c r="F3146" s="73"/>
      <c r="G3146" s="73"/>
    </row>
    <row r="3147" spans="2:7" ht="32.25" customHeight="1" x14ac:dyDescent="0.35">
      <c r="B3147" s="73"/>
      <c r="C3147" s="73"/>
      <c r="D3147" s="73"/>
      <c r="E3147" s="73"/>
      <c r="F3147" s="73"/>
      <c r="G3147" s="73"/>
    </row>
    <row r="3148" spans="2:7" ht="32.25" customHeight="1" x14ac:dyDescent="0.35">
      <c r="B3148" s="73"/>
      <c r="C3148" s="73"/>
      <c r="D3148" s="73"/>
      <c r="E3148" s="73"/>
      <c r="F3148" s="73"/>
      <c r="G3148" s="73"/>
    </row>
    <row r="3149" spans="2:7" ht="32.25" customHeight="1" x14ac:dyDescent="0.35">
      <c r="B3149" s="73"/>
      <c r="C3149" s="73"/>
      <c r="D3149" s="73"/>
      <c r="E3149" s="73"/>
      <c r="F3149" s="73"/>
      <c r="G3149" s="73"/>
    </row>
    <row r="3150" spans="2:7" ht="32.25" customHeight="1" x14ac:dyDescent="0.35">
      <c r="B3150" s="73"/>
      <c r="C3150" s="73"/>
      <c r="D3150" s="73"/>
      <c r="E3150" s="73"/>
      <c r="F3150" s="73"/>
      <c r="G3150" s="73"/>
    </row>
    <row r="3151" spans="2:7" ht="32.25" customHeight="1" x14ac:dyDescent="0.35">
      <c r="B3151" s="73"/>
      <c r="C3151" s="73"/>
      <c r="D3151" s="73"/>
      <c r="E3151" s="73"/>
      <c r="F3151" s="73"/>
      <c r="G3151" s="73"/>
    </row>
    <row r="3152" spans="2:7" ht="32.25" customHeight="1" x14ac:dyDescent="0.35">
      <c r="B3152" s="73"/>
      <c r="C3152" s="73"/>
      <c r="D3152" s="73"/>
      <c r="E3152" s="73"/>
      <c r="F3152" s="73"/>
      <c r="G3152" s="73"/>
    </row>
    <row r="3153" spans="2:7" ht="32.25" customHeight="1" x14ac:dyDescent="0.35">
      <c r="B3153" s="73"/>
      <c r="C3153" s="73"/>
      <c r="D3153" s="73"/>
      <c r="E3153" s="73"/>
      <c r="F3153" s="73"/>
      <c r="G3153" s="73"/>
    </row>
    <row r="3154" spans="2:7" ht="32.25" customHeight="1" x14ac:dyDescent="0.35">
      <c r="B3154" s="73"/>
      <c r="C3154" s="73"/>
      <c r="D3154" s="73"/>
      <c r="E3154" s="73"/>
      <c r="F3154" s="73"/>
      <c r="G3154" s="73"/>
    </row>
    <row r="3155" spans="2:7" ht="32.25" customHeight="1" x14ac:dyDescent="0.35">
      <c r="B3155" s="73"/>
      <c r="C3155" s="73"/>
      <c r="D3155" s="73"/>
      <c r="E3155" s="73"/>
      <c r="F3155" s="73"/>
      <c r="G3155" s="73"/>
    </row>
    <row r="3156" spans="2:7" ht="32.25" customHeight="1" x14ac:dyDescent="0.35">
      <c r="B3156" s="73"/>
      <c r="C3156" s="73"/>
      <c r="D3156" s="73"/>
      <c r="E3156" s="73"/>
      <c r="F3156" s="73"/>
      <c r="G3156" s="73"/>
    </row>
    <row r="3157" spans="2:7" ht="32.25" customHeight="1" x14ac:dyDescent="0.35">
      <c r="B3157" s="73"/>
      <c r="C3157" s="73"/>
      <c r="D3157" s="73"/>
      <c r="E3157" s="73"/>
      <c r="F3157" s="73"/>
      <c r="G3157" s="73"/>
    </row>
    <row r="3158" spans="2:7" ht="32.25" customHeight="1" x14ac:dyDescent="0.35">
      <c r="B3158" s="73"/>
      <c r="C3158" s="73"/>
      <c r="D3158" s="73"/>
      <c r="E3158" s="73"/>
      <c r="F3158" s="73"/>
      <c r="G3158" s="73"/>
    </row>
    <row r="3159" spans="2:7" ht="32.25" customHeight="1" x14ac:dyDescent="0.35">
      <c r="B3159" s="73"/>
      <c r="C3159" s="73"/>
      <c r="D3159" s="73"/>
      <c r="E3159" s="73"/>
      <c r="F3159" s="73"/>
      <c r="G3159" s="73"/>
    </row>
    <row r="3160" spans="2:7" ht="32.25" customHeight="1" x14ac:dyDescent="0.35">
      <c r="B3160" s="73"/>
      <c r="C3160" s="73"/>
      <c r="D3160" s="73"/>
      <c r="E3160" s="73"/>
      <c r="F3160" s="73"/>
      <c r="G3160" s="73"/>
    </row>
    <row r="3161" spans="2:7" ht="32.25" customHeight="1" x14ac:dyDescent="0.35">
      <c r="B3161" s="73"/>
      <c r="C3161" s="73"/>
      <c r="D3161" s="73"/>
      <c r="E3161" s="73"/>
      <c r="F3161" s="73"/>
      <c r="G3161" s="73"/>
    </row>
    <row r="3162" spans="2:7" ht="32.25" customHeight="1" x14ac:dyDescent="0.35">
      <c r="B3162" s="73"/>
      <c r="C3162" s="73"/>
      <c r="D3162" s="73"/>
      <c r="E3162" s="73"/>
      <c r="F3162" s="73"/>
      <c r="G3162" s="73"/>
    </row>
    <row r="3163" spans="2:7" ht="32.25" customHeight="1" x14ac:dyDescent="0.35">
      <c r="B3163" s="73"/>
      <c r="C3163" s="73"/>
      <c r="D3163" s="73"/>
      <c r="E3163" s="73"/>
      <c r="F3163" s="73"/>
      <c r="G3163" s="73"/>
    </row>
    <row r="3164" spans="2:7" ht="32.25" customHeight="1" x14ac:dyDescent="0.35">
      <c r="B3164" s="73"/>
      <c r="C3164" s="73"/>
      <c r="D3164" s="73"/>
      <c r="E3164" s="73"/>
      <c r="F3164" s="73"/>
      <c r="G3164" s="73"/>
    </row>
    <row r="3165" spans="2:7" ht="32.25" customHeight="1" x14ac:dyDescent="0.35">
      <c r="B3165" s="73"/>
      <c r="C3165" s="73"/>
      <c r="D3165" s="73"/>
      <c r="E3165" s="73"/>
      <c r="F3165" s="73"/>
      <c r="G3165" s="73"/>
    </row>
    <row r="3166" spans="2:7" ht="32.25" customHeight="1" x14ac:dyDescent="0.35">
      <c r="B3166" s="73"/>
      <c r="C3166" s="73"/>
      <c r="D3166" s="73"/>
      <c r="E3166" s="73"/>
      <c r="F3166" s="73"/>
      <c r="G3166" s="73"/>
    </row>
    <row r="3167" spans="2:7" ht="32.25" customHeight="1" x14ac:dyDescent="0.35">
      <c r="B3167" s="73"/>
      <c r="C3167" s="73"/>
      <c r="D3167" s="73"/>
      <c r="E3167" s="73"/>
      <c r="F3167" s="73"/>
      <c r="G3167" s="73"/>
    </row>
    <row r="3168" spans="2:7" ht="32.25" customHeight="1" x14ac:dyDescent="0.35">
      <c r="B3168" s="73"/>
      <c r="C3168" s="73"/>
      <c r="D3168" s="73"/>
      <c r="E3168" s="73"/>
      <c r="F3168" s="73"/>
      <c r="G3168" s="73"/>
    </row>
    <row r="3169" spans="2:7" ht="32.25" customHeight="1" x14ac:dyDescent="0.35">
      <c r="B3169" s="73"/>
      <c r="C3169" s="73"/>
      <c r="D3169" s="73"/>
      <c r="E3169" s="73"/>
      <c r="F3169" s="73"/>
      <c r="G3169" s="73"/>
    </row>
    <row r="3170" spans="2:7" ht="32.25" customHeight="1" x14ac:dyDescent="0.35">
      <c r="B3170" s="73"/>
      <c r="C3170" s="73"/>
      <c r="D3170" s="73"/>
      <c r="E3170" s="73"/>
      <c r="F3170" s="73"/>
      <c r="G3170" s="73"/>
    </row>
    <row r="3171" spans="2:7" ht="32.25" customHeight="1" x14ac:dyDescent="0.35">
      <c r="B3171" s="73"/>
      <c r="C3171" s="73"/>
      <c r="D3171" s="73"/>
      <c r="E3171" s="73"/>
      <c r="F3171" s="73"/>
      <c r="G3171" s="73"/>
    </row>
    <row r="3172" spans="2:7" ht="32.25" customHeight="1" x14ac:dyDescent="0.35">
      <c r="B3172" s="73"/>
      <c r="C3172" s="73"/>
      <c r="D3172" s="73"/>
      <c r="E3172" s="73"/>
      <c r="F3172" s="73"/>
      <c r="G3172" s="73"/>
    </row>
    <row r="3173" spans="2:7" ht="32.25" customHeight="1" x14ac:dyDescent="0.35">
      <c r="B3173" s="73"/>
      <c r="C3173" s="73"/>
      <c r="D3173" s="73"/>
      <c r="E3173" s="73"/>
      <c r="F3173" s="73"/>
      <c r="G3173" s="73"/>
    </row>
    <row r="3174" spans="2:7" ht="32.25" customHeight="1" x14ac:dyDescent="0.35">
      <c r="B3174" s="73"/>
      <c r="C3174" s="73"/>
      <c r="D3174" s="73"/>
      <c r="E3174" s="73"/>
      <c r="F3174" s="73"/>
      <c r="G3174" s="73"/>
    </row>
    <row r="3175" spans="2:7" ht="32.25" customHeight="1" x14ac:dyDescent="0.35">
      <c r="B3175" s="73"/>
      <c r="C3175" s="73"/>
      <c r="D3175" s="73"/>
      <c r="E3175" s="73"/>
      <c r="F3175" s="73"/>
      <c r="G3175" s="73"/>
    </row>
    <row r="3176" spans="2:7" ht="32.25" customHeight="1" x14ac:dyDescent="0.35">
      <c r="B3176" s="73"/>
      <c r="C3176" s="73"/>
      <c r="D3176" s="73"/>
      <c r="E3176" s="73"/>
      <c r="F3176" s="73"/>
      <c r="G3176" s="73"/>
    </row>
    <row r="3177" spans="2:7" ht="32.25" customHeight="1" x14ac:dyDescent="0.35">
      <c r="B3177" s="73"/>
      <c r="C3177" s="73"/>
      <c r="D3177" s="73"/>
      <c r="E3177" s="73"/>
      <c r="F3177" s="73"/>
      <c r="G3177" s="73"/>
    </row>
    <row r="3178" spans="2:7" ht="32.25" customHeight="1" x14ac:dyDescent="0.35">
      <c r="B3178" s="73"/>
      <c r="C3178" s="73"/>
      <c r="D3178" s="73"/>
      <c r="E3178" s="73"/>
      <c r="F3178" s="73"/>
      <c r="G3178" s="73"/>
    </row>
    <row r="3179" spans="2:7" ht="32.25" customHeight="1" x14ac:dyDescent="0.35">
      <c r="B3179" s="73"/>
      <c r="C3179" s="73"/>
      <c r="D3179" s="73"/>
      <c r="E3179" s="73"/>
      <c r="F3179" s="73"/>
      <c r="G3179" s="73"/>
    </row>
    <row r="3180" spans="2:7" ht="32.25" customHeight="1" x14ac:dyDescent="0.35">
      <c r="B3180" s="73"/>
      <c r="C3180" s="73"/>
      <c r="D3180" s="73"/>
      <c r="E3180" s="73"/>
      <c r="F3180" s="73"/>
      <c r="G3180" s="73"/>
    </row>
    <row r="3181" spans="2:7" ht="32.25" customHeight="1" x14ac:dyDescent="0.35">
      <c r="B3181" s="73"/>
      <c r="C3181" s="73"/>
      <c r="D3181" s="73"/>
      <c r="E3181" s="73"/>
      <c r="F3181" s="73"/>
      <c r="G3181" s="73"/>
    </row>
    <row r="3182" spans="2:7" ht="32.25" customHeight="1" x14ac:dyDescent="0.35">
      <c r="B3182" s="73"/>
      <c r="C3182" s="73"/>
      <c r="D3182" s="73"/>
      <c r="E3182" s="73"/>
      <c r="F3182" s="73"/>
      <c r="G3182" s="73"/>
    </row>
    <row r="3183" spans="2:7" ht="32.25" customHeight="1" x14ac:dyDescent="0.35">
      <c r="B3183" s="73"/>
      <c r="C3183" s="73"/>
      <c r="D3183" s="73"/>
      <c r="E3183" s="73"/>
      <c r="F3183" s="73"/>
      <c r="G3183" s="73"/>
    </row>
    <row r="3184" spans="2:7" ht="32.25" customHeight="1" x14ac:dyDescent="0.35">
      <c r="B3184" s="73"/>
      <c r="C3184" s="73"/>
      <c r="D3184" s="73"/>
      <c r="E3184" s="73"/>
      <c r="F3184" s="73"/>
      <c r="G3184" s="73"/>
    </row>
    <row r="3185" spans="2:7" ht="32.25" customHeight="1" x14ac:dyDescent="0.35">
      <c r="B3185" s="73"/>
      <c r="C3185" s="73"/>
      <c r="D3185" s="73"/>
      <c r="E3185" s="73"/>
      <c r="F3185" s="73"/>
      <c r="G3185" s="73"/>
    </row>
    <row r="3186" spans="2:7" ht="32.25" customHeight="1" x14ac:dyDescent="0.35">
      <c r="B3186" s="73"/>
      <c r="C3186" s="73"/>
      <c r="D3186" s="73"/>
      <c r="E3186" s="73"/>
      <c r="F3186" s="73"/>
      <c r="G3186" s="73"/>
    </row>
    <row r="3187" spans="2:7" ht="32.25" customHeight="1" x14ac:dyDescent="0.35">
      <c r="B3187" s="73"/>
      <c r="C3187" s="73"/>
      <c r="D3187" s="73"/>
      <c r="E3187" s="73"/>
      <c r="F3187" s="73"/>
      <c r="G3187" s="73"/>
    </row>
    <row r="3188" spans="2:7" ht="32.25" customHeight="1" x14ac:dyDescent="0.35">
      <c r="B3188" s="73"/>
      <c r="C3188" s="73"/>
      <c r="D3188" s="73"/>
      <c r="E3188" s="73"/>
      <c r="F3188" s="73"/>
      <c r="G3188" s="73"/>
    </row>
    <row r="3189" spans="2:7" ht="32.25" customHeight="1" x14ac:dyDescent="0.35">
      <c r="B3189" s="73"/>
      <c r="C3189" s="73"/>
      <c r="D3189" s="73"/>
      <c r="E3189" s="73"/>
      <c r="F3189" s="73"/>
      <c r="G3189" s="73"/>
    </row>
    <row r="3190" spans="2:7" ht="32.25" customHeight="1" x14ac:dyDescent="0.35">
      <c r="B3190" s="73"/>
      <c r="C3190" s="73"/>
      <c r="D3190" s="73"/>
      <c r="E3190" s="73"/>
      <c r="F3190" s="73"/>
      <c r="G3190" s="73"/>
    </row>
    <row r="3191" spans="2:7" ht="32.25" customHeight="1" x14ac:dyDescent="0.35">
      <c r="B3191" s="73"/>
      <c r="C3191" s="73"/>
      <c r="D3191" s="73"/>
      <c r="E3191" s="73"/>
      <c r="F3191" s="73"/>
      <c r="G3191" s="73"/>
    </row>
    <row r="3192" spans="2:7" ht="32.25" customHeight="1" x14ac:dyDescent="0.35">
      <c r="B3192" s="73"/>
      <c r="C3192" s="73"/>
      <c r="D3192" s="73"/>
      <c r="E3192" s="73"/>
      <c r="F3192" s="73"/>
      <c r="G3192" s="73"/>
    </row>
    <row r="3193" spans="2:7" ht="32.25" customHeight="1" x14ac:dyDescent="0.35">
      <c r="B3193" s="73"/>
      <c r="C3193" s="73"/>
      <c r="D3193" s="73"/>
      <c r="E3193" s="73"/>
      <c r="F3193" s="73"/>
      <c r="G3193" s="73"/>
    </row>
    <row r="3194" spans="2:7" ht="32.25" customHeight="1" x14ac:dyDescent="0.35">
      <c r="B3194" s="73"/>
      <c r="C3194" s="73"/>
      <c r="D3194" s="73"/>
      <c r="E3194" s="73"/>
      <c r="F3194" s="73"/>
      <c r="G3194" s="73"/>
    </row>
    <row r="3195" spans="2:7" ht="32.25" customHeight="1" x14ac:dyDescent="0.35">
      <c r="B3195" s="73"/>
      <c r="C3195" s="73"/>
      <c r="D3195" s="73"/>
      <c r="E3195" s="73"/>
      <c r="F3195" s="73"/>
      <c r="G3195" s="73"/>
    </row>
    <row r="3196" spans="2:7" ht="32.25" customHeight="1" x14ac:dyDescent="0.35">
      <c r="B3196" s="73"/>
      <c r="C3196" s="73"/>
      <c r="D3196" s="73"/>
      <c r="E3196" s="73"/>
      <c r="F3196" s="73"/>
      <c r="G3196" s="73"/>
    </row>
    <row r="3197" spans="2:7" ht="32.25" customHeight="1" x14ac:dyDescent="0.35">
      <c r="B3197" s="73"/>
      <c r="C3197" s="73"/>
      <c r="D3197" s="73"/>
      <c r="E3197" s="73"/>
      <c r="F3197" s="73"/>
      <c r="G3197" s="73"/>
    </row>
    <row r="3198" spans="2:7" ht="32.25" customHeight="1" x14ac:dyDescent="0.35">
      <c r="B3198" s="73"/>
      <c r="C3198" s="73"/>
      <c r="D3198" s="73"/>
      <c r="E3198" s="73"/>
      <c r="F3198" s="73"/>
      <c r="G3198" s="73"/>
    </row>
    <row r="3199" spans="2:7" ht="32.25" customHeight="1" x14ac:dyDescent="0.35">
      <c r="B3199" s="73"/>
      <c r="C3199" s="73"/>
      <c r="D3199" s="73"/>
      <c r="E3199" s="73"/>
      <c r="F3199" s="73"/>
      <c r="G3199" s="73"/>
    </row>
    <row r="3200" spans="2:7" ht="32.25" customHeight="1" x14ac:dyDescent="0.35">
      <c r="B3200" s="73"/>
      <c r="C3200" s="73"/>
      <c r="D3200" s="73"/>
      <c r="E3200" s="73"/>
      <c r="F3200" s="73"/>
      <c r="G3200" s="73"/>
    </row>
    <row r="3201" spans="2:7" ht="32.25" customHeight="1" x14ac:dyDescent="0.35">
      <c r="B3201" s="73"/>
      <c r="C3201" s="73"/>
      <c r="D3201" s="73"/>
      <c r="E3201" s="73"/>
      <c r="F3201" s="73"/>
      <c r="G3201" s="73"/>
    </row>
    <row r="3202" spans="2:7" ht="32.25" customHeight="1" x14ac:dyDescent="0.35">
      <c r="B3202" s="73"/>
      <c r="C3202" s="73"/>
      <c r="D3202" s="73"/>
      <c r="E3202" s="73"/>
      <c r="F3202" s="73"/>
      <c r="G3202" s="73"/>
    </row>
    <row r="3203" spans="2:7" ht="32.25" customHeight="1" x14ac:dyDescent="0.35">
      <c r="B3203" s="73"/>
      <c r="C3203" s="73"/>
      <c r="D3203" s="73"/>
      <c r="E3203" s="73"/>
      <c r="F3203" s="73"/>
      <c r="G3203" s="73"/>
    </row>
    <row r="3204" spans="2:7" ht="32.25" customHeight="1" x14ac:dyDescent="0.35">
      <c r="B3204" s="73"/>
      <c r="C3204" s="73"/>
      <c r="D3204" s="73"/>
      <c r="E3204" s="73"/>
      <c r="F3204" s="73"/>
      <c r="G3204" s="73"/>
    </row>
    <row r="3205" spans="2:7" ht="32.25" customHeight="1" x14ac:dyDescent="0.35">
      <c r="B3205" s="73"/>
      <c r="C3205" s="73"/>
      <c r="D3205" s="73"/>
      <c r="E3205" s="73"/>
      <c r="F3205" s="73"/>
      <c r="G3205" s="73"/>
    </row>
    <row r="3206" spans="2:7" ht="32.25" customHeight="1" x14ac:dyDescent="0.35">
      <c r="B3206" s="73"/>
      <c r="C3206" s="73"/>
      <c r="D3206" s="73"/>
      <c r="E3206" s="73"/>
      <c r="F3206" s="73"/>
      <c r="G3206" s="73"/>
    </row>
    <row r="3207" spans="2:7" ht="32.25" customHeight="1" x14ac:dyDescent="0.35">
      <c r="B3207" s="73"/>
      <c r="C3207" s="73"/>
      <c r="D3207" s="73"/>
      <c r="E3207" s="73"/>
      <c r="F3207" s="73"/>
      <c r="G3207" s="73"/>
    </row>
    <row r="3208" spans="2:7" ht="32.25" customHeight="1" x14ac:dyDescent="0.35">
      <c r="B3208" s="73"/>
      <c r="C3208" s="73"/>
      <c r="D3208" s="73"/>
      <c r="E3208" s="73"/>
      <c r="F3208" s="73"/>
      <c r="G3208" s="73"/>
    </row>
    <row r="3209" spans="2:7" ht="32.25" customHeight="1" x14ac:dyDescent="0.35">
      <c r="B3209" s="73"/>
      <c r="C3209" s="73"/>
      <c r="D3209" s="73"/>
      <c r="E3209" s="73"/>
      <c r="F3209" s="73"/>
      <c r="G3209" s="73"/>
    </row>
    <row r="3210" spans="2:7" ht="32.25" customHeight="1" x14ac:dyDescent="0.35">
      <c r="B3210" s="73"/>
      <c r="C3210" s="73"/>
      <c r="D3210" s="73"/>
      <c r="E3210" s="73"/>
      <c r="F3210" s="73"/>
      <c r="G3210" s="73"/>
    </row>
    <row r="3211" spans="2:7" ht="32.25" customHeight="1" x14ac:dyDescent="0.35">
      <c r="B3211" s="73"/>
      <c r="C3211" s="73"/>
      <c r="D3211" s="73"/>
      <c r="E3211" s="73"/>
      <c r="F3211" s="73"/>
      <c r="G3211" s="73"/>
    </row>
    <row r="3212" spans="2:7" ht="32.25" customHeight="1" x14ac:dyDescent="0.35">
      <c r="B3212" s="73"/>
      <c r="C3212" s="73"/>
      <c r="D3212" s="73"/>
      <c r="E3212" s="73"/>
      <c r="F3212" s="73"/>
      <c r="G3212" s="73"/>
    </row>
    <row r="3213" spans="2:7" ht="32.25" customHeight="1" x14ac:dyDescent="0.35">
      <c r="B3213" s="73"/>
      <c r="C3213" s="73"/>
      <c r="D3213" s="73"/>
      <c r="E3213" s="73"/>
      <c r="F3213" s="73"/>
      <c r="G3213" s="73"/>
    </row>
    <row r="3214" spans="2:7" ht="32.25" customHeight="1" x14ac:dyDescent="0.35">
      <c r="B3214" s="73"/>
      <c r="C3214" s="73"/>
      <c r="D3214" s="73"/>
      <c r="E3214" s="73"/>
      <c r="F3214" s="73"/>
      <c r="G3214" s="73"/>
    </row>
    <row r="3215" spans="2:7" ht="32.25" customHeight="1" x14ac:dyDescent="0.35">
      <c r="B3215" s="73"/>
      <c r="C3215" s="73"/>
      <c r="D3215" s="73"/>
      <c r="E3215" s="73"/>
      <c r="F3215" s="73"/>
      <c r="G3215" s="73"/>
    </row>
    <row r="3216" spans="2:7" ht="32.25" customHeight="1" x14ac:dyDescent="0.35">
      <c r="B3216" s="73"/>
      <c r="C3216" s="73"/>
      <c r="D3216" s="73"/>
      <c r="E3216" s="73"/>
      <c r="F3216" s="73"/>
      <c r="G3216" s="73"/>
    </row>
    <row r="3217" spans="2:7" ht="32.25" customHeight="1" x14ac:dyDescent="0.35">
      <c r="B3217" s="73"/>
      <c r="C3217" s="73"/>
      <c r="D3217" s="73"/>
      <c r="E3217" s="73"/>
      <c r="F3217" s="73"/>
      <c r="G3217" s="73"/>
    </row>
    <row r="3218" spans="2:7" ht="32.25" customHeight="1" x14ac:dyDescent="0.35">
      <c r="B3218" s="73"/>
      <c r="C3218" s="73"/>
      <c r="D3218" s="73"/>
      <c r="E3218" s="73"/>
      <c r="F3218" s="73"/>
      <c r="G3218" s="73"/>
    </row>
    <row r="3219" spans="2:7" ht="32.25" customHeight="1" x14ac:dyDescent="0.35">
      <c r="B3219" s="73"/>
      <c r="C3219" s="73"/>
      <c r="D3219" s="73"/>
      <c r="E3219" s="73"/>
      <c r="F3219" s="73"/>
      <c r="G3219" s="73"/>
    </row>
    <row r="3220" spans="2:7" ht="32.25" customHeight="1" x14ac:dyDescent="0.35">
      <c r="B3220" s="73"/>
      <c r="C3220" s="73"/>
      <c r="D3220" s="73"/>
      <c r="E3220" s="73"/>
      <c r="F3220" s="73"/>
      <c r="G3220" s="73"/>
    </row>
    <row r="3221" spans="2:7" ht="32.25" customHeight="1" x14ac:dyDescent="0.35">
      <c r="B3221" s="73"/>
      <c r="C3221" s="73"/>
      <c r="D3221" s="73"/>
      <c r="E3221" s="73"/>
      <c r="F3221" s="73"/>
      <c r="G3221" s="73"/>
    </row>
    <row r="3222" spans="2:7" ht="32.25" customHeight="1" x14ac:dyDescent="0.35">
      <c r="B3222" s="73"/>
      <c r="C3222" s="73"/>
      <c r="D3222" s="73"/>
      <c r="E3222" s="73"/>
      <c r="F3222" s="73"/>
      <c r="G3222" s="73"/>
    </row>
    <row r="3223" spans="2:7" ht="32.25" customHeight="1" x14ac:dyDescent="0.35">
      <c r="B3223" s="73"/>
      <c r="C3223" s="73"/>
      <c r="D3223" s="73"/>
      <c r="E3223" s="73"/>
      <c r="F3223" s="73"/>
      <c r="G3223" s="73"/>
    </row>
    <row r="3224" spans="2:7" ht="32.25" customHeight="1" x14ac:dyDescent="0.35">
      <c r="B3224" s="73"/>
      <c r="C3224" s="73"/>
      <c r="D3224" s="73"/>
      <c r="E3224" s="73"/>
      <c r="F3224" s="73"/>
      <c r="G3224" s="73"/>
    </row>
    <row r="3225" spans="2:7" ht="32.25" customHeight="1" x14ac:dyDescent="0.35">
      <c r="B3225" s="73"/>
      <c r="C3225" s="73"/>
      <c r="D3225" s="73"/>
      <c r="E3225" s="73"/>
      <c r="F3225" s="73"/>
      <c r="G3225" s="73"/>
    </row>
    <row r="3226" spans="2:7" ht="32.25" customHeight="1" x14ac:dyDescent="0.35">
      <c r="B3226" s="73"/>
      <c r="C3226" s="73"/>
      <c r="D3226" s="73"/>
      <c r="E3226" s="73"/>
      <c r="F3226" s="73"/>
      <c r="G3226" s="73"/>
    </row>
    <row r="3227" spans="2:7" ht="32.25" customHeight="1" x14ac:dyDescent="0.35">
      <c r="B3227" s="73"/>
      <c r="C3227" s="73"/>
      <c r="D3227" s="73"/>
      <c r="E3227" s="73"/>
      <c r="F3227" s="73"/>
      <c r="G3227" s="73"/>
    </row>
    <row r="3228" spans="2:7" ht="32.25" customHeight="1" x14ac:dyDescent="0.35">
      <c r="B3228" s="73"/>
      <c r="C3228" s="73"/>
      <c r="D3228" s="73"/>
      <c r="E3228" s="73"/>
      <c r="F3228" s="73"/>
      <c r="G3228" s="73"/>
    </row>
    <row r="3229" spans="2:7" ht="32.25" customHeight="1" x14ac:dyDescent="0.35">
      <c r="B3229" s="73"/>
      <c r="C3229" s="73"/>
      <c r="D3229" s="73"/>
      <c r="E3229" s="73"/>
      <c r="F3229" s="73"/>
      <c r="G3229" s="73"/>
    </row>
    <row r="3230" spans="2:7" ht="32.25" customHeight="1" x14ac:dyDescent="0.35">
      <c r="B3230" s="73"/>
      <c r="C3230" s="73"/>
      <c r="D3230" s="73"/>
      <c r="E3230" s="73"/>
      <c r="F3230" s="73"/>
      <c r="G3230" s="73"/>
    </row>
    <row r="3231" spans="2:7" ht="32.25" customHeight="1" x14ac:dyDescent="0.35">
      <c r="B3231" s="73"/>
      <c r="C3231" s="73"/>
      <c r="D3231" s="73"/>
      <c r="E3231" s="73"/>
      <c r="F3231" s="73"/>
      <c r="G3231" s="73"/>
    </row>
    <row r="3232" spans="2:7" ht="32.25" customHeight="1" x14ac:dyDescent="0.35">
      <c r="B3232" s="73"/>
      <c r="C3232" s="73"/>
      <c r="D3232" s="73"/>
      <c r="E3232" s="73"/>
      <c r="F3232" s="73"/>
      <c r="G3232" s="73"/>
    </row>
    <row r="3233" spans="2:7" ht="32.25" customHeight="1" x14ac:dyDescent="0.35">
      <c r="B3233" s="73"/>
      <c r="C3233" s="73"/>
      <c r="D3233" s="73"/>
      <c r="E3233" s="73"/>
      <c r="F3233" s="73"/>
      <c r="G3233" s="73"/>
    </row>
    <row r="3234" spans="2:7" ht="32.25" customHeight="1" x14ac:dyDescent="0.35">
      <c r="B3234" s="73"/>
      <c r="C3234" s="73"/>
      <c r="D3234" s="73"/>
      <c r="E3234" s="73"/>
      <c r="F3234" s="73"/>
      <c r="G3234" s="73"/>
    </row>
    <row r="3235" spans="2:7" ht="32.25" customHeight="1" x14ac:dyDescent="0.35">
      <c r="B3235" s="73"/>
      <c r="C3235" s="73"/>
      <c r="D3235" s="73"/>
      <c r="E3235" s="73"/>
      <c r="F3235" s="73"/>
      <c r="G3235" s="73"/>
    </row>
    <row r="3236" spans="2:7" ht="32.25" customHeight="1" x14ac:dyDescent="0.35">
      <c r="B3236" s="73"/>
      <c r="C3236" s="73"/>
      <c r="D3236" s="73"/>
      <c r="E3236" s="73"/>
      <c r="F3236" s="73"/>
      <c r="G3236" s="73"/>
    </row>
    <row r="3237" spans="2:7" ht="32.25" customHeight="1" x14ac:dyDescent="0.35">
      <c r="B3237" s="73"/>
      <c r="C3237" s="73"/>
      <c r="D3237" s="73"/>
      <c r="E3237" s="73"/>
      <c r="F3237" s="73"/>
      <c r="G3237" s="73"/>
    </row>
    <row r="3238" spans="2:7" ht="32.25" customHeight="1" x14ac:dyDescent="0.35">
      <c r="B3238" s="73"/>
      <c r="C3238" s="73"/>
      <c r="D3238" s="73"/>
      <c r="E3238" s="73"/>
      <c r="F3238" s="73"/>
      <c r="G3238" s="73"/>
    </row>
    <row r="3239" spans="2:7" ht="32.25" customHeight="1" x14ac:dyDescent="0.35">
      <c r="B3239" s="73"/>
      <c r="C3239" s="73"/>
      <c r="D3239" s="73"/>
      <c r="E3239" s="73"/>
      <c r="F3239" s="73"/>
      <c r="G3239" s="73"/>
    </row>
    <row r="3240" spans="2:7" ht="32.25" customHeight="1" x14ac:dyDescent="0.35">
      <c r="B3240" s="73"/>
      <c r="C3240" s="73"/>
      <c r="D3240" s="73"/>
      <c r="E3240" s="73"/>
      <c r="F3240" s="73"/>
      <c r="G3240" s="73"/>
    </row>
    <row r="3241" spans="2:7" ht="32.25" customHeight="1" x14ac:dyDescent="0.35">
      <c r="B3241" s="73"/>
      <c r="C3241" s="73"/>
      <c r="D3241" s="73"/>
      <c r="E3241" s="73"/>
      <c r="F3241" s="73"/>
      <c r="G3241" s="73"/>
    </row>
    <row r="3242" spans="2:7" ht="32.25" customHeight="1" x14ac:dyDescent="0.35">
      <c r="B3242" s="73"/>
      <c r="C3242" s="73"/>
      <c r="D3242" s="73"/>
      <c r="E3242" s="73"/>
      <c r="F3242" s="73"/>
      <c r="G3242" s="73"/>
    </row>
    <row r="3243" spans="2:7" ht="32.25" customHeight="1" x14ac:dyDescent="0.35">
      <c r="B3243" s="73"/>
      <c r="C3243" s="73"/>
      <c r="D3243" s="73"/>
      <c r="E3243" s="73"/>
      <c r="F3243" s="73"/>
      <c r="G3243" s="73"/>
    </row>
    <row r="3244" spans="2:7" ht="32.25" customHeight="1" x14ac:dyDescent="0.35">
      <c r="B3244" s="73"/>
      <c r="C3244" s="73"/>
      <c r="D3244" s="73"/>
      <c r="E3244" s="73"/>
      <c r="F3244" s="73"/>
      <c r="G3244" s="73"/>
    </row>
    <row r="3245" spans="2:7" ht="32.25" customHeight="1" x14ac:dyDescent="0.35">
      <c r="B3245" s="73"/>
      <c r="C3245" s="73"/>
      <c r="D3245" s="73"/>
      <c r="E3245" s="73"/>
      <c r="F3245" s="73"/>
      <c r="G3245" s="73"/>
    </row>
    <row r="3246" spans="2:7" ht="32.25" customHeight="1" x14ac:dyDescent="0.35">
      <c r="B3246" s="73"/>
      <c r="C3246" s="73"/>
      <c r="D3246" s="73"/>
      <c r="E3246" s="73"/>
      <c r="F3246" s="73"/>
      <c r="G3246" s="73"/>
    </row>
    <row r="3247" spans="2:7" ht="32.25" customHeight="1" x14ac:dyDescent="0.35">
      <c r="B3247" s="73"/>
      <c r="C3247" s="73"/>
      <c r="D3247" s="73"/>
      <c r="E3247" s="73"/>
      <c r="F3247" s="73"/>
      <c r="G3247" s="73"/>
    </row>
    <row r="3248" spans="2:7" ht="32.25" customHeight="1" x14ac:dyDescent="0.35">
      <c r="B3248" s="73"/>
      <c r="C3248" s="73"/>
      <c r="D3248" s="73"/>
      <c r="E3248" s="73"/>
      <c r="F3248" s="73"/>
      <c r="G3248" s="73"/>
    </row>
    <row r="3249" spans="2:7" ht="32.25" customHeight="1" x14ac:dyDescent="0.35">
      <c r="B3249" s="73"/>
      <c r="C3249" s="73"/>
      <c r="D3249" s="73"/>
      <c r="E3249" s="73"/>
      <c r="F3249" s="73"/>
      <c r="G3249" s="73"/>
    </row>
    <row r="3250" spans="2:7" ht="32.25" customHeight="1" x14ac:dyDescent="0.35">
      <c r="B3250" s="73"/>
      <c r="C3250" s="73"/>
      <c r="D3250" s="73"/>
      <c r="E3250" s="73"/>
      <c r="F3250" s="73"/>
      <c r="G3250" s="73"/>
    </row>
    <row r="3251" spans="2:7" ht="32.25" customHeight="1" x14ac:dyDescent="0.35">
      <c r="B3251" s="73"/>
      <c r="C3251" s="73"/>
      <c r="D3251" s="73"/>
      <c r="E3251" s="73"/>
      <c r="F3251" s="73"/>
      <c r="G3251" s="73"/>
    </row>
    <row r="3252" spans="2:7" ht="32.25" customHeight="1" x14ac:dyDescent="0.35">
      <c r="B3252" s="73"/>
      <c r="C3252" s="73"/>
      <c r="D3252" s="73"/>
      <c r="E3252" s="73"/>
      <c r="F3252" s="73"/>
      <c r="G3252" s="73"/>
    </row>
    <row r="3253" spans="2:7" ht="32.25" customHeight="1" x14ac:dyDescent="0.35">
      <c r="B3253" s="73"/>
      <c r="C3253" s="73"/>
      <c r="D3253" s="73"/>
      <c r="E3253" s="73"/>
      <c r="F3253" s="73"/>
      <c r="G3253" s="73"/>
    </row>
    <row r="3254" spans="2:7" ht="32.25" customHeight="1" x14ac:dyDescent="0.35">
      <c r="B3254" s="73"/>
      <c r="C3254" s="73"/>
      <c r="D3254" s="73"/>
      <c r="E3254" s="73"/>
      <c r="F3254" s="73"/>
      <c r="G3254" s="73"/>
    </row>
    <row r="3255" spans="2:7" ht="32.25" customHeight="1" x14ac:dyDescent="0.35">
      <c r="B3255" s="73"/>
      <c r="C3255" s="73"/>
      <c r="D3255" s="73"/>
      <c r="E3255" s="73"/>
      <c r="F3255" s="73"/>
      <c r="G3255" s="73"/>
    </row>
    <row r="3256" spans="2:7" ht="32.25" customHeight="1" x14ac:dyDescent="0.35">
      <c r="B3256" s="73"/>
      <c r="C3256" s="73"/>
      <c r="D3256" s="73"/>
      <c r="E3256" s="73"/>
      <c r="F3256" s="73"/>
      <c r="G3256" s="73"/>
    </row>
    <row r="3257" spans="2:7" ht="32.25" customHeight="1" x14ac:dyDescent="0.35">
      <c r="B3257" s="73"/>
      <c r="C3257" s="73"/>
      <c r="D3257" s="73"/>
      <c r="E3257" s="73"/>
      <c r="F3257" s="73"/>
      <c r="G3257" s="73"/>
    </row>
    <row r="3258" spans="2:7" ht="32.25" customHeight="1" x14ac:dyDescent="0.35">
      <c r="B3258" s="73"/>
      <c r="C3258" s="73"/>
      <c r="D3258" s="73"/>
      <c r="E3258" s="73"/>
      <c r="F3258" s="73"/>
      <c r="G3258" s="73"/>
    </row>
    <row r="3259" spans="2:7" ht="32.25" customHeight="1" x14ac:dyDescent="0.35">
      <c r="B3259" s="73"/>
      <c r="C3259" s="73"/>
      <c r="D3259" s="73"/>
      <c r="E3259" s="73"/>
      <c r="F3259" s="73"/>
      <c r="G3259" s="73"/>
    </row>
    <row r="3260" spans="2:7" ht="32.25" customHeight="1" x14ac:dyDescent="0.35">
      <c r="B3260" s="73"/>
      <c r="C3260" s="73"/>
      <c r="D3260" s="73"/>
      <c r="E3260" s="73"/>
      <c r="F3260" s="73"/>
      <c r="G3260" s="73"/>
    </row>
    <row r="3261" spans="2:7" ht="32.25" customHeight="1" x14ac:dyDescent="0.35">
      <c r="B3261" s="73"/>
      <c r="C3261" s="73"/>
      <c r="D3261" s="73"/>
      <c r="E3261" s="73"/>
      <c r="F3261" s="73"/>
      <c r="G3261" s="73"/>
    </row>
    <row r="3262" spans="2:7" ht="32.25" customHeight="1" x14ac:dyDescent="0.35">
      <c r="B3262" s="73"/>
      <c r="C3262" s="73"/>
      <c r="D3262" s="73"/>
      <c r="E3262" s="73"/>
      <c r="F3262" s="73"/>
      <c r="G3262" s="73"/>
    </row>
    <row r="3263" spans="2:7" ht="32.25" customHeight="1" x14ac:dyDescent="0.35">
      <c r="B3263" s="73"/>
      <c r="C3263" s="73"/>
      <c r="D3263" s="73"/>
      <c r="E3263" s="73"/>
      <c r="F3263" s="73"/>
      <c r="G3263" s="73"/>
    </row>
    <row r="3264" spans="2:7" ht="32.25" customHeight="1" x14ac:dyDescent="0.35">
      <c r="B3264" s="73"/>
      <c r="C3264" s="73"/>
      <c r="D3264" s="73"/>
      <c r="E3264" s="73"/>
      <c r="F3264" s="73"/>
      <c r="G3264" s="73"/>
    </row>
    <row r="3265" spans="2:7" ht="32.25" customHeight="1" x14ac:dyDescent="0.35">
      <c r="B3265" s="73"/>
      <c r="C3265" s="73"/>
      <c r="D3265" s="73"/>
      <c r="E3265" s="73"/>
      <c r="F3265" s="73"/>
      <c r="G3265" s="73"/>
    </row>
    <row r="3266" spans="2:7" ht="32.25" customHeight="1" x14ac:dyDescent="0.35">
      <c r="B3266" s="73"/>
      <c r="C3266" s="73"/>
      <c r="D3266" s="73"/>
      <c r="E3266" s="73"/>
      <c r="F3266" s="73"/>
      <c r="G3266" s="73"/>
    </row>
    <row r="3267" spans="2:7" ht="32.25" customHeight="1" x14ac:dyDescent="0.35">
      <c r="B3267" s="73"/>
      <c r="C3267" s="73"/>
      <c r="D3267" s="73"/>
      <c r="E3267" s="73"/>
      <c r="F3267" s="73"/>
      <c r="G3267" s="73"/>
    </row>
    <row r="3268" spans="2:7" ht="32.25" customHeight="1" x14ac:dyDescent="0.35">
      <c r="B3268" s="73"/>
      <c r="C3268" s="73"/>
      <c r="D3268" s="73"/>
      <c r="E3268" s="73"/>
      <c r="F3268" s="73"/>
      <c r="G3268" s="73"/>
    </row>
    <row r="3269" spans="2:7" ht="32.25" customHeight="1" x14ac:dyDescent="0.35">
      <c r="B3269" s="73"/>
      <c r="C3269" s="73"/>
      <c r="D3269" s="73"/>
      <c r="E3269" s="73"/>
      <c r="F3269" s="73"/>
      <c r="G3269" s="73"/>
    </row>
    <row r="3270" spans="2:7" ht="32.25" customHeight="1" x14ac:dyDescent="0.35">
      <c r="B3270" s="73"/>
      <c r="C3270" s="73"/>
      <c r="D3270" s="73"/>
      <c r="E3270" s="73"/>
      <c r="F3270" s="73"/>
      <c r="G3270" s="73"/>
    </row>
    <row r="3271" spans="2:7" ht="32.25" customHeight="1" x14ac:dyDescent="0.35">
      <c r="B3271" s="73"/>
      <c r="C3271" s="73"/>
      <c r="D3271" s="73"/>
      <c r="E3271" s="73"/>
      <c r="F3271" s="73"/>
      <c r="G3271" s="73"/>
    </row>
    <row r="3272" spans="2:7" ht="32.25" customHeight="1" x14ac:dyDescent="0.35">
      <c r="B3272" s="73"/>
      <c r="C3272" s="73"/>
      <c r="D3272" s="73"/>
      <c r="E3272" s="73"/>
      <c r="F3272" s="73"/>
      <c r="G3272" s="73"/>
    </row>
    <row r="3273" spans="2:7" ht="32.25" customHeight="1" x14ac:dyDescent="0.35">
      <c r="B3273" s="73"/>
      <c r="C3273" s="73"/>
      <c r="D3273" s="73"/>
      <c r="E3273" s="73"/>
      <c r="F3273" s="73"/>
      <c r="G3273" s="73"/>
    </row>
    <row r="3274" spans="2:7" ht="32.25" customHeight="1" x14ac:dyDescent="0.35">
      <c r="B3274" s="73"/>
      <c r="C3274" s="73"/>
      <c r="D3274" s="73"/>
      <c r="E3274" s="73"/>
      <c r="F3274" s="73"/>
      <c r="G3274" s="73"/>
    </row>
    <row r="3275" spans="2:7" ht="32.25" customHeight="1" x14ac:dyDescent="0.35">
      <c r="B3275" s="73"/>
      <c r="C3275" s="73"/>
      <c r="D3275" s="73"/>
      <c r="E3275" s="73"/>
      <c r="F3275" s="73"/>
      <c r="G3275" s="73"/>
    </row>
    <row r="3276" spans="2:7" ht="32.25" customHeight="1" x14ac:dyDescent="0.35">
      <c r="B3276" s="73"/>
      <c r="C3276" s="73"/>
      <c r="D3276" s="73"/>
      <c r="E3276" s="73"/>
      <c r="F3276" s="73"/>
      <c r="G3276" s="73"/>
    </row>
    <row r="3277" spans="2:7" ht="32.25" customHeight="1" x14ac:dyDescent="0.35">
      <c r="B3277" s="73"/>
      <c r="C3277" s="73"/>
      <c r="D3277" s="73"/>
      <c r="E3277" s="73"/>
      <c r="F3277" s="73"/>
      <c r="G3277" s="73"/>
    </row>
    <row r="3278" spans="2:7" ht="32.25" customHeight="1" x14ac:dyDescent="0.35">
      <c r="B3278" s="73"/>
      <c r="C3278" s="73"/>
      <c r="D3278" s="73"/>
      <c r="E3278" s="73"/>
      <c r="F3278" s="73"/>
      <c r="G3278" s="73"/>
    </row>
    <row r="3279" spans="2:7" ht="32.25" customHeight="1" x14ac:dyDescent="0.35">
      <c r="B3279" s="73"/>
      <c r="C3279" s="73"/>
      <c r="D3279" s="73"/>
      <c r="E3279" s="73"/>
      <c r="F3279" s="73"/>
      <c r="G3279" s="73"/>
    </row>
    <row r="3280" spans="2:7" ht="32.25" customHeight="1" x14ac:dyDescent="0.35">
      <c r="B3280" s="73"/>
      <c r="C3280" s="73"/>
      <c r="D3280" s="73"/>
      <c r="E3280" s="73"/>
      <c r="F3280" s="73"/>
      <c r="G3280" s="73"/>
    </row>
    <row r="3281" spans="2:7" ht="32.25" customHeight="1" x14ac:dyDescent="0.35">
      <c r="B3281" s="73"/>
      <c r="C3281" s="73"/>
      <c r="D3281" s="73"/>
      <c r="E3281" s="73"/>
      <c r="F3281" s="73"/>
      <c r="G3281" s="73"/>
    </row>
    <row r="3282" spans="2:7" ht="32.25" customHeight="1" x14ac:dyDescent="0.35">
      <c r="B3282" s="73"/>
      <c r="C3282" s="73"/>
      <c r="D3282" s="73"/>
      <c r="E3282" s="73"/>
      <c r="F3282" s="73"/>
      <c r="G3282" s="73"/>
    </row>
    <row r="3283" spans="2:7" ht="32.25" customHeight="1" x14ac:dyDescent="0.35">
      <c r="B3283" s="73"/>
      <c r="C3283" s="73"/>
      <c r="D3283" s="73"/>
      <c r="E3283" s="73"/>
      <c r="F3283" s="73"/>
      <c r="G3283" s="73"/>
    </row>
    <row r="3284" spans="2:7" ht="32.25" customHeight="1" x14ac:dyDescent="0.35">
      <c r="B3284" s="73"/>
      <c r="C3284" s="73"/>
      <c r="D3284" s="73"/>
      <c r="E3284" s="73"/>
      <c r="F3284" s="73"/>
      <c r="G3284" s="73"/>
    </row>
    <row r="3285" spans="2:7" ht="32.25" customHeight="1" x14ac:dyDescent="0.35">
      <c r="B3285" s="73"/>
      <c r="C3285" s="73"/>
      <c r="D3285" s="73"/>
      <c r="E3285" s="73"/>
      <c r="F3285" s="73"/>
      <c r="G3285" s="73"/>
    </row>
    <row r="3286" spans="2:7" ht="32.25" customHeight="1" x14ac:dyDescent="0.35">
      <c r="B3286" s="73"/>
      <c r="C3286" s="73"/>
      <c r="D3286" s="73"/>
      <c r="E3286" s="73"/>
      <c r="F3286" s="73"/>
      <c r="G3286" s="73"/>
    </row>
    <row r="3287" spans="2:7" ht="32.25" customHeight="1" x14ac:dyDescent="0.35">
      <c r="B3287" s="73"/>
      <c r="C3287" s="73"/>
      <c r="D3287" s="73"/>
      <c r="E3287" s="73"/>
      <c r="F3287" s="73"/>
      <c r="G3287" s="73"/>
    </row>
    <row r="3288" spans="2:7" ht="32.25" customHeight="1" x14ac:dyDescent="0.35">
      <c r="B3288" s="73"/>
      <c r="C3288" s="73"/>
      <c r="D3288" s="73"/>
      <c r="E3288" s="73"/>
      <c r="F3288" s="73"/>
      <c r="G3288" s="73"/>
    </row>
    <row r="3289" spans="2:7" ht="32.25" customHeight="1" x14ac:dyDescent="0.35">
      <c r="B3289" s="73"/>
      <c r="C3289" s="73"/>
      <c r="D3289" s="73"/>
      <c r="E3289" s="73"/>
      <c r="F3289" s="73"/>
      <c r="G3289" s="73"/>
    </row>
    <row r="3290" spans="2:7" ht="32.25" customHeight="1" x14ac:dyDescent="0.35">
      <c r="B3290" s="73"/>
      <c r="C3290" s="73"/>
      <c r="D3290" s="73"/>
      <c r="E3290" s="73"/>
      <c r="F3290" s="73"/>
      <c r="G3290" s="73"/>
    </row>
    <row r="3291" spans="2:7" ht="32.25" customHeight="1" x14ac:dyDescent="0.35">
      <c r="B3291" s="73"/>
      <c r="C3291" s="73"/>
      <c r="D3291" s="73"/>
      <c r="E3291" s="73"/>
      <c r="F3291" s="73"/>
      <c r="G3291" s="73"/>
    </row>
    <row r="3292" spans="2:7" ht="32.25" customHeight="1" x14ac:dyDescent="0.35">
      <c r="B3292" s="73"/>
      <c r="C3292" s="73"/>
      <c r="D3292" s="73"/>
      <c r="E3292" s="73"/>
      <c r="F3292" s="73"/>
      <c r="G3292" s="73"/>
    </row>
    <row r="3293" spans="2:7" ht="32.25" customHeight="1" x14ac:dyDescent="0.35">
      <c r="B3293" s="73"/>
      <c r="C3293" s="73"/>
      <c r="D3293" s="73"/>
      <c r="E3293" s="73"/>
      <c r="F3293" s="73"/>
      <c r="G3293" s="73"/>
    </row>
    <row r="3294" spans="2:7" ht="32.25" customHeight="1" x14ac:dyDescent="0.35">
      <c r="B3294" s="73"/>
      <c r="C3294" s="73"/>
      <c r="D3294" s="73"/>
      <c r="E3294" s="73"/>
      <c r="F3294" s="73"/>
      <c r="G3294" s="73"/>
    </row>
    <row r="3295" spans="2:7" ht="32.25" customHeight="1" x14ac:dyDescent="0.35">
      <c r="B3295" s="73"/>
      <c r="C3295" s="73"/>
      <c r="D3295" s="73"/>
      <c r="E3295" s="73"/>
      <c r="F3295" s="73"/>
      <c r="G3295" s="73"/>
    </row>
    <row r="3296" spans="2:7" ht="32.25" customHeight="1" x14ac:dyDescent="0.35">
      <c r="B3296" s="73"/>
      <c r="C3296" s="73"/>
      <c r="D3296" s="73"/>
      <c r="E3296" s="73"/>
      <c r="F3296" s="73"/>
      <c r="G3296" s="73"/>
    </row>
    <row r="3297" spans="2:7" ht="32.25" customHeight="1" x14ac:dyDescent="0.35">
      <c r="B3297" s="73"/>
      <c r="C3297" s="73"/>
      <c r="D3297" s="73"/>
      <c r="E3297" s="73"/>
      <c r="F3297" s="73"/>
      <c r="G3297" s="73"/>
    </row>
    <row r="3298" spans="2:7" ht="32.25" customHeight="1" x14ac:dyDescent="0.35">
      <c r="B3298" s="73"/>
      <c r="C3298" s="73"/>
      <c r="D3298" s="73"/>
      <c r="E3298" s="73"/>
      <c r="F3298" s="73"/>
      <c r="G3298" s="73"/>
    </row>
    <row r="3299" spans="2:7" ht="32.25" customHeight="1" x14ac:dyDescent="0.35">
      <c r="B3299" s="73"/>
      <c r="C3299" s="73"/>
      <c r="D3299" s="73"/>
      <c r="E3299" s="73"/>
      <c r="F3299" s="73"/>
      <c r="G3299" s="73"/>
    </row>
    <row r="3300" spans="2:7" ht="32.25" customHeight="1" x14ac:dyDescent="0.35">
      <c r="B3300" s="73"/>
      <c r="C3300" s="73"/>
      <c r="D3300" s="73"/>
      <c r="E3300" s="73"/>
      <c r="F3300" s="73"/>
      <c r="G3300" s="73"/>
    </row>
    <row r="3301" spans="2:7" ht="32.25" customHeight="1" x14ac:dyDescent="0.35">
      <c r="B3301" s="73"/>
      <c r="C3301" s="73"/>
      <c r="D3301" s="73"/>
      <c r="E3301" s="73"/>
      <c r="F3301" s="73"/>
      <c r="G3301" s="73"/>
    </row>
    <row r="3302" spans="2:7" ht="32.25" customHeight="1" x14ac:dyDescent="0.35">
      <c r="B3302" s="73"/>
      <c r="C3302" s="73"/>
      <c r="D3302" s="73"/>
      <c r="E3302" s="73"/>
      <c r="F3302" s="73"/>
      <c r="G3302" s="73"/>
    </row>
    <row r="3303" spans="2:7" ht="32.25" customHeight="1" x14ac:dyDescent="0.35">
      <c r="B3303" s="73"/>
      <c r="C3303" s="73"/>
      <c r="D3303" s="73"/>
      <c r="E3303" s="73"/>
      <c r="F3303" s="73"/>
      <c r="G3303" s="73"/>
    </row>
    <row r="3304" spans="2:7" ht="32.25" customHeight="1" x14ac:dyDescent="0.35">
      <c r="B3304" s="73"/>
      <c r="C3304" s="73"/>
      <c r="D3304" s="73"/>
      <c r="E3304" s="73"/>
      <c r="F3304" s="73"/>
      <c r="G3304" s="73"/>
    </row>
    <row r="3305" spans="2:7" ht="32.25" customHeight="1" x14ac:dyDescent="0.35">
      <c r="B3305" s="73"/>
      <c r="C3305" s="73"/>
      <c r="D3305" s="73"/>
      <c r="E3305" s="73"/>
      <c r="F3305" s="73"/>
      <c r="G3305" s="73"/>
    </row>
    <row r="3306" spans="2:7" ht="32.25" customHeight="1" x14ac:dyDescent="0.35">
      <c r="B3306" s="73"/>
      <c r="C3306" s="73"/>
      <c r="D3306" s="73"/>
      <c r="E3306" s="73"/>
      <c r="F3306" s="73"/>
      <c r="G3306" s="73"/>
    </row>
    <row r="3307" spans="2:7" ht="32.25" customHeight="1" x14ac:dyDescent="0.35">
      <c r="B3307" s="73"/>
      <c r="C3307" s="73"/>
      <c r="D3307" s="73"/>
      <c r="E3307" s="73"/>
      <c r="F3307" s="73"/>
      <c r="G3307" s="73"/>
    </row>
    <row r="3308" spans="2:7" ht="32.25" customHeight="1" x14ac:dyDescent="0.35">
      <c r="B3308" s="73"/>
      <c r="C3308" s="73"/>
      <c r="D3308" s="73"/>
      <c r="E3308" s="73"/>
      <c r="F3308" s="73"/>
      <c r="G3308" s="73"/>
    </row>
    <row r="3309" spans="2:7" ht="32.25" customHeight="1" x14ac:dyDescent="0.35">
      <c r="B3309" s="73"/>
      <c r="C3309" s="73"/>
      <c r="D3309" s="73"/>
      <c r="E3309" s="73"/>
      <c r="F3309" s="73"/>
      <c r="G3309" s="73"/>
    </row>
    <row r="3310" spans="2:7" ht="32.25" customHeight="1" x14ac:dyDescent="0.35">
      <c r="B3310" s="73"/>
      <c r="C3310" s="73"/>
      <c r="D3310" s="73"/>
      <c r="E3310" s="73"/>
      <c r="F3310" s="73"/>
      <c r="G3310" s="73"/>
    </row>
    <row r="3311" spans="2:7" ht="32.25" customHeight="1" x14ac:dyDescent="0.35">
      <c r="B3311" s="73"/>
      <c r="C3311" s="73"/>
      <c r="D3311" s="73"/>
      <c r="E3311" s="73"/>
      <c r="F3311" s="73"/>
      <c r="G3311" s="73"/>
    </row>
    <row r="3312" spans="2:7" ht="32.25" customHeight="1" x14ac:dyDescent="0.35">
      <c r="B3312" s="73"/>
      <c r="C3312" s="73"/>
      <c r="D3312" s="73"/>
      <c r="E3312" s="73"/>
      <c r="F3312" s="73"/>
      <c r="G3312" s="73"/>
    </row>
    <row r="3313" spans="2:7" ht="32.25" customHeight="1" x14ac:dyDescent="0.35">
      <c r="B3313" s="73"/>
      <c r="C3313" s="73"/>
      <c r="D3313" s="73"/>
      <c r="E3313" s="73"/>
      <c r="F3313" s="73"/>
      <c r="G3313" s="73"/>
    </row>
    <row r="3314" spans="2:7" ht="32.25" customHeight="1" x14ac:dyDescent="0.35">
      <c r="B3314" s="73"/>
      <c r="C3314" s="73"/>
      <c r="D3314" s="73"/>
      <c r="E3314" s="73"/>
      <c r="F3314" s="73"/>
      <c r="G3314" s="73"/>
    </row>
    <row r="3315" spans="2:7" ht="32.25" customHeight="1" x14ac:dyDescent="0.35">
      <c r="B3315" s="73"/>
      <c r="C3315" s="73"/>
      <c r="D3315" s="73"/>
      <c r="E3315" s="73"/>
      <c r="F3315" s="73"/>
      <c r="G3315" s="73"/>
    </row>
    <row r="3316" spans="2:7" ht="32.25" customHeight="1" x14ac:dyDescent="0.35">
      <c r="B3316" s="73"/>
      <c r="C3316" s="73"/>
      <c r="D3316" s="73"/>
      <c r="E3316" s="73"/>
      <c r="F3316" s="73"/>
      <c r="G3316" s="73"/>
    </row>
    <row r="3317" spans="2:7" ht="32.25" customHeight="1" x14ac:dyDescent="0.35">
      <c r="B3317" s="73"/>
      <c r="C3317" s="73"/>
      <c r="D3317" s="73"/>
      <c r="E3317" s="73"/>
      <c r="F3317" s="73"/>
      <c r="G3317" s="73"/>
    </row>
    <row r="3318" spans="2:7" ht="32.25" customHeight="1" x14ac:dyDescent="0.35">
      <c r="B3318" s="73"/>
      <c r="C3318" s="73"/>
      <c r="D3318" s="73"/>
      <c r="E3318" s="73"/>
      <c r="F3318" s="73"/>
      <c r="G3318" s="73"/>
    </row>
    <row r="3319" spans="2:7" ht="32.25" customHeight="1" x14ac:dyDescent="0.35">
      <c r="B3319" s="73"/>
      <c r="C3319" s="73"/>
      <c r="D3319" s="73"/>
      <c r="E3319" s="73"/>
      <c r="F3319" s="73"/>
      <c r="G3319" s="73"/>
    </row>
    <row r="3320" spans="2:7" ht="32.25" customHeight="1" x14ac:dyDescent="0.35">
      <c r="B3320" s="73"/>
      <c r="C3320" s="73"/>
      <c r="D3320" s="73"/>
      <c r="E3320" s="73"/>
      <c r="F3320" s="73"/>
      <c r="G3320" s="73"/>
    </row>
    <row r="3321" spans="2:7" ht="32.25" customHeight="1" x14ac:dyDescent="0.35">
      <c r="B3321" s="73"/>
      <c r="C3321" s="73"/>
      <c r="D3321" s="73"/>
      <c r="E3321" s="73"/>
      <c r="F3321" s="73"/>
      <c r="G3321" s="73"/>
    </row>
    <row r="3322" spans="2:7" ht="32.25" customHeight="1" x14ac:dyDescent="0.35">
      <c r="B3322" s="73"/>
      <c r="C3322" s="73"/>
      <c r="D3322" s="73"/>
      <c r="E3322" s="73"/>
      <c r="F3322" s="73"/>
      <c r="G3322" s="73"/>
    </row>
    <row r="3323" spans="2:7" ht="32.25" customHeight="1" x14ac:dyDescent="0.35">
      <c r="B3323" s="73"/>
      <c r="C3323" s="73"/>
      <c r="D3323" s="73"/>
      <c r="E3323" s="73"/>
      <c r="F3323" s="73"/>
      <c r="G3323" s="73"/>
    </row>
    <row r="3324" spans="2:7" ht="32.25" customHeight="1" x14ac:dyDescent="0.35">
      <c r="B3324" s="73"/>
      <c r="C3324" s="73"/>
      <c r="D3324" s="73"/>
      <c r="E3324" s="73"/>
      <c r="F3324" s="73"/>
      <c r="G3324" s="73"/>
    </row>
    <row r="3325" spans="2:7" ht="32.25" customHeight="1" x14ac:dyDescent="0.35">
      <c r="B3325" s="73"/>
      <c r="C3325" s="73"/>
      <c r="D3325" s="73"/>
      <c r="E3325" s="73"/>
      <c r="F3325" s="73"/>
      <c r="G3325" s="73"/>
    </row>
    <row r="3326" spans="2:7" ht="32.25" customHeight="1" x14ac:dyDescent="0.35">
      <c r="B3326" s="73"/>
      <c r="C3326" s="73"/>
      <c r="D3326" s="73"/>
      <c r="E3326" s="73"/>
      <c r="F3326" s="73"/>
      <c r="G3326" s="73"/>
    </row>
    <row r="3327" spans="2:7" ht="32.25" customHeight="1" x14ac:dyDescent="0.35">
      <c r="B3327" s="73"/>
      <c r="C3327" s="73"/>
      <c r="D3327" s="73"/>
      <c r="E3327" s="73"/>
      <c r="F3327" s="73"/>
      <c r="G3327" s="73"/>
    </row>
    <row r="3328" spans="2:7" ht="32.25" customHeight="1" x14ac:dyDescent="0.35">
      <c r="B3328" s="73"/>
      <c r="C3328" s="73"/>
      <c r="D3328" s="73"/>
      <c r="E3328" s="73"/>
      <c r="F3328" s="73"/>
      <c r="G3328" s="73"/>
    </row>
    <row r="3329" spans="2:7" ht="32.25" customHeight="1" x14ac:dyDescent="0.35">
      <c r="B3329" s="73"/>
      <c r="C3329" s="73"/>
      <c r="D3329" s="73"/>
      <c r="E3329" s="73"/>
      <c r="F3329" s="73"/>
      <c r="G3329" s="73"/>
    </row>
    <row r="3330" spans="2:7" ht="32.25" customHeight="1" x14ac:dyDescent="0.35">
      <c r="B3330" s="73"/>
      <c r="C3330" s="73"/>
      <c r="D3330" s="73"/>
      <c r="E3330" s="73"/>
      <c r="F3330" s="73"/>
      <c r="G3330" s="73"/>
    </row>
    <row r="3331" spans="2:7" ht="32.25" customHeight="1" x14ac:dyDescent="0.35">
      <c r="B3331" s="73"/>
      <c r="C3331" s="73"/>
      <c r="D3331" s="73"/>
      <c r="E3331" s="73"/>
      <c r="F3331" s="73"/>
      <c r="G3331" s="73"/>
    </row>
    <row r="3332" spans="2:7" ht="32.25" customHeight="1" x14ac:dyDescent="0.35">
      <c r="B3332" s="73"/>
      <c r="C3332" s="73"/>
      <c r="D3332" s="73"/>
      <c r="E3332" s="73"/>
      <c r="F3332" s="73"/>
      <c r="G3332" s="73"/>
    </row>
    <row r="3333" spans="2:7" ht="32.25" customHeight="1" x14ac:dyDescent="0.35">
      <c r="B3333" s="73"/>
      <c r="C3333" s="73"/>
      <c r="D3333" s="73"/>
      <c r="E3333" s="73"/>
      <c r="F3333" s="73"/>
      <c r="G3333" s="73"/>
    </row>
    <row r="3334" spans="2:7" ht="32.25" customHeight="1" x14ac:dyDescent="0.35">
      <c r="B3334" s="73"/>
      <c r="C3334" s="73"/>
      <c r="D3334" s="73"/>
      <c r="E3334" s="73"/>
      <c r="F3334" s="73"/>
      <c r="G3334" s="73"/>
    </row>
    <row r="3335" spans="2:7" ht="32.25" customHeight="1" x14ac:dyDescent="0.35">
      <c r="B3335" s="73"/>
      <c r="C3335" s="73"/>
      <c r="D3335" s="73"/>
      <c r="E3335" s="73"/>
      <c r="F3335" s="73"/>
      <c r="G3335" s="73"/>
    </row>
    <row r="3336" spans="2:7" ht="32.25" customHeight="1" x14ac:dyDescent="0.35">
      <c r="B3336" s="73"/>
      <c r="C3336" s="73"/>
      <c r="D3336" s="73"/>
      <c r="E3336" s="73"/>
      <c r="F3336" s="73"/>
      <c r="G3336" s="73"/>
    </row>
    <row r="3337" spans="2:7" ht="32.25" customHeight="1" x14ac:dyDescent="0.35">
      <c r="B3337" s="73"/>
      <c r="C3337" s="73"/>
      <c r="D3337" s="73"/>
      <c r="E3337" s="73"/>
      <c r="F3337" s="73"/>
      <c r="G3337" s="73"/>
    </row>
    <row r="3338" spans="2:7" ht="32.25" customHeight="1" x14ac:dyDescent="0.35">
      <c r="B3338" s="73"/>
      <c r="C3338" s="73"/>
      <c r="D3338" s="73"/>
      <c r="E3338" s="73"/>
      <c r="F3338" s="73"/>
      <c r="G3338" s="73"/>
    </row>
    <row r="3339" spans="2:7" ht="32.25" customHeight="1" x14ac:dyDescent="0.35">
      <c r="B3339" s="73"/>
      <c r="C3339" s="73"/>
      <c r="D3339" s="73"/>
      <c r="E3339" s="73"/>
      <c r="F3339" s="73"/>
      <c r="G3339" s="73"/>
    </row>
    <row r="3340" spans="2:7" ht="32.25" customHeight="1" x14ac:dyDescent="0.35">
      <c r="B3340" s="73"/>
      <c r="C3340" s="73"/>
      <c r="D3340" s="73"/>
      <c r="E3340" s="73"/>
      <c r="F3340" s="73"/>
      <c r="G3340" s="73"/>
    </row>
    <row r="3341" spans="2:7" ht="32.25" customHeight="1" x14ac:dyDescent="0.35">
      <c r="B3341" s="73"/>
      <c r="C3341" s="73"/>
      <c r="D3341" s="73"/>
      <c r="E3341" s="73"/>
      <c r="F3341" s="73"/>
      <c r="G3341" s="73"/>
    </row>
    <row r="3342" spans="2:7" ht="32.25" customHeight="1" x14ac:dyDescent="0.35">
      <c r="B3342" s="73"/>
      <c r="C3342" s="73"/>
      <c r="D3342" s="73"/>
      <c r="E3342" s="73"/>
      <c r="F3342" s="73"/>
      <c r="G3342" s="73"/>
    </row>
    <row r="3343" spans="2:7" ht="32.25" customHeight="1" x14ac:dyDescent="0.35">
      <c r="B3343" s="73"/>
      <c r="C3343" s="73"/>
      <c r="D3343" s="73"/>
      <c r="E3343" s="73"/>
      <c r="F3343" s="73"/>
      <c r="G3343" s="73"/>
    </row>
    <row r="3344" spans="2:7" ht="32.25" customHeight="1" x14ac:dyDescent="0.35">
      <c r="B3344" s="73"/>
      <c r="C3344" s="73"/>
      <c r="D3344" s="73"/>
      <c r="E3344" s="73"/>
      <c r="F3344" s="73"/>
      <c r="G3344" s="73"/>
    </row>
    <row r="3345" spans="2:7" ht="32.25" customHeight="1" x14ac:dyDescent="0.35">
      <c r="B3345" s="73"/>
      <c r="C3345" s="73"/>
      <c r="D3345" s="73"/>
      <c r="E3345" s="73"/>
      <c r="F3345" s="73"/>
      <c r="G3345" s="73"/>
    </row>
    <row r="3346" spans="2:7" ht="32.25" customHeight="1" x14ac:dyDescent="0.35">
      <c r="B3346" s="73"/>
      <c r="C3346" s="73"/>
      <c r="D3346" s="73"/>
      <c r="E3346" s="73"/>
      <c r="F3346" s="73"/>
      <c r="G3346" s="73"/>
    </row>
    <row r="3347" spans="2:7" ht="32.25" customHeight="1" x14ac:dyDescent="0.35">
      <c r="B3347" s="73"/>
      <c r="C3347" s="73"/>
      <c r="D3347" s="73"/>
      <c r="E3347" s="73"/>
      <c r="F3347" s="73"/>
      <c r="G3347" s="73"/>
    </row>
    <row r="3348" spans="2:7" ht="32.25" customHeight="1" x14ac:dyDescent="0.35">
      <c r="B3348" s="73"/>
      <c r="C3348" s="73"/>
      <c r="D3348" s="73"/>
      <c r="E3348" s="73"/>
      <c r="F3348" s="73"/>
      <c r="G3348" s="73"/>
    </row>
    <row r="3349" spans="2:7" ht="32.25" customHeight="1" x14ac:dyDescent="0.35">
      <c r="B3349" s="73"/>
      <c r="C3349" s="73"/>
      <c r="D3349" s="73"/>
      <c r="E3349" s="73"/>
      <c r="F3349" s="73"/>
      <c r="G3349" s="73"/>
    </row>
    <row r="3350" spans="2:7" ht="32.25" customHeight="1" x14ac:dyDescent="0.35">
      <c r="B3350" s="73"/>
      <c r="C3350" s="73"/>
      <c r="D3350" s="73"/>
      <c r="E3350" s="73"/>
      <c r="F3350" s="73"/>
      <c r="G3350" s="73"/>
    </row>
    <row r="3351" spans="2:7" ht="32.25" customHeight="1" x14ac:dyDescent="0.35">
      <c r="B3351" s="73"/>
      <c r="C3351" s="73"/>
      <c r="D3351" s="73"/>
      <c r="E3351" s="73"/>
      <c r="F3351" s="73"/>
      <c r="G3351" s="73"/>
    </row>
    <row r="3352" spans="2:7" ht="32.25" customHeight="1" x14ac:dyDescent="0.35">
      <c r="B3352" s="73"/>
      <c r="C3352" s="73"/>
      <c r="D3352" s="73"/>
      <c r="E3352" s="73"/>
      <c r="F3352" s="73"/>
      <c r="G3352" s="73"/>
    </row>
    <row r="3353" spans="2:7" ht="32.25" customHeight="1" x14ac:dyDescent="0.35">
      <c r="B3353" s="73"/>
      <c r="C3353" s="73"/>
      <c r="D3353" s="73"/>
      <c r="E3353" s="73"/>
      <c r="F3353" s="73"/>
      <c r="G3353" s="73"/>
    </row>
    <row r="3354" spans="2:7" ht="32.25" customHeight="1" x14ac:dyDescent="0.35">
      <c r="B3354" s="73"/>
      <c r="C3354" s="73"/>
      <c r="D3354" s="73"/>
      <c r="E3354" s="73"/>
      <c r="F3354" s="73"/>
      <c r="G3354" s="73"/>
    </row>
    <row r="3355" spans="2:7" ht="32.25" customHeight="1" x14ac:dyDescent="0.35">
      <c r="B3355" s="73"/>
      <c r="C3355" s="73"/>
      <c r="D3355" s="73"/>
      <c r="E3355" s="73"/>
      <c r="F3355" s="73"/>
      <c r="G3355" s="73"/>
    </row>
    <row r="3356" spans="2:7" ht="32.25" customHeight="1" x14ac:dyDescent="0.35">
      <c r="B3356" s="73"/>
      <c r="C3356" s="73"/>
      <c r="D3356" s="73"/>
      <c r="E3356" s="73"/>
      <c r="F3356" s="73"/>
      <c r="G3356" s="73"/>
    </row>
    <row r="3357" spans="2:7" ht="32.25" customHeight="1" x14ac:dyDescent="0.35">
      <c r="B3357" s="73"/>
      <c r="C3357" s="73"/>
      <c r="D3357" s="73"/>
      <c r="E3357" s="73"/>
      <c r="F3357" s="73"/>
      <c r="G3357" s="73"/>
    </row>
    <row r="3358" spans="2:7" ht="32.25" customHeight="1" x14ac:dyDescent="0.35">
      <c r="B3358" s="73"/>
      <c r="C3358" s="73"/>
      <c r="D3358" s="73"/>
      <c r="E3358" s="73"/>
      <c r="F3358" s="73"/>
      <c r="G3358" s="73"/>
    </row>
    <row r="3359" spans="2:7" ht="32.25" customHeight="1" x14ac:dyDescent="0.35">
      <c r="B3359" s="73"/>
      <c r="C3359" s="73"/>
      <c r="D3359" s="73"/>
      <c r="E3359" s="73"/>
      <c r="F3359" s="73"/>
      <c r="G3359" s="73"/>
    </row>
    <row r="3360" spans="2:7" ht="32.25" customHeight="1" x14ac:dyDescent="0.35">
      <c r="B3360" s="73"/>
      <c r="C3360" s="73"/>
      <c r="D3360" s="73"/>
      <c r="E3360" s="73"/>
      <c r="F3360" s="73"/>
      <c r="G3360" s="73"/>
    </row>
    <row r="3361" spans="2:7" ht="32.25" customHeight="1" x14ac:dyDescent="0.35">
      <c r="B3361" s="73"/>
      <c r="C3361" s="73"/>
      <c r="D3361" s="73"/>
      <c r="E3361" s="73"/>
      <c r="F3361" s="73"/>
      <c r="G3361" s="73"/>
    </row>
    <row r="3362" spans="2:7" ht="32.25" customHeight="1" x14ac:dyDescent="0.35">
      <c r="B3362" s="73"/>
      <c r="C3362" s="73"/>
      <c r="D3362" s="73"/>
      <c r="E3362" s="73"/>
      <c r="F3362" s="73"/>
      <c r="G3362" s="73"/>
    </row>
    <row r="3363" spans="2:7" ht="32.25" customHeight="1" x14ac:dyDescent="0.35">
      <c r="B3363" s="73"/>
      <c r="C3363" s="73"/>
      <c r="D3363" s="73"/>
      <c r="E3363" s="73"/>
      <c r="F3363" s="73"/>
      <c r="G3363" s="73"/>
    </row>
    <row r="3364" spans="2:7" ht="32.25" customHeight="1" x14ac:dyDescent="0.35">
      <c r="B3364" s="73"/>
      <c r="C3364" s="73"/>
      <c r="D3364" s="73"/>
      <c r="E3364" s="73"/>
      <c r="F3364" s="73"/>
      <c r="G3364" s="73"/>
    </row>
    <row r="3365" spans="2:7" ht="32.25" customHeight="1" x14ac:dyDescent="0.35">
      <c r="B3365" s="73"/>
      <c r="C3365" s="73"/>
      <c r="D3365" s="73"/>
      <c r="E3365" s="73"/>
      <c r="F3365" s="73"/>
      <c r="G3365" s="73"/>
    </row>
    <row r="3366" spans="2:7" ht="32.25" customHeight="1" x14ac:dyDescent="0.35">
      <c r="B3366" s="73"/>
      <c r="C3366" s="73"/>
      <c r="D3366" s="73"/>
      <c r="E3366" s="73"/>
      <c r="F3366" s="73"/>
      <c r="G3366" s="73"/>
    </row>
    <row r="3367" spans="2:7" ht="32.25" customHeight="1" x14ac:dyDescent="0.35">
      <c r="B3367" s="73"/>
      <c r="C3367" s="73"/>
      <c r="D3367" s="73"/>
      <c r="E3367" s="73"/>
      <c r="F3367" s="73"/>
      <c r="G3367" s="73"/>
    </row>
    <row r="3368" spans="2:7" ht="32.25" customHeight="1" x14ac:dyDescent="0.35">
      <c r="B3368" s="73"/>
      <c r="C3368" s="73"/>
      <c r="D3368" s="73"/>
      <c r="E3368" s="73"/>
      <c r="F3368" s="73"/>
      <c r="G3368" s="73"/>
    </row>
    <row r="3369" spans="2:7" ht="32.25" customHeight="1" x14ac:dyDescent="0.35">
      <c r="B3369" s="73"/>
      <c r="C3369" s="73"/>
      <c r="D3369" s="73"/>
      <c r="E3369" s="73"/>
      <c r="F3369" s="73"/>
      <c r="G3369" s="73"/>
    </row>
    <row r="3370" spans="2:7" ht="32.25" customHeight="1" x14ac:dyDescent="0.35">
      <c r="B3370" s="73"/>
      <c r="C3370" s="73"/>
      <c r="D3370" s="73"/>
      <c r="E3370" s="73"/>
      <c r="F3370" s="73"/>
      <c r="G3370" s="73"/>
    </row>
    <row r="3371" spans="2:7" ht="32.25" customHeight="1" x14ac:dyDescent="0.35">
      <c r="B3371" s="73"/>
      <c r="C3371" s="73"/>
      <c r="D3371" s="73"/>
      <c r="E3371" s="73"/>
      <c r="F3371" s="73"/>
      <c r="G3371" s="73"/>
    </row>
    <row r="3372" spans="2:7" ht="32.25" customHeight="1" x14ac:dyDescent="0.35">
      <c r="B3372" s="73"/>
      <c r="C3372" s="73"/>
      <c r="D3372" s="73"/>
      <c r="E3372" s="73"/>
      <c r="F3372" s="73"/>
      <c r="G3372" s="73"/>
    </row>
    <row r="3373" spans="2:7" ht="32.25" customHeight="1" x14ac:dyDescent="0.35">
      <c r="B3373" s="73"/>
      <c r="C3373" s="73"/>
      <c r="D3373" s="73"/>
      <c r="E3373" s="73"/>
      <c r="F3373" s="73"/>
      <c r="G3373" s="73"/>
    </row>
    <row r="3374" spans="2:7" ht="32.25" customHeight="1" x14ac:dyDescent="0.35">
      <c r="B3374" s="73"/>
      <c r="C3374" s="73"/>
      <c r="D3374" s="73"/>
      <c r="E3374" s="73"/>
      <c r="F3374" s="73"/>
      <c r="G3374" s="73"/>
    </row>
    <row r="3375" spans="2:7" ht="32.25" customHeight="1" x14ac:dyDescent="0.35">
      <c r="B3375" s="73"/>
      <c r="C3375" s="73"/>
      <c r="D3375" s="73"/>
      <c r="E3375" s="73"/>
      <c r="F3375" s="73"/>
      <c r="G3375" s="73"/>
    </row>
    <row r="3376" spans="2:7" ht="32.25" customHeight="1" x14ac:dyDescent="0.35">
      <c r="B3376" s="73"/>
      <c r="C3376" s="73"/>
      <c r="D3376" s="73"/>
      <c r="E3376" s="73"/>
      <c r="F3376" s="73"/>
      <c r="G3376" s="73"/>
    </row>
    <row r="3377" spans="2:7" ht="32.25" customHeight="1" x14ac:dyDescent="0.35">
      <c r="B3377" s="73"/>
      <c r="C3377" s="73"/>
      <c r="D3377" s="73"/>
      <c r="E3377" s="73"/>
      <c r="F3377" s="73"/>
      <c r="G3377" s="73"/>
    </row>
    <row r="3378" spans="2:7" ht="32.25" customHeight="1" x14ac:dyDescent="0.35">
      <c r="B3378" s="73"/>
      <c r="C3378" s="73"/>
      <c r="D3378" s="73"/>
      <c r="E3378" s="73"/>
      <c r="F3378" s="73"/>
      <c r="G3378" s="73"/>
    </row>
    <row r="3379" spans="2:7" ht="32.25" customHeight="1" x14ac:dyDescent="0.35">
      <c r="B3379" s="73"/>
      <c r="C3379" s="73"/>
      <c r="D3379" s="73"/>
      <c r="E3379" s="73"/>
      <c r="F3379" s="73"/>
      <c r="G3379" s="73"/>
    </row>
    <row r="3380" spans="2:7" ht="32.25" customHeight="1" x14ac:dyDescent="0.35">
      <c r="B3380" s="73"/>
      <c r="C3380" s="73"/>
      <c r="D3380" s="73"/>
      <c r="E3380" s="73"/>
      <c r="F3380" s="73"/>
      <c r="G3380" s="73"/>
    </row>
    <row r="3381" spans="2:7" ht="32.25" customHeight="1" x14ac:dyDescent="0.35">
      <c r="B3381" s="73"/>
      <c r="C3381" s="73"/>
      <c r="D3381" s="73"/>
      <c r="E3381" s="73"/>
      <c r="F3381" s="73"/>
      <c r="G3381" s="73"/>
    </row>
    <row r="3382" spans="2:7" ht="32.25" customHeight="1" x14ac:dyDescent="0.35">
      <c r="B3382" s="73"/>
      <c r="C3382" s="73"/>
      <c r="D3382" s="73"/>
      <c r="E3382" s="73"/>
      <c r="F3382" s="73"/>
      <c r="G3382" s="73"/>
    </row>
    <row r="3383" spans="2:7" ht="32.25" customHeight="1" x14ac:dyDescent="0.35">
      <c r="B3383" s="73"/>
      <c r="C3383" s="73"/>
      <c r="D3383" s="73"/>
      <c r="E3383" s="73"/>
      <c r="F3383" s="73"/>
      <c r="G3383" s="73"/>
    </row>
    <row r="3384" spans="2:7" ht="32.25" customHeight="1" x14ac:dyDescent="0.35">
      <c r="B3384" s="73"/>
      <c r="C3384" s="73"/>
      <c r="D3384" s="73"/>
      <c r="E3384" s="73"/>
      <c r="F3384" s="73"/>
      <c r="G3384" s="73"/>
    </row>
    <row r="3385" spans="2:7" ht="32.25" customHeight="1" x14ac:dyDescent="0.35">
      <c r="B3385" s="73"/>
      <c r="C3385" s="73"/>
      <c r="D3385" s="73"/>
      <c r="E3385" s="73"/>
      <c r="F3385" s="73"/>
      <c r="G3385" s="73"/>
    </row>
    <row r="3386" spans="2:7" ht="32.25" customHeight="1" x14ac:dyDescent="0.35">
      <c r="B3386" s="73"/>
      <c r="C3386" s="73"/>
      <c r="D3386" s="73"/>
      <c r="E3386" s="73"/>
      <c r="F3386" s="73"/>
      <c r="G3386" s="73"/>
    </row>
    <row r="3387" spans="2:7" ht="32.25" customHeight="1" x14ac:dyDescent="0.35">
      <c r="B3387" s="73"/>
      <c r="C3387" s="73"/>
      <c r="D3387" s="73"/>
      <c r="E3387" s="73"/>
      <c r="F3387" s="73"/>
      <c r="G3387" s="73"/>
    </row>
    <row r="3388" spans="2:7" ht="32.25" customHeight="1" x14ac:dyDescent="0.35">
      <c r="B3388" s="73"/>
      <c r="C3388" s="73"/>
      <c r="D3388" s="73"/>
      <c r="E3388" s="73"/>
      <c r="F3388" s="73"/>
      <c r="G3388" s="73"/>
    </row>
    <row r="3389" spans="2:7" ht="32.25" customHeight="1" x14ac:dyDescent="0.35">
      <c r="B3389" s="73"/>
      <c r="C3389" s="73"/>
      <c r="D3389" s="73"/>
      <c r="E3389" s="73"/>
      <c r="F3389" s="73"/>
      <c r="G3389" s="73"/>
    </row>
    <row r="3390" spans="2:7" ht="32.25" customHeight="1" x14ac:dyDescent="0.35">
      <c r="B3390" s="73"/>
      <c r="C3390" s="73"/>
      <c r="D3390" s="73"/>
      <c r="E3390" s="73"/>
      <c r="F3390" s="73"/>
      <c r="G3390" s="73"/>
    </row>
    <row r="3391" spans="2:7" ht="32.25" customHeight="1" x14ac:dyDescent="0.35">
      <c r="B3391" s="73"/>
      <c r="C3391" s="73"/>
      <c r="D3391" s="73"/>
      <c r="E3391" s="73"/>
      <c r="F3391" s="73"/>
      <c r="G3391" s="73"/>
    </row>
    <row r="3392" spans="2:7" ht="32.25" customHeight="1" x14ac:dyDescent="0.35">
      <c r="B3392" s="73"/>
      <c r="C3392" s="73"/>
      <c r="D3392" s="73"/>
      <c r="E3392" s="73"/>
      <c r="F3392" s="73"/>
      <c r="G3392" s="73"/>
    </row>
    <row r="3393" spans="2:7" ht="32.25" customHeight="1" x14ac:dyDescent="0.35">
      <c r="B3393" s="73"/>
      <c r="C3393" s="73"/>
      <c r="D3393" s="73"/>
      <c r="E3393" s="73"/>
      <c r="F3393" s="73"/>
      <c r="G3393" s="73"/>
    </row>
    <row r="3394" spans="2:7" ht="32.25" customHeight="1" x14ac:dyDescent="0.35">
      <c r="B3394" s="73"/>
      <c r="C3394" s="73"/>
      <c r="D3394" s="73"/>
      <c r="E3394" s="73"/>
      <c r="F3394" s="73"/>
      <c r="G3394" s="73"/>
    </row>
    <row r="3395" spans="2:7" ht="32.25" customHeight="1" x14ac:dyDescent="0.35">
      <c r="B3395" s="73"/>
      <c r="C3395" s="73"/>
      <c r="D3395" s="73"/>
      <c r="E3395" s="73"/>
      <c r="F3395" s="73"/>
      <c r="G3395" s="73"/>
    </row>
    <row r="3396" spans="2:7" ht="32.25" customHeight="1" x14ac:dyDescent="0.35">
      <c r="B3396" s="73"/>
      <c r="C3396" s="73"/>
      <c r="D3396" s="73"/>
      <c r="E3396" s="73"/>
      <c r="F3396" s="73"/>
      <c r="G3396" s="73"/>
    </row>
    <row r="3397" spans="2:7" ht="32.25" customHeight="1" x14ac:dyDescent="0.35">
      <c r="B3397" s="73"/>
      <c r="C3397" s="73"/>
      <c r="D3397" s="73"/>
      <c r="E3397" s="73"/>
      <c r="F3397" s="73"/>
      <c r="G3397" s="73"/>
    </row>
    <row r="3398" spans="2:7" ht="32.25" customHeight="1" x14ac:dyDescent="0.35">
      <c r="B3398" s="73"/>
      <c r="C3398" s="73"/>
      <c r="D3398" s="73"/>
      <c r="E3398" s="73"/>
      <c r="F3398" s="73"/>
      <c r="G3398" s="73"/>
    </row>
    <row r="3399" spans="2:7" ht="32.25" customHeight="1" x14ac:dyDescent="0.35">
      <c r="B3399" s="73"/>
      <c r="C3399" s="73"/>
      <c r="D3399" s="73"/>
      <c r="E3399" s="73"/>
      <c r="F3399" s="73"/>
      <c r="G3399" s="73"/>
    </row>
    <row r="3400" spans="2:7" ht="32.25" customHeight="1" x14ac:dyDescent="0.35">
      <c r="B3400" s="73"/>
      <c r="C3400" s="73"/>
      <c r="D3400" s="73"/>
      <c r="E3400" s="73"/>
      <c r="F3400" s="73"/>
      <c r="G3400" s="73"/>
    </row>
    <row r="3401" spans="2:7" ht="32.25" customHeight="1" x14ac:dyDescent="0.35">
      <c r="B3401" s="73"/>
      <c r="C3401" s="73"/>
      <c r="D3401" s="73"/>
      <c r="E3401" s="73"/>
      <c r="F3401" s="73"/>
      <c r="G3401" s="73"/>
    </row>
    <row r="3402" spans="2:7" ht="32.25" customHeight="1" x14ac:dyDescent="0.35">
      <c r="B3402" s="73"/>
      <c r="C3402" s="73"/>
      <c r="D3402" s="73"/>
      <c r="E3402" s="73"/>
      <c r="F3402" s="73"/>
      <c r="G3402" s="73"/>
    </row>
    <row r="3403" spans="2:7" ht="32.25" customHeight="1" x14ac:dyDescent="0.35">
      <c r="B3403" s="73"/>
      <c r="C3403" s="73"/>
      <c r="D3403" s="73"/>
      <c r="E3403" s="73"/>
      <c r="F3403" s="73"/>
      <c r="G3403" s="73"/>
    </row>
    <row r="3404" spans="2:7" ht="32.25" customHeight="1" x14ac:dyDescent="0.35">
      <c r="B3404" s="73"/>
      <c r="C3404" s="73"/>
      <c r="D3404" s="73"/>
      <c r="E3404" s="73"/>
      <c r="F3404" s="73"/>
      <c r="G3404" s="73"/>
    </row>
    <row r="3405" spans="2:7" ht="32.25" customHeight="1" x14ac:dyDescent="0.35">
      <c r="B3405" s="73"/>
      <c r="C3405" s="73"/>
      <c r="D3405" s="73"/>
      <c r="E3405" s="73"/>
      <c r="F3405" s="73"/>
      <c r="G3405" s="73"/>
    </row>
    <row r="3406" spans="2:7" ht="32.25" customHeight="1" x14ac:dyDescent="0.35">
      <c r="B3406" s="73"/>
      <c r="C3406" s="73"/>
      <c r="D3406" s="73"/>
      <c r="E3406" s="73"/>
      <c r="F3406" s="73"/>
      <c r="G3406" s="73"/>
    </row>
    <row r="3407" spans="2:7" ht="32.25" customHeight="1" x14ac:dyDescent="0.35">
      <c r="B3407" s="73"/>
      <c r="C3407" s="73"/>
      <c r="D3407" s="73"/>
      <c r="E3407" s="73"/>
      <c r="F3407" s="73"/>
      <c r="G3407" s="73"/>
    </row>
    <row r="3408" spans="2:7" ht="32.25" customHeight="1" x14ac:dyDescent="0.35">
      <c r="B3408" s="73"/>
      <c r="C3408" s="73"/>
      <c r="D3408" s="73"/>
      <c r="E3408" s="73"/>
      <c r="F3408" s="73"/>
      <c r="G3408" s="73"/>
    </row>
    <row r="3409" spans="2:7" ht="32.25" customHeight="1" x14ac:dyDescent="0.35">
      <c r="B3409" s="73"/>
      <c r="C3409" s="73"/>
      <c r="D3409" s="73"/>
      <c r="E3409" s="73"/>
      <c r="F3409" s="73"/>
      <c r="G3409" s="73"/>
    </row>
    <row r="3410" spans="2:7" ht="32.25" customHeight="1" x14ac:dyDescent="0.35">
      <c r="B3410" s="73"/>
      <c r="C3410" s="73"/>
      <c r="D3410" s="73"/>
      <c r="E3410" s="73"/>
      <c r="F3410" s="73"/>
      <c r="G3410" s="73"/>
    </row>
    <row r="3411" spans="2:7" ht="32.25" customHeight="1" x14ac:dyDescent="0.35">
      <c r="B3411" s="73"/>
      <c r="C3411" s="73"/>
      <c r="D3411" s="73"/>
      <c r="E3411" s="73"/>
      <c r="F3411" s="73"/>
      <c r="G3411" s="73"/>
    </row>
    <row r="3412" spans="2:7" ht="32.25" customHeight="1" x14ac:dyDescent="0.35">
      <c r="B3412" s="73"/>
      <c r="C3412" s="73"/>
      <c r="D3412" s="73"/>
      <c r="E3412" s="73"/>
      <c r="F3412" s="73"/>
      <c r="G3412" s="73"/>
    </row>
    <row r="3413" spans="2:7" ht="32.25" customHeight="1" x14ac:dyDescent="0.35">
      <c r="B3413" s="73"/>
      <c r="C3413" s="73"/>
      <c r="D3413" s="73"/>
      <c r="E3413" s="73"/>
      <c r="F3413" s="73"/>
      <c r="G3413" s="73"/>
    </row>
    <row r="3414" spans="2:7" ht="32.25" customHeight="1" x14ac:dyDescent="0.35">
      <c r="B3414" s="73"/>
      <c r="C3414" s="73"/>
      <c r="D3414" s="73"/>
      <c r="E3414" s="73"/>
      <c r="F3414" s="73"/>
      <c r="G3414" s="73"/>
    </row>
    <row r="3415" spans="2:7" ht="32.25" customHeight="1" x14ac:dyDescent="0.35">
      <c r="B3415" s="73"/>
      <c r="C3415" s="73"/>
      <c r="D3415" s="73"/>
      <c r="E3415" s="73"/>
      <c r="F3415" s="73"/>
      <c r="G3415" s="73"/>
    </row>
    <row r="3416" spans="2:7" ht="32.25" customHeight="1" x14ac:dyDescent="0.35">
      <c r="B3416" s="73"/>
      <c r="C3416" s="73"/>
      <c r="D3416" s="73"/>
      <c r="E3416" s="73"/>
      <c r="F3416" s="73"/>
      <c r="G3416" s="73"/>
    </row>
    <row r="3417" spans="2:7" ht="32.25" customHeight="1" x14ac:dyDescent="0.35">
      <c r="B3417" s="73"/>
      <c r="C3417" s="73"/>
      <c r="D3417" s="73"/>
      <c r="E3417" s="73"/>
      <c r="F3417" s="73"/>
      <c r="G3417" s="73"/>
    </row>
    <row r="3418" spans="2:7" ht="32.25" customHeight="1" x14ac:dyDescent="0.35">
      <c r="B3418" s="73"/>
      <c r="C3418" s="73"/>
      <c r="D3418" s="73"/>
      <c r="E3418" s="73"/>
      <c r="F3418" s="73"/>
      <c r="G3418" s="73"/>
    </row>
    <row r="3419" spans="2:7" ht="32.25" customHeight="1" x14ac:dyDescent="0.35">
      <c r="B3419" s="73"/>
      <c r="C3419" s="73"/>
      <c r="D3419" s="73"/>
      <c r="E3419" s="73"/>
      <c r="F3419" s="73"/>
      <c r="G3419" s="73"/>
    </row>
    <row r="3420" spans="2:7" ht="32.25" customHeight="1" x14ac:dyDescent="0.35">
      <c r="B3420" s="73"/>
      <c r="C3420" s="73"/>
      <c r="D3420" s="73"/>
      <c r="E3420" s="73"/>
      <c r="F3420" s="73"/>
      <c r="G3420" s="73"/>
    </row>
    <row r="3421" spans="2:7" ht="32.25" customHeight="1" x14ac:dyDescent="0.35">
      <c r="B3421" s="73"/>
      <c r="C3421" s="73"/>
      <c r="D3421" s="73"/>
      <c r="E3421" s="73"/>
      <c r="F3421" s="73"/>
      <c r="G3421" s="73"/>
    </row>
    <row r="3422" spans="2:7" ht="32.25" customHeight="1" x14ac:dyDescent="0.35">
      <c r="B3422" s="73"/>
      <c r="C3422" s="73"/>
      <c r="D3422" s="73"/>
      <c r="E3422" s="73"/>
      <c r="F3422" s="73"/>
      <c r="G3422" s="73"/>
    </row>
    <row r="3423" spans="2:7" ht="32.25" customHeight="1" x14ac:dyDescent="0.35">
      <c r="B3423" s="73"/>
      <c r="C3423" s="73"/>
      <c r="D3423" s="73"/>
      <c r="E3423" s="73"/>
      <c r="F3423" s="73"/>
      <c r="G3423" s="73"/>
    </row>
    <row r="3424" spans="2:7" ht="32.25" customHeight="1" x14ac:dyDescent="0.35">
      <c r="B3424" s="73"/>
      <c r="C3424" s="73"/>
      <c r="D3424" s="73"/>
      <c r="E3424" s="73"/>
      <c r="F3424" s="73"/>
      <c r="G3424" s="73"/>
    </row>
    <row r="3425" spans="2:7" ht="32.25" customHeight="1" x14ac:dyDescent="0.35">
      <c r="B3425" s="73"/>
      <c r="C3425" s="73"/>
      <c r="D3425" s="73"/>
      <c r="E3425" s="73"/>
      <c r="F3425" s="73"/>
      <c r="G3425" s="73"/>
    </row>
    <row r="3426" spans="2:7" ht="32.25" customHeight="1" x14ac:dyDescent="0.35">
      <c r="B3426" s="73"/>
      <c r="C3426" s="73"/>
      <c r="D3426" s="73"/>
      <c r="E3426" s="73"/>
      <c r="F3426" s="73"/>
      <c r="G3426" s="73"/>
    </row>
    <row r="3427" spans="2:7" ht="32.25" customHeight="1" x14ac:dyDescent="0.35">
      <c r="B3427" s="73"/>
      <c r="C3427" s="73"/>
      <c r="D3427" s="73"/>
      <c r="E3427" s="73"/>
      <c r="F3427" s="73"/>
      <c r="G3427" s="73"/>
    </row>
    <row r="3428" spans="2:7" ht="32.25" customHeight="1" x14ac:dyDescent="0.35">
      <c r="B3428" s="73"/>
      <c r="C3428" s="73"/>
      <c r="D3428" s="73"/>
      <c r="E3428" s="73"/>
      <c r="F3428" s="73"/>
      <c r="G3428" s="73"/>
    </row>
    <row r="3429" spans="2:7" ht="32.25" customHeight="1" x14ac:dyDescent="0.35">
      <c r="B3429" s="73"/>
      <c r="C3429" s="73"/>
      <c r="D3429" s="73"/>
      <c r="E3429" s="73"/>
      <c r="F3429" s="73"/>
      <c r="G3429" s="73"/>
    </row>
    <row r="3430" spans="2:7" ht="32.25" customHeight="1" x14ac:dyDescent="0.35">
      <c r="B3430" s="73"/>
      <c r="C3430" s="73"/>
      <c r="D3430" s="73"/>
      <c r="E3430" s="73"/>
      <c r="F3430" s="73"/>
      <c r="G3430" s="73"/>
    </row>
    <row r="3431" spans="2:7" ht="32.25" customHeight="1" x14ac:dyDescent="0.35">
      <c r="B3431" s="73"/>
      <c r="C3431" s="73"/>
      <c r="D3431" s="73"/>
      <c r="E3431" s="73"/>
      <c r="F3431" s="73"/>
      <c r="G3431" s="73"/>
    </row>
    <row r="3432" spans="2:7" ht="32.25" customHeight="1" x14ac:dyDescent="0.35">
      <c r="B3432" s="73"/>
      <c r="C3432" s="73"/>
      <c r="D3432" s="73"/>
      <c r="E3432" s="73"/>
      <c r="F3432" s="73"/>
      <c r="G3432" s="73"/>
    </row>
    <row r="3433" spans="2:7" ht="32.25" customHeight="1" x14ac:dyDescent="0.35">
      <c r="B3433" s="73"/>
      <c r="C3433" s="73"/>
      <c r="D3433" s="73"/>
      <c r="E3433" s="73"/>
      <c r="F3433" s="73"/>
      <c r="G3433" s="73"/>
    </row>
    <row r="3434" spans="2:7" ht="32.25" customHeight="1" x14ac:dyDescent="0.35">
      <c r="B3434" s="73"/>
      <c r="C3434" s="73"/>
      <c r="D3434" s="73"/>
      <c r="E3434" s="73"/>
      <c r="F3434" s="73"/>
      <c r="G3434" s="73"/>
    </row>
    <row r="3435" spans="2:7" ht="32.25" customHeight="1" x14ac:dyDescent="0.35">
      <c r="B3435" s="73"/>
      <c r="C3435" s="73"/>
      <c r="D3435" s="73"/>
      <c r="E3435" s="73"/>
      <c r="F3435" s="73"/>
      <c r="G3435" s="73"/>
    </row>
    <row r="3436" spans="2:7" ht="32.25" customHeight="1" x14ac:dyDescent="0.35">
      <c r="B3436" s="73"/>
      <c r="C3436" s="73"/>
      <c r="D3436" s="73"/>
      <c r="E3436" s="73"/>
      <c r="F3436" s="73"/>
      <c r="G3436" s="73"/>
    </row>
    <row r="3437" spans="2:7" ht="32.25" customHeight="1" x14ac:dyDescent="0.35">
      <c r="B3437" s="73"/>
      <c r="C3437" s="73"/>
      <c r="D3437" s="73"/>
      <c r="E3437" s="73"/>
      <c r="F3437" s="73"/>
      <c r="G3437" s="73"/>
    </row>
    <row r="3438" spans="2:7" ht="32.25" customHeight="1" x14ac:dyDescent="0.35">
      <c r="B3438" s="73"/>
      <c r="C3438" s="73"/>
      <c r="D3438" s="73"/>
      <c r="E3438" s="73"/>
      <c r="F3438" s="73"/>
      <c r="G3438" s="73"/>
    </row>
    <row r="3439" spans="2:7" ht="32.25" customHeight="1" x14ac:dyDescent="0.35">
      <c r="B3439" s="73"/>
      <c r="C3439" s="73"/>
      <c r="D3439" s="73"/>
      <c r="E3439" s="73"/>
      <c r="F3439" s="73"/>
      <c r="G3439" s="73"/>
    </row>
    <row r="3440" spans="2:7" ht="32.25" customHeight="1" x14ac:dyDescent="0.35">
      <c r="B3440" s="73"/>
      <c r="C3440" s="73"/>
      <c r="D3440" s="73"/>
      <c r="E3440" s="73"/>
      <c r="F3440" s="73"/>
      <c r="G3440" s="73"/>
    </row>
    <row r="3441" spans="2:7" ht="32.25" customHeight="1" x14ac:dyDescent="0.35">
      <c r="B3441" s="73"/>
      <c r="C3441" s="73"/>
      <c r="D3441" s="73"/>
      <c r="E3441" s="73"/>
      <c r="F3441" s="73"/>
      <c r="G3441" s="73"/>
    </row>
    <row r="3442" spans="2:7" ht="32.25" customHeight="1" x14ac:dyDescent="0.35">
      <c r="B3442" s="73"/>
      <c r="C3442" s="73"/>
      <c r="D3442" s="73"/>
      <c r="E3442" s="73"/>
      <c r="F3442" s="73"/>
      <c r="G3442" s="73"/>
    </row>
    <row r="3443" spans="2:7" ht="32.25" customHeight="1" x14ac:dyDescent="0.35">
      <c r="B3443" s="73"/>
      <c r="C3443" s="73"/>
      <c r="D3443" s="73"/>
      <c r="E3443" s="73"/>
      <c r="F3443" s="73"/>
      <c r="G3443" s="73"/>
    </row>
    <row r="3444" spans="2:7" ht="32.25" customHeight="1" x14ac:dyDescent="0.35">
      <c r="B3444" s="73"/>
      <c r="C3444" s="73"/>
      <c r="D3444" s="73"/>
      <c r="E3444" s="73"/>
      <c r="F3444" s="73"/>
      <c r="G3444" s="73"/>
    </row>
    <row r="3445" spans="2:7" ht="32.25" customHeight="1" x14ac:dyDescent="0.35">
      <c r="B3445" s="73"/>
      <c r="C3445" s="73"/>
      <c r="D3445" s="73"/>
      <c r="E3445" s="73"/>
      <c r="F3445" s="73"/>
      <c r="G3445" s="73"/>
    </row>
    <row r="3446" spans="2:7" ht="32.25" customHeight="1" x14ac:dyDescent="0.35">
      <c r="B3446" s="73"/>
      <c r="C3446" s="73"/>
      <c r="D3446" s="73"/>
      <c r="E3446" s="73"/>
      <c r="F3446" s="73"/>
      <c r="G3446" s="73"/>
    </row>
    <row r="3447" spans="2:7" ht="32.25" customHeight="1" x14ac:dyDescent="0.35">
      <c r="B3447" s="73"/>
      <c r="C3447" s="73"/>
      <c r="D3447" s="73"/>
      <c r="E3447" s="73"/>
      <c r="F3447" s="73"/>
      <c r="G3447" s="73"/>
    </row>
    <row r="3448" spans="2:7" ht="32.25" customHeight="1" x14ac:dyDescent="0.35">
      <c r="B3448" s="73"/>
      <c r="C3448" s="73"/>
      <c r="D3448" s="73"/>
      <c r="E3448" s="73"/>
      <c r="F3448" s="73"/>
      <c r="G3448" s="73"/>
    </row>
    <row r="3449" spans="2:7" ht="32.25" customHeight="1" x14ac:dyDescent="0.35">
      <c r="B3449" s="73"/>
      <c r="C3449" s="73"/>
      <c r="D3449" s="73"/>
      <c r="E3449" s="73"/>
      <c r="F3449" s="73"/>
      <c r="G3449" s="73"/>
    </row>
    <row r="3450" spans="2:7" ht="32.25" customHeight="1" x14ac:dyDescent="0.35">
      <c r="B3450" s="73"/>
      <c r="C3450" s="73"/>
      <c r="D3450" s="73"/>
      <c r="E3450" s="73"/>
      <c r="F3450" s="73"/>
      <c r="G3450" s="73"/>
    </row>
    <row r="3451" spans="2:7" ht="32.25" customHeight="1" x14ac:dyDescent="0.35">
      <c r="B3451" s="73"/>
      <c r="C3451" s="73"/>
      <c r="D3451" s="73"/>
      <c r="E3451" s="73"/>
      <c r="F3451" s="73"/>
      <c r="G3451" s="73"/>
    </row>
    <row r="3452" spans="2:7" ht="32.25" customHeight="1" x14ac:dyDescent="0.35">
      <c r="B3452" s="73"/>
      <c r="C3452" s="73"/>
      <c r="D3452" s="73"/>
      <c r="E3452" s="73"/>
      <c r="F3452" s="73"/>
      <c r="G3452" s="73"/>
    </row>
    <row r="3453" spans="2:7" ht="32.25" customHeight="1" x14ac:dyDescent="0.35">
      <c r="B3453" s="73"/>
      <c r="C3453" s="73"/>
      <c r="D3453" s="73"/>
      <c r="E3453" s="73"/>
      <c r="F3453" s="73"/>
      <c r="G3453" s="73"/>
    </row>
    <row r="3454" spans="2:7" ht="32.25" customHeight="1" x14ac:dyDescent="0.35">
      <c r="B3454" s="73"/>
      <c r="C3454" s="73"/>
      <c r="D3454" s="73"/>
      <c r="E3454" s="73"/>
      <c r="F3454" s="73"/>
      <c r="G3454" s="73"/>
    </row>
    <row r="3455" spans="2:7" ht="32.25" customHeight="1" x14ac:dyDescent="0.35">
      <c r="B3455" s="73"/>
      <c r="C3455" s="73"/>
      <c r="D3455" s="73"/>
      <c r="E3455" s="73"/>
      <c r="F3455" s="73"/>
      <c r="G3455" s="73"/>
    </row>
    <row r="3456" spans="2:7" ht="32.25" customHeight="1" x14ac:dyDescent="0.35">
      <c r="B3456" s="73"/>
      <c r="C3456" s="73"/>
      <c r="D3456" s="73"/>
      <c r="E3456" s="73"/>
      <c r="F3456" s="73"/>
      <c r="G3456" s="73"/>
    </row>
    <row r="3457" spans="2:7" ht="32.25" customHeight="1" x14ac:dyDescent="0.35">
      <c r="B3457" s="73"/>
      <c r="C3457" s="73"/>
      <c r="D3457" s="73"/>
      <c r="E3457" s="73"/>
      <c r="F3457" s="73"/>
      <c r="G3457" s="73"/>
    </row>
    <row r="3458" spans="2:7" ht="32.25" customHeight="1" x14ac:dyDescent="0.35">
      <c r="B3458" s="73"/>
      <c r="C3458" s="73"/>
      <c r="D3458" s="73"/>
      <c r="E3458" s="73"/>
      <c r="F3458" s="73"/>
      <c r="G3458" s="73"/>
    </row>
    <row r="3459" spans="2:7" ht="32.25" customHeight="1" x14ac:dyDescent="0.35">
      <c r="B3459" s="73"/>
      <c r="C3459" s="73"/>
      <c r="D3459" s="73"/>
      <c r="E3459" s="73"/>
      <c r="F3459" s="73"/>
      <c r="G3459" s="73"/>
    </row>
    <row r="3460" spans="2:7" ht="32.25" customHeight="1" x14ac:dyDescent="0.35">
      <c r="B3460" s="73"/>
      <c r="C3460" s="73"/>
      <c r="D3460" s="73"/>
      <c r="E3460" s="73"/>
      <c r="F3460" s="73"/>
      <c r="G3460" s="73"/>
    </row>
    <row r="3461" spans="2:7" ht="32.25" customHeight="1" x14ac:dyDescent="0.35">
      <c r="B3461" s="73"/>
      <c r="C3461" s="73"/>
      <c r="D3461" s="73"/>
      <c r="E3461" s="73"/>
      <c r="F3461" s="73"/>
      <c r="G3461" s="73"/>
    </row>
    <row r="3462" spans="2:7" ht="32.25" customHeight="1" x14ac:dyDescent="0.35">
      <c r="B3462" s="73"/>
      <c r="C3462" s="73"/>
      <c r="D3462" s="73"/>
      <c r="E3462" s="73"/>
      <c r="F3462" s="73"/>
      <c r="G3462" s="73"/>
    </row>
    <row r="3463" spans="2:7" ht="32.25" customHeight="1" x14ac:dyDescent="0.35">
      <c r="B3463" s="73"/>
      <c r="C3463" s="73"/>
      <c r="D3463" s="73"/>
      <c r="E3463" s="73"/>
      <c r="F3463" s="73"/>
      <c r="G3463" s="73"/>
    </row>
    <row r="3464" spans="2:7" ht="32.25" customHeight="1" x14ac:dyDescent="0.35">
      <c r="B3464" s="73"/>
      <c r="C3464" s="73"/>
      <c r="D3464" s="73"/>
      <c r="E3464" s="73"/>
      <c r="F3464" s="73"/>
      <c r="G3464" s="73"/>
    </row>
    <row r="3465" spans="2:7" ht="32.25" customHeight="1" x14ac:dyDescent="0.35">
      <c r="B3465" s="73"/>
      <c r="C3465" s="73"/>
      <c r="D3465" s="73"/>
      <c r="E3465" s="73"/>
      <c r="F3465" s="73"/>
      <c r="G3465" s="73"/>
    </row>
    <row r="3466" spans="2:7" ht="32.25" customHeight="1" x14ac:dyDescent="0.35">
      <c r="B3466" s="73"/>
      <c r="C3466" s="73"/>
      <c r="D3466" s="73"/>
      <c r="E3466" s="73"/>
      <c r="F3466" s="73"/>
      <c r="G3466" s="73"/>
    </row>
    <row r="3467" spans="2:7" ht="32.25" customHeight="1" x14ac:dyDescent="0.35">
      <c r="B3467" s="73"/>
      <c r="C3467" s="73"/>
      <c r="D3467" s="73"/>
      <c r="E3467" s="73"/>
      <c r="F3467" s="73"/>
      <c r="G3467" s="73"/>
    </row>
    <row r="3468" spans="2:7" ht="32.25" customHeight="1" x14ac:dyDescent="0.35">
      <c r="B3468" s="73"/>
      <c r="C3468" s="73"/>
      <c r="D3468" s="73"/>
      <c r="E3468" s="73"/>
      <c r="F3468" s="73"/>
      <c r="G3468" s="73"/>
    </row>
    <row r="3469" spans="2:7" ht="32.25" customHeight="1" x14ac:dyDescent="0.35">
      <c r="B3469" s="73"/>
      <c r="C3469" s="73"/>
      <c r="D3469" s="73"/>
      <c r="E3469" s="73"/>
      <c r="F3469" s="73"/>
      <c r="G3469" s="73"/>
    </row>
    <row r="3470" spans="2:7" ht="32.25" customHeight="1" x14ac:dyDescent="0.35">
      <c r="B3470" s="73"/>
      <c r="C3470" s="73"/>
      <c r="D3470" s="73"/>
      <c r="E3470" s="73"/>
      <c r="F3470" s="73"/>
      <c r="G3470" s="73"/>
    </row>
    <row r="3471" spans="2:7" ht="32.25" customHeight="1" x14ac:dyDescent="0.35">
      <c r="B3471" s="73"/>
      <c r="C3471" s="73"/>
      <c r="D3471" s="73"/>
      <c r="E3471" s="73"/>
      <c r="F3471" s="73"/>
      <c r="G3471" s="73"/>
    </row>
    <row r="3472" spans="2:7" ht="32.25" customHeight="1" x14ac:dyDescent="0.35">
      <c r="B3472" s="73"/>
      <c r="C3472" s="73"/>
      <c r="D3472" s="73"/>
      <c r="E3472" s="73"/>
      <c r="F3472" s="73"/>
      <c r="G3472" s="73"/>
    </row>
    <row r="3473" spans="2:7" ht="32.25" customHeight="1" x14ac:dyDescent="0.35">
      <c r="B3473" s="73"/>
      <c r="C3473" s="73"/>
      <c r="D3473" s="73"/>
      <c r="E3473" s="73"/>
      <c r="F3473" s="73"/>
      <c r="G3473" s="73"/>
    </row>
    <row r="3474" spans="2:7" ht="32.25" customHeight="1" x14ac:dyDescent="0.35">
      <c r="B3474" s="73"/>
      <c r="C3474" s="73"/>
      <c r="D3474" s="73"/>
      <c r="E3474" s="73"/>
      <c r="F3474" s="73"/>
      <c r="G3474" s="73"/>
    </row>
    <row r="3475" spans="2:7" ht="32.25" customHeight="1" x14ac:dyDescent="0.35">
      <c r="B3475" s="73"/>
      <c r="C3475" s="73"/>
      <c r="D3475" s="73"/>
      <c r="E3475" s="73"/>
      <c r="F3475" s="73"/>
      <c r="G3475" s="73"/>
    </row>
    <row r="3476" spans="2:7" ht="32.25" customHeight="1" x14ac:dyDescent="0.35">
      <c r="B3476" s="73"/>
      <c r="C3476" s="73"/>
      <c r="D3476" s="73"/>
      <c r="E3476" s="73"/>
      <c r="F3476" s="73"/>
      <c r="G3476" s="73"/>
    </row>
    <row r="3477" spans="2:7" ht="32.25" customHeight="1" x14ac:dyDescent="0.35">
      <c r="B3477" s="73"/>
      <c r="C3477" s="73"/>
      <c r="D3477" s="73"/>
      <c r="E3477" s="73"/>
      <c r="F3477" s="73"/>
      <c r="G3477" s="73"/>
    </row>
    <row r="3478" spans="2:7" ht="32.25" customHeight="1" x14ac:dyDescent="0.35">
      <c r="B3478" s="73"/>
      <c r="C3478" s="73"/>
      <c r="D3478" s="73"/>
      <c r="E3478" s="73"/>
      <c r="F3478" s="73"/>
      <c r="G3478" s="73"/>
    </row>
    <row r="3479" spans="2:7" ht="32.25" customHeight="1" x14ac:dyDescent="0.35">
      <c r="B3479" s="73"/>
      <c r="C3479" s="73"/>
      <c r="D3479" s="73"/>
      <c r="E3479" s="73"/>
      <c r="F3479" s="73"/>
      <c r="G3479" s="73"/>
    </row>
    <row r="3480" spans="2:7" ht="32.25" customHeight="1" x14ac:dyDescent="0.35">
      <c r="B3480" s="73"/>
      <c r="C3480" s="73"/>
      <c r="D3480" s="73"/>
      <c r="E3480" s="73"/>
      <c r="F3480" s="73"/>
      <c r="G3480" s="73"/>
    </row>
    <row r="3481" spans="2:7" ht="32.25" customHeight="1" x14ac:dyDescent="0.35">
      <c r="B3481" s="73"/>
      <c r="C3481" s="73"/>
      <c r="D3481" s="73"/>
      <c r="E3481" s="73"/>
      <c r="F3481" s="73"/>
      <c r="G3481" s="73"/>
    </row>
    <row r="3482" spans="2:7" ht="32.25" customHeight="1" x14ac:dyDescent="0.35">
      <c r="B3482" s="73"/>
      <c r="C3482" s="73"/>
      <c r="D3482" s="73"/>
      <c r="E3482" s="73"/>
      <c r="F3482" s="73"/>
      <c r="G3482" s="73"/>
    </row>
    <row r="3483" spans="2:7" ht="32.25" customHeight="1" x14ac:dyDescent="0.35">
      <c r="B3483" s="73"/>
      <c r="C3483" s="73"/>
      <c r="D3483" s="73"/>
      <c r="E3483" s="73"/>
      <c r="F3483" s="73"/>
      <c r="G3483" s="73"/>
    </row>
    <row r="3484" spans="2:7" ht="32.25" customHeight="1" x14ac:dyDescent="0.35">
      <c r="B3484" s="73"/>
      <c r="C3484" s="73"/>
      <c r="D3484" s="73"/>
      <c r="E3484" s="73"/>
      <c r="F3484" s="73"/>
      <c r="G3484" s="73"/>
    </row>
    <row r="3485" spans="2:7" ht="32.25" customHeight="1" x14ac:dyDescent="0.35">
      <c r="B3485" s="73"/>
      <c r="C3485" s="73"/>
      <c r="D3485" s="73"/>
      <c r="E3485" s="73"/>
      <c r="F3485" s="73"/>
      <c r="G3485" s="73"/>
    </row>
    <row r="3486" spans="2:7" ht="32.25" customHeight="1" x14ac:dyDescent="0.35">
      <c r="B3486" s="73"/>
      <c r="C3486" s="73"/>
      <c r="D3486" s="73"/>
      <c r="E3486" s="73"/>
      <c r="F3486" s="73"/>
      <c r="G3486" s="73"/>
    </row>
    <row r="3487" spans="2:7" ht="32.25" customHeight="1" x14ac:dyDescent="0.35">
      <c r="B3487" s="73"/>
      <c r="C3487" s="73"/>
      <c r="D3487" s="73"/>
      <c r="E3487" s="73"/>
      <c r="F3487" s="73"/>
      <c r="G3487" s="73"/>
    </row>
    <row r="3488" spans="2:7" ht="32.25" customHeight="1" x14ac:dyDescent="0.35">
      <c r="B3488" s="73"/>
      <c r="C3488" s="73"/>
      <c r="D3488" s="73"/>
      <c r="E3488" s="73"/>
      <c r="F3488" s="73"/>
      <c r="G3488" s="73"/>
    </row>
    <row r="3489" spans="2:7" ht="32.25" customHeight="1" x14ac:dyDescent="0.35">
      <c r="B3489" s="73"/>
      <c r="C3489" s="73"/>
      <c r="D3489" s="73"/>
      <c r="E3489" s="73"/>
      <c r="F3489" s="73"/>
      <c r="G3489" s="73"/>
    </row>
    <row r="3490" spans="2:7" ht="32.25" customHeight="1" x14ac:dyDescent="0.35">
      <c r="B3490" s="73"/>
      <c r="C3490" s="73"/>
      <c r="D3490" s="73"/>
      <c r="E3490" s="73"/>
      <c r="F3490" s="73"/>
      <c r="G3490" s="73"/>
    </row>
    <row r="3491" spans="2:7" ht="32.25" customHeight="1" x14ac:dyDescent="0.35">
      <c r="B3491" s="73"/>
      <c r="C3491" s="73"/>
      <c r="D3491" s="73"/>
      <c r="E3491" s="73"/>
      <c r="F3491" s="73"/>
      <c r="G3491" s="73"/>
    </row>
    <row r="3492" spans="2:7" ht="32.25" customHeight="1" x14ac:dyDescent="0.35">
      <c r="B3492" s="73"/>
      <c r="C3492" s="73"/>
      <c r="D3492" s="73"/>
      <c r="E3492" s="73"/>
      <c r="F3492" s="73"/>
      <c r="G3492" s="73"/>
    </row>
    <row r="3493" spans="2:7" ht="32.25" customHeight="1" x14ac:dyDescent="0.35">
      <c r="B3493" s="73"/>
      <c r="C3493" s="73"/>
      <c r="D3493" s="73"/>
      <c r="E3493" s="73"/>
      <c r="F3493" s="73"/>
      <c r="G3493" s="73"/>
    </row>
    <row r="3494" spans="2:7" ht="32.25" customHeight="1" x14ac:dyDescent="0.35">
      <c r="B3494" s="73"/>
      <c r="C3494" s="73"/>
      <c r="D3494" s="73"/>
      <c r="E3494" s="73"/>
      <c r="F3494" s="73"/>
      <c r="G3494" s="73"/>
    </row>
    <row r="3495" spans="2:7" ht="32.25" customHeight="1" x14ac:dyDescent="0.35">
      <c r="B3495" s="73"/>
      <c r="C3495" s="73"/>
      <c r="D3495" s="73"/>
      <c r="E3495" s="73"/>
      <c r="F3495" s="73"/>
      <c r="G3495" s="73"/>
    </row>
    <row r="3496" spans="2:7" ht="32.25" customHeight="1" x14ac:dyDescent="0.35">
      <c r="B3496" s="73"/>
      <c r="C3496" s="73"/>
      <c r="D3496" s="73"/>
      <c r="E3496" s="73"/>
      <c r="F3496" s="73"/>
      <c r="G3496" s="73"/>
    </row>
    <row r="3497" spans="2:7" ht="32.25" customHeight="1" x14ac:dyDescent="0.35">
      <c r="B3497" s="73"/>
      <c r="C3497" s="73"/>
      <c r="D3497" s="73"/>
      <c r="E3497" s="73"/>
      <c r="F3497" s="73"/>
      <c r="G3497" s="73"/>
    </row>
    <row r="3498" spans="2:7" ht="32.25" customHeight="1" x14ac:dyDescent="0.35">
      <c r="B3498" s="73"/>
      <c r="C3498" s="73"/>
      <c r="D3498" s="73"/>
      <c r="E3498" s="73"/>
      <c r="F3498" s="73"/>
      <c r="G3498" s="73"/>
    </row>
    <row r="3499" spans="2:7" ht="32.25" customHeight="1" x14ac:dyDescent="0.35">
      <c r="B3499" s="73"/>
      <c r="C3499" s="73"/>
      <c r="D3499" s="73"/>
      <c r="E3499" s="73"/>
      <c r="F3499" s="73"/>
      <c r="G3499" s="73"/>
    </row>
    <row r="3500" spans="2:7" ht="32.25" customHeight="1" x14ac:dyDescent="0.35">
      <c r="B3500" s="73"/>
      <c r="C3500" s="73"/>
      <c r="D3500" s="73"/>
      <c r="E3500" s="73"/>
      <c r="F3500" s="73"/>
      <c r="G3500" s="73"/>
    </row>
    <row r="3501" spans="2:7" ht="32.25" customHeight="1" x14ac:dyDescent="0.35">
      <c r="B3501" s="73"/>
      <c r="C3501" s="73"/>
      <c r="D3501" s="73"/>
      <c r="E3501" s="73"/>
      <c r="F3501" s="73"/>
      <c r="G3501" s="73"/>
    </row>
    <row r="3502" spans="2:7" ht="32.25" customHeight="1" x14ac:dyDescent="0.35">
      <c r="B3502" s="73"/>
      <c r="C3502" s="73"/>
      <c r="D3502" s="73"/>
      <c r="E3502" s="73"/>
      <c r="F3502" s="73"/>
      <c r="G3502" s="73"/>
    </row>
    <row r="3503" spans="2:7" ht="32.25" customHeight="1" x14ac:dyDescent="0.35">
      <c r="B3503" s="73"/>
      <c r="C3503" s="73"/>
      <c r="D3503" s="73"/>
      <c r="E3503" s="73"/>
      <c r="F3503" s="73"/>
      <c r="G3503" s="73"/>
    </row>
    <row r="3504" spans="2:7" ht="32.25" customHeight="1" x14ac:dyDescent="0.35">
      <c r="B3504" s="73"/>
      <c r="C3504" s="73"/>
      <c r="D3504" s="73"/>
      <c r="E3504" s="73"/>
      <c r="F3504" s="73"/>
      <c r="G3504" s="73"/>
    </row>
    <row r="3505" spans="2:7" ht="32.25" customHeight="1" x14ac:dyDescent="0.35">
      <c r="B3505" s="73"/>
      <c r="C3505" s="73"/>
      <c r="D3505" s="73"/>
      <c r="E3505" s="73"/>
      <c r="F3505" s="73"/>
      <c r="G3505" s="73"/>
    </row>
    <row r="3506" spans="2:7" ht="32.25" customHeight="1" x14ac:dyDescent="0.35">
      <c r="B3506" s="73"/>
      <c r="C3506" s="73"/>
      <c r="D3506" s="73"/>
      <c r="E3506" s="73"/>
      <c r="F3506" s="73"/>
      <c r="G3506" s="73"/>
    </row>
    <row r="3507" spans="2:7" ht="32.25" customHeight="1" x14ac:dyDescent="0.35">
      <c r="B3507" s="73"/>
      <c r="C3507" s="73"/>
      <c r="D3507" s="73"/>
      <c r="E3507" s="73"/>
      <c r="F3507" s="73"/>
      <c r="G3507" s="73"/>
    </row>
    <row r="3508" spans="2:7" ht="32.25" customHeight="1" x14ac:dyDescent="0.35">
      <c r="B3508" s="73"/>
      <c r="C3508" s="73"/>
      <c r="D3508" s="73"/>
      <c r="E3508" s="73"/>
      <c r="F3508" s="73"/>
      <c r="G3508" s="73"/>
    </row>
    <row r="3509" spans="2:7" ht="32.25" customHeight="1" x14ac:dyDescent="0.35">
      <c r="B3509" s="73"/>
      <c r="C3509" s="73"/>
      <c r="D3509" s="73"/>
      <c r="E3509" s="73"/>
      <c r="F3509" s="73"/>
      <c r="G3509" s="73"/>
    </row>
    <row r="3510" spans="2:7" ht="32.25" customHeight="1" x14ac:dyDescent="0.35">
      <c r="B3510" s="73"/>
      <c r="C3510" s="73"/>
      <c r="D3510" s="73"/>
      <c r="E3510" s="73"/>
      <c r="F3510" s="73"/>
      <c r="G3510" s="73"/>
    </row>
    <row r="3511" spans="2:7" ht="32.25" customHeight="1" x14ac:dyDescent="0.35">
      <c r="B3511" s="73"/>
      <c r="C3511" s="73"/>
      <c r="D3511" s="73"/>
      <c r="E3511" s="73"/>
      <c r="F3511" s="73"/>
      <c r="G3511" s="73"/>
    </row>
    <row r="3512" spans="2:7" ht="32.25" customHeight="1" x14ac:dyDescent="0.35">
      <c r="B3512" s="73"/>
      <c r="C3512" s="73"/>
      <c r="D3512" s="73"/>
      <c r="E3512" s="73"/>
      <c r="F3512" s="73"/>
      <c r="G3512" s="73"/>
    </row>
    <row r="3513" spans="2:7" ht="32.25" customHeight="1" x14ac:dyDescent="0.35">
      <c r="B3513" s="73"/>
      <c r="C3513" s="73"/>
      <c r="D3513" s="73"/>
      <c r="E3513" s="73"/>
      <c r="F3513" s="73"/>
      <c r="G3513" s="73"/>
    </row>
    <row r="3514" spans="2:7" ht="32.25" customHeight="1" x14ac:dyDescent="0.35">
      <c r="B3514" s="73"/>
      <c r="C3514" s="73"/>
      <c r="D3514" s="73"/>
      <c r="E3514" s="73"/>
      <c r="F3514" s="73"/>
      <c r="G3514" s="73"/>
    </row>
    <row r="3515" spans="2:7" ht="32.25" customHeight="1" x14ac:dyDescent="0.35">
      <c r="B3515" s="73"/>
      <c r="C3515" s="73"/>
      <c r="D3515" s="73"/>
      <c r="E3515" s="73"/>
      <c r="F3515" s="73"/>
      <c r="G3515" s="73"/>
    </row>
    <row r="3516" spans="2:7" ht="32.25" customHeight="1" x14ac:dyDescent="0.35">
      <c r="B3516" s="73"/>
      <c r="C3516" s="73"/>
      <c r="D3516" s="73"/>
      <c r="E3516" s="73"/>
      <c r="F3516" s="73"/>
      <c r="G3516" s="73"/>
    </row>
    <row r="3517" spans="2:7" ht="32.25" customHeight="1" x14ac:dyDescent="0.35">
      <c r="B3517" s="73"/>
      <c r="C3517" s="73"/>
      <c r="D3517" s="73"/>
      <c r="E3517" s="73"/>
      <c r="F3517" s="73"/>
      <c r="G3517" s="73"/>
    </row>
    <row r="3518" spans="2:7" ht="32.25" customHeight="1" x14ac:dyDescent="0.35">
      <c r="B3518" s="73"/>
      <c r="C3518" s="73"/>
      <c r="D3518" s="73"/>
      <c r="E3518" s="73"/>
      <c r="F3518" s="73"/>
      <c r="G3518" s="73"/>
    </row>
    <row r="3519" spans="2:7" ht="32.25" customHeight="1" x14ac:dyDescent="0.35">
      <c r="B3519" s="73"/>
      <c r="C3519" s="73"/>
      <c r="D3519" s="73"/>
      <c r="E3519" s="73"/>
      <c r="F3519" s="73"/>
      <c r="G3519" s="73"/>
    </row>
    <row r="3520" spans="2:7" ht="32.25" customHeight="1" x14ac:dyDescent="0.35">
      <c r="B3520" s="73"/>
      <c r="C3520" s="73"/>
      <c r="D3520" s="73"/>
      <c r="E3520" s="73"/>
      <c r="F3520" s="73"/>
      <c r="G3520" s="73"/>
    </row>
    <row r="3521" spans="2:7" ht="32.25" customHeight="1" x14ac:dyDescent="0.35">
      <c r="B3521" s="73"/>
      <c r="C3521" s="73"/>
      <c r="D3521" s="73"/>
      <c r="E3521" s="73"/>
      <c r="F3521" s="73"/>
      <c r="G3521" s="73"/>
    </row>
    <row r="3522" spans="2:7" ht="32.25" customHeight="1" x14ac:dyDescent="0.35">
      <c r="B3522" s="73"/>
      <c r="C3522" s="73"/>
      <c r="D3522" s="73"/>
      <c r="E3522" s="73"/>
      <c r="F3522" s="73"/>
      <c r="G3522" s="73"/>
    </row>
    <row r="3523" spans="2:7" ht="32.25" customHeight="1" x14ac:dyDescent="0.35">
      <c r="B3523" s="73"/>
      <c r="C3523" s="73"/>
      <c r="D3523" s="73"/>
      <c r="E3523" s="73"/>
      <c r="F3523" s="73"/>
      <c r="G3523" s="73"/>
    </row>
    <row r="3524" spans="2:7" ht="32.25" customHeight="1" x14ac:dyDescent="0.35">
      <c r="B3524" s="73"/>
      <c r="C3524" s="73"/>
      <c r="D3524" s="73"/>
      <c r="E3524" s="73"/>
      <c r="F3524" s="73"/>
      <c r="G3524" s="73"/>
    </row>
    <row r="3525" spans="2:7" ht="32.25" customHeight="1" x14ac:dyDescent="0.35">
      <c r="B3525" s="73"/>
      <c r="C3525" s="73"/>
      <c r="D3525" s="73"/>
      <c r="E3525" s="73"/>
      <c r="F3525" s="73"/>
      <c r="G3525" s="73"/>
    </row>
    <row r="3526" spans="2:7" ht="32.25" customHeight="1" x14ac:dyDescent="0.35">
      <c r="B3526" s="73"/>
      <c r="C3526" s="73"/>
      <c r="D3526" s="73"/>
      <c r="E3526" s="73"/>
      <c r="F3526" s="73"/>
      <c r="G3526" s="73"/>
    </row>
    <row r="3527" spans="2:7" ht="32.25" customHeight="1" x14ac:dyDescent="0.35">
      <c r="B3527" s="73"/>
      <c r="C3527" s="73"/>
      <c r="D3527" s="73"/>
      <c r="E3527" s="73"/>
      <c r="F3527" s="73"/>
      <c r="G3527" s="73"/>
    </row>
    <row r="3528" spans="2:7" ht="32.25" customHeight="1" x14ac:dyDescent="0.35">
      <c r="B3528" s="73"/>
      <c r="C3528" s="73"/>
      <c r="D3528" s="73"/>
      <c r="E3528" s="73"/>
      <c r="F3528" s="73"/>
      <c r="G3528" s="73"/>
    </row>
    <row r="3529" spans="2:7" ht="32.25" customHeight="1" x14ac:dyDescent="0.35">
      <c r="B3529" s="73"/>
      <c r="C3529" s="73"/>
      <c r="D3529" s="73"/>
      <c r="E3529" s="73"/>
      <c r="F3529" s="73"/>
      <c r="G3529" s="73"/>
    </row>
    <row r="3530" spans="2:7" ht="32.25" customHeight="1" x14ac:dyDescent="0.35">
      <c r="B3530" s="73"/>
      <c r="C3530" s="73"/>
      <c r="D3530" s="73"/>
      <c r="E3530" s="73"/>
      <c r="F3530" s="73"/>
      <c r="G3530" s="73"/>
    </row>
    <row r="3531" spans="2:7" ht="32.25" customHeight="1" x14ac:dyDescent="0.35">
      <c r="B3531" s="73"/>
      <c r="C3531" s="73"/>
      <c r="D3531" s="73"/>
      <c r="E3531" s="73"/>
      <c r="F3531" s="73"/>
      <c r="G3531" s="73"/>
    </row>
    <row r="3532" spans="2:7" ht="32.25" customHeight="1" x14ac:dyDescent="0.35">
      <c r="B3532" s="73"/>
      <c r="C3532" s="73"/>
      <c r="D3532" s="73"/>
      <c r="E3532" s="73"/>
      <c r="F3532" s="73"/>
      <c r="G3532" s="73"/>
    </row>
    <row r="3533" spans="2:7" ht="32.25" customHeight="1" x14ac:dyDescent="0.35">
      <c r="B3533" s="73"/>
      <c r="C3533" s="73"/>
      <c r="D3533" s="73"/>
      <c r="E3533" s="73"/>
      <c r="F3533" s="73"/>
      <c r="G3533" s="73"/>
    </row>
    <row r="3534" spans="2:7" ht="32.25" customHeight="1" x14ac:dyDescent="0.35">
      <c r="B3534" s="73"/>
      <c r="C3534" s="73"/>
      <c r="D3534" s="73"/>
      <c r="E3534" s="73"/>
      <c r="F3534" s="73"/>
      <c r="G3534" s="73"/>
    </row>
    <row r="3535" spans="2:7" ht="32.25" customHeight="1" x14ac:dyDescent="0.35">
      <c r="B3535" s="73"/>
      <c r="C3535" s="73"/>
      <c r="D3535" s="73"/>
      <c r="E3535" s="73"/>
      <c r="F3535" s="73"/>
      <c r="G3535" s="73"/>
    </row>
    <row r="3536" spans="2:7" ht="32.25" customHeight="1" x14ac:dyDescent="0.35">
      <c r="B3536" s="73"/>
      <c r="C3536" s="73"/>
      <c r="D3536" s="73"/>
      <c r="E3536" s="73"/>
      <c r="F3536" s="73"/>
      <c r="G3536" s="73"/>
    </row>
    <row r="3537" spans="2:7" ht="32.25" customHeight="1" x14ac:dyDescent="0.35">
      <c r="B3537" s="73"/>
      <c r="C3537" s="73"/>
      <c r="D3537" s="73"/>
      <c r="E3537" s="73"/>
      <c r="F3537" s="73"/>
      <c r="G3537" s="73"/>
    </row>
    <row r="3538" spans="2:7" ht="32.25" customHeight="1" x14ac:dyDescent="0.35">
      <c r="B3538" s="73"/>
      <c r="C3538" s="73"/>
      <c r="D3538" s="73"/>
      <c r="E3538" s="73"/>
      <c r="F3538" s="73"/>
      <c r="G3538" s="73"/>
    </row>
    <row r="3539" spans="2:7" ht="32.25" customHeight="1" x14ac:dyDescent="0.35">
      <c r="B3539" s="73"/>
      <c r="C3539" s="73"/>
      <c r="D3539" s="73"/>
      <c r="E3539" s="73"/>
      <c r="F3539" s="73"/>
      <c r="G3539" s="73"/>
    </row>
    <row r="3540" spans="2:7" ht="32.25" customHeight="1" x14ac:dyDescent="0.35">
      <c r="B3540" s="73"/>
      <c r="C3540" s="73"/>
      <c r="D3540" s="73"/>
      <c r="E3540" s="73"/>
      <c r="F3540" s="73"/>
      <c r="G3540" s="73"/>
    </row>
    <row r="3541" spans="2:7" ht="32.25" customHeight="1" x14ac:dyDescent="0.35">
      <c r="B3541" s="73"/>
      <c r="C3541" s="73"/>
      <c r="D3541" s="73"/>
      <c r="E3541" s="73"/>
      <c r="F3541" s="73"/>
      <c r="G3541" s="73"/>
    </row>
    <row r="3542" spans="2:7" ht="32.25" customHeight="1" x14ac:dyDescent="0.35">
      <c r="B3542" s="73"/>
      <c r="C3542" s="73"/>
      <c r="D3542" s="73"/>
      <c r="E3542" s="73"/>
      <c r="F3542" s="73"/>
      <c r="G3542" s="73"/>
    </row>
    <row r="3543" spans="2:7" ht="32.25" customHeight="1" x14ac:dyDescent="0.35">
      <c r="B3543" s="73"/>
      <c r="C3543" s="73"/>
      <c r="D3543" s="73"/>
      <c r="E3543" s="73"/>
      <c r="F3543" s="73"/>
      <c r="G3543" s="73"/>
    </row>
    <row r="3544" spans="2:7" ht="32.25" customHeight="1" x14ac:dyDescent="0.35">
      <c r="B3544" s="73"/>
      <c r="C3544" s="73"/>
      <c r="D3544" s="73"/>
      <c r="E3544" s="73"/>
      <c r="F3544" s="73"/>
      <c r="G3544" s="73"/>
    </row>
    <row r="3545" spans="2:7" ht="32.25" customHeight="1" x14ac:dyDescent="0.35">
      <c r="B3545" s="73"/>
      <c r="C3545" s="73"/>
      <c r="D3545" s="73"/>
      <c r="E3545" s="73"/>
      <c r="F3545" s="73"/>
      <c r="G3545" s="73"/>
    </row>
    <row r="3546" spans="2:7" ht="32.25" customHeight="1" x14ac:dyDescent="0.35">
      <c r="B3546" s="73"/>
      <c r="C3546" s="73"/>
      <c r="D3546" s="73"/>
      <c r="E3546" s="73"/>
      <c r="F3546" s="73"/>
      <c r="G3546" s="73"/>
    </row>
    <row r="3547" spans="2:7" ht="32.25" customHeight="1" x14ac:dyDescent="0.35">
      <c r="B3547" s="73"/>
      <c r="C3547" s="73"/>
      <c r="D3547" s="73"/>
      <c r="E3547" s="73"/>
      <c r="F3547" s="73"/>
      <c r="G3547" s="73"/>
    </row>
    <row r="3548" spans="2:7" ht="32.25" customHeight="1" x14ac:dyDescent="0.35">
      <c r="B3548" s="73"/>
      <c r="C3548" s="73"/>
      <c r="D3548" s="73"/>
      <c r="E3548" s="73"/>
      <c r="F3548" s="73"/>
      <c r="G3548" s="73"/>
    </row>
    <row r="3549" spans="2:7" ht="32.25" customHeight="1" x14ac:dyDescent="0.35">
      <c r="B3549" s="73"/>
      <c r="C3549" s="73"/>
      <c r="D3549" s="73"/>
      <c r="E3549" s="73"/>
      <c r="F3549" s="73"/>
      <c r="G3549" s="73"/>
    </row>
    <row r="3550" spans="2:7" ht="32.25" customHeight="1" x14ac:dyDescent="0.35">
      <c r="B3550" s="73"/>
      <c r="C3550" s="73"/>
      <c r="D3550" s="73"/>
      <c r="E3550" s="73"/>
      <c r="F3550" s="73"/>
      <c r="G3550" s="73"/>
    </row>
    <row r="3551" spans="2:7" ht="32.25" customHeight="1" x14ac:dyDescent="0.35">
      <c r="B3551" s="73"/>
      <c r="C3551" s="73"/>
      <c r="D3551" s="73"/>
      <c r="E3551" s="73"/>
      <c r="F3551" s="73"/>
      <c r="G3551" s="73"/>
    </row>
    <row r="3552" spans="2:7" ht="32.25" customHeight="1" x14ac:dyDescent="0.35">
      <c r="B3552" s="73"/>
      <c r="C3552" s="73"/>
      <c r="D3552" s="73"/>
      <c r="E3552" s="73"/>
      <c r="F3552" s="73"/>
      <c r="G3552" s="73"/>
    </row>
    <row r="3553" spans="2:7" ht="32.25" customHeight="1" x14ac:dyDescent="0.35">
      <c r="B3553" s="73"/>
      <c r="C3553" s="73"/>
      <c r="D3553" s="73"/>
      <c r="E3553" s="73"/>
      <c r="F3553" s="73"/>
      <c r="G3553" s="73"/>
    </row>
    <row r="3554" spans="2:7" ht="32.25" customHeight="1" x14ac:dyDescent="0.35">
      <c r="B3554" s="73"/>
      <c r="C3554" s="73"/>
      <c r="D3554" s="73"/>
      <c r="E3554" s="73"/>
      <c r="F3554" s="73"/>
      <c r="G3554" s="73"/>
    </row>
    <row r="3555" spans="2:7" ht="32.25" customHeight="1" x14ac:dyDescent="0.35">
      <c r="B3555" s="73"/>
      <c r="C3555" s="73"/>
      <c r="D3555" s="73"/>
      <c r="E3555" s="73"/>
      <c r="F3555" s="73"/>
      <c r="G3555" s="73"/>
    </row>
    <row r="3556" spans="2:7" ht="32.25" customHeight="1" x14ac:dyDescent="0.35">
      <c r="B3556" s="73"/>
      <c r="C3556" s="73"/>
      <c r="D3556" s="73"/>
      <c r="E3556" s="73"/>
      <c r="F3556" s="73"/>
      <c r="G3556" s="73"/>
    </row>
    <row r="3557" spans="2:7" ht="32.25" customHeight="1" x14ac:dyDescent="0.35">
      <c r="B3557" s="73"/>
      <c r="C3557" s="73"/>
      <c r="D3557" s="73"/>
      <c r="E3557" s="73"/>
      <c r="F3557" s="73"/>
      <c r="G3557" s="73"/>
    </row>
    <row r="3558" spans="2:7" ht="32.25" customHeight="1" x14ac:dyDescent="0.35">
      <c r="B3558" s="73"/>
      <c r="C3558" s="73"/>
      <c r="D3558" s="73"/>
      <c r="E3558" s="73"/>
      <c r="F3558" s="73"/>
      <c r="G3558" s="73"/>
    </row>
    <row r="3559" spans="2:7" ht="32.25" customHeight="1" x14ac:dyDescent="0.35">
      <c r="B3559" s="73"/>
      <c r="C3559" s="73"/>
      <c r="D3559" s="73"/>
      <c r="E3559" s="73"/>
      <c r="F3559" s="73"/>
      <c r="G3559" s="73"/>
    </row>
    <row r="3560" spans="2:7" ht="32.25" customHeight="1" x14ac:dyDescent="0.35">
      <c r="B3560" s="73"/>
      <c r="C3560" s="73"/>
      <c r="D3560" s="73"/>
      <c r="E3560" s="73"/>
      <c r="F3560" s="73"/>
      <c r="G3560" s="73"/>
    </row>
    <row r="3561" spans="2:7" ht="32.25" customHeight="1" x14ac:dyDescent="0.35">
      <c r="B3561" s="73"/>
      <c r="C3561" s="73"/>
      <c r="D3561" s="73"/>
      <c r="E3561" s="73"/>
      <c r="F3561" s="73"/>
      <c r="G3561" s="73"/>
    </row>
    <row r="3562" spans="2:7" ht="32.25" customHeight="1" x14ac:dyDescent="0.35">
      <c r="B3562" s="73"/>
      <c r="C3562" s="73"/>
      <c r="D3562" s="73"/>
      <c r="E3562" s="73"/>
      <c r="F3562" s="73"/>
      <c r="G3562" s="73"/>
    </row>
    <row r="3563" spans="2:7" ht="32.25" customHeight="1" x14ac:dyDescent="0.35">
      <c r="B3563" s="73"/>
      <c r="C3563" s="73"/>
      <c r="D3563" s="73"/>
      <c r="E3563" s="73"/>
      <c r="F3563" s="73"/>
      <c r="G3563" s="73"/>
    </row>
    <row r="3564" spans="2:7" ht="32.25" customHeight="1" x14ac:dyDescent="0.35">
      <c r="B3564" s="73"/>
      <c r="C3564" s="73"/>
      <c r="D3564" s="73"/>
      <c r="E3564" s="73"/>
      <c r="F3564" s="73"/>
      <c r="G3564" s="73"/>
    </row>
    <row r="3565" spans="2:7" ht="32.25" customHeight="1" x14ac:dyDescent="0.35">
      <c r="B3565" s="73"/>
      <c r="C3565" s="73"/>
      <c r="D3565" s="73"/>
      <c r="E3565" s="73"/>
      <c r="F3565" s="73"/>
      <c r="G3565" s="73"/>
    </row>
    <row r="3566" spans="2:7" ht="32.25" customHeight="1" x14ac:dyDescent="0.35">
      <c r="B3566" s="73"/>
      <c r="C3566" s="73"/>
      <c r="D3566" s="73"/>
      <c r="E3566" s="73"/>
      <c r="F3566" s="73"/>
      <c r="G3566" s="73"/>
    </row>
    <row r="3567" spans="2:7" ht="32.25" customHeight="1" x14ac:dyDescent="0.35">
      <c r="B3567" s="73"/>
      <c r="C3567" s="73"/>
      <c r="D3567" s="73"/>
      <c r="E3567" s="73"/>
      <c r="F3567" s="73"/>
      <c r="G3567" s="73"/>
    </row>
    <row r="3568" spans="2:7" ht="32.25" customHeight="1" x14ac:dyDescent="0.35">
      <c r="B3568" s="73"/>
      <c r="C3568" s="73"/>
      <c r="D3568" s="73"/>
      <c r="E3568" s="73"/>
      <c r="F3568" s="73"/>
      <c r="G3568" s="73"/>
    </row>
    <row r="3569" spans="2:7" ht="32.25" customHeight="1" x14ac:dyDescent="0.35">
      <c r="B3569" s="73"/>
      <c r="C3569" s="73"/>
      <c r="D3569" s="73"/>
      <c r="E3569" s="73"/>
      <c r="F3569" s="73"/>
      <c r="G3569" s="73"/>
    </row>
    <row r="3570" spans="2:7" ht="32.25" customHeight="1" x14ac:dyDescent="0.35">
      <c r="B3570" s="73"/>
      <c r="C3570" s="73"/>
      <c r="D3570" s="73"/>
      <c r="E3570" s="73"/>
      <c r="F3570" s="73"/>
      <c r="G3570" s="73"/>
    </row>
    <row r="3571" spans="2:7" ht="32.25" customHeight="1" x14ac:dyDescent="0.35">
      <c r="B3571" s="73"/>
      <c r="C3571" s="73"/>
      <c r="D3571" s="73"/>
      <c r="E3571" s="73"/>
      <c r="F3571" s="73"/>
      <c r="G3571" s="73"/>
    </row>
    <row r="3572" spans="2:7" ht="32.25" customHeight="1" x14ac:dyDescent="0.35">
      <c r="B3572" s="73"/>
      <c r="C3572" s="73"/>
      <c r="D3572" s="73"/>
      <c r="E3572" s="73"/>
      <c r="F3572" s="73"/>
      <c r="G3572" s="73"/>
    </row>
    <row r="3573" spans="2:7" ht="32.25" customHeight="1" x14ac:dyDescent="0.35">
      <c r="B3573" s="73"/>
      <c r="C3573" s="73"/>
      <c r="D3573" s="73"/>
      <c r="E3573" s="73"/>
      <c r="F3573" s="73"/>
      <c r="G3573" s="73"/>
    </row>
    <row r="3574" spans="2:7" ht="32.25" customHeight="1" x14ac:dyDescent="0.35">
      <c r="B3574" s="73"/>
      <c r="C3574" s="73"/>
      <c r="D3574" s="73"/>
      <c r="E3574" s="73"/>
      <c r="F3574" s="73"/>
      <c r="G3574" s="73"/>
    </row>
    <row r="3575" spans="2:7" ht="32.25" customHeight="1" x14ac:dyDescent="0.35">
      <c r="B3575" s="73"/>
      <c r="C3575" s="73"/>
      <c r="D3575" s="73"/>
      <c r="E3575" s="73"/>
      <c r="F3575" s="73"/>
      <c r="G3575" s="73"/>
    </row>
    <row r="3576" spans="2:7" ht="32.25" customHeight="1" x14ac:dyDescent="0.35">
      <c r="B3576" s="73"/>
      <c r="C3576" s="73"/>
      <c r="D3576" s="73"/>
      <c r="E3576" s="73"/>
      <c r="F3576" s="73"/>
      <c r="G3576" s="73"/>
    </row>
    <row r="3577" spans="2:7" ht="32.25" customHeight="1" x14ac:dyDescent="0.35">
      <c r="B3577" s="73"/>
      <c r="C3577" s="73"/>
      <c r="D3577" s="73"/>
      <c r="E3577" s="73"/>
      <c r="F3577" s="73"/>
      <c r="G3577" s="73"/>
    </row>
    <row r="3578" spans="2:7" ht="32.25" customHeight="1" x14ac:dyDescent="0.35">
      <c r="B3578" s="73"/>
      <c r="C3578" s="73"/>
      <c r="D3578" s="73"/>
      <c r="E3578" s="73"/>
      <c r="F3578" s="73"/>
      <c r="G3578" s="73"/>
    </row>
    <row r="3579" spans="2:7" ht="32.25" customHeight="1" x14ac:dyDescent="0.35">
      <c r="B3579" s="73"/>
      <c r="C3579" s="73"/>
      <c r="D3579" s="73"/>
      <c r="E3579" s="73"/>
      <c r="F3579" s="73"/>
      <c r="G3579" s="73"/>
    </row>
    <row r="3580" spans="2:7" ht="32.25" customHeight="1" x14ac:dyDescent="0.35">
      <c r="B3580" s="73"/>
      <c r="C3580" s="73"/>
      <c r="D3580" s="73"/>
      <c r="E3580" s="73"/>
      <c r="F3580" s="73"/>
      <c r="G3580" s="73"/>
    </row>
    <row r="3581" spans="2:7" ht="32.25" customHeight="1" x14ac:dyDescent="0.35">
      <c r="B3581" s="73"/>
      <c r="C3581" s="73"/>
      <c r="D3581" s="73"/>
      <c r="E3581" s="73"/>
      <c r="F3581" s="73"/>
      <c r="G3581" s="73"/>
    </row>
    <row r="3582" spans="2:7" ht="32.25" customHeight="1" x14ac:dyDescent="0.35">
      <c r="B3582" s="73"/>
      <c r="C3582" s="73"/>
      <c r="D3582" s="73"/>
      <c r="E3582" s="73"/>
      <c r="F3582" s="73"/>
      <c r="G3582" s="73"/>
    </row>
    <row r="3583" spans="2:7" ht="32.25" customHeight="1" x14ac:dyDescent="0.35">
      <c r="B3583" s="73"/>
      <c r="C3583" s="73"/>
      <c r="D3583" s="73"/>
      <c r="E3583" s="73"/>
      <c r="F3583" s="73"/>
      <c r="G3583" s="73"/>
    </row>
    <row r="3584" spans="2:7" ht="32.25" customHeight="1" x14ac:dyDescent="0.35">
      <c r="B3584" s="73"/>
      <c r="C3584" s="73"/>
      <c r="D3584" s="73"/>
      <c r="E3584" s="73"/>
      <c r="F3584" s="73"/>
      <c r="G3584" s="73"/>
    </row>
    <row r="3585" spans="2:7" ht="32.25" customHeight="1" x14ac:dyDescent="0.35">
      <c r="B3585" s="73"/>
      <c r="C3585" s="73"/>
      <c r="D3585" s="73"/>
      <c r="E3585" s="73"/>
      <c r="F3585" s="73"/>
      <c r="G3585" s="73"/>
    </row>
    <row r="3586" spans="2:7" ht="32.25" customHeight="1" x14ac:dyDescent="0.35">
      <c r="B3586" s="73"/>
      <c r="C3586" s="73"/>
      <c r="D3586" s="73"/>
      <c r="E3586" s="73"/>
      <c r="F3586" s="73"/>
      <c r="G3586" s="73"/>
    </row>
    <row r="3587" spans="2:7" ht="32.25" customHeight="1" x14ac:dyDescent="0.35">
      <c r="B3587" s="73"/>
      <c r="C3587" s="73"/>
      <c r="D3587" s="73"/>
      <c r="E3587" s="73"/>
      <c r="F3587" s="73"/>
      <c r="G3587" s="73"/>
    </row>
    <row r="3588" spans="2:7" ht="32.25" customHeight="1" x14ac:dyDescent="0.35">
      <c r="B3588" s="73"/>
      <c r="C3588" s="73"/>
      <c r="D3588" s="73"/>
      <c r="E3588" s="73"/>
      <c r="F3588" s="73"/>
      <c r="G3588" s="73"/>
    </row>
    <row r="3589" spans="2:7" ht="32.25" customHeight="1" x14ac:dyDescent="0.35">
      <c r="B3589" s="73"/>
      <c r="C3589" s="73"/>
      <c r="D3589" s="73"/>
      <c r="E3589" s="73"/>
      <c r="F3589" s="73"/>
      <c r="G3589" s="73"/>
    </row>
    <row r="3590" spans="2:7" ht="32.25" customHeight="1" x14ac:dyDescent="0.35">
      <c r="B3590" s="73"/>
      <c r="C3590" s="73"/>
      <c r="D3590" s="73"/>
      <c r="E3590" s="73"/>
      <c r="F3590" s="73"/>
      <c r="G3590" s="73"/>
    </row>
    <row r="3591" spans="2:7" ht="32.25" customHeight="1" x14ac:dyDescent="0.35">
      <c r="B3591" s="73"/>
      <c r="C3591" s="73"/>
      <c r="D3591" s="73"/>
      <c r="E3591" s="73"/>
      <c r="F3591" s="73"/>
      <c r="G3591" s="73"/>
    </row>
    <row r="3592" spans="2:7" ht="32.25" customHeight="1" x14ac:dyDescent="0.35">
      <c r="B3592" s="73"/>
      <c r="C3592" s="73"/>
      <c r="D3592" s="73"/>
      <c r="E3592" s="73"/>
      <c r="F3592" s="73"/>
      <c r="G3592" s="73"/>
    </row>
    <row r="3593" spans="2:7" ht="32.25" customHeight="1" x14ac:dyDescent="0.35">
      <c r="B3593" s="73"/>
      <c r="C3593" s="73"/>
      <c r="D3593" s="73"/>
      <c r="E3593" s="73"/>
      <c r="F3593" s="73"/>
      <c r="G3593" s="73"/>
    </row>
    <row r="3594" spans="2:7" ht="32.25" customHeight="1" x14ac:dyDescent="0.35">
      <c r="B3594" s="73"/>
      <c r="C3594" s="73"/>
      <c r="D3594" s="73"/>
      <c r="E3594" s="73"/>
      <c r="F3594" s="73"/>
      <c r="G3594" s="73"/>
    </row>
    <row r="3595" spans="2:7" ht="32.25" customHeight="1" x14ac:dyDescent="0.35">
      <c r="B3595" s="73"/>
      <c r="C3595" s="73"/>
      <c r="D3595" s="73"/>
      <c r="E3595" s="73"/>
      <c r="F3595" s="73"/>
      <c r="G3595" s="73"/>
    </row>
    <row r="3596" spans="2:7" ht="32.25" customHeight="1" x14ac:dyDescent="0.35">
      <c r="B3596" s="73"/>
      <c r="C3596" s="73"/>
      <c r="D3596" s="73"/>
      <c r="E3596" s="73"/>
      <c r="F3596" s="73"/>
      <c r="G3596" s="73"/>
    </row>
    <row r="3597" spans="2:7" ht="32.25" customHeight="1" x14ac:dyDescent="0.35">
      <c r="B3597" s="73"/>
      <c r="C3597" s="73"/>
      <c r="D3597" s="73"/>
      <c r="E3597" s="73"/>
      <c r="F3597" s="73"/>
      <c r="G3597" s="73"/>
    </row>
    <row r="3598" spans="2:7" ht="32.25" customHeight="1" x14ac:dyDescent="0.35">
      <c r="B3598" s="73"/>
      <c r="C3598" s="73"/>
      <c r="D3598" s="73"/>
      <c r="E3598" s="73"/>
      <c r="F3598" s="73"/>
      <c r="G3598" s="73"/>
    </row>
    <row r="3599" spans="2:7" ht="32.25" customHeight="1" x14ac:dyDescent="0.35">
      <c r="B3599" s="73"/>
      <c r="C3599" s="73"/>
      <c r="D3599" s="73"/>
      <c r="E3599" s="73"/>
      <c r="F3599" s="73"/>
      <c r="G3599" s="73"/>
    </row>
    <row r="3600" spans="2:7" ht="32.25" customHeight="1" x14ac:dyDescent="0.35">
      <c r="B3600" s="73"/>
      <c r="C3600" s="73"/>
      <c r="D3600" s="73"/>
      <c r="E3600" s="73"/>
      <c r="F3600" s="73"/>
      <c r="G3600" s="73"/>
    </row>
    <row r="3601" spans="2:7" ht="32.25" customHeight="1" x14ac:dyDescent="0.35">
      <c r="B3601" s="73"/>
      <c r="C3601" s="73"/>
      <c r="D3601" s="73"/>
      <c r="E3601" s="73"/>
      <c r="F3601" s="73"/>
      <c r="G3601" s="73"/>
    </row>
    <row r="3602" spans="2:7" ht="32.25" customHeight="1" x14ac:dyDescent="0.35">
      <c r="B3602" s="73"/>
      <c r="C3602" s="73"/>
      <c r="D3602" s="73"/>
      <c r="E3602" s="73"/>
      <c r="F3602" s="73"/>
      <c r="G3602" s="73"/>
    </row>
    <row r="3603" spans="2:7" ht="32.25" customHeight="1" x14ac:dyDescent="0.35">
      <c r="B3603" s="73"/>
      <c r="C3603" s="73"/>
      <c r="D3603" s="73"/>
      <c r="E3603" s="73"/>
      <c r="F3603" s="73"/>
      <c r="G3603" s="73"/>
    </row>
    <row r="3604" spans="2:7" ht="32.25" customHeight="1" x14ac:dyDescent="0.35">
      <c r="B3604" s="73"/>
      <c r="C3604" s="73"/>
      <c r="D3604" s="73"/>
      <c r="E3604" s="73"/>
      <c r="F3604" s="73"/>
      <c r="G3604" s="73"/>
    </row>
    <row r="3605" spans="2:7" ht="32.25" customHeight="1" x14ac:dyDescent="0.35">
      <c r="B3605" s="73"/>
      <c r="C3605" s="73"/>
      <c r="D3605" s="73"/>
      <c r="E3605" s="73"/>
      <c r="F3605" s="73"/>
      <c r="G3605" s="73"/>
    </row>
    <row r="3606" spans="2:7" ht="32.25" customHeight="1" x14ac:dyDescent="0.35">
      <c r="B3606" s="73"/>
      <c r="C3606" s="73"/>
      <c r="D3606" s="73"/>
      <c r="E3606" s="73"/>
      <c r="F3606" s="73"/>
      <c r="G3606" s="73"/>
    </row>
    <row r="3607" spans="2:7" ht="32.25" customHeight="1" x14ac:dyDescent="0.35">
      <c r="B3607" s="73"/>
      <c r="C3607" s="73"/>
      <c r="D3607" s="73"/>
      <c r="E3607" s="73"/>
      <c r="F3607" s="73"/>
      <c r="G3607" s="73"/>
    </row>
    <row r="3608" spans="2:7" ht="32.25" customHeight="1" x14ac:dyDescent="0.35">
      <c r="B3608" s="73"/>
      <c r="C3608" s="73"/>
      <c r="D3608" s="73"/>
      <c r="E3608" s="73"/>
      <c r="F3608" s="73"/>
      <c r="G3608" s="73"/>
    </row>
    <row r="3609" spans="2:7" ht="32.25" customHeight="1" x14ac:dyDescent="0.35">
      <c r="B3609" s="73"/>
      <c r="C3609" s="73"/>
      <c r="D3609" s="73"/>
      <c r="E3609" s="73"/>
      <c r="F3609" s="73"/>
      <c r="G3609" s="73"/>
    </row>
    <row r="3610" spans="2:7" ht="32.25" customHeight="1" x14ac:dyDescent="0.35">
      <c r="B3610" s="73"/>
      <c r="C3610" s="73"/>
      <c r="D3610" s="73"/>
      <c r="E3610" s="73"/>
      <c r="F3610" s="73"/>
      <c r="G3610" s="73"/>
    </row>
    <row r="3611" spans="2:7" ht="32.25" customHeight="1" x14ac:dyDescent="0.35">
      <c r="B3611" s="73"/>
      <c r="C3611" s="73"/>
      <c r="D3611" s="73"/>
      <c r="E3611" s="73"/>
      <c r="F3611" s="73"/>
      <c r="G3611" s="73"/>
    </row>
    <row r="3612" spans="2:7" ht="32.25" customHeight="1" x14ac:dyDescent="0.35">
      <c r="B3612" s="73"/>
      <c r="C3612" s="73"/>
      <c r="D3612" s="73"/>
      <c r="E3612" s="73"/>
      <c r="F3612" s="73"/>
      <c r="G3612" s="73"/>
    </row>
    <row r="3613" spans="2:7" ht="32.25" customHeight="1" x14ac:dyDescent="0.35">
      <c r="B3613" s="73"/>
      <c r="C3613" s="73"/>
      <c r="D3613" s="73"/>
      <c r="E3613" s="73"/>
      <c r="F3613" s="73"/>
      <c r="G3613" s="73"/>
    </row>
    <row r="3614" spans="2:7" ht="32.25" customHeight="1" x14ac:dyDescent="0.35">
      <c r="B3614" s="73"/>
      <c r="C3614" s="73"/>
      <c r="D3614" s="73"/>
      <c r="E3614" s="73"/>
      <c r="F3614" s="73"/>
      <c r="G3614" s="73"/>
    </row>
    <row r="3615" spans="2:7" ht="32.25" customHeight="1" x14ac:dyDescent="0.35">
      <c r="B3615" s="73"/>
      <c r="C3615" s="73"/>
      <c r="D3615" s="73"/>
      <c r="E3615" s="73"/>
      <c r="F3615" s="73"/>
      <c r="G3615" s="73"/>
    </row>
    <row r="3616" spans="2:7" ht="32.25" customHeight="1" x14ac:dyDescent="0.35">
      <c r="B3616" s="73"/>
      <c r="C3616" s="73"/>
      <c r="D3616" s="73"/>
      <c r="E3616" s="73"/>
      <c r="F3616" s="73"/>
      <c r="G3616" s="73"/>
    </row>
    <row r="3617" spans="2:7" ht="32.25" customHeight="1" x14ac:dyDescent="0.35">
      <c r="B3617" s="73"/>
      <c r="C3617" s="73"/>
      <c r="D3617" s="73"/>
      <c r="E3617" s="73"/>
      <c r="F3617" s="73"/>
      <c r="G3617" s="73"/>
    </row>
    <row r="3618" spans="2:7" ht="32.25" customHeight="1" x14ac:dyDescent="0.35">
      <c r="B3618" s="73"/>
      <c r="C3618" s="73"/>
      <c r="D3618" s="73"/>
      <c r="E3618" s="73"/>
      <c r="F3618" s="73"/>
      <c r="G3618" s="73"/>
    </row>
    <row r="3619" spans="2:7" ht="32.25" customHeight="1" x14ac:dyDescent="0.35">
      <c r="B3619" s="73"/>
      <c r="C3619" s="73"/>
      <c r="D3619" s="73"/>
      <c r="E3619" s="73"/>
      <c r="F3619" s="73"/>
      <c r="G3619" s="73"/>
    </row>
    <row r="3620" spans="2:7" ht="32.25" customHeight="1" x14ac:dyDescent="0.35">
      <c r="B3620" s="73"/>
      <c r="C3620" s="73"/>
      <c r="D3620" s="73"/>
      <c r="E3620" s="73"/>
      <c r="F3620" s="73"/>
      <c r="G3620" s="73"/>
    </row>
    <row r="3621" spans="2:7" ht="32.25" customHeight="1" x14ac:dyDescent="0.35">
      <c r="B3621" s="73"/>
      <c r="C3621" s="73"/>
      <c r="D3621" s="73"/>
      <c r="E3621" s="73"/>
      <c r="F3621" s="73"/>
      <c r="G3621" s="73"/>
    </row>
    <row r="3622" spans="2:7" ht="32.25" customHeight="1" x14ac:dyDescent="0.35">
      <c r="B3622" s="73"/>
      <c r="C3622" s="73"/>
      <c r="D3622" s="73"/>
      <c r="E3622" s="73"/>
      <c r="F3622" s="73"/>
      <c r="G3622" s="73"/>
    </row>
    <row r="3623" spans="2:7" ht="32.25" customHeight="1" x14ac:dyDescent="0.35">
      <c r="B3623" s="73"/>
      <c r="C3623" s="73"/>
      <c r="D3623" s="73"/>
      <c r="E3623" s="73"/>
      <c r="F3623" s="73"/>
      <c r="G3623" s="73"/>
    </row>
    <row r="3624" spans="2:7" ht="32.25" customHeight="1" x14ac:dyDescent="0.35">
      <c r="B3624" s="73"/>
      <c r="C3624" s="73"/>
      <c r="D3624" s="73"/>
      <c r="E3624" s="73"/>
      <c r="F3624" s="73"/>
      <c r="G3624" s="73"/>
    </row>
    <row r="3625" spans="2:7" ht="32.25" customHeight="1" x14ac:dyDescent="0.35">
      <c r="B3625" s="73"/>
      <c r="C3625" s="73"/>
      <c r="D3625" s="73"/>
      <c r="E3625" s="73"/>
      <c r="F3625" s="73"/>
      <c r="G3625" s="73"/>
    </row>
    <row r="3626" spans="2:7" ht="32.25" customHeight="1" x14ac:dyDescent="0.35">
      <c r="B3626" s="73"/>
      <c r="C3626" s="73"/>
      <c r="D3626" s="73"/>
      <c r="E3626" s="73"/>
      <c r="F3626" s="73"/>
      <c r="G3626" s="73"/>
    </row>
    <row r="3627" spans="2:7" ht="32.25" customHeight="1" x14ac:dyDescent="0.35">
      <c r="B3627" s="73"/>
      <c r="C3627" s="73"/>
      <c r="D3627" s="73"/>
      <c r="E3627" s="73"/>
      <c r="F3627" s="73"/>
      <c r="G3627" s="73"/>
    </row>
    <row r="3628" spans="2:7" ht="32.25" customHeight="1" x14ac:dyDescent="0.35">
      <c r="B3628" s="73"/>
      <c r="C3628" s="73"/>
      <c r="D3628" s="73"/>
      <c r="E3628" s="73"/>
      <c r="F3628" s="73"/>
      <c r="G3628" s="73"/>
    </row>
    <row r="3629" spans="2:7" ht="32.25" customHeight="1" x14ac:dyDescent="0.35">
      <c r="B3629" s="73"/>
      <c r="C3629" s="73"/>
      <c r="D3629" s="73"/>
      <c r="E3629" s="73"/>
      <c r="F3629" s="73"/>
      <c r="G3629" s="73"/>
    </row>
    <row r="3630" spans="2:7" ht="32.25" customHeight="1" x14ac:dyDescent="0.35">
      <c r="B3630" s="73"/>
      <c r="C3630" s="73"/>
      <c r="D3630" s="73"/>
      <c r="E3630" s="73"/>
      <c r="F3630" s="73"/>
      <c r="G3630" s="73"/>
    </row>
    <row r="3631" spans="2:7" ht="32.25" customHeight="1" x14ac:dyDescent="0.35">
      <c r="B3631" s="73"/>
      <c r="C3631" s="73"/>
      <c r="D3631" s="73"/>
      <c r="E3631" s="73"/>
      <c r="F3631" s="73"/>
      <c r="G3631" s="73"/>
    </row>
    <row r="3632" spans="2:7" ht="32.25" customHeight="1" x14ac:dyDescent="0.35">
      <c r="B3632" s="73"/>
      <c r="C3632" s="73"/>
      <c r="D3632" s="73"/>
      <c r="E3632" s="73"/>
      <c r="F3632" s="73"/>
      <c r="G3632" s="73"/>
    </row>
    <row r="3633" spans="2:7" ht="32.25" customHeight="1" x14ac:dyDescent="0.35">
      <c r="B3633" s="73"/>
      <c r="C3633" s="73"/>
      <c r="D3633" s="73"/>
      <c r="E3633" s="73"/>
      <c r="F3633" s="73"/>
      <c r="G3633" s="73"/>
    </row>
    <row r="3634" spans="2:7" ht="32.25" customHeight="1" x14ac:dyDescent="0.35">
      <c r="B3634" s="73"/>
      <c r="C3634" s="73"/>
      <c r="D3634" s="73"/>
      <c r="E3634" s="73"/>
      <c r="F3634" s="73"/>
      <c r="G3634" s="73"/>
    </row>
    <row r="3635" spans="2:7" ht="32.25" customHeight="1" x14ac:dyDescent="0.35">
      <c r="B3635" s="73"/>
      <c r="C3635" s="73"/>
      <c r="D3635" s="73"/>
      <c r="E3635" s="73"/>
      <c r="F3635" s="73"/>
      <c r="G3635" s="73"/>
    </row>
    <row r="3636" spans="2:7" ht="32.25" customHeight="1" x14ac:dyDescent="0.35">
      <c r="B3636" s="73"/>
      <c r="C3636" s="73"/>
      <c r="D3636" s="73"/>
      <c r="E3636" s="73"/>
      <c r="F3636" s="73"/>
      <c r="G3636" s="73"/>
    </row>
    <row r="3637" spans="2:7" ht="32.25" customHeight="1" x14ac:dyDescent="0.35">
      <c r="B3637" s="73"/>
      <c r="C3637" s="73"/>
      <c r="D3637" s="73"/>
      <c r="E3637" s="73"/>
      <c r="F3637" s="73"/>
      <c r="G3637" s="73"/>
    </row>
    <row r="3638" spans="2:7" ht="32.25" customHeight="1" x14ac:dyDescent="0.35">
      <c r="B3638" s="73"/>
      <c r="C3638" s="73"/>
      <c r="D3638" s="73"/>
      <c r="E3638" s="73"/>
      <c r="F3638" s="73"/>
      <c r="G3638" s="73"/>
    </row>
    <row r="3639" spans="2:7" ht="32.25" customHeight="1" x14ac:dyDescent="0.35">
      <c r="B3639" s="73"/>
      <c r="C3639" s="73"/>
      <c r="D3639" s="73"/>
      <c r="E3639" s="73"/>
      <c r="F3639" s="73"/>
      <c r="G3639" s="73"/>
    </row>
    <row r="3640" spans="2:7" ht="32.25" customHeight="1" x14ac:dyDescent="0.35">
      <c r="B3640" s="73"/>
      <c r="C3640" s="73"/>
      <c r="D3640" s="73"/>
      <c r="E3640" s="73"/>
      <c r="F3640" s="73"/>
      <c r="G3640" s="73"/>
    </row>
    <row r="3641" spans="2:7" ht="32.25" customHeight="1" x14ac:dyDescent="0.35">
      <c r="B3641" s="73"/>
      <c r="C3641" s="73"/>
      <c r="D3641" s="73"/>
      <c r="E3641" s="73"/>
      <c r="F3641" s="73"/>
      <c r="G3641" s="73"/>
    </row>
    <row r="3642" spans="2:7" ht="32.25" customHeight="1" x14ac:dyDescent="0.35">
      <c r="B3642" s="73"/>
      <c r="C3642" s="73"/>
      <c r="D3642" s="73"/>
      <c r="E3642" s="73"/>
      <c r="F3642" s="73"/>
      <c r="G3642" s="73"/>
    </row>
    <row r="3643" spans="2:7" ht="32.25" customHeight="1" x14ac:dyDescent="0.35">
      <c r="B3643" s="73"/>
      <c r="C3643" s="73"/>
      <c r="D3643" s="73"/>
      <c r="E3643" s="73"/>
      <c r="F3643" s="73"/>
      <c r="G3643" s="73"/>
    </row>
    <row r="3644" spans="2:7" ht="32.25" customHeight="1" x14ac:dyDescent="0.35">
      <c r="B3644" s="73"/>
      <c r="C3644" s="73"/>
      <c r="D3644" s="73"/>
      <c r="E3644" s="73"/>
      <c r="F3644" s="73"/>
      <c r="G3644" s="73"/>
    </row>
    <row r="3645" spans="2:7" ht="32.25" customHeight="1" x14ac:dyDescent="0.35">
      <c r="B3645" s="73"/>
      <c r="C3645" s="73"/>
      <c r="D3645" s="73"/>
      <c r="E3645" s="73"/>
      <c r="F3645" s="73"/>
      <c r="G3645" s="73"/>
    </row>
    <row r="3646" spans="2:7" ht="32.25" customHeight="1" x14ac:dyDescent="0.35">
      <c r="B3646" s="73"/>
      <c r="C3646" s="73"/>
      <c r="D3646" s="73"/>
      <c r="E3646" s="73"/>
      <c r="F3646" s="73"/>
      <c r="G3646" s="73"/>
    </row>
    <row r="3647" spans="2:7" ht="32.25" customHeight="1" x14ac:dyDescent="0.35">
      <c r="B3647" s="73"/>
      <c r="C3647" s="73"/>
      <c r="D3647" s="73"/>
      <c r="E3647" s="73"/>
      <c r="F3647" s="73"/>
      <c r="G3647" s="73"/>
    </row>
    <row r="3648" spans="2:7" ht="32.25" customHeight="1" x14ac:dyDescent="0.35">
      <c r="B3648" s="73"/>
      <c r="C3648" s="73"/>
      <c r="D3648" s="73"/>
      <c r="E3648" s="73"/>
      <c r="F3648" s="73"/>
      <c r="G3648" s="73"/>
    </row>
    <row r="3649" spans="2:7" ht="32.25" customHeight="1" x14ac:dyDescent="0.35">
      <c r="B3649" s="73"/>
      <c r="C3649" s="73"/>
      <c r="D3649" s="73"/>
      <c r="E3649" s="73"/>
      <c r="F3649" s="73"/>
      <c r="G3649" s="73"/>
    </row>
    <row r="3650" spans="2:7" ht="32.25" customHeight="1" x14ac:dyDescent="0.35">
      <c r="B3650" s="73"/>
      <c r="C3650" s="73"/>
      <c r="D3650" s="73"/>
      <c r="E3650" s="73"/>
      <c r="F3650" s="73"/>
      <c r="G3650" s="73"/>
    </row>
    <row r="3651" spans="2:7" ht="32.25" customHeight="1" x14ac:dyDescent="0.35">
      <c r="B3651" s="73"/>
      <c r="C3651" s="73"/>
      <c r="D3651" s="73"/>
      <c r="E3651" s="73"/>
      <c r="F3651" s="73"/>
      <c r="G3651" s="73"/>
    </row>
    <row r="3652" spans="2:7" ht="32.25" customHeight="1" x14ac:dyDescent="0.35">
      <c r="B3652" s="73"/>
      <c r="C3652" s="73"/>
      <c r="D3652" s="73"/>
      <c r="E3652" s="73"/>
      <c r="F3652" s="73"/>
      <c r="G3652" s="73"/>
    </row>
    <row r="3653" spans="2:7" ht="32.25" customHeight="1" x14ac:dyDescent="0.35">
      <c r="B3653" s="73"/>
      <c r="C3653" s="73"/>
      <c r="D3653" s="73"/>
      <c r="E3653" s="73"/>
      <c r="F3653" s="73"/>
      <c r="G3653" s="73"/>
    </row>
    <row r="3654" spans="2:7" ht="32.25" customHeight="1" x14ac:dyDescent="0.35">
      <c r="B3654" s="73"/>
      <c r="C3654" s="73"/>
      <c r="D3654" s="73"/>
      <c r="E3654" s="73"/>
      <c r="F3654" s="73"/>
      <c r="G3654" s="73"/>
    </row>
    <row r="3655" spans="2:7" ht="32.25" customHeight="1" x14ac:dyDescent="0.35">
      <c r="B3655" s="73"/>
      <c r="C3655" s="73"/>
      <c r="D3655" s="73"/>
      <c r="E3655" s="73"/>
      <c r="F3655" s="73"/>
      <c r="G3655" s="73"/>
    </row>
    <row r="3656" spans="2:7" ht="32.25" customHeight="1" x14ac:dyDescent="0.35">
      <c r="B3656" s="73"/>
      <c r="C3656" s="73"/>
      <c r="D3656" s="73"/>
      <c r="E3656" s="73"/>
      <c r="F3656" s="73"/>
      <c r="G3656" s="73"/>
    </row>
    <row r="3657" spans="2:7" ht="32.25" customHeight="1" x14ac:dyDescent="0.35">
      <c r="B3657" s="73"/>
      <c r="C3657" s="73"/>
      <c r="D3657" s="73"/>
      <c r="E3657" s="73"/>
      <c r="F3657" s="73"/>
      <c r="G3657" s="73"/>
    </row>
    <row r="3658" spans="2:7" ht="32.25" customHeight="1" x14ac:dyDescent="0.35">
      <c r="B3658" s="73"/>
      <c r="C3658" s="73"/>
      <c r="D3658" s="73"/>
      <c r="E3658" s="73"/>
      <c r="F3658" s="73"/>
      <c r="G3658" s="73"/>
    </row>
    <row r="3659" spans="2:7" ht="32.25" customHeight="1" x14ac:dyDescent="0.35">
      <c r="B3659" s="73"/>
      <c r="C3659" s="73"/>
      <c r="D3659" s="73"/>
      <c r="E3659" s="73"/>
      <c r="F3659" s="73"/>
      <c r="G3659" s="73"/>
    </row>
    <row r="3660" spans="2:7" ht="32.25" customHeight="1" x14ac:dyDescent="0.35">
      <c r="B3660" s="73"/>
      <c r="C3660" s="73"/>
      <c r="D3660" s="73"/>
      <c r="E3660" s="73"/>
      <c r="F3660" s="73"/>
      <c r="G3660" s="73"/>
    </row>
    <row r="3661" spans="2:7" ht="32.25" customHeight="1" x14ac:dyDescent="0.35">
      <c r="B3661" s="73"/>
      <c r="C3661" s="73"/>
      <c r="D3661" s="73"/>
      <c r="E3661" s="73"/>
      <c r="F3661" s="73"/>
      <c r="G3661" s="73"/>
    </row>
    <row r="3662" spans="2:7" ht="32.25" customHeight="1" x14ac:dyDescent="0.35">
      <c r="B3662" s="73"/>
      <c r="C3662" s="73"/>
      <c r="D3662" s="73"/>
      <c r="E3662" s="73"/>
      <c r="F3662" s="73"/>
      <c r="G3662" s="73"/>
    </row>
    <row r="3663" spans="2:7" ht="32.25" customHeight="1" x14ac:dyDescent="0.35">
      <c r="B3663" s="73"/>
      <c r="C3663" s="73"/>
      <c r="D3663" s="73"/>
      <c r="E3663" s="73"/>
      <c r="F3663" s="73"/>
      <c r="G3663" s="73"/>
    </row>
    <row r="3664" spans="2:7" ht="32.25" customHeight="1" x14ac:dyDescent="0.35">
      <c r="B3664" s="73"/>
      <c r="C3664" s="73"/>
      <c r="D3664" s="73"/>
      <c r="E3664" s="73"/>
      <c r="F3664" s="73"/>
      <c r="G3664" s="73"/>
    </row>
    <row r="3665" spans="2:7" ht="32.25" customHeight="1" x14ac:dyDescent="0.35">
      <c r="B3665" s="73"/>
      <c r="C3665" s="73"/>
      <c r="D3665" s="73"/>
      <c r="E3665" s="73"/>
      <c r="F3665" s="73"/>
      <c r="G3665" s="73"/>
    </row>
    <row r="3666" spans="2:7" ht="32.25" customHeight="1" x14ac:dyDescent="0.35">
      <c r="B3666" s="73"/>
      <c r="C3666" s="73"/>
      <c r="D3666" s="73"/>
      <c r="E3666" s="73"/>
      <c r="F3666" s="73"/>
      <c r="G3666" s="73"/>
    </row>
    <row r="3667" spans="2:7" ht="32.25" customHeight="1" x14ac:dyDescent="0.35">
      <c r="B3667" s="73"/>
      <c r="C3667" s="73"/>
      <c r="D3667" s="73"/>
      <c r="E3667" s="73"/>
      <c r="F3667" s="73"/>
      <c r="G3667" s="73"/>
    </row>
    <row r="3668" spans="2:7" ht="32.25" customHeight="1" x14ac:dyDescent="0.35">
      <c r="B3668" s="73"/>
      <c r="C3668" s="73"/>
      <c r="D3668" s="73"/>
      <c r="E3668" s="73"/>
      <c r="F3668" s="73"/>
      <c r="G3668" s="73"/>
    </row>
    <row r="3669" spans="2:7" ht="32.25" customHeight="1" x14ac:dyDescent="0.35">
      <c r="B3669" s="73"/>
      <c r="C3669" s="73"/>
      <c r="D3669" s="73"/>
      <c r="E3669" s="73"/>
      <c r="F3669" s="73"/>
      <c r="G3669" s="73"/>
    </row>
    <row r="3670" spans="2:7" ht="32.25" customHeight="1" x14ac:dyDescent="0.35">
      <c r="B3670" s="73"/>
      <c r="C3670" s="73"/>
      <c r="D3670" s="73"/>
      <c r="E3670" s="73"/>
      <c r="F3670" s="73"/>
      <c r="G3670" s="73"/>
    </row>
    <row r="3671" spans="2:7" ht="32.25" customHeight="1" x14ac:dyDescent="0.35">
      <c r="B3671" s="73"/>
      <c r="C3671" s="73"/>
      <c r="D3671" s="73"/>
      <c r="E3671" s="73"/>
      <c r="F3671" s="73"/>
      <c r="G3671" s="73"/>
    </row>
    <row r="3672" spans="2:7" ht="32.25" customHeight="1" x14ac:dyDescent="0.35">
      <c r="B3672" s="73"/>
      <c r="C3672" s="73"/>
      <c r="D3672" s="73"/>
      <c r="E3672" s="73"/>
      <c r="F3672" s="73"/>
      <c r="G3672" s="73"/>
    </row>
    <row r="3673" spans="2:7" ht="32.25" customHeight="1" x14ac:dyDescent="0.35">
      <c r="B3673" s="73"/>
      <c r="C3673" s="73"/>
      <c r="D3673" s="73"/>
      <c r="E3673" s="73"/>
      <c r="F3673" s="73"/>
      <c r="G3673" s="73"/>
    </row>
    <row r="3674" spans="2:7" ht="32.25" customHeight="1" x14ac:dyDescent="0.35">
      <c r="B3674" s="73"/>
      <c r="C3674" s="73"/>
      <c r="D3674" s="73"/>
      <c r="E3674" s="73"/>
      <c r="F3674" s="73"/>
      <c r="G3674" s="73"/>
    </row>
    <row r="3675" spans="2:7" ht="32.25" customHeight="1" x14ac:dyDescent="0.35">
      <c r="B3675" s="73"/>
      <c r="C3675" s="73"/>
      <c r="D3675" s="73"/>
      <c r="E3675" s="73"/>
      <c r="F3675" s="73"/>
      <c r="G3675" s="73"/>
    </row>
    <row r="3676" spans="2:7" ht="32.25" customHeight="1" x14ac:dyDescent="0.35">
      <c r="B3676" s="73"/>
      <c r="C3676" s="73"/>
      <c r="D3676" s="73"/>
      <c r="E3676" s="73"/>
      <c r="F3676" s="73"/>
      <c r="G3676" s="73"/>
    </row>
    <row r="3677" spans="2:7" ht="32.25" customHeight="1" x14ac:dyDescent="0.35">
      <c r="B3677" s="73"/>
      <c r="C3677" s="73"/>
      <c r="D3677" s="73"/>
      <c r="E3677" s="73"/>
      <c r="F3677" s="73"/>
      <c r="G3677" s="73"/>
    </row>
    <row r="3678" spans="2:7" ht="32.25" customHeight="1" x14ac:dyDescent="0.35">
      <c r="B3678" s="73"/>
      <c r="C3678" s="73"/>
      <c r="D3678" s="73"/>
      <c r="E3678" s="73"/>
      <c r="F3678" s="73"/>
      <c r="G3678" s="73"/>
    </row>
    <row r="3679" spans="2:7" ht="32.25" customHeight="1" x14ac:dyDescent="0.35">
      <c r="B3679" s="73"/>
      <c r="C3679" s="73"/>
      <c r="D3679" s="73"/>
      <c r="E3679" s="73"/>
      <c r="F3679" s="73"/>
      <c r="G3679" s="73"/>
    </row>
    <row r="3680" spans="2:7" ht="32.25" customHeight="1" x14ac:dyDescent="0.35">
      <c r="B3680" s="73"/>
      <c r="C3680" s="73"/>
      <c r="D3680" s="73"/>
      <c r="E3680" s="73"/>
      <c r="F3680" s="73"/>
      <c r="G3680" s="73"/>
    </row>
    <row r="3681" spans="2:7" ht="32.25" customHeight="1" x14ac:dyDescent="0.35">
      <c r="B3681" s="73"/>
      <c r="C3681" s="73"/>
      <c r="D3681" s="73"/>
      <c r="E3681" s="73"/>
      <c r="F3681" s="73"/>
      <c r="G3681" s="73"/>
    </row>
    <row r="3682" spans="2:7" ht="32.25" customHeight="1" x14ac:dyDescent="0.35">
      <c r="B3682" s="73"/>
      <c r="C3682" s="73"/>
      <c r="D3682" s="73"/>
      <c r="E3682" s="73"/>
      <c r="F3682" s="73"/>
      <c r="G3682" s="73"/>
    </row>
    <row r="3683" spans="2:7" ht="32.25" customHeight="1" x14ac:dyDescent="0.35">
      <c r="B3683" s="73"/>
      <c r="C3683" s="73"/>
      <c r="D3683" s="73"/>
      <c r="E3683" s="73"/>
      <c r="F3683" s="73"/>
      <c r="G3683" s="73"/>
    </row>
    <row r="3684" spans="2:7" ht="32.25" customHeight="1" x14ac:dyDescent="0.35">
      <c r="B3684" s="73"/>
      <c r="C3684" s="73"/>
      <c r="D3684" s="73"/>
      <c r="E3684" s="73"/>
      <c r="F3684" s="73"/>
      <c r="G3684" s="73"/>
    </row>
    <row r="3685" spans="2:7" ht="32.25" customHeight="1" x14ac:dyDescent="0.35">
      <c r="B3685" s="73"/>
      <c r="C3685" s="73"/>
      <c r="D3685" s="73"/>
      <c r="E3685" s="73"/>
      <c r="F3685" s="73"/>
      <c r="G3685" s="73"/>
    </row>
    <row r="3686" spans="2:7" ht="32.25" customHeight="1" x14ac:dyDescent="0.35">
      <c r="B3686" s="73"/>
      <c r="C3686" s="73"/>
      <c r="D3686" s="73"/>
      <c r="E3686" s="73"/>
      <c r="F3686" s="73"/>
      <c r="G3686" s="73"/>
    </row>
    <row r="3687" spans="2:7" ht="32.25" customHeight="1" x14ac:dyDescent="0.35">
      <c r="B3687" s="73"/>
      <c r="C3687" s="73"/>
      <c r="D3687" s="73"/>
      <c r="E3687" s="73"/>
      <c r="F3687" s="73"/>
      <c r="G3687" s="73"/>
    </row>
    <row r="3688" spans="2:7" ht="32.25" customHeight="1" x14ac:dyDescent="0.35">
      <c r="B3688" s="73"/>
      <c r="C3688" s="73"/>
      <c r="D3688" s="73"/>
      <c r="E3688" s="73"/>
      <c r="F3688" s="73"/>
      <c r="G3688" s="73"/>
    </row>
    <row r="3689" spans="2:7" ht="32.25" customHeight="1" x14ac:dyDescent="0.35">
      <c r="B3689" s="73"/>
      <c r="C3689" s="73"/>
      <c r="D3689" s="73"/>
      <c r="E3689" s="73"/>
      <c r="F3689" s="73"/>
      <c r="G3689" s="73"/>
    </row>
    <row r="3690" spans="2:7" ht="32.25" customHeight="1" x14ac:dyDescent="0.35">
      <c r="B3690" s="73"/>
      <c r="C3690" s="73"/>
      <c r="D3690" s="73"/>
      <c r="E3690" s="73"/>
      <c r="F3690" s="73"/>
      <c r="G3690" s="73"/>
    </row>
    <row r="3691" spans="2:7" ht="32.25" customHeight="1" x14ac:dyDescent="0.35">
      <c r="B3691" s="73"/>
      <c r="C3691" s="73"/>
      <c r="D3691" s="73"/>
      <c r="E3691" s="73"/>
      <c r="F3691" s="73"/>
      <c r="G3691" s="73"/>
    </row>
    <row r="3692" spans="2:7" ht="32.25" customHeight="1" x14ac:dyDescent="0.35">
      <c r="B3692" s="73"/>
      <c r="C3692" s="73"/>
      <c r="D3692" s="73"/>
      <c r="E3692" s="73"/>
      <c r="F3692" s="73"/>
      <c r="G3692" s="73"/>
    </row>
    <row r="3693" spans="2:7" ht="32.25" customHeight="1" x14ac:dyDescent="0.35">
      <c r="B3693" s="73"/>
      <c r="C3693" s="73"/>
      <c r="D3693" s="73"/>
      <c r="E3693" s="73"/>
      <c r="F3693" s="73"/>
      <c r="G3693" s="73"/>
    </row>
    <row r="3694" spans="2:7" ht="32.25" customHeight="1" x14ac:dyDescent="0.35">
      <c r="B3694" s="73"/>
      <c r="C3694" s="73"/>
      <c r="D3694" s="73"/>
      <c r="E3694" s="73"/>
      <c r="F3694" s="73"/>
      <c r="G3694" s="73"/>
    </row>
    <row r="3695" spans="2:7" ht="32.25" customHeight="1" x14ac:dyDescent="0.35">
      <c r="B3695" s="73"/>
      <c r="C3695" s="73"/>
      <c r="D3695" s="73"/>
      <c r="E3695" s="73"/>
      <c r="F3695" s="73"/>
      <c r="G3695" s="73"/>
    </row>
    <row r="3696" spans="2:7" ht="32.25" customHeight="1" x14ac:dyDescent="0.35">
      <c r="B3696" s="73"/>
      <c r="C3696" s="73"/>
      <c r="D3696" s="73"/>
      <c r="E3696" s="73"/>
      <c r="F3696" s="73"/>
      <c r="G3696" s="73"/>
    </row>
    <row r="3697" spans="2:7" ht="32.25" customHeight="1" x14ac:dyDescent="0.35">
      <c r="B3697" s="73"/>
      <c r="C3697" s="73"/>
      <c r="D3697" s="73"/>
      <c r="E3697" s="73"/>
      <c r="F3697" s="73"/>
      <c r="G3697" s="73"/>
    </row>
    <row r="3698" spans="2:7" ht="32.25" customHeight="1" x14ac:dyDescent="0.35">
      <c r="B3698" s="73"/>
      <c r="C3698" s="73"/>
      <c r="D3698" s="73"/>
      <c r="E3698" s="73"/>
      <c r="F3698" s="73"/>
      <c r="G3698" s="73"/>
    </row>
    <row r="3699" spans="2:7" ht="32.25" customHeight="1" x14ac:dyDescent="0.35">
      <c r="B3699" s="73"/>
      <c r="C3699" s="73"/>
      <c r="D3699" s="73"/>
      <c r="E3699" s="73"/>
      <c r="F3699" s="73"/>
      <c r="G3699" s="73"/>
    </row>
    <row r="3700" spans="2:7" ht="32.25" customHeight="1" x14ac:dyDescent="0.35">
      <c r="B3700" s="73"/>
      <c r="C3700" s="73"/>
      <c r="D3700" s="73"/>
      <c r="E3700" s="73"/>
      <c r="F3700" s="73"/>
      <c r="G3700" s="73"/>
    </row>
    <row r="3701" spans="2:7" ht="32.25" customHeight="1" x14ac:dyDescent="0.35">
      <c r="B3701" s="73"/>
      <c r="C3701" s="73"/>
      <c r="D3701" s="73"/>
      <c r="E3701" s="73"/>
      <c r="F3701" s="73"/>
      <c r="G3701" s="73"/>
    </row>
    <row r="3702" spans="2:7" ht="32.25" customHeight="1" x14ac:dyDescent="0.35">
      <c r="B3702" s="73"/>
      <c r="C3702" s="73"/>
      <c r="D3702" s="73"/>
      <c r="E3702" s="73"/>
      <c r="F3702" s="73"/>
      <c r="G3702" s="73"/>
    </row>
    <row r="3703" spans="2:7" ht="32.25" customHeight="1" x14ac:dyDescent="0.35">
      <c r="B3703" s="73"/>
      <c r="C3703" s="73"/>
      <c r="D3703" s="73"/>
      <c r="E3703" s="73"/>
      <c r="F3703" s="73"/>
      <c r="G3703" s="73"/>
    </row>
    <row r="3704" spans="2:7" ht="32.25" customHeight="1" x14ac:dyDescent="0.35">
      <c r="B3704" s="73"/>
      <c r="C3704" s="73"/>
      <c r="D3704" s="73"/>
      <c r="E3704" s="73"/>
      <c r="F3704" s="73"/>
      <c r="G3704" s="73"/>
    </row>
    <row r="3705" spans="2:7" ht="32.25" customHeight="1" x14ac:dyDescent="0.35">
      <c r="B3705" s="73"/>
      <c r="C3705" s="73"/>
      <c r="D3705" s="73"/>
      <c r="E3705" s="73"/>
      <c r="F3705" s="73"/>
      <c r="G3705" s="73"/>
    </row>
    <row r="3706" spans="2:7" ht="32.25" customHeight="1" x14ac:dyDescent="0.35">
      <c r="B3706" s="73"/>
      <c r="C3706" s="73"/>
      <c r="D3706" s="73"/>
      <c r="E3706" s="73"/>
      <c r="F3706" s="73"/>
      <c r="G3706" s="73"/>
    </row>
    <row r="3707" spans="2:7" ht="32.25" customHeight="1" x14ac:dyDescent="0.35">
      <c r="B3707" s="73"/>
      <c r="C3707" s="73"/>
      <c r="D3707" s="73"/>
      <c r="E3707" s="73"/>
      <c r="F3707" s="73"/>
      <c r="G3707" s="73"/>
    </row>
    <row r="3708" spans="2:7" ht="32.25" customHeight="1" x14ac:dyDescent="0.35">
      <c r="B3708" s="73"/>
      <c r="C3708" s="73"/>
      <c r="D3708" s="73"/>
      <c r="E3708" s="73"/>
      <c r="F3708" s="73"/>
      <c r="G3708" s="73"/>
    </row>
    <row r="3709" spans="2:7" ht="32.25" customHeight="1" x14ac:dyDescent="0.35">
      <c r="B3709" s="73"/>
      <c r="C3709" s="73"/>
      <c r="D3709" s="73"/>
      <c r="E3709" s="73"/>
      <c r="F3709" s="73"/>
      <c r="G3709" s="73"/>
    </row>
    <row r="3710" spans="2:7" ht="32.25" customHeight="1" x14ac:dyDescent="0.35">
      <c r="B3710" s="73"/>
      <c r="C3710" s="73"/>
      <c r="D3710" s="73"/>
      <c r="E3710" s="73"/>
      <c r="F3710" s="73"/>
      <c r="G3710" s="73"/>
    </row>
    <row r="3711" spans="2:7" ht="32.25" customHeight="1" x14ac:dyDescent="0.35">
      <c r="B3711" s="73"/>
      <c r="C3711" s="73"/>
      <c r="D3711" s="73"/>
      <c r="E3711" s="73"/>
      <c r="F3711" s="73"/>
      <c r="G3711" s="73"/>
    </row>
    <row r="3712" spans="2:7" ht="32.25" customHeight="1" x14ac:dyDescent="0.35">
      <c r="B3712" s="73"/>
      <c r="C3712" s="73"/>
      <c r="D3712" s="73"/>
      <c r="E3712" s="73"/>
      <c r="F3712" s="73"/>
      <c r="G3712" s="73"/>
    </row>
    <row r="3713" spans="2:7" ht="32.25" customHeight="1" x14ac:dyDescent="0.35">
      <c r="B3713" s="73"/>
      <c r="C3713" s="73"/>
      <c r="D3713" s="73"/>
      <c r="E3713" s="73"/>
      <c r="F3713" s="73"/>
      <c r="G3713" s="73"/>
    </row>
    <row r="3714" spans="2:7" ht="32.25" customHeight="1" x14ac:dyDescent="0.35">
      <c r="B3714" s="73"/>
      <c r="C3714" s="73"/>
      <c r="D3714" s="73"/>
      <c r="E3714" s="73"/>
      <c r="F3714" s="73"/>
      <c r="G3714" s="73"/>
    </row>
    <row r="3715" spans="2:7" ht="32.25" customHeight="1" x14ac:dyDescent="0.35">
      <c r="B3715" s="73"/>
      <c r="C3715" s="73"/>
      <c r="D3715" s="73"/>
      <c r="E3715" s="73"/>
      <c r="F3715" s="73"/>
      <c r="G3715" s="73"/>
    </row>
    <row r="3716" spans="2:7" ht="32.25" customHeight="1" x14ac:dyDescent="0.35">
      <c r="B3716" s="73"/>
      <c r="C3716" s="73"/>
      <c r="D3716" s="73"/>
      <c r="E3716" s="73"/>
      <c r="F3716" s="73"/>
      <c r="G3716" s="73"/>
    </row>
    <row r="3717" spans="2:7" ht="32.25" customHeight="1" x14ac:dyDescent="0.35">
      <c r="B3717" s="73"/>
      <c r="C3717" s="73"/>
      <c r="D3717" s="73"/>
      <c r="E3717" s="73"/>
      <c r="F3717" s="73"/>
      <c r="G3717" s="73"/>
    </row>
    <row r="3718" spans="2:7" ht="32.25" customHeight="1" x14ac:dyDescent="0.35">
      <c r="B3718" s="73"/>
      <c r="C3718" s="73"/>
      <c r="D3718" s="73"/>
      <c r="E3718" s="73"/>
      <c r="F3718" s="73"/>
      <c r="G3718" s="73"/>
    </row>
    <row r="3719" spans="2:7" ht="32.25" customHeight="1" x14ac:dyDescent="0.35">
      <c r="B3719" s="73"/>
      <c r="C3719" s="73"/>
      <c r="D3719" s="73"/>
      <c r="E3719" s="73"/>
      <c r="F3719" s="73"/>
      <c r="G3719" s="73"/>
    </row>
    <row r="3720" spans="2:7" ht="32.25" customHeight="1" x14ac:dyDescent="0.35">
      <c r="B3720" s="73"/>
      <c r="C3720" s="73"/>
      <c r="D3720" s="73"/>
      <c r="E3720" s="73"/>
      <c r="F3720" s="73"/>
      <c r="G3720" s="73"/>
    </row>
    <row r="3721" spans="2:7" ht="32.25" customHeight="1" x14ac:dyDescent="0.35">
      <c r="B3721" s="73"/>
      <c r="C3721" s="73"/>
      <c r="D3721" s="73"/>
      <c r="E3721" s="73"/>
      <c r="F3721" s="73"/>
      <c r="G3721" s="73"/>
    </row>
    <row r="3722" spans="2:7" ht="32.25" customHeight="1" x14ac:dyDescent="0.35">
      <c r="B3722" s="73"/>
      <c r="C3722" s="73"/>
      <c r="D3722" s="73"/>
      <c r="E3722" s="73"/>
      <c r="F3722" s="73"/>
      <c r="G3722" s="73"/>
    </row>
    <row r="3723" spans="2:7" ht="32.25" customHeight="1" x14ac:dyDescent="0.35">
      <c r="B3723" s="73"/>
      <c r="C3723" s="73"/>
      <c r="D3723" s="73"/>
      <c r="E3723" s="73"/>
      <c r="F3723" s="73"/>
      <c r="G3723" s="73"/>
    </row>
    <row r="3724" spans="2:7" ht="32.25" customHeight="1" x14ac:dyDescent="0.35">
      <c r="B3724" s="73"/>
      <c r="C3724" s="73"/>
      <c r="D3724" s="73"/>
      <c r="E3724" s="73"/>
      <c r="F3724" s="73"/>
      <c r="G3724" s="73"/>
    </row>
    <row r="3725" spans="2:7" ht="32.25" customHeight="1" x14ac:dyDescent="0.35">
      <c r="B3725" s="73"/>
      <c r="C3725" s="73"/>
      <c r="D3725" s="73"/>
      <c r="E3725" s="73"/>
      <c r="F3725" s="73"/>
      <c r="G3725" s="73"/>
    </row>
    <row r="3726" spans="2:7" ht="32.25" customHeight="1" x14ac:dyDescent="0.35">
      <c r="B3726" s="73"/>
      <c r="C3726" s="73"/>
      <c r="D3726" s="73"/>
      <c r="E3726" s="73"/>
      <c r="F3726" s="73"/>
      <c r="G3726" s="73"/>
    </row>
    <row r="3727" spans="2:7" ht="32.25" customHeight="1" x14ac:dyDescent="0.35">
      <c r="B3727" s="73"/>
      <c r="C3727" s="73"/>
      <c r="D3727" s="73"/>
      <c r="E3727" s="73"/>
      <c r="F3727" s="73"/>
      <c r="G3727" s="73"/>
    </row>
    <row r="3728" spans="2:7" ht="32.25" customHeight="1" x14ac:dyDescent="0.35">
      <c r="B3728" s="73"/>
      <c r="C3728" s="73"/>
      <c r="D3728" s="73"/>
      <c r="E3728" s="73"/>
      <c r="F3728" s="73"/>
      <c r="G3728" s="73"/>
    </row>
    <row r="3729" spans="2:7" ht="32.25" customHeight="1" x14ac:dyDescent="0.35">
      <c r="B3729" s="73"/>
      <c r="C3729" s="73"/>
      <c r="D3729" s="73"/>
      <c r="E3729" s="73"/>
      <c r="F3729" s="73"/>
      <c r="G3729" s="73"/>
    </row>
    <row r="3730" spans="2:7" ht="32.25" customHeight="1" x14ac:dyDescent="0.35">
      <c r="B3730" s="73"/>
      <c r="C3730" s="73"/>
      <c r="D3730" s="73"/>
      <c r="E3730" s="73"/>
      <c r="F3730" s="73"/>
      <c r="G3730" s="73"/>
    </row>
    <row r="3731" spans="2:7" ht="32.25" customHeight="1" x14ac:dyDescent="0.35">
      <c r="B3731" s="73"/>
      <c r="C3731" s="73"/>
      <c r="D3731" s="73"/>
      <c r="E3731" s="73"/>
      <c r="F3731" s="73"/>
      <c r="G3731" s="73"/>
    </row>
    <row r="3732" spans="2:7" ht="32.25" customHeight="1" x14ac:dyDescent="0.35">
      <c r="B3732" s="73"/>
      <c r="C3732" s="73"/>
      <c r="D3732" s="73"/>
      <c r="E3732" s="73"/>
      <c r="F3732" s="73"/>
      <c r="G3732" s="73"/>
    </row>
    <row r="3733" spans="2:7" ht="32.25" customHeight="1" x14ac:dyDescent="0.35">
      <c r="B3733" s="73"/>
      <c r="C3733" s="73"/>
      <c r="D3733" s="73"/>
      <c r="E3733" s="73"/>
      <c r="F3733" s="73"/>
      <c r="G3733" s="73"/>
    </row>
    <row r="3734" spans="2:7" ht="32.25" customHeight="1" x14ac:dyDescent="0.35">
      <c r="B3734" s="73"/>
      <c r="C3734" s="73"/>
      <c r="D3734" s="73"/>
      <c r="E3734" s="73"/>
      <c r="F3734" s="73"/>
      <c r="G3734" s="73"/>
    </row>
    <row r="3735" spans="2:7" ht="32.25" customHeight="1" x14ac:dyDescent="0.35">
      <c r="B3735" s="73"/>
      <c r="C3735" s="73"/>
      <c r="D3735" s="73"/>
      <c r="E3735" s="73"/>
      <c r="F3735" s="73"/>
      <c r="G3735" s="73"/>
    </row>
    <row r="3736" spans="2:7" ht="32.25" customHeight="1" x14ac:dyDescent="0.35">
      <c r="B3736" s="73"/>
      <c r="C3736" s="73"/>
      <c r="D3736" s="73"/>
      <c r="E3736" s="73"/>
      <c r="F3736" s="73"/>
      <c r="G3736" s="73"/>
    </row>
    <row r="3737" spans="2:7" ht="32.25" customHeight="1" x14ac:dyDescent="0.35">
      <c r="B3737" s="73"/>
      <c r="C3737" s="73"/>
      <c r="D3737" s="73"/>
      <c r="E3737" s="73"/>
      <c r="F3737" s="73"/>
      <c r="G3737" s="73"/>
    </row>
    <row r="3738" spans="2:7" ht="32.25" customHeight="1" x14ac:dyDescent="0.35">
      <c r="B3738" s="73"/>
      <c r="C3738" s="73"/>
      <c r="D3738" s="73"/>
      <c r="E3738" s="73"/>
      <c r="F3738" s="73"/>
      <c r="G3738" s="73"/>
    </row>
    <row r="3739" spans="2:7" ht="32.25" customHeight="1" x14ac:dyDescent="0.35">
      <c r="B3739" s="73"/>
      <c r="C3739" s="73"/>
      <c r="D3739" s="73"/>
      <c r="E3739" s="73"/>
      <c r="F3739" s="73"/>
      <c r="G3739" s="73"/>
    </row>
    <row r="3740" spans="2:7" ht="32.25" customHeight="1" x14ac:dyDescent="0.35">
      <c r="B3740" s="73"/>
      <c r="C3740" s="73"/>
      <c r="D3740" s="73"/>
      <c r="E3740" s="73"/>
      <c r="F3740" s="73"/>
      <c r="G3740" s="73"/>
    </row>
    <row r="3741" spans="2:7" ht="32.25" customHeight="1" x14ac:dyDescent="0.35">
      <c r="B3741" s="73"/>
      <c r="C3741" s="73"/>
      <c r="D3741" s="73"/>
      <c r="E3741" s="73"/>
      <c r="F3741" s="73"/>
      <c r="G3741" s="73"/>
    </row>
    <row r="3742" spans="2:7" ht="32.25" customHeight="1" x14ac:dyDescent="0.35">
      <c r="B3742" s="73"/>
      <c r="C3742" s="73"/>
      <c r="D3742" s="73"/>
      <c r="E3742" s="73"/>
      <c r="F3742" s="73"/>
      <c r="G3742" s="73"/>
    </row>
    <row r="3743" spans="2:7" ht="32.25" customHeight="1" x14ac:dyDescent="0.35">
      <c r="B3743" s="73"/>
      <c r="C3743" s="73"/>
      <c r="D3743" s="73"/>
      <c r="E3743" s="73"/>
      <c r="F3743" s="73"/>
      <c r="G3743" s="73"/>
    </row>
    <row r="3744" spans="2:7" ht="32.25" customHeight="1" x14ac:dyDescent="0.35">
      <c r="B3744" s="73"/>
      <c r="C3744" s="73"/>
      <c r="D3744" s="73"/>
      <c r="E3744" s="73"/>
      <c r="F3744" s="73"/>
      <c r="G3744" s="73"/>
    </row>
    <row r="3745" spans="2:7" ht="32.25" customHeight="1" x14ac:dyDescent="0.35">
      <c r="B3745" s="73"/>
      <c r="C3745" s="73"/>
      <c r="D3745" s="73"/>
      <c r="E3745" s="73"/>
      <c r="F3745" s="73"/>
      <c r="G3745" s="73"/>
    </row>
    <row r="3746" spans="2:7" ht="32.25" customHeight="1" x14ac:dyDescent="0.35">
      <c r="B3746" s="73"/>
      <c r="C3746" s="73"/>
      <c r="D3746" s="73"/>
      <c r="E3746" s="73"/>
      <c r="F3746" s="73"/>
      <c r="G3746" s="73"/>
    </row>
    <row r="3747" spans="2:7" ht="32.25" customHeight="1" x14ac:dyDescent="0.35">
      <c r="B3747" s="73"/>
      <c r="C3747" s="73"/>
      <c r="D3747" s="73"/>
      <c r="E3747" s="73"/>
      <c r="F3747" s="73"/>
      <c r="G3747" s="73"/>
    </row>
    <row r="3748" spans="2:7" ht="32.25" customHeight="1" x14ac:dyDescent="0.35">
      <c r="B3748" s="73"/>
      <c r="C3748" s="73"/>
      <c r="D3748" s="73"/>
      <c r="E3748" s="73"/>
      <c r="F3748" s="73"/>
      <c r="G3748" s="73"/>
    </row>
    <row r="3749" spans="2:7" ht="32.25" customHeight="1" x14ac:dyDescent="0.35">
      <c r="B3749" s="73"/>
      <c r="C3749" s="73"/>
      <c r="D3749" s="73"/>
      <c r="E3749" s="73"/>
      <c r="F3749" s="73"/>
      <c r="G3749" s="73"/>
    </row>
    <row r="3750" spans="2:7" ht="32.25" customHeight="1" x14ac:dyDescent="0.35">
      <c r="B3750" s="73"/>
      <c r="C3750" s="73"/>
      <c r="D3750" s="73"/>
      <c r="E3750" s="73"/>
      <c r="F3750" s="73"/>
      <c r="G3750" s="73"/>
    </row>
    <row r="3751" spans="2:7" ht="32.25" customHeight="1" x14ac:dyDescent="0.35">
      <c r="B3751" s="73"/>
      <c r="C3751" s="73"/>
      <c r="D3751" s="73"/>
      <c r="E3751" s="73"/>
      <c r="F3751" s="73"/>
      <c r="G3751" s="73"/>
    </row>
    <row r="3752" spans="2:7" ht="32.25" customHeight="1" x14ac:dyDescent="0.35">
      <c r="B3752" s="73"/>
      <c r="C3752" s="73"/>
      <c r="D3752" s="73"/>
      <c r="E3752" s="73"/>
      <c r="F3752" s="73"/>
      <c r="G3752" s="73"/>
    </row>
    <row r="3753" spans="2:7" ht="32.25" customHeight="1" x14ac:dyDescent="0.35">
      <c r="B3753" s="73"/>
      <c r="C3753" s="73"/>
      <c r="D3753" s="73"/>
      <c r="E3753" s="73"/>
      <c r="F3753" s="73"/>
      <c r="G3753" s="73"/>
    </row>
    <row r="3754" spans="2:7" ht="32.25" customHeight="1" x14ac:dyDescent="0.35">
      <c r="B3754" s="73"/>
      <c r="C3754" s="73"/>
      <c r="D3754" s="73"/>
      <c r="E3754" s="73"/>
      <c r="F3754" s="73"/>
      <c r="G3754" s="73"/>
    </row>
    <row r="3755" spans="2:7" ht="32.25" customHeight="1" x14ac:dyDescent="0.35">
      <c r="B3755" s="73"/>
      <c r="C3755" s="73"/>
      <c r="D3755" s="73"/>
      <c r="E3755" s="73"/>
      <c r="F3755" s="73"/>
      <c r="G3755" s="73"/>
    </row>
    <row r="3756" spans="2:7" ht="32.25" customHeight="1" x14ac:dyDescent="0.35">
      <c r="B3756" s="73"/>
      <c r="C3756" s="73"/>
      <c r="D3756" s="73"/>
      <c r="E3756" s="73"/>
      <c r="F3756" s="73"/>
      <c r="G3756" s="73"/>
    </row>
    <row r="3757" spans="2:7" ht="32.25" customHeight="1" x14ac:dyDescent="0.35">
      <c r="B3757" s="73"/>
      <c r="C3757" s="73"/>
      <c r="D3757" s="73"/>
      <c r="E3757" s="73"/>
      <c r="F3757" s="73"/>
      <c r="G3757" s="73"/>
    </row>
    <row r="3758" spans="2:7" ht="32.25" customHeight="1" x14ac:dyDescent="0.35">
      <c r="B3758" s="73"/>
      <c r="C3758" s="73"/>
      <c r="D3758" s="73"/>
      <c r="E3758" s="73"/>
      <c r="F3758" s="73"/>
      <c r="G3758" s="73"/>
    </row>
    <row r="3759" spans="2:7" ht="32.25" customHeight="1" x14ac:dyDescent="0.35">
      <c r="B3759" s="73"/>
      <c r="C3759" s="73"/>
      <c r="D3759" s="73"/>
      <c r="E3759" s="73"/>
      <c r="F3759" s="73"/>
      <c r="G3759" s="73"/>
    </row>
    <row r="3760" spans="2:7" ht="32.25" customHeight="1" x14ac:dyDescent="0.35">
      <c r="B3760" s="73"/>
      <c r="C3760" s="73"/>
      <c r="D3760" s="73"/>
      <c r="E3760" s="73"/>
      <c r="F3760" s="73"/>
      <c r="G3760" s="73"/>
    </row>
    <row r="3761" spans="2:7" ht="32.25" customHeight="1" x14ac:dyDescent="0.35">
      <c r="B3761" s="73"/>
      <c r="C3761" s="73"/>
      <c r="D3761" s="73"/>
      <c r="E3761" s="73"/>
      <c r="F3761" s="73"/>
      <c r="G3761" s="73"/>
    </row>
    <row r="3762" spans="2:7" ht="32.25" customHeight="1" x14ac:dyDescent="0.35">
      <c r="B3762" s="73"/>
      <c r="C3762" s="73"/>
      <c r="D3762" s="73"/>
      <c r="E3762" s="73"/>
      <c r="F3762" s="73"/>
      <c r="G3762" s="73"/>
    </row>
    <row r="3763" spans="2:7" ht="32.25" customHeight="1" x14ac:dyDescent="0.35">
      <c r="B3763" s="73"/>
      <c r="C3763" s="73"/>
      <c r="D3763" s="73"/>
      <c r="E3763" s="73"/>
      <c r="F3763" s="73"/>
      <c r="G3763" s="73"/>
    </row>
    <row r="3764" spans="2:7" ht="32.25" customHeight="1" x14ac:dyDescent="0.35">
      <c r="B3764" s="73"/>
      <c r="C3764" s="73"/>
      <c r="D3764" s="73"/>
      <c r="E3764" s="73"/>
      <c r="F3764" s="73"/>
      <c r="G3764" s="73"/>
    </row>
    <row r="3765" spans="2:7" ht="32.25" customHeight="1" x14ac:dyDescent="0.35">
      <c r="B3765" s="73"/>
      <c r="C3765" s="73"/>
      <c r="D3765" s="73"/>
      <c r="E3765" s="73"/>
      <c r="F3765" s="73"/>
      <c r="G3765" s="73"/>
    </row>
    <row r="3766" spans="2:7" ht="32.25" customHeight="1" x14ac:dyDescent="0.35">
      <c r="B3766" s="73"/>
      <c r="C3766" s="73"/>
      <c r="D3766" s="73"/>
      <c r="E3766" s="73"/>
      <c r="F3766" s="73"/>
      <c r="G3766" s="73"/>
    </row>
    <row r="3767" spans="2:7" ht="32.25" customHeight="1" x14ac:dyDescent="0.35">
      <c r="B3767" s="73"/>
      <c r="C3767" s="73"/>
      <c r="D3767" s="73"/>
      <c r="E3767" s="73"/>
      <c r="F3767" s="73"/>
      <c r="G3767" s="73"/>
    </row>
    <row r="3768" spans="2:7" ht="32.25" customHeight="1" x14ac:dyDescent="0.35">
      <c r="B3768" s="73"/>
      <c r="C3768" s="73"/>
      <c r="D3768" s="73"/>
      <c r="E3768" s="73"/>
      <c r="F3768" s="73"/>
      <c r="G3768" s="73"/>
    </row>
    <row r="3769" spans="2:7" ht="32.25" customHeight="1" x14ac:dyDescent="0.35">
      <c r="B3769" s="73"/>
      <c r="C3769" s="73"/>
      <c r="D3769" s="73"/>
      <c r="E3769" s="73"/>
      <c r="F3769" s="73"/>
      <c r="G3769" s="73"/>
    </row>
    <row r="3770" spans="2:7" ht="32.25" customHeight="1" x14ac:dyDescent="0.35">
      <c r="B3770" s="73"/>
      <c r="C3770" s="73"/>
      <c r="D3770" s="73"/>
      <c r="E3770" s="73"/>
      <c r="F3770" s="73"/>
      <c r="G3770" s="73"/>
    </row>
    <row r="3771" spans="2:7" ht="32.25" customHeight="1" x14ac:dyDescent="0.35">
      <c r="B3771" s="73"/>
      <c r="C3771" s="73"/>
      <c r="D3771" s="73"/>
      <c r="E3771" s="73"/>
      <c r="F3771" s="73"/>
      <c r="G3771" s="73"/>
    </row>
    <row r="3772" spans="2:7" ht="32.25" customHeight="1" x14ac:dyDescent="0.35">
      <c r="B3772" s="73"/>
      <c r="C3772" s="73"/>
      <c r="D3772" s="73"/>
      <c r="E3772" s="73"/>
      <c r="F3772" s="73"/>
      <c r="G3772" s="73"/>
    </row>
    <row r="3773" spans="2:7" ht="32.25" customHeight="1" x14ac:dyDescent="0.35">
      <c r="B3773" s="73"/>
      <c r="C3773" s="73"/>
      <c r="D3773" s="73"/>
      <c r="E3773" s="73"/>
      <c r="F3773" s="73"/>
      <c r="G3773" s="73"/>
    </row>
    <row r="3774" spans="2:7" ht="32.25" customHeight="1" x14ac:dyDescent="0.35">
      <c r="B3774" s="73"/>
      <c r="C3774" s="73"/>
      <c r="D3774" s="73"/>
      <c r="E3774" s="73"/>
      <c r="F3774" s="73"/>
      <c r="G3774" s="73"/>
    </row>
    <row r="3775" spans="2:7" ht="32.25" customHeight="1" x14ac:dyDescent="0.35">
      <c r="B3775" s="73"/>
      <c r="C3775" s="73"/>
      <c r="D3775" s="73"/>
      <c r="E3775" s="73"/>
      <c r="F3775" s="73"/>
      <c r="G3775" s="73"/>
    </row>
    <row r="3776" spans="2:7" ht="32.25" customHeight="1" x14ac:dyDescent="0.35">
      <c r="B3776" s="73"/>
      <c r="C3776" s="73"/>
      <c r="D3776" s="73"/>
      <c r="E3776" s="73"/>
      <c r="F3776" s="73"/>
      <c r="G3776" s="73"/>
    </row>
    <row r="3777" spans="2:7" ht="32.25" customHeight="1" x14ac:dyDescent="0.35">
      <c r="B3777" s="73"/>
      <c r="C3777" s="73"/>
      <c r="D3777" s="73"/>
      <c r="E3777" s="73"/>
      <c r="F3777" s="73"/>
      <c r="G3777" s="73"/>
    </row>
    <row r="3778" spans="2:7" ht="32.25" customHeight="1" x14ac:dyDescent="0.35">
      <c r="B3778" s="73"/>
      <c r="C3778" s="73"/>
      <c r="D3778" s="73"/>
      <c r="E3778" s="73"/>
      <c r="F3778" s="73"/>
      <c r="G3778" s="73"/>
    </row>
    <row r="3779" spans="2:7" ht="32.25" customHeight="1" x14ac:dyDescent="0.35">
      <c r="B3779" s="73"/>
      <c r="C3779" s="73"/>
      <c r="D3779" s="73"/>
      <c r="E3779" s="73"/>
      <c r="F3779" s="73"/>
      <c r="G3779" s="73"/>
    </row>
    <row r="3780" spans="2:7" ht="32.25" customHeight="1" x14ac:dyDescent="0.35">
      <c r="B3780" s="73"/>
      <c r="C3780" s="73"/>
      <c r="D3780" s="73"/>
      <c r="E3780" s="73"/>
      <c r="F3780" s="73"/>
      <c r="G3780" s="73"/>
    </row>
    <row r="3781" spans="2:7" ht="32.25" customHeight="1" x14ac:dyDescent="0.35">
      <c r="B3781" s="73"/>
      <c r="C3781" s="73"/>
      <c r="D3781" s="73"/>
      <c r="E3781" s="73"/>
      <c r="F3781" s="73"/>
      <c r="G3781" s="73"/>
    </row>
    <row r="3782" spans="2:7" ht="32.25" customHeight="1" x14ac:dyDescent="0.35">
      <c r="B3782" s="73"/>
      <c r="C3782" s="73"/>
      <c r="D3782" s="73"/>
      <c r="E3782" s="73"/>
      <c r="F3782" s="73"/>
      <c r="G3782" s="73"/>
    </row>
    <row r="3783" spans="2:7" ht="32.25" customHeight="1" x14ac:dyDescent="0.35">
      <c r="B3783" s="73"/>
      <c r="C3783" s="73"/>
      <c r="D3783" s="73"/>
      <c r="E3783" s="73"/>
      <c r="F3783" s="73"/>
      <c r="G3783" s="73"/>
    </row>
    <row r="3784" spans="2:7" ht="32.25" customHeight="1" x14ac:dyDescent="0.35">
      <c r="B3784" s="73"/>
      <c r="C3784" s="73"/>
      <c r="D3784" s="73"/>
      <c r="E3784" s="73"/>
      <c r="F3784" s="73"/>
      <c r="G3784" s="73"/>
    </row>
    <row r="3785" spans="2:7" ht="32.25" customHeight="1" x14ac:dyDescent="0.35">
      <c r="B3785" s="73"/>
      <c r="C3785" s="73"/>
      <c r="D3785" s="73"/>
      <c r="E3785" s="73"/>
      <c r="F3785" s="73"/>
      <c r="G3785" s="73"/>
    </row>
    <row r="3786" spans="2:7" ht="32.25" customHeight="1" x14ac:dyDescent="0.35">
      <c r="B3786" s="73"/>
      <c r="C3786" s="73"/>
      <c r="D3786" s="73"/>
      <c r="E3786" s="73"/>
      <c r="F3786" s="73"/>
      <c r="G3786" s="73"/>
    </row>
    <row r="3787" spans="2:7" ht="32.25" customHeight="1" x14ac:dyDescent="0.35">
      <c r="B3787" s="73"/>
      <c r="C3787" s="73"/>
      <c r="D3787" s="73"/>
      <c r="E3787" s="73"/>
      <c r="F3787" s="73"/>
      <c r="G3787" s="73"/>
    </row>
    <row r="3788" spans="2:7" ht="32.25" customHeight="1" x14ac:dyDescent="0.35">
      <c r="B3788" s="73"/>
      <c r="C3788" s="73"/>
      <c r="D3788" s="73"/>
      <c r="E3788" s="73"/>
      <c r="F3788" s="73"/>
      <c r="G3788" s="73"/>
    </row>
    <row r="3789" spans="2:7" ht="32.25" customHeight="1" x14ac:dyDescent="0.35">
      <c r="B3789" s="73"/>
      <c r="C3789" s="73"/>
      <c r="D3789" s="73"/>
      <c r="E3789" s="73"/>
      <c r="F3789" s="73"/>
      <c r="G3789" s="73"/>
    </row>
    <row r="3790" spans="2:7" ht="32.25" customHeight="1" x14ac:dyDescent="0.35">
      <c r="B3790" s="73"/>
      <c r="C3790" s="73"/>
      <c r="D3790" s="73"/>
      <c r="E3790" s="73"/>
      <c r="F3790" s="73"/>
      <c r="G3790" s="73"/>
    </row>
    <row r="3791" spans="2:7" ht="32.25" customHeight="1" x14ac:dyDescent="0.35">
      <c r="B3791" s="73"/>
      <c r="C3791" s="73"/>
      <c r="D3791" s="73"/>
      <c r="E3791" s="73"/>
      <c r="F3791" s="73"/>
      <c r="G3791" s="73"/>
    </row>
    <row r="3792" spans="2:7" ht="32.25" customHeight="1" x14ac:dyDescent="0.35">
      <c r="B3792" s="73"/>
      <c r="C3792" s="73"/>
      <c r="D3792" s="73"/>
      <c r="E3792" s="73"/>
      <c r="F3792" s="73"/>
      <c r="G3792" s="73"/>
    </row>
    <row r="3793" spans="2:7" ht="32.25" customHeight="1" x14ac:dyDescent="0.35">
      <c r="B3793" s="73"/>
      <c r="C3793" s="73"/>
      <c r="D3793" s="73"/>
      <c r="E3793" s="73"/>
      <c r="F3793" s="73"/>
      <c r="G3793" s="73"/>
    </row>
    <row r="3794" spans="2:7" ht="32.25" customHeight="1" x14ac:dyDescent="0.35">
      <c r="B3794" s="73"/>
      <c r="C3794" s="73"/>
      <c r="D3794" s="73"/>
      <c r="E3794" s="73"/>
      <c r="F3794" s="73"/>
      <c r="G3794" s="73"/>
    </row>
    <row r="3795" spans="2:7" ht="32.25" customHeight="1" x14ac:dyDescent="0.35">
      <c r="B3795" s="73"/>
      <c r="C3795" s="73"/>
      <c r="D3795" s="73"/>
      <c r="E3795" s="73"/>
      <c r="F3795" s="73"/>
      <c r="G3795" s="73"/>
    </row>
    <row r="3796" spans="2:7" ht="32.25" customHeight="1" x14ac:dyDescent="0.35">
      <c r="B3796" s="73"/>
      <c r="C3796" s="73"/>
      <c r="D3796" s="73"/>
      <c r="E3796" s="73"/>
      <c r="F3796" s="73"/>
      <c r="G3796" s="73"/>
    </row>
    <row r="3797" spans="2:7" ht="32.25" customHeight="1" x14ac:dyDescent="0.35">
      <c r="B3797" s="73"/>
      <c r="C3797" s="73"/>
      <c r="D3797" s="73"/>
      <c r="E3797" s="73"/>
      <c r="F3797" s="73"/>
      <c r="G3797" s="73"/>
    </row>
    <row r="3798" spans="2:7" ht="32.25" customHeight="1" x14ac:dyDescent="0.35">
      <c r="B3798" s="73"/>
      <c r="C3798" s="73"/>
      <c r="D3798" s="73"/>
      <c r="E3798" s="73"/>
      <c r="F3798" s="73"/>
      <c r="G3798" s="73"/>
    </row>
    <row r="3799" spans="2:7" ht="32.25" customHeight="1" x14ac:dyDescent="0.35">
      <c r="B3799" s="73"/>
      <c r="C3799" s="73"/>
      <c r="D3799" s="73"/>
      <c r="E3799" s="73"/>
      <c r="F3799" s="73"/>
      <c r="G3799" s="73"/>
    </row>
    <row r="3800" spans="2:7" ht="32.25" customHeight="1" x14ac:dyDescent="0.35">
      <c r="B3800" s="73"/>
      <c r="C3800" s="73"/>
      <c r="D3800" s="73"/>
      <c r="E3800" s="73"/>
      <c r="F3800" s="73"/>
      <c r="G3800" s="73"/>
    </row>
    <row r="3801" spans="2:7" ht="32.25" customHeight="1" x14ac:dyDescent="0.35">
      <c r="B3801" s="73"/>
      <c r="C3801" s="73"/>
      <c r="D3801" s="73"/>
      <c r="E3801" s="73"/>
      <c r="F3801" s="73"/>
      <c r="G3801" s="73"/>
    </row>
    <row r="3802" spans="2:7" ht="32.25" customHeight="1" x14ac:dyDescent="0.35">
      <c r="B3802" s="73"/>
      <c r="C3802" s="73"/>
      <c r="D3802" s="73"/>
      <c r="E3802" s="73"/>
      <c r="F3802" s="73"/>
      <c r="G3802" s="73"/>
    </row>
    <row r="3803" spans="2:7" ht="32.25" customHeight="1" x14ac:dyDescent="0.35">
      <c r="B3803" s="73"/>
      <c r="C3803" s="73"/>
      <c r="D3803" s="73"/>
      <c r="E3803" s="73"/>
      <c r="F3803" s="73"/>
      <c r="G3803" s="73"/>
    </row>
    <row r="3804" spans="2:7" ht="32.25" customHeight="1" x14ac:dyDescent="0.35">
      <c r="B3804" s="73"/>
      <c r="C3804" s="73"/>
      <c r="D3804" s="73"/>
      <c r="E3804" s="73"/>
      <c r="F3804" s="73"/>
      <c r="G3804" s="73"/>
    </row>
    <row r="3805" spans="2:7" ht="32.25" customHeight="1" x14ac:dyDescent="0.35">
      <c r="B3805" s="73"/>
      <c r="C3805" s="73"/>
      <c r="D3805" s="73"/>
      <c r="E3805" s="73"/>
      <c r="F3805" s="73"/>
      <c r="G3805" s="73"/>
    </row>
    <row r="3806" spans="2:7" ht="32.25" customHeight="1" x14ac:dyDescent="0.35">
      <c r="B3806" s="73"/>
      <c r="C3806" s="73"/>
      <c r="D3806" s="73"/>
      <c r="E3806" s="73"/>
      <c r="F3806" s="73"/>
      <c r="G3806" s="73"/>
    </row>
    <row r="3807" spans="2:7" ht="32.25" customHeight="1" x14ac:dyDescent="0.35">
      <c r="B3807" s="73"/>
      <c r="C3807" s="73"/>
      <c r="D3807" s="73"/>
      <c r="E3807" s="73"/>
      <c r="F3807" s="73"/>
      <c r="G3807" s="73"/>
    </row>
    <row r="3808" spans="2:7" ht="32.25" customHeight="1" x14ac:dyDescent="0.35">
      <c r="B3808" s="73"/>
      <c r="C3808" s="73"/>
      <c r="D3808" s="73"/>
      <c r="E3808" s="73"/>
      <c r="F3808" s="73"/>
      <c r="G3808" s="73"/>
    </row>
    <row r="3809" spans="2:7" ht="32.25" customHeight="1" x14ac:dyDescent="0.35">
      <c r="B3809" s="73"/>
      <c r="C3809" s="73"/>
      <c r="D3809" s="73"/>
      <c r="E3809" s="73"/>
      <c r="F3809" s="73"/>
      <c r="G3809" s="73"/>
    </row>
    <row r="3810" spans="2:7" ht="32.25" customHeight="1" x14ac:dyDescent="0.35">
      <c r="B3810" s="73"/>
      <c r="C3810" s="73"/>
      <c r="D3810" s="73"/>
      <c r="E3810" s="73"/>
      <c r="F3810" s="73"/>
      <c r="G3810" s="73"/>
    </row>
    <row r="3811" spans="2:7" ht="32.25" customHeight="1" x14ac:dyDescent="0.35">
      <c r="B3811" s="73"/>
      <c r="C3811" s="73"/>
      <c r="D3811" s="73"/>
      <c r="E3811" s="73"/>
      <c r="F3811" s="73"/>
      <c r="G3811" s="73"/>
    </row>
    <row r="3812" spans="2:7" ht="32.25" customHeight="1" x14ac:dyDescent="0.35">
      <c r="B3812" s="73"/>
      <c r="C3812" s="73"/>
      <c r="D3812" s="73"/>
      <c r="E3812" s="73"/>
      <c r="F3812" s="73"/>
      <c r="G3812" s="73"/>
    </row>
    <row r="3813" spans="2:7" ht="32.25" customHeight="1" x14ac:dyDescent="0.35">
      <c r="B3813" s="73"/>
      <c r="C3813" s="73"/>
      <c r="D3813" s="73"/>
      <c r="E3813" s="73"/>
      <c r="F3813" s="73"/>
      <c r="G3813" s="73"/>
    </row>
    <row r="3814" spans="2:7" ht="32.25" customHeight="1" x14ac:dyDescent="0.35">
      <c r="B3814" s="73"/>
      <c r="C3814" s="73"/>
      <c r="D3814" s="73"/>
      <c r="E3814" s="73"/>
      <c r="F3814" s="73"/>
      <c r="G3814" s="73"/>
    </row>
    <row r="3815" spans="2:7" ht="32.25" customHeight="1" x14ac:dyDescent="0.35">
      <c r="B3815" s="73"/>
      <c r="C3815" s="73"/>
      <c r="D3815" s="73"/>
      <c r="E3815" s="73"/>
      <c r="F3815" s="73"/>
      <c r="G3815" s="73"/>
    </row>
    <row r="3816" spans="2:7" ht="32.25" customHeight="1" x14ac:dyDescent="0.35">
      <c r="B3816" s="73"/>
      <c r="C3816" s="73"/>
      <c r="D3816" s="73"/>
      <c r="E3816" s="73"/>
      <c r="F3816" s="73"/>
      <c r="G3816" s="73"/>
    </row>
    <row r="3817" spans="2:7" ht="32.25" customHeight="1" x14ac:dyDescent="0.35">
      <c r="B3817" s="73"/>
      <c r="C3817" s="73"/>
      <c r="D3817" s="73"/>
      <c r="E3817" s="73"/>
      <c r="F3817" s="73"/>
      <c r="G3817" s="73"/>
    </row>
    <row r="3818" spans="2:7" ht="32.25" customHeight="1" x14ac:dyDescent="0.35">
      <c r="B3818" s="73"/>
      <c r="C3818" s="73"/>
      <c r="D3818" s="73"/>
      <c r="E3818" s="73"/>
      <c r="F3818" s="73"/>
      <c r="G3818" s="73"/>
    </row>
    <row r="3819" spans="2:7" ht="32.25" customHeight="1" x14ac:dyDescent="0.35">
      <c r="B3819" s="73"/>
      <c r="C3819" s="73"/>
      <c r="D3819" s="73"/>
      <c r="E3819" s="73"/>
      <c r="F3819" s="73"/>
      <c r="G3819" s="73"/>
    </row>
    <row r="3820" spans="2:7" ht="32.25" customHeight="1" x14ac:dyDescent="0.35">
      <c r="B3820" s="73"/>
      <c r="C3820" s="73"/>
      <c r="D3820" s="73"/>
      <c r="E3820" s="73"/>
      <c r="F3820" s="73"/>
      <c r="G3820" s="73"/>
    </row>
    <row r="3821" spans="2:7" ht="32.25" customHeight="1" x14ac:dyDescent="0.35">
      <c r="B3821" s="73"/>
      <c r="C3821" s="73"/>
      <c r="D3821" s="73"/>
      <c r="E3821" s="73"/>
      <c r="F3821" s="73"/>
      <c r="G3821" s="73"/>
    </row>
    <row r="3822" spans="2:7" ht="32.25" customHeight="1" x14ac:dyDescent="0.35">
      <c r="B3822" s="73"/>
      <c r="C3822" s="73"/>
      <c r="D3822" s="73"/>
      <c r="E3822" s="73"/>
      <c r="F3822" s="73"/>
      <c r="G3822" s="73"/>
    </row>
    <row r="3823" spans="2:7" ht="32.25" customHeight="1" x14ac:dyDescent="0.35">
      <c r="B3823" s="73"/>
      <c r="C3823" s="73"/>
      <c r="D3823" s="73"/>
      <c r="E3823" s="73"/>
      <c r="F3823" s="73"/>
      <c r="G3823" s="73"/>
    </row>
    <row r="3824" spans="2:7" ht="32.25" customHeight="1" x14ac:dyDescent="0.35">
      <c r="B3824" s="73"/>
      <c r="C3824" s="73"/>
      <c r="D3824" s="73"/>
      <c r="E3824" s="73"/>
      <c r="F3824" s="73"/>
      <c r="G3824" s="73"/>
    </row>
    <row r="3825" spans="2:7" ht="32.25" customHeight="1" x14ac:dyDescent="0.35">
      <c r="B3825" s="73"/>
      <c r="C3825" s="73"/>
      <c r="D3825" s="73"/>
      <c r="E3825" s="73"/>
      <c r="F3825" s="73"/>
      <c r="G3825" s="73"/>
    </row>
    <row r="3826" spans="2:7" ht="32.25" customHeight="1" x14ac:dyDescent="0.35">
      <c r="B3826" s="73"/>
      <c r="C3826" s="73"/>
      <c r="D3826" s="73"/>
      <c r="E3826" s="73"/>
      <c r="F3826" s="73"/>
      <c r="G3826" s="73"/>
    </row>
    <row r="3827" spans="2:7" ht="32.25" customHeight="1" x14ac:dyDescent="0.35">
      <c r="B3827" s="73"/>
      <c r="C3827" s="73"/>
      <c r="D3827" s="73"/>
      <c r="E3827" s="73"/>
      <c r="F3827" s="73"/>
      <c r="G3827" s="73"/>
    </row>
    <row r="3828" spans="2:7" ht="32.25" customHeight="1" x14ac:dyDescent="0.35">
      <c r="B3828" s="73"/>
      <c r="C3828" s="73"/>
      <c r="D3828" s="73"/>
      <c r="E3828" s="73"/>
      <c r="F3828" s="73"/>
      <c r="G3828" s="73"/>
    </row>
    <row r="3829" spans="2:7" ht="32.25" customHeight="1" x14ac:dyDescent="0.35">
      <c r="B3829" s="73"/>
      <c r="C3829" s="73"/>
      <c r="D3829" s="73"/>
      <c r="E3829" s="73"/>
      <c r="F3829" s="73"/>
      <c r="G3829" s="73"/>
    </row>
    <row r="3830" spans="2:7" ht="32.25" customHeight="1" x14ac:dyDescent="0.35">
      <c r="B3830" s="73"/>
      <c r="C3830" s="73"/>
      <c r="D3830" s="73"/>
      <c r="E3830" s="73"/>
      <c r="F3830" s="73"/>
      <c r="G3830" s="73"/>
    </row>
    <row r="3831" spans="2:7" ht="32.25" customHeight="1" x14ac:dyDescent="0.35">
      <c r="B3831" s="73"/>
      <c r="C3831" s="73"/>
      <c r="D3831" s="73"/>
      <c r="E3831" s="73"/>
      <c r="F3831" s="73"/>
      <c r="G3831" s="73"/>
    </row>
    <row r="3832" spans="2:7" ht="32.25" customHeight="1" x14ac:dyDescent="0.35">
      <c r="B3832" s="73"/>
      <c r="C3832" s="73"/>
      <c r="D3832" s="73"/>
      <c r="E3832" s="73"/>
      <c r="F3832" s="73"/>
      <c r="G3832" s="73"/>
    </row>
    <row r="3833" spans="2:7" ht="32.25" customHeight="1" x14ac:dyDescent="0.35">
      <c r="B3833" s="73"/>
      <c r="C3833" s="73"/>
      <c r="D3833" s="73"/>
      <c r="E3833" s="73"/>
      <c r="F3833" s="73"/>
      <c r="G3833" s="73"/>
    </row>
    <row r="3834" spans="2:7" ht="32.25" customHeight="1" x14ac:dyDescent="0.35">
      <c r="B3834" s="73"/>
      <c r="C3834" s="73"/>
      <c r="D3834" s="73"/>
      <c r="E3834" s="73"/>
      <c r="F3834" s="73"/>
      <c r="G3834" s="73"/>
    </row>
    <row r="3835" spans="2:7" ht="32.25" customHeight="1" x14ac:dyDescent="0.35">
      <c r="B3835" s="73"/>
      <c r="C3835" s="73"/>
      <c r="D3835" s="73"/>
      <c r="E3835" s="73"/>
      <c r="F3835" s="73"/>
      <c r="G3835" s="73"/>
    </row>
    <row r="3836" spans="2:7" ht="32.25" customHeight="1" x14ac:dyDescent="0.35">
      <c r="B3836" s="73"/>
      <c r="C3836" s="73"/>
      <c r="D3836" s="73"/>
      <c r="E3836" s="73"/>
      <c r="F3836" s="73"/>
      <c r="G3836" s="73"/>
    </row>
    <row r="3837" spans="2:7" ht="32.25" customHeight="1" x14ac:dyDescent="0.35">
      <c r="B3837" s="73"/>
      <c r="C3837" s="73"/>
      <c r="D3837" s="73"/>
      <c r="E3837" s="73"/>
      <c r="F3837" s="73"/>
      <c r="G3837" s="73"/>
    </row>
    <row r="3838" spans="2:7" ht="32.25" customHeight="1" x14ac:dyDescent="0.35">
      <c r="B3838" s="73"/>
      <c r="C3838" s="73"/>
      <c r="D3838" s="73"/>
      <c r="E3838" s="73"/>
      <c r="F3838" s="73"/>
      <c r="G3838" s="73"/>
    </row>
    <row r="3839" spans="2:7" ht="32.25" customHeight="1" x14ac:dyDescent="0.35">
      <c r="B3839" s="73"/>
      <c r="C3839" s="73"/>
      <c r="D3839" s="73"/>
      <c r="E3839" s="73"/>
      <c r="F3839" s="73"/>
      <c r="G3839" s="73"/>
    </row>
    <row r="3840" spans="2:7" ht="32.25" customHeight="1" x14ac:dyDescent="0.35">
      <c r="B3840" s="73"/>
      <c r="C3840" s="73"/>
      <c r="D3840" s="73"/>
      <c r="E3840" s="73"/>
      <c r="F3840" s="73"/>
      <c r="G3840" s="73"/>
    </row>
    <row r="3841" spans="2:7" ht="32.25" customHeight="1" x14ac:dyDescent="0.35">
      <c r="B3841" s="73"/>
      <c r="C3841" s="73"/>
      <c r="D3841" s="73"/>
      <c r="E3841" s="73"/>
      <c r="F3841" s="73"/>
      <c r="G3841" s="73"/>
    </row>
    <row r="3842" spans="2:7" ht="32.25" customHeight="1" x14ac:dyDescent="0.35">
      <c r="B3842" s="73"/>
      <c r="C3842" s="73"/>
      <c r="D3842" s="73"/>
      <c r="E3842" s="73"/>
      <c r="F3842" s="73"/>
      <c r="G3842" s="73"/>
    </row>
    <row r="3843" spans="2:7" ht="32.25" customHeight="1" x14ac:dyDescent="0.35">
      <c r="B3843" s="73"/>
      <c r="C3843" s="73"/>
      <c r="D3843" s="73"/>
      <c r="E3843" s="73"/>
      <c r="F3843" s="73"/>
      <c r="G3843" s="73"/>
    </row>
    <row r="3844" spans="2:7" ht="32.25" customHeight="1" x14ac:dyDescent="0.35">
      <c r="B3844" s="73"/>
      <c r="C3844" s="73"/>
      <c r="D3844" s="73"/>
      <c r="E3844" s="73"/>
      <c r="F3844" s="73"/>
      <c r="G3844" s="73"/>
    </row>
    <row r="3845" spans="2:7" ht="32.25" customHeight="1" x14ac:dyDescent="0.35">
      <c r="B3845" s="73"/>
      <c r="C3845" s="73"/>
      <c r="D3845" s="73"/>
      <c r="E3845" s="73"/>
      <c r="F3845" s="73"/>
      <c r="G3845" s="73"/>
    </row>
    <row r="3846" spans="2:7" ht="32.25" customHeight="1" x14ac:dyDescent="0.35">
      <c r="B3846" s="73"/>
      <c r="C3846" s="73"/>
      <c r="D3846" s="73"/>
      <c r="E3846" s="73"/>
      <c r="F3846" s="73"/>
      <c r="G3846" s="73"/>
    </row>
    <row r="3847" spans="2:7" ht="32.25" customHeight="1" x14ac:dyDescent="0.35">
      <c r="B3847" s="73"/>
      <c r="C3847" s="73"/>
      <c r="D3847" s="73"/>
      <c r="E3847" s="73"/>
      <c r="F3847" s="73"/>
      <c r="G3847" s="73"/>
    </row>
    <row r="3848" spans="2:7" ht="32.25" customHeight="1" x14ac:dyDescent="0.35">
      <c r="B3848" s="73"/>
      <c r="C3848" s="73"/>
      <c r="D3848" s="73"/>
      <c r="E3848" s="73"/>
      <c r="F3848" s="73"/>
      <c r="G3848" s="73"/>
    </row>
    <row r="3849" spans="2:7" ht="32.25" customHeight="1" x14ac:dyDescent="0.35">
      <c r="B3849" s="73"/>
      <c r="C3849" s="73"/>
      <c r="D3849" s="73"/>
      <c r="E3849" s="73"/>
      <c r="F3849" s="73"/>
      <c r="G3849" s="73"/>
    </row>
    <row r="3850" spans="2:7" ht="32.25" customHeight="1" x14ac:dyDescent="0.35">
      <c r="B3850" s="73"/>
      <c r="C3850" s="73"/>
      <c r="D3850" s="73"/>
      <c r="E3850" s="73"/>
      <c r="F3850" s="73"/>
      <c r="G3850" s="73"/>
    </row>
    <row r="3851" spans="2:7" ht="32.25" customHeight="1" x14ac:dyDescent="0.35">
      <c r="B3851" s="73"/>
      <c r="C3851" s="73"/>
      <c r="D3851" s="73"/>
      <c r="E3851" s="73"/>
      <c r="F3851" s="73"/>
      <c r="G3851" s="73"/>
    </row>
    <row r="3852" spans="2:7" ht="32.25" customHeight="1" x14ac:dyDescent="0.35">
      <c r="B3852" s="73"/>
      <c r="C3852" s="73"/>
      <c r="D3852" s="73"/>
      <c r="E3852" s="73"/>
      <c r="F3852" s="73"/>
      <c r="G3852" s="73"/>
    </row>
    <row r="3853" spans="2:7" ht="32.25" customHeight="1" x14ac:dyDescent="0.35">
      <c r="B3853" s="73"/>
      <c r="C3853" s="73"/>
      <c r="D3853" s="73"/>
      <c r="E3853" s="73"/>
      <c r="F3853" s="73"/>
      <c r="G3853" s="73"/>
    </row>
    <row r="3854" spans="2:7" ht="32.25" customHeight="1" x14ac:dyDescent="0.35">
      <c r="B3854" s="73"/>
      <c r="C3854" s="73"/>
      <c r="D3854" s="73"/>
      <c r="E3854" s="73"/>
      <c r="F3854" s="73"/>
      <c r="G3854" s="73"/>
    </row>
    <row r="3855" spans="2:7" ht="32.25" customHeight="1" x14ac:dyDescent="0.35">
      <c r="B3855" s="73"/>
      <c r="C3855" s="73"/>
      <c r="D3855" s="73"/>
      <c r="E3855" s="73"/>
      <c r="F3855" s="73"/>
      <c r="G3855" s="73"/>
    </row>
    <row r="3856" spans="2:7" ht="32.25" customHeight="1" x14ac:dyDescent="0.35">
      <c r="B3856" s="73"/>
      <c r="C3856" s="73"/>
      <c r="D3856" s="73"/>
      <c r="E3856" s="73"/>
      <c r="F3856" s="73"/>
      <c r="G3856" s="73"/>
    </row>
    <row r="3857" spans="2:7" ht="32.25" customHeight="1" x14ac:dyDescent="0.35">
      <c r="B3857" s="73"/>
      <c r="C3857" s="73"/>
      <c r="D3857" s="73"/>
      <c r="E3857" s="73"/>
      <c r="F3857" s="73"/>
      <c r="G3857" s="73"/>
    </row>
    <row r="3858" spans="2:7" ht="32.25" customHeight="1" x14ac:dyDescent="0.35">
      <c r="B3858" s="73"/>
      <c r="C3858" s="73"/>
      <c r="D3858" s="73"/>
      <c r="E3858" s="73"/>
      <c r="F3858" s="73"/>
      <c r="G3858" s="73"/>
    </row>
    <row r="3859" spans="2:7" ht="32.25" customHeight="1" x14ac:dyDescent="0.35">
      <c r="B3859" s="73"/>
      <c r="C3859" s="73"/>
      <c r="D3859" s="73"/>
      <c r="E3859" s="73"/>
      <c r="F3859" s="73"/>
      <c r="G3859" s="73"/>
    </row>
    <row r="3860" spans="2:7" ht="32.25" customHeight="1" x14ac:dyDescent="0.35">
      <c r="B3860" s="73"/>
      <c r="C3860" s="73"/>
      <c r="D3860" s="73"/>
      <c r="E3860" s="73"/>
      <c r="F3860" s="73"/>
      <c r="G3860" s="73"/>
    </row>
    <row r="3861" spans="2:7" ht="32.25" customHeight="1" x14ac:dyDescent="0.35">
      <c r="B3861" s="73"/>
      <c r="C3861" s="73"/>
      <c r="D3861" s="73"/>
      <c r="E3861" s="73"/>
      <c r="F3861" s="73"/>
      <c r="G3861" s="73"/>
    </row>
    <row r="3862" spans="2:7" ht="32.25" customHeight="1" x14ac:dyDescent="0.35">
      <c r="B3862" s="73"/>
      <c r="C3862" s="73"/>
      <c r="D3862" s="73"/>
      <c r="E3862" s="73"/>
      <c r="F3862" s="73"/>
      <c r="G3862" s="73"/>
    </row>
    <row r="3863" spans="2:7" ht="32.25" customHeight="1" x14ac:dyDescent="0.35">
      <c r="B3863" s="73"/>
      <c r="C3863" s="73"/>
      <c r="D3863" s="73"/>
      <c r="E3863" s="73"/>
      <c r="F3863" s="73"/>
      <c r="G3863" s="73"/>
    </row>
    <row r="3864" spans="2:7" ht="32.25" customHeight="1" x14ac:dyDescent="0.35">
      <c r="B3864" s="73"/>
      <c r="C3864" s="73"/>
      <c r="D3864" s="73"/>
      <c r="E3864" s="73"/>
      <c r="F3864" s="73"/>
      <c r="G3864" s="73"/>
    </row>
    <row r="3865" spans="2:7" ht="32.25" customHeight="1" x14ac:dyDescent="0.35">
      <c r="B3865" s="73"/>
      <c r="C3865" s="73"/>
      <c r="D3865" s="73"/>
      <c r="E3865" s="73"/>
      <c r="F3865" s="73"/>
      <c r="G3865" s="73"/>
    </row>
    <row r="3866" spans="2:7" ht="32.25" customHeight="1" x14ac:dyDescent="0.35">
      <c r="B3866" s="73"/>
      <c r="C3866" s="73"/>
      <c r="D3866" s="73"/>
      <c r="E3866" s="73"/>
      <c r="F3866" s="73"/>
      <c r="G3866" s="73"/>
    </row>
    <row r="3867" spans="2:7" ht="32.25" customHeight="1" x14ac:dyDescent="0.35">
      <c r="B3867" s="73"/>
      <c r="C3867" s="73"/>
      <c r="D3867" s="73"/>
      <c r="E3867" s="73"/>
      <c r="F3867" s="73"/>
      <c r="G3867" s="73"/>
    </row>
    <row r="3868" spans="2:7" ht="32.25" customHeight="1" x14ac:dyDescent="0.35">
      <c r="B3868" s="73"/>
      <c r="C3868" s="73"/>
      <c r="D3868" s="73"/>
      <c r="E3868" s="73"/>
      <c r="F3868" s="73"/>
      <c r="G3868" s="73"/>
    </row>
    <row r="3869" spans="2:7" ht="32.25" customHeight="1" x14ac:dyDescent="0.35">
      <c r="B3869" s="73"/>
      <c r="C3869" s="73"/>
      <c r="D3869" s="73"/>
      <c r="E3869" s="73"/>
      <c r="F3869" s="73"/>
      <c r="G3869" s="73"/>
    </row>
    <row r="3870" spans="2:7" ht="32.25" customHeight="1" x14ac:dyDescent="0.35">
      <c r="B3870" s="73"/>
      <c r="C3870" s="73"/>
      <c r="D3870" s="73"/>
      <c r="E3870" s="73"/>
      <c r="F3870" s="73"/>
      <c r="G3870" s="73"/>
    </row>
    <row r="3871" spans="2:7" ht="32.25" customHeight="1" x14ac:dyDescent="0.35">
      <c r="B3871" s="73"/>
      <c r="C3871" s="73"/>
      <c r="D3871" s="73"/>
      <c r="E3871" s="73"/>
      <c r="F3871" s="73"/>
      <c r="G3871" s="73"/>
    </row>
    <row r="3872" spans="2:7" ht="32.25" customHeight="1" x14ac:dyDescent="0.35">
      <c r="B3872" s="73"/>
      <c r="C3872" s="73"/>
      <c r="D3872" s="73"/>
      <c r="E3872" s="73"/>
      <c r="F3872" s="73"/>
      <c r="G3872" s="73"/>
    </row>
    <row r="3873" spans="2:7" ht="32.25" customHeight="1" x14ac:dyDescent="0.35">
      <c r="B3873" s="73"/>
      <c r="C3873" s="73"/>
      <c r="D3873" s="73"/>
      <c r="E3873" s="73"/>
      <c r="F3873" s="73"/>
      <c r="G3873" s="73"/>
    </row>
    <row r="3874" spans="2:7" ht="32.25" customHeight="1" x14ac:dyDescent="0.35">
      <c r="B3874" s="73"/>
      <c r="C3874" s="73"/>
      <c r="D3874" s="73"/>
      <c r="E3874" s="73"/>
      <c r="F3874" s="73"/>
      <c r="G3874" s="73"/>
    </row>
    <row r="3875" spans="2:7" ht="32.25" customHeight="1" x14ac:dyDescent="0.35">
      <c r="B3875" s="73"/>
      <c r="C3875" s="73"/>
      <c r="D3875" s="73"/>
      <c r="E3875" s="73"/>
      <c r="F3875" s="73"/>
      <c r="G3875" s="73"/>
    </row>
    <row r="3876" spans="2:7" ht="32.25" customHeight="1" x14ac:dyDescent="0.35">
      <c r="B3876" s="73"/>
      <c r="C3876" s="73"/>
      <c r="D3876" s="73"/>
      <c r="E3876" s="73"/>
      <c r="F3876" s="73"/>
      <c r="G3876" s="73"/>
    </row>
    <row r="3877" spans="2:7" ht="32.25" customHeight="1" x14ac:dyDescent="0.35">
      <c r="B3877" s="73"/>
      <c r="C3877" s="73"/>
      <c r="D3877" s="73"/>
      <c r="E3877" s="73"/>
      <c r="F3877" s="73"/>
      <c r="G3877" s="73"/>
    </row>
    <row r="3878" spans="2:7" ht="32.25" customHeight="1" x14ac:dyDescent="0.35">
      <c r="B3878" s="73"/>
      <c r="C3878" s="73"/>
      <c r="D3878" s="73"/>
      <c r="E3878" s="73"/>
      <c r="F3878" s="73"/>
      <c r="G3878" s="73"/>
    </row>
    <row r="3879" spans="2:7" ht="32.25" customHeight="1" x14ac:dyDescent="0.35">
      <c r="B3879" s="73"/>
      <c r="C3879" s="73"/>
      <c r="D3879" s="73"/>
      <c r="E3879" s="73"/>
      <c r="F3879" s="73"/>
      <c r="G3879" s="73"/>
    </row>
    <row r="3880" spans="2:7" ht="32.25" customHeight="1" x14ac:dyDescent="0.35">
      <c r="B3880" s="73"/>
      <c r="C3880" s="73"/>
      <c r="D3880" s="73"/>
      <c r="E3880" s="73"/>
      <c r="F3880" s="73"/>
      <c r="G3880" s="73"/>
    </row>
    <row r="3881" spans="2:7" ht="32.25" customHeight="1" x14ac:dyDescent="0.35">
      <c r="B3881" s="73"/>
      <c r="C3881" s="73"/>
      <c r="D3881" s="73"/>
      <c r="E3881" s="73"/>
      <c r="F3881" s="73"/>
      <c r="G3881" s="73"/>
    </row>
    <row r="3882" spans="2:7" ht="32.25" customHeight="1" x14ac:dyDescent="0.35">
      <c r="B3882" s="73"/>
      <c r="C3882" s="73"/>
      <c r="D3882" s="73"/>
      <c r="E3882" s="73"/>
      <c r="F3882" s="73"/>
      <c r="G3882" s="73"/>
    </row>
    <row r="3883" spans="2:7" ht="32.25" customHeight="1" x14ac:dyDescent="0.35">
      <c r="B3883" s="73"/>
      <c r="C3883" s="73"/>
      <c r="D3883" s="73"/>
      <c r="E3883" s="73"/>
      <c r="F3883" s="73"/>
      <c r="G3883" s="73"/>
    </row>
    <row r="3884" spans="2:7" ht="32.25" customHeight="1" x14ac:dyDescent="0.35">
      <c r="B3884" s="73"/>
      <c r="C3884" s="73"/>
      <c r="D3884" s="73"/>
      <c r="E3884" s="73"/>
      <c r="F3884" s="73"/>
      <c r="G3884" s="73"/>
    </row>
    <row r="3885" spans="2:7" ht="32.25" customHeight="1" x14ac:dyDescent="0.35">
      <c r="B3885" s="73"/>
      <c r="C3885" s="73"/>
      <c r="D3885" s="73"/>
      <c r="E3885" s="73"/>
      <c r="F3885" s="73"/>
      <c r="G3885" s="73"/>
    </row>
    <row r="3886" spans="2:7" ht="32.25" customHeight="1" x14ac:dyDescent="0.35">
      <c r="B3886" s="73"/>
      <c r="C3886" s="73"/>
      <c r="D3886" s="73"/>
      <c r="E3886" s="73"/>
      <c r="F3886" s="73"/>
      <c r="G3886" s="73"/>
    </row>
    <row r="3887" spans="2:7" ht="32.25" customHeight="1" x14ac:dyDescent="0.35">
      <c r="B3887" s="73"/>
      <c r="C3887" s="73"/>
      <c r="D3887" s="73"/>
      <c r="E3887" s="73"/>
      <c r="F3887" s="73"/>
      <c r="G3887" s="73"/>
    </row>
    <row r="3888" spans="2:7" ht="32.25" customHeight="1" x14ac:dyDescent="0.35">
      <c r="B3888" s="73"/>
      <c r="C3888" s="73"/>
      <c r="D3888" s="73"/>
      <c r="E3888" s="73"/>
      <c r="F3888" s="73"/>
      <c r="G3888" s="73"/>
    </row>
    <row r="3889" spans="2:7" ht="32.25" customHeight="1" x14ac:dyDescent="0.35">
      <c r="B3889" s="73"/>
      <c r="C3889" s="73"/>
      <c r="D3889" s="73"/>
      <c r="E3889" s="73"/>
      <c r="F3889" s="73"/>
      <c r="G3889" s="73"/>
    </row>
    <row r="3890" spans="2:7" ht="32.25" customHeight="1" x14ac:dyDescent="0.35">
      <c r="B3890" s="73"/>
      <c r="C3890" s="73"/>
      <c r="D3890" s="73"/>
      <c r="E3890" s="73"/>
      <c r="F3890" s="73"/>
      <c r="G3890" s="73"/>
    </row>
    <row r="3891" spans="2:7" ht="32.25" customHeight="1" x14ac:dyDescent="0.35">
      <c r="B3891" s="73"/>
      <c r="C3891" s="73"/>
      <c r="D3891" s="73"/>
      <c r="E3891" s="73"/>
      <c r="F3891" s="73"/>
      <c r="G3891" s="73"/>
    </row>
    <row r="3892" spans="2:7" ht="32.25" customHeight="1" x14ac:dyDescent="0.35">
      <c r="B3892" s="73"/>
      <c r="C3892" s="73"/>
      <c r="D3892" s="73"/>
      <c r="E3892" s="73"/>
      <c r="F3892" s="73"/>
      <c r="G3892" s="73"/>
    </row>
    <row r="3893" spans="2:7" ht="32.25" customHeight="1" x14ac:dyDescent="0.35">
      <c r="B3893" s="73"/>
      <c r="C3893" s="73"/>
      <c r="D3893" s="73"/>
      <c r="E3893" s="73"/>
      <c r="F3893" s="73"/>
      <c r="G3893" s="73"/>
    </row>
    <row r="3894" spans="2:7" ht="32.25" customHeight="1" x14ac:dyDescent="0.35">
      <c r="B3894" s="73"/>
      <c r="C3894" s="73"/>
      <c r="D3894" s="73"/>
      <c r="E3894" s="73"/>
      <c r="F3894" s="73"/>
      <c r="G3894" s="73"/>
    </row>
    <row r="3895" spans="2:7" ht="32.25" customHeight="1" x14ac:dyDescent="0.35">
      <c r="B3895" s="73"/>
      <c r="C3895" s="73"/>
      <c r="D3895" s="73"/>
      <c r="E3895" s="73"/>
      <c r="F3895" s="73"/>
      <c r="G3895" s="73"/>
    </row>
    <row r="3896" spans="2:7" ht="32.25" customHeight="1" x14ac:dyDescent="0.35">
      <c r="B3896" s="73"/>
      <c r="C3896" s="73"/>
      <c r="D3896" s="73"/>
      <c r="E3896" s="73"/>
      <c r="F3896" s="73"/>
      <c r="G3896" s="73"/>
    </row>
    <row r="3897" spans="2:7" ht="32.25" customHeight="1" x14ac:dyDescent="0.35">
      <c r="B3897" s="73"/>
      <c r="C3897" s="73"/>
      <c r="D3897" s="73"/>
      <c r="E3897" s="73"/>
      <c r="F3897" s="73"/>
      <c r="G3897" s="73"/>
    </row>
    <row r="3898" spans="2:7" ht="32.25" customHeight="1" x14ac:dyDescent="0.35">
      <c r="B3898" s="73"/>
      <c r="C3898" s="73"/>
      <c r="D3898" s="73"/>
      <c r="E3898" s="73"/>
      <c r="F3898" s="73"/>
      <c r="G3898" s="73"/>
    </row>
    <row r="3899" spans="2:7" ht="32.25" customHeight="1" x14ac:dyDescent="0.35">
      <c r="B3899" s="73"/>
      <c r="C3899" s="73"/>
      <c r="D3899" s="73"/>
      <c r="E3899" s="73"/>
      <c r="F3899" s="73"/>
      <c r="G3899" s="73"/>
    </row>
    <row r="3900" spans="2:7" ht="32.25" customHeight="1" x14ac:dyDescent="0.35">
      <c r="B3900" s="73"/>
      <c r="C3900" s="73"/>
      <c r="D3900" s="73"/>
      <c r="E3900" s="73"/>
      <c r="F3900" s="73"/>
      <c r="G3900" s="73"/>
    </row>
    <row r="3901" spans="2:7" ht="32.25" customHeight="1" x14ac:dyDescent="0.35">
      <c r="B3901" s="73"/>
      <c r="C3901" s="73"/>
      <c r="D3901" s="73"/>
      <c r="E3901" s="73"/>
      <c r="F3901" s="73"/>
      <c r="G3901" s="73"/>
    </row>
    <row r="3902" spans="2:7" ht="32.25" customHeight="1" x14ac:dyDescent="0.35">
      <c r="B3902" s="73"/>
      <c r="C3902" s="73"/>
      <c r="D3902" s="73"/>
      <c r="E3902" s="73"/>
      <c r="F3902" s="73"/>
      <c r="G3902" s="73"/>
    </row>
    <row r="3903" spans="2:7" ht="32.25" customHeight="1" x14ac:dyDescent="0.35">
      <c r="B3903" s="73"/>
      <c r="C3903" s="73"/>
      <c r="D3903" s="73"/>
      <c r="E3903" s="73"/>
      <c r="F3903" s="73"/>
      <c r="G3903" s="73"/>
    </row>
    <row r="3904" spans="2:7" ht="32.25" customHeight="1" x14ac:dyDescent="0.35">
      <c r="B3904" s="73"/>
      <c r="C3904" s="73"/>
      <c r="D3904" s="73"/>
      <c r="E3904" s="73"/>
      <c r="F3904" s="73"/>
      <c r="G3904" s="73"/>
    </row>
    <row r="3905" spans="2:7" ht="32.25" customHeight="1" x14ac:dyDescent="0.35">
      <c r="B3905" s="73"/>
      <c r="C3905" s="73"/>
      <c r="D3905" s="73"/>
      <c r="E3905" s="73"/>
      <c r="F3905" s="73"/>
      <c r="G3905" s="73"/>
    </row>
    <row r="3906" spans="2:7" ht="32.25" customHeight="1" x14ac:dyDescent="0.35">
      <c r="B3906" s="73"/>
      <c r="C3906" s="73"/>
      <c r="D3906" s="73"/>
      <c r="E3906" s="73"/>
      <c r="F3906" s="73"/>
      <c r="G3906" s="73"/>
    </row>
    <row r="3907" spans="2:7" ht="32.25" customHeight="1" x14ac:dyDescent="0.35">
      <c r="B3907" s="73"/>
      <c r="C3907" s="73"/>
      <c r="D3907" s="73"/>
      <c r="E3907" s="73"/>
      <c r="F3907" s="73"/>
      <c r="G3907" s="73"/>
    </row>
    <row r="3908" spans="2:7" ht="32.25" customHeight="1" x14ac:dyDescent="0.35">
      <c r="B3908" s="73"/>
      <c r="C3908" s="73"/>
      <c r="D3908" s="73"/>
      <c r="E3908" s="73"/>
      <c r="F3908" s="73"/>
      <c r="G3908" s="73"/>
    </row>
    <row r="3909" spans="2:7" ht="32.25" customHeight="1" x14ac:dyDescent="0.35">
      <c r="B3909" s="73"/>
      <c r="C3909" s="73"/>
      <c r="D3909" s="73"/>
      <c r="E3909" s="73"/>
      <c r="F3909" s="73"/>
      <c r="G3909" s="73"/>
    </row>
    <row r="3910" spans="2:7" ht="32.25" customHeight="1" x14ac:dyDescent="0.35">
      <c r="B3910" s="73"/>
      <c r="C3910" s="73"/>
      <c r="D3910" s="73"/>
      <c r="E3910" s="73"/>
      <c r="F3910" s="73"/>
      <c r="G3910" s="73"/>
    </row>
    <row r="3911" spans="2:7" ht="32.25" customHeight="1" x14ac:dyDescent="0.35">
      <c r="B3911" s="73"/>
      <c r="C3911" s="73"/>
      <c r="D3911" s="73"/>
      <c r="E3911" s="73"/>
      <c r="F3911" s="73"/>
      <c r="G3911" s="73"/>
    </row>
    <row r="3912" spans="2:7" ht="32.25" customHeight="1" x14ac:dyDescent="0.35">
      <c r="B3912" s="73"/>
      <c r="C3912" s="73"/>
      <c r="D3912" s="73"/>
      <c r="E3912" s="73"/>
      <c r="F3912" s="73"/>
      <c r="G3912" s="73"/>
    </row>
    <row r="3913" spans="2:7" ht="32.25" customHeight="1" x14ac:dyDescent="0.35">
      <c r="B3913" s="73"/>
      <c r="C3913" s="73"/>
      <c r="D3913" s="73"/>
      <c r="E3913" s="73"/>
      <c r="F3913" s="73"/>
      <c r="G3913" s="73"/>
    </row>
    <row r="3914" spans="2:7" ht="32.25" customHeight="1" x14ac:dyDescent="0.35">
      <c r="B3914" s="73"/>
      <c r="C3914" s="73"/>
      <c r="D3914" s="73"/>
      <c r="E3914" s="73"/>
      <c r="F3914" s="73"/>
      <c r="G3914" s="73"/>
    </row>
    <row r="3915" spans="2:7" ht="32.25" customHeight="1" x14ac:dyDescent="0.35">
      <c r="B3915" s="73"/>
      <c r="C3915" s="73"/>
      <c r="D3915" s="73"/>
      <c r="E3915" s="73"/>
      <c r="F3915" s="73"/>
      <c r="G3915" s="73"/>
    </row>
    <row r="3916" spans="2:7" ht="32.25" customHeight="1" x14ac:dyDescent="0.35">
      <c r="B3916" s="73"/>
      <c r="C3916" s="73"/>
      <c r="D3916" s="73"/>
      <c r="E3916" s="73"/>
      <c r="F3916" s="73"/>
      <c r="G3916" s="73"/>
    </row>
    <row r="3917" spans="2:7" ht="32.25" customHeight="1" x14ac:dyDescent="0.35">
      <c r="B3917" s="73"/>
      <c r="C3917" s="73"/>
      <c r="D3917" s="73"/>
      <c r="E3917" s="73"/>
      <c r="F3917" s="73"/>
      <c r="G3917" s="73"/>
    </row>
    <row r="3918" spans="2:7" ht="32.25" customHeight="1" x14ac:dyDescent="0.35">
      <c r="B3918" s="73"/>
      <c r="C3918" s="73"/>
      <c r="D3918" s="73"/>
      <c r="E3918" s="73"/>
      <c r="F3918" s="73"/>
      <c r="G3918" s="73"/>
    </row>
    <row r="3919" spans="2:7" ht="32.25" customHeight="1" x14ac:dyDescent="0.35">
      <c r="B3919" s="73"/>
      <c r="C3919" s="73"/>
      <c r="D3919" s="73"/>
      <c r="E3919" s="73"/>
      <c r="F3919" s="73"/>
      <c r="G3919" s="73"/>
    </row>
    <row r="3920" spans="2:7" ht="32.25" customHeight="1" x14ac:dyDescent="0.35">
      <c r="B3920" s="73"/>
      <c r="C3920" s="73"/>
      <c r="D3920" s="73"/>
      <c r="E3920" s="73"/>
      <c r="F3920" s="73"/>
      <c r="G3920" s="73"/>
    </row>
    <row r="3921" spans="2:7" ht="32.25" customHeight="1" x14ac:dyDescent="0.35">
      <c r="B3921" s="73"/>
      <c r="C3921" s="73"/>
      <c r="D3921" s="73"/>
      <c r="E3921" s="73"/>
      <c r="F3921" s="73"/>
      <c r="G3921" s="73"/>
    </row>
    <row r="3922" spans="2:7" ht="32.25" customHeight="1" x14ac:dyDescent="0.35">
      <c r="B3922" s="73"/>
      <c r="C3922" s="73"/>
      <c r="D3922" s="73"/>
      <c r="E3922" s="73"/>
      <c r="F3922" s="73"/>
      <c r="G3922" s="73"/>
    </row>
    <row r="3923" spans="2:7" ht="32.25" customHeight="1" x14ac:dyDescent="0.35">
      <c r="B3923" s="73"/>
      <c r="C3923" s="73"/>
      <c r="D3923" s="73"/>
      <c r="E3923" s="73"/>
      <c r="F3923" s="73"/>
      <c r="G3923" s="73"/>
    </row>
    <row r="3924" spans="2:7" ht="32.25" customHeight="1" x14ac:dyDescent="0.35">
      <c r="B3924" s="73"/>
      <c r="C3924" s="73"/>
      <c r="D3924" s="73"/>
      <c r="E3924" s="73"/>
      <c r="F3924" s="73"/>
      <c r="G3924" s="73"/>
    </row>
    <row r="3925" spans="2:7" ht="32.25" customHeight="1" x14ac:dyDescent="0.35">
      <c r="B3925" s="73"/>
      <c r="C3925" s="73"/>
      <c r="D3925" s="73"/>
      <c r="E3925" s="73"/>
      <c r="F3925" s="73"/>
      <c r="G3925" s="73"/>
    </row>
    <row r="3926" spans="2:7" ht="32.25" customHeight="1" x14ac:dyDescent="0.35">
      <c r="B3926" s="73"/>
      <c r="C3926" s="73"/>
      <c r="D3926" s="73"/>
      <c r="E3926" s="73"/>
      <c r="F3926" s="73"/>
      <c r="G3926" s="73"/>
    </row>
    <row r="3927" spans="2:7" ht="32.25" customHeight="1" x14ac:dyDescent="0.35">
      <c r="B3927" s="73"/>
      <c r="C3927" s="73"/>
      <c r="D3927" s="73"/>
      <c r="E3927" s="73"/>
      <c r="F3927" s="73"/>
      <c r="G3927" s="73"/>
    </row>
    <row r="3928" spans="2:7" ht="32.25" customHeight="1" x14ac:dyDescent="0.35">
      <c r="B3928" s="73"/>
      <c r="C3928" s="73"/>
      <c r="D3928" s="73"/>
      <c r="E3928" s="73"/>
      <c r="F3928" s="73"/>
      <c r="G3928" s="73"/>
    </row>
    <row r="3929" spans="2:7" ht="32.25" customHeight="1" x14ac:dyDescent="0.35">
      <c r="B3929" s="73"/>
      <c r="C3929" s="73"/>
      <c r="D3929" s="73"/>
      <c r="E3929" s="73"/>
      <c r="F3929" s="73"/>
      <c r="G3929" s="73"/>
    </row>
    <row r="3930" spans="2:7" ht="32.25" customHeight="1" x14ac:dyDescent="0.35">
      <c r="B3930" s="73"/>
      <c r="C3930" s="73"/>
      <c r="D3930" s="73"/>
      <c r="E3930" s="73"/>
      <c r="F3930" s="73"/>
      <c r="G3930" s="73"/>
    </row>
    <row r="3931" spans="2:7" ht="32.25" customHeight="1" x14ac:dyDescent="0.35">
      <c r="B3931" s="73"/>
      <c r="C3931" s="73"/>
      <c r="D3931" s="73"/>
      <c r="E3931" s="73"/>
      <c r="F3931" s="73"/>
      <c r="G3931" s="73"/>
    </row>
    <row r="3932" spans="2:7" ht="32.25" customHeight="1" x14ac:dyDescent="0.35">
      <c r="B3932" s="73"/>
      <c r="C3932" s="73"/>
      <c r="D3932" s="73"/>
      <c r="E3932" s="73"/>
      <c r="F3932" s="73"/>
      <c r="G3932" s="73"/>
    </row>
    <row r="3933" spans="2:7" ht="32.25" customHeight="1" x14ac:dyDescent="0.35">
      <c r="B3933" s="73"/>
      <c r="C3933" s="73"/>
      <c r="D3933" s="73"/>
      <c r="E3933" s="73"/>
      <c r="F3933" s="73"/>
      <c r="G3933" s="73"/>
    </row>
    <row r="3934" spans="2:7" ht="32.25" customHeight="1" x14ac:dyDescent="0.35">
      <c r="B3934" s="73"/>
      <c r="C3934" s="73"/>
      <c r="D3934" s="73"/>
      <c r="E3934" s="73"/>
      <c r="F3934" s="73"/>
      <c r="G3934" s="73"/>
    </row>
    <row r="3935" spans="2:7" ht="32.25" customHeight="1" x14ac:dyDescent="0.35">
      <c r="B3935" s="73"/>
      <c r="C3935" s="73"/>
      <c r="D3935" s="73"/>
      <c r="E3935" s="73"/>
      <c r="F3935" s="73"/>
      <c r="G3935" s="73"/>
    </row>
    <row r="3936" spans="2:7" ht="32.25" customHeight="1" x14ac:dyDescent="0.35">
      <c r="B3936" s="73"/>
      <c r="C3936" s="73"/>
      <c r="D3936" s="73"/>
      <c r="E3936" s="73"/>
      <c r="F3936" s="73"/>
      <c r="G3936" s="73"/>
    </row>
    <row r="3937" spans="2:7" ht="32.25" customHeight="1" x14ac:dyDescent="0.35">
      <c r="B3937" s="73"/>
      <c r="C3937" s="73"/>
      <c r="D3937" s="73"/>
      <c r="E3937" s="73"/>
      <c r="F3937" s="73"/>
      <c r="G3937" s="73"/>
    </row>
    <row r="3938" spans="2:7" ht="32.25" customHeight="1" x14ac:dyDescent="0.35">
      <c r="B3938" s="73"/>
      <c r="C3938" s="73"/>
      <c r="D3938" s="73"/>
      <c r="E3938" s="73"/>
      <c r="F3938" s="73"/>
      <c r="G3938" s="73"/>
    </row>
    <row r="3939" spans="2:7" ht="32.25" customHeight="1" x14ac:dyDescent="0.35">
      <c r="B3939" s="73"/>
      <c r="C3939" s="73"/>
      <c r="D3939" s="73"/>
      <c r="E3939" s="73"/>
      <c r="F3939" s="73"/>
      <c r="G3939" s="73"/>
    </row>
    <row r="3940" spans="2:7" ht="32.25" customHeight="1" x14ac:dyDescent="0.35">
      <c r="B3940" s="73"/>
      <c r="C3940" s="73"/>
      <c r="D3940" s="73"/>
      <c r="E3940" s="73"/>
      <c r="F3940" s="73"/>
      <c r="G3940" s="73"/>
    </row>
    <row r="3941" spans="2:7" ht="32.25" customHeight="1" x14ac:dyDescent="0.35">
      <c r="B3941" s="73"/>
      <c r="C3941" s="73"/>
      <c r="D3941" s="73"/>
      <c r="E3941" s="73"/>
      <c r="F3941" s="73"/>
      <c r="G3941" s="73"/>
    </row>
    <row r="3942" spans="2:7" ht="32.25" customHeight="1" x14ac:dyDescent="0.35">
      <c r="B3942" s="73"/>
      <c r="C3942" s="73"/>
      <c r="D3942" s="73"/>
      <c r="E3942" s="73"/>
      <c r="F3942" s="73"/>
      <c r="G3942" s="73"/>
    </row>
    <row r="3943" spans="2:7" ht="32.25" customHeight="1" x14ac:dyDescent="0.35">
      <c r="B3943" s="73"/>
      <c r="C3943" s="73"/>
      <c r="D3943" s="73"/>
      <c r="E3943" s="73"/>
      <c r="F3943" s="73"/>
      <c r="G3943" s="73"/>
    </row>
    <row r="3944" spans="2:7" ht="32.25" customHeight="1" x14ac:dyDescent="0.35">
      <c r="B3944" s="73"/>
      <c r="C3944" s="73"/>
      <c r="D3944" s="73"/>
      <c r="E3944" s="73"/>
      <c r="F3944" s="73"/>
      <c r="G3944" s="73"/>
    </row>
    <row r="3945" spans="2:7" ht="32.25" customHeight="1" x14ac:dyDescent="0.35">
      <c r="B3945" s="73"/>
      <c r="C3945" s="73"/>
      <c r="D3945" s="73"/>
      <c r="E3945" s="73"/>
      <c r="F3945" s="73"/>
      <c r="G3945" s="73"/>
    </row>
    <row r="3946" spans="2:7" ht="32.25" customHeight="1" x14ac:dyDescent="0.35">
      <c r="B3946" s="73"/>
      <c r="C3946" s="73"/>
      <c r="D3946" s="73"/>
      <c r="E3946" s="73"/>
      <c r="F3946" s="73"/>
      <c r="G3946" s="73"/>
    </row>
    <row r="3947" spans="2:7" ht="32.25" customHeight="1" x14ac:dyDescent="0.35">
      <c r="B3947" s="73"/>
      <c r="C3947" s="73"/>
      <c r="D3947" s="73"/>
      <c r="E3947" s="73"/>
      <c r="F3947" s="73"/>
      <c r="G3947" s="73"/>
    </row>
    <row r="3948" spans="2:7" ht="32.25" customHeight="1" x14ac:dyDescent="0.35">
      <c r="B3948" s="73"/>
      <c r="C3948" s="73"/>
      <c r="D3948" s="73"/>
      <c r="E3948" s="73"/>
      <c r="F3948" s="73"/>
      <c r="G3948" s="73"/>
    </row>
    <row r="3949" spans="2:7" ht="32.25" customHeight="1" x14ac:dyDescent="0.35">
      <c r="B3949" s="73"/>
      <c r="C3949" s="73"/>
      <c r="D3949" s="73"/>
      <c r="E3949" s="73"/>
      <c r="F3949" s="73"/>
      <c r="G3949" s="73"/>
    </row>
    <row r="3950" spans="2:7" ht="32.25" customHeight="1" x14ac:dyDescent="0.35">
      <c r="B3950" s="73"/>
      <c r="C3950" s="73"/>
      <c r="D3950" s="73"/>
      <c r="E3950" s="73"/>
      <c r="F3950" s="73"/>
      <c r="G3950" s="73"/>
    </row>
    <row r="3951" spans="2:7" ht="32.25" customHeight="1" x14ac:dyDescent="0.35">
      <c r="B3951" s="73"/>
      <c r="C3951" s="73"/>
      <c r="D3951" s="73"/>
      <c r="E3951" s="73"/>
      <c r="F3951" s="73"/>
      <c r="G3951" s="73"/>
    </row>
    <row r="3952" spans="2:7" ht="32.25" customHeight="1" x14ac:dyDescent="0.35">
      <c r="B3952" s="73"/>
      <c r="C3952" s="73"/>
      <c r="D3952" s="73"/>
      <c r="E3952" s="73"/>
      <c r="F3952" s="73"/>
      <c r="G3952" s="73"/>
    </row>
    <row r="3953" spans="2:7" ht="32.25" customHeight="1" x14ac:dyDescent="0.35">
      <c r="B3953" s="73"/>
      <c r="C3953" s="73"/>
      <c r="D3953" s="73"/>
      <c r="E3953" s="73"/>
      <c r="F3953" s="73"/>
      <c r="G3953" s="73"/>
    </row>
    <row r="3954" spans="2:7" ht="32.25" customHeight="1" x14ac:dyDescent="0.35">
      <c r="B3954" s="73"/>
      <c r="C3954" s="73"/>
      <c r="D3954" s="73"/>
      <c r="E3954" s="73"/>
      <c r="F3954" s="73"/>
      <c r="G3954" s="73"/>
    </row>
    <row r="3955" spans="2:7" ht="32.25" customHeight="1" x14ac:dyDescent="0.35">
      <c r="B3955" s="73"/>
      <c r="C3955" s="73"/>
      <c r="D3955" s="73"/>
      <c r="E3955" s="73"/>
      <c r="F3955" s="73"/>
      <c r="G3955" s="73"/>
    </row>
    <row r="3956" spans="2:7" ht="32.25" customHeight="1" x14ac:dyDescent="0.35">
      <c r="B3956" s="73"/>
      <c r="C3956" s="73"/>
      <c r="D3956" s="73"/>
      <c r="E3956" s="73"/>
      <c r="F3956" s="73"/>
      <c r="G3956" s="73"/>
    </row>
    <row r="3957" spans="2:7" ht="32.25" customHeight="1" x14ac:dyDescent="0.35">
      <c r="B3957" s="73"/>
      <c r="C3957" s="73"/>
      <c r="D3957" s="73"/>
      <c r="E3957" s="73"/>
      <c r="F3957" s="73"/>
      <c r="G3957" s="73"/>
    </row>
    <row r="3958" spans="2:7" ht="32.25" customHeight="1" x14ac:dyDescent="0.35">
      <c r="B3958" s="73"/>
      <c r="C3958" s="73"/>
      <c r="D3958" s="73"/>
      <c r="E3958" s="73"/>
      <c r="F3958" s="73"/>
      <c r="G3958" s="73"/>
    </row>
    <row r="3959" spans="2:7" ht="32.25" customHeight="1" x14ac:dyDescent="0.35">
      <c r="B3959" s="73"/>
      <c r="C3959" s="73"/>
      <c r="D3959" s="73"/>
      <c r="E3959" s="73"/>
      <c r="F3959" s="73"/>
      <c r="G3959" s="73"/>
    </row>
    <row r="3960" spans="2:7" ht="32.25" customHeight="1" x14ac:dyDescent="0.35">
      <c r="B3960" s="73"/>
      <c r="C3960" s="73"/>
      <c r="D3960" s="73"/>
      <c r="E3960" s="73"/>
      <c r="F3960" s="73"/>
      <c r="G3960" s="73"/>
    </row>
    <row r="3961" spans="2:7" ht="32.25" customHeight="1" x14ac:dyDescent="0.35">
      <c r="B3961" s="73"/>
      <c r="C3961" s="73"/>
      <c r="D3961" s="73"/>
      <c r="E3961" s="73"/>
      <c r="F3961" s="73"/>
      <c r="G3961" s="73"/>
    </row>
    <row r="3962" spans="2:7" ht="32.25" customHeight="1" x14ac:dyDescent="0.35">
      <c r="B3962" s="73"/>
      <c r="C3962" s="73"/>
      <c r="D3962" s="73"/>
      <c r="E3962" s="73"/>
      <c r="F3962" s="73"/>
      <c r="G3962" s="73"/>
    </row>
    <row r="3963" spans="2:7" ht="32.25" customHeight="1" x14ac:dyDescent="0.35">
      <c r="B3963" s="73"/>
      <c r="C3963" s="73"/>
      <c r="D3963" s="73"/>
      <c r="E3963" s="73"/>
      <c r="F3963" s="73"/>
      <c r="G3963" s="73"/>
    </row>
    <row r="3964" spans="2:7" ht="32.25" customHeight="1" x14ac:dyDescent="0.35">
      <c r="B3964" s="73"/>
      <c r="C3964" s="73"/>
      <c r="D3964" s="73"/>
      <c r="E3964" s="73"/>
      <c r="F3964" s="73"/>
      <c r="G3964" s="73"/>
    </row>
    <row r="3965" spans="2:7" ht="32.25" customHeight="1" x14ac:dyDescent="0.35">
      <c r="B3965" s="73"/>
      <c r="C3965" s="73"/>
      <c r="D3965" s="73"/>
      <c r="E3965" s="73"/>
      <c r="F3965" s="73"/>
      <c r="G3965" s="73"/>
    </row>
    <row r="3966" spans="2:7" ht="32.25" customHeight="1" x14ac:dyDescent="0.35">
      <c r="B3966" s="73"/>
      <c r="C3966" s="73"/>
      <c r="D3966" s="73"/>
      <c r="E3966" s="73"/>
      <c r="F3966" s="73"/>
      <c r="G3966" s="73"/>
    </row>
    <row r="3967" spans="2:7" ht="32.25" customHeight="1" x14ac:dyDescent="0.35">
      <c r="B3967" s="73"/>
      <c r="C3967" s="73"/>
      <c r="D3967" s="73"/>
      <c r="E3967" s="73"/>
      <c r="F3967" s="73"/>
      <c r="G3967" s="73"/>
    </row>
    <row r="3968" spans="2:7" ht="32.25" customHeight="1" x14ac:dyDescent="0.35">
      <c r="B3968" s="73"/>
      <c r="C3968" s="73"/>
      <c r="D3968" s="73"/>
      <c r="E3968" s="73"/>
      <c r="F3968" s="73"/>
      <c r="G3968" s="73"/>
    </row>
    <row r="3969" spans="2:7" ht="32.25" customHeight="1" x14ac:dyDescent="0.35">
      <c r="B3969" s="73"/>
      <c r="C3969" s="73"/>
      <c r="D3969" s="73"/>
      <c r="E3969" s="73"/>
      <c r="F3969" s="73"/>
      <c r="G3969" s="73"/>
    </row>
    <row r="3970" spans="2:7" ht="32.25" customHeight="1" x14ac:dyDescent="0.35">
      <c r="B3970" s="73"/>
      <c r="C3970" s="73"/>
      <c r="D3970" s="73"/>
      <c r="E3970" s="73"/>
      <c r="F3970" s="73"/>
      <c r="G3970" s="73"/>
    </row>
    <row r="3971" spans="2:7" ht="32.25" customHeight="1" x14ac:dyDescent="0.35">
      <c r="B3971" s="73"/>
      <c r="C3971" s="73"/>
      <c r="D3971" s="73"/>
      <c r="E3971" s="73"/>
      <c r="F3971" s="73"/>
      <c r="G3971" s="73"/>
    </row>
    <row r="3972" spans="2:7" ht="32.25" customHeight="1" x14ac:dyDescent="0.35">
      <c r="B3972" s="73"/>
      <c r="C3972" s="73"/>
      <c r="D3972" s="73"/>
      <c r="E3972" s="73"/>
      <c r="F3972" s="73"/>
      <c r="G3972" s="73"/>
    </row>
    <row r="3973" spans="2:7" ht="32.25" customHeight="1" x14ac:dyDescent="0.35">
      <c r="B3973" s="73"/>
      <c r="C3973" s="73"/>
      <c r="D3973" s="73"/>
      <c r="E3973" s="73"/>
      <c r="F3973" s="73"/>
      <c r="G3973" s="73"/>
    </row>
    <row r="3974" spans="2:7" ht="32.25" customHeight="1" x14ac:dyDescent="0.35">
      <c r="B3974" s="73"/>
      <c r="C3974" s="73"/>
      <c r="D3974" s="73"/>
      <c r="E3974" s="73"/>
      <c r="F3974" s="73"/>
      <c r="G3974" s="73"/>
    </row>
    <row r="3975" spans="2:7" ht="32.25" customHeight="1" x14ac:dyDescent="0.35">
      <c r="B3975" s="73"/>
      <c r="C3975" s="73"/>
      <c r="D3975" s="73"/>
      <c r="E3975" s="73"/>
      <c r="F3975" s="73"/>
      <c r="G3975" s="73"/>
    </row>
    <row r="3976" spans="2:7" ht="32.25" customHeight="1" x14ac:dyDescent="0.35">
      <c r="B3976" s="73"/>
      <c r="C3976" s="73"/>
      <c r="D3976" s="73"/>
      <c r="E3976" s="73"/>
      <c r="F3976" s="73"/>
      <c r="G3976" s="73"/>
    </row>
    <row r="3977" spans="2:7" ht="32.25" customHeight="1" x14ac:dyDescent="0.35">
      <c r="B3977" s="73"/>
      <c r="C3977" s="73"/>
      <c r="D3977" s="73"/>
      <c r="E3977" s="73"/>
      <c r="F3977" s="73"/>
      <c r="G3977" s="73"/>
    </row>
    <row r="3978" spans="2:7" ht="32.25" customHeight="1" x14ac:dyDescent="0.35">
      <c r="B3978" s="73"/>
      <c r="C3978" s="73"/>
      <c r="D3978" s="73"/>
      <c r="E3978" s="73"/>
      <c r="F3978" s="73"/>
      <c r="G3978" s="73"/>
    </row>
    <row r="3979" spans="2:7" ht="32.25" customHeight="1" x14ac:dyDescent="0.35">
      <c r="B3979" s="73"/>
      <c r="C3979" s="73"/>
      <c r="D3979" s="73"/>
      <c r="E3979" s="73"/>
      <c r="F3979" s="73"/>
      <c r="G3979" s="73"/>
    </row>
    <row r="3980" spans="2:7" ht="32.25" customHeight="1" x14ac:dyDescent="0.35">
      <c r="B3980" s="73"/>
      <c r="C3980" s="73"/>
      <c r="D3980" s="73"/>
      <c r="E3980" s="73"/>
      <c r="F3980" s="73"/>
      <c r="G3980" s="73"/>
    </row>
    <row r="3981" spans="2:7" ht="32.25" customHeight="1" x14ac:dyDescent="0.35">
      <c r="B3981" s="73"/>
      <c r="C3981" s="73"/>
      <c r="D3981" s="73"/>
      <c r="E3981" s="73"/>
      <c r="F3981" s="73"/>
      <c r="G3981" s="73"/>
    </row>
    <row r="3982" spans="2:7" ht="32.25" customHeight="1" x14ac:dyDescent="0.35">
      <c r="B3982" s="73"/>
      <c r="C3982" s="73"/>
      <c r="D3982" s="73"/>
      <c r="E3982" s="73"/>
      <c r="F3982" s="73"/>
      <c r="G3982" s="73"/>
    </row>
    <row r="3983" spans="2:7" ht="32.25" customHeight="1" x14ac:dyDescent="0.35">
      <c r="B3983" s="73"/>
      <c r="C3983" s="73"/>
      <c r="D3983" s="73"/>
      <c r="E3983" s="73"/>
      <c r="F3983" s="73"/>
      <c r="G3983" s="73"/>
    </row>
    <row r="3984" spans="2:7" ht="32.25" customHeight="1" x14ac:dyDescent="0.35">
      <c r="B3984" s="73"/>
      <c r="C3984" s="73"/>
      <c r="D3984" s="73"/>
      <c r="E3984" s="73"/>
      <c r="F3984" s="73"/>
      <c r="G3984" s="73"/>
    </row>
    <row r="3985" spans="2:7" ht="32.25" customHeight="1" x14ac:dyDescent="0.35">
      <c r="B3985" s="73"/>
      <c r="C3985" s="73"/>
      <c r="D3985" s="73"/>
      <c r="E3985" s="73"/>
      <c r="F3985" s="73"/>
      <c r="G3985" s="73"/>
    </row>
    <row r="3986" spans="2:7" ht="32.25" customHeight="1" x14ac:dyDescent="0.35">
      <c r="B3986" s="73"/>
      <c r="C3986" s="73"/>
      <c r="D3986" s="73"/>
      <c r="E3986" s="73"/>
      <c r="F3986" s="73"/>
      <c r="G3986" s="73"/>
    </row>
    <row r="3987" spans="2:7" ht="32.25" customHeight="1" x14ac:dyDescent="0.35">
      <c r="B3987" s="73"/>
      <c r="C3987" s="73"/>
      <c r="D3987" s="73"/>
      <c r="E3987" s="73"/>
      <c r="F3987" s="73"/>
      <c r="G3987" s="73"/>
    </row>
    <row r="3988" spans="2:7" ht="32.25" customHeight="1" x14ac:dyDescent="0.35">
      <c r="B3988" s="73"/>
      <c r="C3988" s="73"/>
      <c r="D3988" s="73"/>
      <c r="E3988" s="73"/>
      <c r="F3988" s="73"/>
      <c r="G3988" s="73"/>
    </row>
    <row r="3989" spans="2:7" ht="32.25" customHeight="1" x14ac:dyDescent="0.35">
      <c r="B3989" s="73"/>
      <c r="C3989" s="73"/>
      <c r="D3989" s="73"/>
      <c r="E3989" s="73"/>
      <c r="F3989" s="73"/>
      <c r="G3989" s="73"/>
    </row>
    <row r="3990" spans="2:7" ht="32.25" customHeight="1" x14ac:dyDescent="0.35">
      <c r="B3990" s="73"/>
      <c r="C3990" s="73"/>
      <c r="D3990" s="73"/>
      <c r="E3990" s="73"/>
      <c r="F3990" s="73"/>
      <c r="G3990" s="73"/>
    </row>
    <row r="3991" spans="2:7" ht="32.25" customHeight="1" x14ac:dyDescent="0.35">
      <c r="B3991" s="73"/>
      <c r="C3991" s="73"/>
      <c r="D3991" s="73"/>
      <c r="E3991" s="73"/>
      <c r="F3991" s="73"/>
      <c r="G3991" s="73"/>
    </row>
    <row r="3992" spans="2:7" ht="32.25" customHeight="1" x14ac:dyDescent="0.35">
      <c r="B3992" s="73"/>
      <c r="C3992" s="73"/>
      <c r="D3992" s="73"/>
      <c r="E3992" s="73"/>
      <c r="F3992" s="73"/>
      <c r="G3992" s="73"/>
    </row>
    <row r="3993" spans="2:7" ht="32.25" customHeight="1" x14ac:dyDescent="0.35">
      <c r="B3993" s="73"/>
      <c r="C3993" s="73"/>
      <c r="D3993" s="73"/>
      <c r="E3993" s="73"/>
      <c r="F3993" s="73"/>
      <c r="G3993" s="73"/>
    </row>
    <row r="3994" spans="2:7" ht="32.25" customHeight="1" x14ac:dyDescent="0.35">
      <c r="B3994" s="73"/>
      <c r="C3994" s="73"/>
      <c r="D3994" s="73"/>
      <c r="E3994" s="73"/>
      <c r="F3994" s="73"/>
      <c r="G3994" s="73"/>
    </row>
    <row r="3995" spans="2:7" ht="32.25" customHeight="1" x14ac:dyDescent="0.35">
      <c r="B3995" s="73"/>
      <c r="C3995" s="73"/>
      <c r="D3995" s="73"/>
      <c r="E3995" s="73"/>
      <c r="F3995" s="73"/>
      <c r="G3995" s="73"/>
    </row>
    <row r="3996" spans="2:7" ht="32.25" customHeight="1" x14ac:dyDescent="0.35">
      <c r="B3996" s="73"/>
      <c r="C3996" s="73"/>
      <c r="D3996" s="73"/>
      <c r="E3996" s="73"/>
      <c r="F3996" s="73"/>
      <c r="G3996" s="73"/>
    </row>
    <row r="3997" spans="2:7" ht="32.25" customHeight="1" x14ac:dyDescent="0.35">
      <c r="B3997" s="73"/>
      <c r="C3997" s="73"/>
      <c r="D3997" s="73"/>
      <c r="E3997" s="73"/>
      <c r="F3997" s="73"/>
      <c r="G3997" s="73"/>
    </row>
    <row r="3998" spans="2:7" ht="32.25" customHeight="1" x14ac:dyDescent="0.35">
      <c r="B3998" s="73"/>
      <c r="C3998" s="73"/>
      <c r="D3998" s="73"/>
      <c r="E3998" s="73"/>
      <c r="F3998" s="73"/>
      <c r="G3998" s="73"/>
    </row>
    <row r="3999" spans="2:7" ht="32.25" customHeight="1" x14ac:dyDescent="0.35">
      <c r="B3999" s="73"/>
      <c r="C3999" s="73"/>
      <c r="D3999" s="73"/>
      <c r="E3999" s="73"/>
      <c r="F3999" s="73"/>
      <c r="G3999" s="73"/>
    </row>
    <row r="4000" spans="2:7" ht="32.25" customHeight="1" x14ac:dyDescent="0.35">
      <c r="B4000" s="73"/>
      <c r="C4000" s="73"/>
      <c r="D4000" s="73"/>
      <c r="E4000" s="73"/>
      <c r="F4000" s="73"/>
      <c r="G4000" s="73"/>
    </row>
    <row r="4001" spans="2:7" ht="32.25" customHeight="1" x14ac:dyDescent="0.35">
      <c r="B4001" s="73"/>
      <c r="C4001" s="73"/>
      <c r="D4001" s="73"/>
      <c r="E4001" s="73"/>
      <c r="F4001" s="73"/>
      <c r="G4001" s="73"/>
    </row>
    <row r="4002" spans="2:7" ht="32.25" customHeight="1" x14ac:dyDescent="0.35">
      <c r="B4002" s="73"/>
      <c r="C4002" s="73"/>
      <c r="D4002" s="73"/>
      <c r="E4002" s="73"/>
      <c r="F4002" s="73"/>
      <c r="G4002" s="73"/>
    </row>
    <row r="4003" spans="2:7" ht="32.25" customHeight="1" x14ac:dyDescent="0.35">
      <c r="B4003" s="73"/>
      <c r="C4003" s="73"/>
      <c r="D4003" s="73"/>
      <c r="E4003" s="73"/>
      <c r="F4003" s="73"/>
      <c r="G4003" s="73"/>
    </row>
    <row r="4004" spans="2:7" ht="32.25" customHeight="1" x14ac:dyDescent="0.35">
      <c r="B4004" s="73"/>
      <c r="C4004" s="73"/>
      <c r="D4004" s="73"/>
      <c r="E4004" s="73"/>
      <c r="F4004" s="73"/>
      <c r="G4004" s="73"/>
    </row>
    <row r="4005" spans="2:7" ht="32.25" customHeight="1" x14ac:dyDescent="0.35">
      <c r="B4005" s="73"/>
      <c r="C4005" s="73"/>
      <c r="D4005" s="73"/>
      <c r="E4005" s="73"/>
      <c r="F4005" s="73"/>
      <c r="G4005" s="73"/>
    </row>
    <row r="4006" spans="2:7" ht="32.25" customHeight="1" x14ac:dyDescent="0.35">
      <c r="B4006" s="73"/>
      <c r="C4006" s="73"/>
      <c r="D4006" s="73"/>
      <c r="E4006" s="73"/>
      <c r="F4006" s="73"/>
      <c r="G4006" s="73"/>
    </row>
    <row r="4007" spans="2:7" ht="32.25" customHeight="1" x14ac:dyDescent="0.35">
      <c r="B4007" s="73"/>
      <c r="C4007" s="73"/>
      <c r="D4007" s="73"/>
      <c r="E4007" s="73"/>
      <c r="F4007" s="73"/>
      <c r="G4007" s="73"/>
    </row>
    <row r="4008" spans="2:7" ht="32.25" customHeight="1" x14ac:dyDescent="0.35">
      <c r="B4008" s="73"/>
      <c r="C4008" s="73"/>
      <c r="D4008" s="73"/>
      <c r="E4008" s="73"/>
      <c r="F4008" s="73"/>
      <c r="G4008" s="73"/>
    </row>
    <row r="4009" spans="2:7" ht="32.25" customHeight="1" x14ac:dyDescent="0.35">
      <c r="B4009" s="73"/>
      <c r="C4009" s="73"/>
      <c r="D4009" s="73"/>
      <c r="E4009" s="73"/>
      <c r="F4009" s="73"/>
      <c r="G4009" s="73"/>
    </row>
    <row r="4010" spans="2:7" ht="32.25" customHeight="1" x14ac:dyDescent="0.35">
      <c r="B4010" s="73"/>
      <c r="C4010" s="73"/>
      <c r="D4010" s="73"/>
      <c r="E4010" s="73"/>
      <c r="F4010" s="73"/>
      <c r="G4010" s="73"/>
    </row>
    <row r="4011" spans="2:7" ht="32.25" customHeight="1" x14ac:dyDescent="0.35">
      <c r="B4011" s="73"/>
      <c r="C4011" s="73"/>
      <c r="D4011" s="73"/>
      <c r="E4011" s="73"/>
      <c r="F4011" s="73"/>
      <c r="G4011" s="73"/>
    </row>
    <row r="4012" spans="2:7" ht="32.25" customHeight="1" x14ac:dyDescent="0.35">
      <c r="B4012" s="73"/>
      <c r="C4012" s="73"/>
      <c r="D4012" s="73"/>
      <c r="E4012" s="73"/>
      <c r="F4012" s="73"/>
      <c r="G4012" s="73"/>
    </row>
    <row r="4013" spans="2:7" ht="32.25" customHeight="1" x14ac:dyDescent="0.35">
      <c r="B4013" s="73"/>
      <c r="C4013" s="73"/>
      <c r="D4013" s="73"/>
      <c r="E4013" s="73"/>
      <c r="F4013" s="73"/>
      <c r="G4013" s="73"/>
    </row>
    <row r="4014" spans="2:7" ht="32.25" customHeight="1" x14ac:dyDescent="0.35">
      <c r="B4014" s="73"/>
      <c r="C4014" s="73"/>
      <c r="D4014" s="73"/>
      <c r="E4014" s="73"/>
      <c r="F4014" s="73"/>
      <c r="G4014" s="73"/>
    </row>
    <row r="4015" spans="2:7" ht="32.25" customHeight="1" x14ac:dyDescent="0.35">
      <c r="B4015" s="73"/>
      <c r="C4015" s="73"/>
      <c r="D4015" s="73"/>
      <c r="E4015" s="73"/>
      <c r="F4015" s="73"/>
      <c r="G4015" s="73"/>
    </row>
    <row r="4016" spans="2:7" ht="32.25" customHeight="1" x14ac:dyDescent="0.35">
      <c r="B4016" s="73"/>
      <c r="C4016" s="73"/>
      <c r="D4016" s="73"/>
      <c r="E4016" s="73"/>
      <c r="F4016" s="73"/>
      <c r="G4016" s="73"/>
    </row>
    <row r="4017" spans="2:7" ht="32.25" customHeight="1" x14ac:dyDescent="0.35">
      <c r="B4017" s="73"/>
      <c r="C4017" s="73"/>
      <c r="D4017" s="73"/>
      <c r="E4017" s="73"/>
      <c r="F4017" s="73"/>
      <c r="G4017" s="73"/>
    </row>
    <row r="4018" spans="2:7" ht="32.25" customHeight="1" x14ac:dyDescent="0.35">
      <c r="B4018" s="73"/>
      <c r="C4018" s="73"/>
      <c r="D4018" s="73"/>
      <c r="E4018" s="73"/>
      <c r="F4018" s="73"/>
      <c r="G4018" s="73"/>
    </row>
    <row r="4019" spans="2:7" ht="32.25" customHeight="1" x14ac:dyDescent="0.35">
      <c r="B4019" s="73"/>
      <c r="C4019" s="73"/>
      <c r="D4019" s="73"/>
      <c r="E4019" s="73"/>
      <c r="F4019" s="73"/>
      <c r="G4019" s="73"/>
    </row>
    <row r="4020" spans="2:7" ht="32.25" customHeight="1" x14ac:dyDescent="0.35">
      <c r="B4020" s="73"/>
      <c r="C4020" s="73"/>
      <c r="D4020" s="73"/>
      <c r="E4020" s="73"/>
      <c r="F4020" s="73"/>
      <c r="G4020" s="73"/>
    </row>
    <row r="4021" spans="2:7" ht="32.25" customHeight="1" x14ac:dyDescent="0.35">
      <c r="B4021" s="73"/>
      <c r="C4021" s="73"/>
      <c r="D4021" s="73"/>
      <c r="E4021" s="73"/>
      <c r="F4021" s="73"/>
      <c r="G4021" s="73"/>
    </row>
    <row r="4022" spans="2:7" ht="32.25" customHeight="1" x14ac:dyDescent="0.35">
      <c r="B4022" s="73"/>
      <c r="C4022" s="73"/>
      <c r="D4022" s="73"/>
      <c r="E4022" s="73"/>
      <c r="F4022" s="73"/>
      <c r="G4022" s="73"/>
    </row>
    <row r="4023" spans="2:7" ht="32.25" customHeight="1" x14ac:dyDescent="0.35">
      <c r="B4023" s="73"/>
      <c r="C4023" s="73"/>
      <c r="D4023" s="73"/>
      <c r="E4023" s="73"/>
      <c r="F4023" s="73"/>
      <c r="G4023" s="73"/>
    </row>
    <row r="4024" spans="2:7" ht="32.25" customHeight="1" x14ac:dyDescent="0.35">
      <c r="B4024" s="73"/>
      <c r="C4024" s="73"/>
      <c r="D4024" s="73"/>
      <c r="E4024" s="73"/>
      <c r="F4024" s="73"/>
      <c r="G4024" s="73"/>
    </row>
    <row r="4025" spans="2:7" ht="32.25" customHeight="1" x14ac:dyDescent="0.35">
      <c r="B4025" s="73"/>
      <c r="C4025" s="73"/>
      <c r="D4025" s="73"/>
      <c r="E4025" s="73"/>
      <c r="F4025" s="73"/>
      <c r="G4025" s="73"/>
    </row>
    <row r="4026" spans="2:7" ht="32.25" customHeight="1" x14ac:dyDescent="0.35">
      <c r="B4026" s="73"/>
      <c r="C4026" s="73"/>
      <c r="D4026" s="73"/>
      <c r="E4026" s="73"/>
      <c r="F4026" s="73"/>
      <c r="G4026" s="73"/>
    </row>
    <row r="4027" spans="2:7" ht="32.25" customHeight="1" x14ac:dyDescent="0.35">
      <c r="B4027" s="73"/>
      <c r="C4027" s="73"/>
      <c r="D4027" s="73"/>
      <c r="E4027" s="73"/>
      <c r="F4027" s="73"/>
      <c r="G4027" s="73"/>
    </row>
    <row r="4028" spans="2:7" ht="32.25" customHeight="1" x14ac:dyDescent="0.35">
      <c r="B4028" s="73"/>
      <c r="C4028" s="73"/>
      <c r="D4028" s="73"/>
      <c r="E4028" s="73"/>
      <c r="F4028" s="73"/>
      <c r="G4028" s="73"/>
    </row>
    <row r="4029" spans="2:7" ht="32.25" customHeight="1" x14ac:dyDescent="0.35">
      <c r="B4029" s="73"/>
      <c r="C4029" s="73"/>
      <c r="D4029" s="73"/>
      <c r="E4029" s="73"/>
      <c r="F4029" s="73"/>
      <c r="G4029" s="73"/>
    </row>
    <row r="4030" spans="2:7" ht="32.25" customHeight="1" x14ac:dyDescent="0.35">
      <c r="B4030" s="73"/>
      <c r="C4030" s="73"/>
      <c r="D4030" s="73"/>
      <c r="E4030" s="73"/>
      <c r="F4030" s="73"/>
      <c r="G4030" s="73"/>
    </row>
    <row r="4031" spans="2:7" ht="32.25" customHeight="1" x14ac:dyDescent="0.35">
      <c r="B4031" s="73"/>
      <c r="C4031" s="73"/>
      <c r="D4031" s="73"/>
      <c r="E4031" s="73"/>
      <c r="F4031" s="73"/>
      <c r="G4031" s="73"/>
    </row>
    <row r="4032" spans="2:7" ht="32.25" customHeight="1" x14ac:dyDescent="0.35">
      <c r="B4032" s="73"/>
      <c r="C4032" s="73"/>
      <c r="D4032" s="73"/>
      <c r="E4032" s="73"/>
      <c r="F4032" s="73"/>
      <c r="G4032" s="73"/>
    </row>
    <row r="4033" spans="2:7" ht="32.25" customHeight="1" x14ac:dyDescent="0.35">
      <c r="B4033" s="73"/>
      <c r="C4033" s="73"/>
      <c r="D4033" s="73"/>
      <c r="E4033" s="73"/>
      <c r="F4033" s="73"/>
      <c r="G4033" s="73"/>
    </row>
    <row r="4034" spans="2:7" ht="32.25" customHeight="1" x14ac:dyDescent="0.35">
      <c r="B4034" s="73"/>
      <c r="C4034" s="73"/>
      <c r="D4034" s="73"/>
      <c r="E4034" s="73"/>
      <c r="F4034" s="73"/>
      <c r="G4034" s="73"/>
    </row>
    <row r="4035" spans="2:7" ht="32.25" customHeight="1" x14ac:dyDescent="0.35">
      <c r="B4035" s="73"/>
      <c r="C4035" s="73"/>
      <c r="D4035" s="73"/>
      <c r="E4035" s="73"/>
      <c r="F4035" s="73"/>
      <c r="G4035" s="73"/>
    </row>
    <row r="4036" spans="2:7" ht="32.25" customHeight="1" x14ac:dyDescent="0.35">
      <c r="B4036" s="73"/>
      <c r="C4036" s="73"/>
      <c r="D4036" s="73"/>
      <c r="E4036" s="73"/>
      <c r="F4036" s="73"/>
      <c r="G4036" s="73"/>
    </row>
    <row r="4037" spans="2:7" ht="32.25" customHeight="1" x14ac:dyDescent="0.35">
      <c r="B4037" s="73"/>
      <c r="C4037" s="73"/>
      <c r="D4037" s="73"/>
      <c r="E4037" s="73"/>
      <c r="F4037" s="73"/>
      <c r="G4037" s="73"/>
    </row>
    <row r="4038" spans="2:7" ht="32.25" customHeight="1" x14ac:dyDescent="0.35">
      <c r="B4038" s="73"/>
      <c r="C4038" s="73"/>
      <c r="D4038" s="73"/>
      <c r="E4038" s="73"/>
      <c r="F4038" s="73"/>
      <c r="G4038" s="73"/>
    </row>
    <row r="4039" spans="2:7" ht="32.25" customHeight="1" x14ac:dyDescent="0.35">
      <c r="B4039" s="73"/>
      <c r="C4039" s="73"/>
      <c r="D4039" s="73"/>
      <c r="E4039" s="73"/>
      <c r="F4039" s="73"/>
      <c r="G4039" s="73"/>
    </row>
    <row r="4040" spans="2:7" ht="32.25" customHeight="1" x14ac:dyDescent="0.35">
      <c r="B4040" s="73"/>
      <c r="C4040" s="73"/>
      <c r="D4040" s="73"/>
      <c r="E4040" s="73"/>
      <c r="F4040" s="73"/>
      <c r="G4040" s="73"/>
    </row>
    <row r="4041" spans="2:7" ht="32.25" customHeight="1" x14ac:dyDescent="0.35">
      <c r="B4041" s="73"/>
      <c r="C4041" s="73"/>
      <c r="D4041" s="73"/>
      <c r="E4041" s="73"/>
      <c r="F4041" s="73"/>
      <c r="G4041" s="73"/>
    </row>
    <row r="4042" spans="2:7" ht="32.25" customHeight="1" x14ac:dyDescent="0.35">
      <c r="B4042" s="73"/>
      <c r="C4042" s="73"/>
      <c r="D4042" s="73"/>
      <c r="E4042" s="73"/>
      <c r="F4042" s="73"/>
      <c r="G4042" s="73"/>
    </row>
    <row r="4043" spans="2:7" ht="32.25" customHeight="1" x14ac:dyDescent="0.35">
      <c r="B4043" s="73"/>
      <c r="C4043" s="73"/>
      <c r="D4043" s="73"/>
      <c r="E4043" s="73"/>
      <c r="F4043" s="73"/>
      <c r="G4043" s="73"/>
    </row>
    <row r="4044" spans="2:7" ht="32.25" customHeight="1" x14ac:dyDescent="0.35">
      <c r="B4044" s="73"/>
      <c r="C4044" s="73"/>
      <c r="D4044" s="73"/>
      <c r="E4044" s="73"/>
      <c r="F4044" s="73"/>
      <c r="G4044" s="73"/>
    </row>
    <row r="4045" spans="2:7" ht="32.25" customHeight="1" x14ac:dyDescent="0.35">
      <c r="B4045" s="73"/>
      <c r="C4045" s="73"/>
      <c r="D4045" s="73"/>
      <c r="E4045" s="73"/>
      <c r="F4045" s="73"/>
      <c r="G4045" s="73"/>
    </row>
    <row r="4046" spans="2:7" ht="32.25" customHeight="1" x14ac:dyDescent="0.35">
      <c r="B4046" s="73"/>
      <c r="C4046" s="73"/>
      <c r="D4046" s="73"/>
      <c r="E4046" s="73"/>
      <c r="F4046" s="73"/>
      <c r="G4046" s="73"/>
    </row>
    <row r="4047" spans="2:7" ht="32.25" customHeight="1" x14ac:dyDescent="0.35">
      <c r="B4047" s="73"/>
      <c r="C4047" s="73"/>
      <c r="D4047" s="73"/>
      <c r="E4047" s="73"/>
      <c r="F4047" s="73"/>
      <c r="G4047" s="73"/>
    </row>
    <row r="4048" spans="2:7" ht="32.25" customHeight="1" x14ac:dyDescent="0.35">
      <c r="B4048" s="73"/>
      <c r="C4048" s="73"/>
      <c r="D4048" s="73"/>
      <c r="E4048" s="73"/>
      <c r="F4048" s="73"/>
      <c r="G4048" s="73"/>
    </row>
    <row r="4049" spans="2:7" ht="32.25" customHeight="1" x14ac:dyDescent="0.35">
      <c r="B4049" s="73"/>
      <c r="C4049" s="73"/>
      <c r="D4049" s="73"/>
      <c r="E4049" s="73"/>
      <c r="F4049" s="73"/>
      <c r="G4049" s="73"/>
    </row>
    <row r="4050" spans="2:7" ht="32.25" customHeight="1" x14ac:dyDescent="0.35">
      <c r="B4050" s="73"/>
      <c r="C4050" s="73"/>
      <c r="D4050" s="73"/>
      <c r="E4050" s="73"/>
      <c r="F4050" s="73"/>
      <c r="G4050" s="73"/>
    </row>
    <row r="4051" spans="2:7" ht="32.25" customHeight="1" x14ac:dyDescent="0.35">
      <c r="B4051" s="73"/>
      <c r="C4051" s="73"/>
      <c r="D4051" s="73"/>
      <c r="E4051" s="73"/>
      <c r="F4051" s="73"/>
      <c r="G4051" s="73"/>
    </row>
    <row r="4052" spans="2:7" ht="32.25" customHeight="1" x14ac:dyDescent="0.35">
      <c r="B4052" s="73"/>
      <c r="C4052" s="73"/>
      <c r="D4052" s="73"/>
      <c r="E4052" s="73"/>
      <c r="F4052" s="73"/>
      <c r="G4052" s="73"/>
    </row>
    <row r="4053" spans="2:7" ht="32.25" customHeight="1" x14ac:dyDescent="0.35">
      <c r="B4053" s="73"/>
      <c r="C4053" s="73"/>
      <c r="D4053" s="73"/>
      <c r="E4053" s="73"/>
      <c r="F4053" s="73"/>
      <c r="G4053" s="73"/>
    </row>
    <row r="4054" spans="2:7" ht="32.25" customHeight="1" x14ac:dyDescent="0.35">
      <c r="B4054" s="73"/>
      <c r="C4054" s="73"/>
      <c r="D4054" s="73"/>
      <c r="E4054" s="73"/>
      <c r="F4054" s="73"/>
      <c r="G4054" s="73"/>
    </row>
    <row r="4055" spans="2:7" ht="32.25" customHeight="1" x14ac:dyDescent="0.35">
      <c r="B4055" s="73"/>
      <c r="C4055" s="73"/>
      <c r="D4055" s="73"/>
      <c r="E4055" s="73"/>
      <c r="F4055" s="73"/>
      <c r="G4055" s="73"/>
    </row>
    <row r="4056" spans="2:7" ht="32.25" customHeight="1" x14ac:dyDescent="0.35">
      <c r="B4056" s="73"/>
      <c r="C4056" s="73"/>
      <c r="D4056" s="73"/>
      <c r="E4056" s="73"/>
      <c r="F4056" s="73"/>
      <c r="G4056" s="73"/>
    </row>
    <row r="4057" spans="2:7" ht="32.25" customHeight="1" x14ac:dyDescent="0.35">
      <c r="B4057" s="73"/>
      <c r="C4057" s="73"/>
      <c r="D4057" s="73"/>
      <c r="E4057" s="73"/>
      <c r="F4057" s="73"/>
      <c r="G4057" s="73"/>
    </row>
    <row r="4058" spans="2:7" ht="32.25" customHeight="1" x14ac:dyDescent="0.35">
      <c r="B4058" s="73"/>
      <c r="C4058" s="73"/>
      <c r="D4058" s="73"/>
      <c r="E4058" s="73"/>
      <c r="F4058" s="73"/>
      <c r="G4058" s="73"/>
    </row>
    <row r="4059" spans="2:7" ht="32.25" customHeight="1" x14ac:dyDescent="0.35">
      <c r="B4059" s="73"/>
      <c r="C4059" s="73"/>
      <c r="D4059" s="73"/>
      <c r="E4059" s="73"/>
      <c r="F4059" s="73"/>
      <c r="G4059" s="73"/>
    </row>
    <row r="4060" spans="2:7" ht="32.25" customHeight="1" x14ac:dyDescent="0.35">
      <c r="B4060" s="73"/>
      <c r="C4060" s="73"/>
      <c r="D4060" s="73"/>
      <c r="E4060" s="73"/>
      <c r="F4060" s="73"/>
      <c r="G4060" s="73"/>
    </row>
    <row r="4061" spans="2:7" ht="32.25" customHeight="1" x14ac:dyDescent="0.35">
      <c r="B4061" s="73"/>
      <c r="C4061" s="73"/>
      <c r="D4061" s="73"/>
      <c r="E4061" s="73"/>
      <c r="F4061" s="73"/>
      <c r="G4061" s="73"/>
    </row>
    <row r="4062" spans="2:7" ht="32.25" customHeight="1" x14ac:dyDescent="0.35">
      <c r="B4062" s="73"/>
      <c r="C4062" s="73"/>
      <c r="D4062" s="73"/>
      <c r="E4062" s="73"/>
      <c r="F4062" s="73"/>
      <c r="G4062" s="73"/>
    </row>
    <row r="4063" spans="2:7" ht="32.25" customHeight="1" x14ac:dyDescent="0.35">
      <c r="B4063" s="73"/>
      <c r="C4063" s="73"/>
      <c r="D4063" s="73"/>
      <c r="E4063" s="73"/>
      <c r="F4063" s="73"/>
      <c r="G4063" s="73"/>
    </row>
    <row r="4064" spans="2:7" ht="32.25" customHeight="1" x14ac:dyDescent="0.35">
      <c r="B4064" s="73"/>
      <c r="C4064" s="73"/>
      <c r="D4064" s="73"/>
      <c r="E4064" s="73"/>
      <c r="F4064" s="73"/>
      <c r="G4064" s="73"/>
    </row>
    <row r="4065" spans="2:7" ht="32.25" customHeight="1" x14ac:dyDescent="0.35">
      <c r="B4065" s="73"/>
      <c r="C4065" s="73"/>
      <c r="D4065" s="73"/>
      <c r="E4065" s="73"/>
      <c r="F4065" s="73"/>
      <c r="G4065" s="73"/>
    </row>
    <row r="4066" spans="2:7" ht="32.25" customHeight="1" x14ac:dyDescent="0.35">
      <c r="B4066" s="73"/>
      <c r="C4066" s="73"/>
      <c r="D4066" s="73"/>
      <c r="E4066" s="73"/>
      <c r="F4066" s="73"/>
      <c r="G4066" s="73"/>
    </row>
    <row r="4067" spans="2:7" ht="32.25" customHeight="1" x14ac:dyDescent="0.35">
      <c r="B4067" s="73"/>
      <c r="C4067" s="73"/>
      <c r="D4067" s="73"/>
      <c r="E4067" s="73"/>
      <c r="F4067" s="73"/>
      <c r="G4067" s="73"/>
    </row>
    <row r="4068" spans="2:7" ht="32.25" customHeight="1" x14ac:dyDescent="0.35">
      <c r="B4068" s="73"/>
      <c r="C4068" s="73"/>
      <c r="D4068" s="73"/>
      <c r="E4068" s="73"/>
      <c r="F4068" s="73"/>
      <c r="G4068" s="73"/>
    </row>
    <row r="4069" spans="2:7" ht="32.25" customHeight="1" x14ac:dyDescent="0.35">
      <c r="B4069" s="73"/>
      <c r="C4069" s="73"/>
      <c r="D4069" s="73"/>
      <c r="E4069" s="73"/>
      <c r="F4069" s="73"/>
      <c r="G4069" s="73"/>
    </row>
    <row r="4070" spans="2:7" ht="32.25" customHeight="1" x14ac:dyDescent="0.35">
      <c r="B4070" s="73"/>
      <c r="C4070" s="73"/>
      <c r="D4070" s="73"/>
      <c r="E4070" s="73"/>
      <c r="F4070" s="73"/>
      <c r="G4070" s="73"/>
    </row>
    <row r="4071" spans="2:7" ht="32.25" customHeight="1" x14ac:dyDescent="0.35">
      <c r="B4071" s="73"/>
      <c r="C4071" s="73"/>
      <c r="D4071" s="73"/>
      <c r="E4071" s="73"/>
      <c r="F4071" s="73"/>
      <c r="G4071" s="73"/>
    </row>
    <row r="4072" spans="2:7" ht="32.25" customHeight="1" x14ac:dyDescent="0.35">
      <c r="B4072" s="73"/>
      <c r="C4072" s="73"/>
      <c r="D4072" s="73"/>
      <c r="E4072" s="73"/>
      <c r="F4072" s="73"/>
      <c r="G4072" s="73"/>
    </row>
    <row r="4073" spans="2:7" ht="32.25" customHeight="1" x14ac:dyDescent="0.35">
      <c r="B4073" s="73"/>
      <c r="C4073" s="73"/>
      <c r="D4073" s="73"/>
      <c r="E4073" s="73"/>
      <c r="F4073" s="73"/>
      <c r="G4073" s="73"/>
    </row>
    <row r="4074" spans="2:7" ht="32.25" customHeight="1" x14ac:dyDescent="0.35">
      <c r="B4074" s="73"/>
      <c r="C4074" s="73"/>
      <c r="D4074" s="73"/>
      <c r="E4074" s="73"/>
      <c r="F4074" s="73"/>
      <c r="G4074" s="73"/>
    </row>
    <row r="4075" spans="2:7" ht="32.25" customHeight="1" x14ac:dyDescent="0.35">
      <c r="B4075" s="73"/>
      <c r="C4075" s="73"/>
      <c r="D4075" s="73"/>
      <c r="E4075" s="73"/>
      <c r="F4075" s="73"/>
      <c r="G4075" s="73"/>
    </row>
    <row r="4076" spans="2:7" ht="32.25" customHeight="1" x14ac:dyDescent="0.35">
      <c r="B4076" s="73"/>
      <c r="C4076" s="73"/>
      <c r="D4076" s="73"/>
      <c r="E4076" s="73"/>
      <c r="F4076" s="73"/>
      <c r="G4076" s="73"/>
    </row>
    <row r="4077" spans="2:7" ht="32.25" customHeight="1" x14ac:dyDescent="0.35">
      <c r="B4077" s="73"/>
      <c r="C4077" s="73"/>
      <c r="D4077" s="73"/>
      <c r="E4077" s="73"/>
      <c r="F4077" s="73"/>
      <c r="G4077" s="73"/>
    </row>
    <row r="4078" spans="2:7" ht="32.25" customHeight="1" x14ac:dyDescent="0.35">
      <c r="B4078" s="73"/>
      <c r="C4078" s="73"/>
      <c r="D4078" s="73"/>
      <c r="E4078" s="73"/>
      <c r="F4078" s="73"/>
      <c r="G4078" s="73"/>
    </row>
    <row r="4079" spans="2:7" ht="32.25" customHeight="1" x14ac:dyDescent="0.35">
      <c r="B4079" s="73"/>
      <c r="C4079" s="73"/>
      <c r="D4079" s="73"/>
      <c r="E4079" s="73"/>
      <c r="F4079" s="73"/>
      <c r="G4079" s="73"/>
    </row>
    <row r="4080" spans="2:7" ht="32.25" customHeight="1" x14ac:dyDescent="0.35">
      <c r="B4080" s="73"/>
      <c r="C4080" s="73"/>
      <c r="D4080" s="73"/>
      <c r="E4080" s="73"/>
      <c r="F4080" s="73"/>
      <c r="G4080" s="73"/>
    </row>
    <row r="4081" spans="2:7" ht="32.25" customHeight="1" x14ac:dyDescent="0.35">
      <c r="B4081" s="73"/>
      <c r="C4081" s="73"/>
      <c r="D4081" s="73"/>
      <c r="E4081" s="73"/>
      <c r="F4081" s="73"/>
      <c r="G4081" s="73"/>
    </row>
    <row r="4082" spans="2:7" ht="32.25" customHeight="1" x14ac:dyDescent="0.35">
      <c r="B4082" s="73"/>
      <c r="C4082" s="73"/>
      <c r="D4082" s="73"/>
      <c r="E4082" s="73"/>
      <c r="F4082" s="73"/>
      <c r="G4082" s="73"/>
    </row>
    <row r="4083" spans="2:7" ht="32.25" customHeight="1" x14ac:dyDescent="0.35">
      <c r="B4083" s="73"/>
      <c r="C4083" s="73"/>
      <c r="D4083" s="73"/>
      <c r="E4083" s="73"/>
      <c r="F4083" s="73"/>
      <c r="G4083" s="73"/>
    </row>
    <row r="4084" spans="2:7" ht="32.25" customHeight="1" x14ac:dyDescent="0.35">
      <c r="B4084" s="73"/>
      <c r="C4084" s="73"/>
      <c r="D4084" s="73"/>
      <c r="E4084" s="73"/>
      <c r="F4084" s="73"/>
      <c r="G4084" s="73"/>
    </row>
    <row r="4085" spans="2:7" ht="32.25" customHeight="1" x14ac:dyDescent="0.35">
      <c r="B4085" s="73"/>
      <c r="C4085" s="73"/>
      <c r="D4085" s="73"/>
      <c r="E4085" s="73"/>
      <c r="F4085" s="73"/>
      <c r="G4085" s="73"/>
    </row>
    <row r="4086" spans="2:7" ht="32.25" customHeight="1" x14ac:dyDescent="0.35">
      <c r="B4086" s="73"/>
      <c r="C4086" s="73"/>
      <c r="D4086" s="73"/>
      <c r="E4086" s="73"/>
      <c r="F4086" s="73"/>
      <c r="G4086" s="73"/>
    </row>
    <row r="4087" spans="2:7" ht="32.25" customHeight="1" x14ac:dyDescent="0.35">
      <c r="B4087" s="73"/>
      <c r="C4087" s="73"/>
      <c r="D4087" s="73"/>
      <c r="E4087" s="73"/>
      <c r="F4087" s="73"/>
      <c r="G4087" s="73"/>
    </row>
    <row r="4088" spans="2:7" ht="32.25" customHeight="1" x14ac:dyDescent="0.35">
      <c r="B4088" s="73"/>
      <c r="C4088" s="73"/>
      <c r="D4088" s="73"/>
      <c r="E4088" s="73"/>
      <c r="F4088" s="73"/>
      <c r="G4088" s="73"/>
    </row>
    <row r="4089" spans="2:7" ht="32.25" customHeight="1" x14ac:dyDescent="0.35">
      <c r="B4089" s="73"/>
      <c r="C4089" s="73"/>
      <c r="D4089" s="73"/>
      <c r="E4089" s="73"/>
      <c r="F4089" s="73"/>
      <c r="G4089" s="73"/>
    </row>
    <row r="4090" spans="2:7" ht="32.25" customHeight="1" x14ac:dyDescent="0.35">
      <c r="B4090" s="73"/>
      <c r="C4090" s="73"/>
      <c r="D4090" s="73"/>
      <c r="E4090" s="73"/>
      <c r="F4090" s="73"/>
      <c r="G4090" s="73"/>
    </row>
    <row r="4091" spans="2:7" ht="32.25" customHeight="1" x14ac:dyDescent="0.35">
      <c r="B4091" s="73"/>
      <c r="C4091" s="73"/>
      <c r="D4091" s="73"/>
      <c r="E4091" s="73"/>
      <c r="F4091" s="73"/>
      <c r="G4091" s="73"/>
    </row>
    <row r="4092" spans="2:7" ht="32.25" customHeight="1" x14ac:dyDescent="0.35">
      <c r="B4092" s="73"/>
      <c r="C4092" s="73"/>
      <c r="D4092" s="73"/>
      <c r="E4092" s="73"/>
      <c r="F4092" s="73"/>
      <c r="G4092" s="73"/>
    </row>
    <row r="4093" spans="2:7" ht="32.25" customHeight="1" x14ac:dyDescent="0.35">
      <c r="B4093" s="73"/>
      <c r="C4093" s="73"/>
      <c r="D4093" s="73"/>
      <c r="E4093" s="73"/>
      <c r="F4093" s="73"/>
      <c r="G4093" s="73"/>
    </row>
    <row r="4094" spans="2:7" ht="32.25" customHeight="1" x14ac:dyDescent="0.35">
      <c r="B4094" s="73"/>
      <c r="C4094" s="73"/>
      <c r="D4094" s="73"/>
      <c r="E4094" s="73"/>
      <c r="F4094" s="73"/>
      <c r="G4094" s="73"/>
    </row>
    <row r="4095" spans="2:7" ht="32.25" customHeight="1" x14ac:dyDescent="0.35">
      <c r="B4095" s="73"/>
      <c r="C4095" s="73"/>
      <c r="D4095" s="73"/>
      <c r="E4095" s="73"/>
      <c r="F4095" s="73"/>
      <c r="G4095" s="73"/>
    </row>
    <row r="4096" spans="2:7" ht="32.25" customHeight="1" x14ac:dyDescent="0.35">
      <c r="B4096" s="73"/>
      <c r="C4096" s="73"/>
      <c r="D4096" s="73"/>
      <c r="E4096" s="73"/>
      <c r="F4096" s="73"/>
      <c r="G4096" s="73"/>
    </row>
    <row r="4097" spans="2:7" ht="32.25" customHeight="1" x14ac:dyDescent="0.35">
      <c r="B4097" s="73"/>
      <c r="C4097" s="73"/>
      <c r="D4097" s="73"/>
      <c r="E4097" s="73"/>
      <c r="F4097" s="73"/>
      <c r="G4097" s="73"/>
    </row>
    <row r="4098" spans="2:7" ht="32.25" customHeight="1" x14ac:dyDescent="0.35">
      <c r="B4098" s="73"/>
      <c r="C4098" s="73"/>
      <c r="D4098" s="73"/>
      <c r="E4098" s="73"/>
      <c r="F4098" s="73"/>
      <c r="G4098" s="73"/>
    </row>
    <row r="4099" spans="2:7" ht="32.25" customHeight="1" x14ac:dyDescent="0.35">
      <c r="B4099" s="73"/>
      <c r="C4099" s="73"/>
      <c r="D4099" s="73"/>
      <c r="E4099" s="73"/>
      <c r="F4099" s="73"/>
      <c r="G4099" s="73"/>
    </row>
    <row r="4100" spans="2:7" ht="32.25" customHeight="1" x14ac:dyDescent="0.35">
      <c r="B4100" s="73"/>
      <c r="C4100" s="73"/>
      <c r="D4100" s="73"/>
      <c r="E4100" s="73"/>
      <c r="F4100" s="73"/>
      <c r="G4100" s="73"/>
    </row>
    <row r="4101" spans="2:7" ht="32.25" customHeight="1" x14ac:dyDescent="0.35">
      <c r="B4101" s="73"/>
      <c r="C4101" s="73"/>
      <c r="D4101" s="73"/>
      <c r="E4101" s="73"/>
      <c r="F4101" s="73"/>
      <c r="G4101" s="73"/>
    </row>
    <row r="4102" spans="2:7" ht="32.25" customHeight="1" x14ac:dyDescent="0.35">
      <c r="B4102" s="73"/>
      <c r="C4102" s="73"/>
      <c r="D4102" s="73"/>
      <c r="E4102" s="73"/>
      <c r="F4102" s="73"/>
      <c r="G4102" s="73"/>
    </row>
    <row r="4103" spans="2:7" ht="32.25" customHeight="1" x14ac:dyDescent="0.35">
      <c r="B4103" s="73"/>
      <c r="C4103" s="73"/>
      <c r="D4103" s="73"/>
      <c r="E4103" s="73"/>
      <c r="F4103" s="73"/>
      <c r="G4103" s="73"/>
    </row>
    <row r="4104" spans="2:7" ht="32.25" customHeight="1" x14ac:dyDescent="0.35">
      <c r="B4104" s="73"/>
      <c r="C4104" s="73"/>
      <c r="D4104" s="73"/>
      <c r="E4104" s="73"/>
      <c r="F4104" s="73"/>
      <c r="G4104" s="73"/>
    </row>
    <row r="4105" spans="2:7" ht="32.25" customHeight="1" x14ac:dyDescent="0.35">
      <c r="B4105" s="73"/>
      <c r="C4105" s="73"/>
      <c r="D4105" s="73"/>
      <c r="E4105" s="73"/>
      <c r="F4105" s="73"/>
      <c r="G4105" s="73"/>
    </row>
    <row r="4106" spans="2:7" ht="32.25" customHeight="1" x14ac:dyDescent="0.35">
      <c r="B4106" s="73"/>
      <c r="C4106" s="73"/>
      <c r="D4106" s="73"/>
      <c r="E4106" s="73"/>
      <c r="F4106" s="73"/>
      <c r="G4106" s="73"/>
    </row>
    <row r="4107" spans="2:7" ht="32.25" customHeight="1" x14ac:dyDescent="0.35">
      <c r="B4107" s="73"/>
      <c r="C4107" s="73"/>
      <c r="D4107" s="73"/>
      <c r="E4107" s="73"/>
      <c r="F4107" s="73"/>
      <c r="G4107" s="73"/>
    </row>
    <row r="4108" spans="2:7" ht="32.25" customHeight="1" x14ac:dyDescent="0.35">
      <c r="B4108" s="73"/>
      <c r="C4108" s="73"/>
      <c r="D4108" s="73"/>
      <c r="E4108" s="73"/>
      <c r="F4108" s="73"/>
      <c r="G4108" s="73"/>
    </row>
    <row r="4109" spans="2:7" ht="32.25" customHeight="1" x14ac:dyDescent="0.35">
      <c r="B4109" s="73"/>
      <c r="C4109" s="73"/>
      <c r="D4109" s="73"/>
      <c r="E4109" s="73"/>
      <c r="F4109" s="73"/>
      <c r="G4109" s="73"/>
    </row>
    <row r="4110" spans="2:7" ht="32.25" customHeight="1" x14ac:dyDescent="0.35">
      <c r="B4110" s="73"/>
      <c r="C4110" s="73"/>
      <c r="D4110" s="73"/>
      <c r="E4110" s="73"/>
      <c r="F4110" s="73"/>
      <c r="G4110" s="73"/>
    </row>
    <row r="4111" spans="2:7" ht="32.25" customHeight="1" x14ac:dyDescent="0.35">
      <c r="B4111" s="73"/>
      <c r="C4111" s="73"/>
      <c r="D4111" s="73"/>
      <c r="E4111" s="73"/>
      <c r="F4111" s="73"/>
      <c r="G4111" s="73"/>
    </row>
    <row r="4112" spans="2:7" ht="32.25" customHeight="1" x14ac:dyDescent="0.35">
      <c r="B4112" s="73"/>
      <c r="C4112" s="73"/>
      <c r="D4112" s="73"/>
      <c r="E4112" s="73"/>
      <c r="F4112" s="73"/>
      <c r="G4112" s="73"/>
    </row>
    <row r="4113" spans="2:7" ht="32.25" customHeight="1" x14ac:dyDescent="0.35">
      <c r="B4113" s="73"/>
      <c r="C4113" s="73"/>
      <c r="D4113" s="73"/>
      <c r="E4113" s="73"/>
      <c r="F4113" s="73"/>
      <c r="G4113" s="73"/>
    </row>
    <row r="4114" spans="2:7" ht="32.25" customHeight="1" x14ac:dyDescent="0.35">
      <c r="B4114" s="73"/>
      <c r="C4114" s="73"/>
      <c r="D4114" s="73"/>
      <c r="E4114" s="73"/>
      <c r="F4114" s="73"/>
      <c r="G4114" s="73"/>
    </row>
    <row r="4115" spans="2:7" ht="32.25" customHeight="1" x14ac:dyDescent="0.35">
      <c r="B4115" s="73"/>
      <c r="C4115" s="73"/>
      <c r="D4115" s="73"/>
      <c r="E4115" s="73"/>
      <c r="F4115" s="73"/>
      <c r="G4115" s="73"/>
    </row>
    <row r="4116" spans="2:7" ht="32.25" customHeight="1" x14ac:dyDescent="0.35">
      <c r="B4116" s="73"/>
      <c r="C4116" s="73"/>
      <c r="D4116" s="73"/>
      <c r="E4116" s="73"/>
      <c r="F4116" s="73"/>
      <c r="G4116" s="73"/>
    </row>
    <row r="4117" spans="2:7" ht="32.25" customHeight="1" x14ac:dyDescent="0.35">
      <c r="B4117" s="73"/>
      <c r="C4117" s="73"/>
      <c r="D4117" s="73"/>
      <c r="E4117" s="73"/>
      <c r="F4117" s="73"/>
      <c r="G4117" s="73"/>
    </row>
    <row r="4118" spans="2:7" ht="32.25" customHeight="1" x14ac:dyDescent="0.35">
      <c r="B4118" s="73"/>
      <c r="C4118" s="73"/>
      <c r="D4118" s="73"/>
      <c r="E4118" s="73"/>
      <c r="F4118" s="73"/>
      <c r="G4118" s="73"/>
    </row>
    <row r="4119" spans="2:7" ht="32.25" customHeight="1" x14ac:dyDescent="0.35">
      <c r="B4119" s="73"/>
      <c r="C4119" s="73"/>
      <c r="D4119" s="73"/>
      <c r="E4119" s="73"/>
      <c r="F4119" s="73"/>
      <c r="G4119" s="73"/>
    </row>
    <row r="4120" spans="2:7" ht="32.25" customHeight="1" x14ac:dyDescent="0.35">
      <c r="B4120" s="73"/>
      <c r="C4120" s="73"/>
      <c r="D4120" s="73"/>
      <c r="E4120" s="73"/>
      <c r="F4120" s="73"/>
      <c r="G4120" s="73"/>
    </row>
    <row r="4121" spans="2:7" ht="32.25" customHeight="1" x14ac:dyDescent="0.35">
      <c r="B4121" s="73"/>
      <c r="C4121" s="73"/>
      <c r="D4121" s="73"/>
      <c r="E4121" s="73"/>
      <c r="F4121" s="73"/>
      <c r="G4121" s="73"/>
    </row>
    <row r="4122" spans="2:7" ht="32.25" customHeight="1" x14ac:dyDescent="0.35">
      <c r="B4122" s="73"/>
      <c r="C4122" s="73"/>
      <c r="D4122" s="73"/>
      <c r="E4122" s="73"/>
      <c r="F4122" s="73"/>
      <c r="G4122" s="73"/>
    </row>
    <row r="4123" spans="2:7" ht="32.25" customHeight="1" x14ac:dyDescent="0.35">
      <c r="B4123" s="73"/>
      <c r="C4123" s="73"/>
      <c r="D4123" s="73"/>
      <c r="E4123" s="73"/>
      <c r="F4123" s="73"/>
      <c r="G4123" s="73"/>
    </row>
    <row r="4124" spans="2:7" ht="32.25" customHeight="1" x14ac:dyDescent="0.35">
      <c r="B4124" s="73"/>
      <c r="C4124" s="73"/>
      <c r="D4124" s="73"/>
      <c r="E4124" s="73"/>
      <c r="F4124" s="73"/>
      <c r="G4124" s="73"/>
    </row>
    <row r="4125" spans="2:7" ht="32.25" customHeight="1" x14ac:dyDescent="0.35">
      <c r="B4125" s="73"/>
      <c r="C4125" s="73"/>
      <c r="D4125" s="73"/>
      <c r="E4125" s="73"/>
      <c r="F4125" s="73"/>
      <c r="G4125" s="73"/>
    </row>
    <row r="4126" spans="2:7" ht="32.25" customHeight="1" x14ac:dyDescent="0.35">
      <c r="B4126" s="73"/>
      <c r="C4126" s="73"/>
      <c r="D4126" s="73"/>
      <c r="E4126" s="73"/>
      <c r="F4126" s="73"/>
      <c r="G4126" s="73"/>
    </row>
    <row r="4127" spans="2:7" ht="32.25" customHeight="1" x14ac:dyDescent="0.35">
      <c r="B4127" s="73"/>
      <c r="C4127" s="73"/>
      <c r="D4127" s="73"/>
      <c r="E4127" s="73"/>
      <c r="F4127" s="73"/>
      <c r="G4127" s="73"/>
    </row>
    <row r="4128" spans="2:7" ht="32.25" customHeight="1" x14ac:dyDescent="0.35">
      <c r="B4128" s="73"/>
      <c r="C4128" s="73"/>
      <c r="D4128" s="73"/>
      <c r="E4128" s="73"/>
      <c r="F4128" s="73"/>
      <c r="G4128" s="73"/>
    </row>
    <row r="4129" spans="2:7" ht="32.25" customHeight="1" x14ac:dyDescent="0.35">
      <c r="B4129" s="73"/>
      <c r="C4129" s="73"/>
      <c r="D4129" s="73"/>
      <c r="E4129" s="73"/>
      <c r="F4129" s="73"/>
      <c r="G4129" s="73"/>
    </row>
    <row r="4130" spans="2:7" ht="32.25" customHeight="1" x14ac:dyDescent="0.35">
      <c r="B4130" s="73"/>
      <c r="C4130" s="73"/>
      <c r="D4130" s="73"/>
      <c r="E4130" s="73"/>
      <c r="F4130" s="73"/>
      <c r="G4130" s="73"/>
    </row>
    <row r="4131" spans="2:7" ht="32.25" customHeight="1" x14ac:dyDescent="0.35">
      <c r="B4131" s="73"/>
      <c r="C4131" s="73"/>
      <c r="D4131" s="73"/>
      <c r="E4131" s="73"/>
      <c r="F4131" s="73"/>
      <c r="G4131" s="73"/>
    </row>
    <row r="4132" spans="2:7" ht="32.25" customHeight="1" x14ac:dyDescent="0.35">
      <c r="B4132" s="73"/>
      <c r="C4132" s="73"/>
      <c r="D4132" s="73"/>
      <c r="E4132" s="73"/>
      <c r="F4132" s="73"/>
      <c r="G4132" s="73"/>
    </row>
    <row r="4133" spans="2:7" ht="32.25" customHeight="1" x14ac:dyDescent="0.35">
      <c r="B4133" s="73"/>
      <c r="C4133" s="73"/>
      <c r="D4133" s="73"/>
      <c r="E4133" s="73"/>
      <c r="F4133" s="73"/>
      <c r="G4133" s="73"/>
    </row>
    <row r="4134" spans="2:7" ht="32.25" customHeight="1" x14ac:dyDescent="0.35">
      <c r="B4134" s="73"/>
      <c r="C4134" s="73"/>
      <c r="D4134" s="73"/>
      <c r="E4134" s="73"/>
      <c r="F4134" s="73"/>
      <c r="G4134" s="73"/>
    </row>
    <row r="4135" spans="2:7" ht="32.25" customHeight="1" x14ac:dyDescent="0.35">
      <c r="B4135" s="73"/>
      <c r="C4135" s="73"/>
      <c r="D4135" s="73"/>
      <c r="E4135" s="73"/>
      <c r="F4135" s="73"/>
      <c r="G4135" s="73"/>
    </row>
    <row r="4136" spans="2:7" ht="32.25" customHeight="1" x14ac:dyDescent="0.35">
      <c r="B4136" s="73"/>
      <c r="C4136" s="73"/>
      <c r="D4136" s="73"/>
      <c r="E4136" s="73"/>
      <c r="F4136" s="73"/>
      <c r="G4136" s="73"/>
    </row>
    <row r="4137" spans="2:7" ht="32.25" customHeight="1" x14ac:dyDescent="0.35">
      <c r="B4137" s="73"/>
      <c r="C4137" s="73"/>
      <c r="D4137" s="73"/>
      <c r="E4137" s="73"/>
      <c r="F4137" s="73"/>
      <c r="G4137" s="73"/>
    </row>
    <row r="4138" spans="2:7" ht="32.25" customHeight="1" x14ac:dyDescent="0.35">
      <c r="B4138" s="73"/>
      <c r="C4138" s="73"/>
      <c r="D4138" s="73"/>
      <c r="E4138" s="73"/>
      <c r="F4138" s="73"/>
      <c r="G4138" s="73"/>
    </row>
    <row r="4139" spans="2:7" ht="32.25" customHeight="1" x14ac:dyDescent="0.35">
      <c r="B4139" s="73"/>
      <c r="C4139" s="73"/>
      <c r="D4139" s="73"/>
      <c r="E4139" s="73"/>
      <c r="F4139" s="73"/>
      <c r="G4139" s="73"/>
    </row>
    <row r="4140" spans="2:7" ht="32.25" customHeight="1" x14ac:dyDescent="0.35">
      <c r="B4140" s="73"/>
      <c r="C4140" s="73"/>
      <c r="D4140" s="73"/>
      <c r="E4140" s="73"/>
      <c r="F4140" s="73"/>
      <c r="G4140" s="73"/>
    </row>
    <row r="4141" spans="2:7" ht="32.25" customHeight="1" x14ac:dyDescent="0.35">
      <c r="B4141" s="73"/>
      <c r="C4141" s="73"/>
      <c r="D4141" s="73"/>
      <c r="E4141" s="73"/>
      <c r="F4141" s="73"/>
      <c r="G4141" s="73"/>
    </row>
    <row r="4142" spans="2:7" ht="32.25" customHeight="1" x14ac:dyDescent="0.35">
      <c r="B4142" s="73"/>
      <c r="C4142" s="73"/>
      <c r="D4142" s="73"/>
      <c r="E4142" s="73"/>
      <c r="F4142" s="73"/>
      <c r="G4142" s="73"/>
    </row>
    <row r="4143" spans="2:7" ht="32.25" customHeight="1" x14ac:dyDescent="0.35">
      <c r="B4143" s="73"/>
      <c r="C4143" s="73"/>
      <c r="D4143" s="73"/>
      <c r="E4143" s="73"/>
      <c r="F4143" s="73"/>
      <c r="G4143" s="73"/>
    </row>
    <row r="4144" spans="2:7" ht="32.25" customHeight="1" x14ac:dyDescent="0.35">
      <c r="B4144" s="73"/>
      <c r="C4144" s="73"/>
      <c r="D4144" s="73"/>
      <c r="E4144" s="73"/>
      <c r="F4144" s="73"/>
      <c r="G4144" s="73"/>
    </row>
    <row r="4145" spans="2:7" ht="32.25" customHeight="1" x14ac:dyDescent="0.35">
      <c r="B4145" s="73"/>
      <c r="C4145" s="73"/>
      <c r="D4145" s="73"/>
      <c r="E4145" s="73"/>
      <c r="F4145" s="73"/>
      <c r="G4145" s="73"/>
    </row>
    <row r="4146" spans="2:7" ht="32.25" customHeight="1" x14ac:dyDescent="0.35">
      <c r="B4146" s="73"/>
      <c r="C4146" s="73"/>
      <c r="D4146" s="73"/>
      <c r="E4146" s="73"/>
      <c r="F4146" s="73"/>
      <c r="G4146" s="73"/>
    </row>
    <row r="4147" spans="2:7" ht="32.25" customHeight="1" x14ac:dyDescent="0.35">
      <c r="B4147" s="73"/>
      <c r="C4147" s="73"/>
      <c r="D4147" s="73"/>
      <c r="E4147" s="73"/>
      <c r="F4147" s="73"/>
      <c r="G4147" s="73"/>
    </row>
    <row r="4148" spans="2:7" ht="32.25" customHeight="1" x14ac:dyDescent="0.35">
      <c r="B4148" s="73"/>
      <c r="C4148" s="73"/>
      <c r="D4148" s="73"/>
      <c r="E4148" s="73"/>
      <c r="F4148" s="73"/>
      <c r="G4148" s="73"/>
    </row>
    <row r="4149" spans="2:7" ht="32.25" customHeight="1" x14ac:dyDescent="0.35">
      <c r="B4149" s="73"/>
      <c r="C4149" s="73"/>
      <c r="D4149" s="73"/>
      <c r="E4149" s="73"/>
      <c r="F4149" s="73"/>
      <c r="G4149" s="73"/>
    </row>
    <row r="4150" spans="2:7" ht="32.25" customHeight="1" x14ac:dyDescent="0.35">
      <c r="B4150" s="73"/>
      <c r="C4150" s="73"/>
      <c r="D4150" s="73"/>
      <c r="E4150" s="73"/>
      <c r="F4150" s="73"/>
      <c r="G4150" s="73"/>
    </row>
    <row r="4151" spans="2:7" ht="32.25" customHeight="1" x14ac:dyDescent="0.35">
      <c r="B4151" s="73"/>
      <c r="C4151" s="73"/>
      <c r="D4151" s="73"/>
      <c r="E4151" s="73"/>
      <c r="F4151" s="73"/>
      <c r="G4151" s="73"/>
    </row>
    <row r="4152" spans="2:7" ht="32.25" customHeight="1" x14ac:dyDescent="0.35">
      <c r="B4152" s="73"/>
      <c r="C4152" s="73"/>
      <c r="D4152" s="73"/>
      <c r="E4152" s="73"/>
      <c r="F4152" s="73"/>
      <c r="G4152" s="73"/>
    </row>
    <row r="4153" spans="2:7" ht="32.25" customHeight="1" x14ac:dyDescent="0.35">
      <c r="B4153" s="73"/>
      <c r="C4153" s="73"/>
      <c r="D4153" s="73"/>
      <c r="E4153" s="73"/>
      <c r="F4153" s="73"/>
      <c r="G4153" s="73"/>
    </row>
    <row r="4154" spans="2:7" ht="32.25" customHeight="1" x14ac:dyDescent="0.35">
      <c r="B4154" s="73"/>
      <c r="C4154" s="73"/>
      <c r="D4154" s="73"/>
      <c r="E4154" s="73"/>
      <c r="F4154" s="73"/>
      <c r="G4154" s="73"/>
    </row>
    <row r="4155" spans="2:7" ht="32.25" customHeight="1" x14ac:dyDescent="0.35">
      <c r="B4155" s="73"/>
      <c r="C4155" s="73"/>
      <c r="D4155" s="73"/>
      <c r="E4155" s="73"/>
      <c r="F4155" s="73"/>
      <c r="G4155" s="73"/>
    </row>
    <row r="4156" spans="2:7" ht="32.25" customHeight="1" x14ac:dyDescent="0.35">
      <c r="B4156" s="73"/>
      <c r="C4156" s="73"/>
      <c r="D4156" s="73"/>
      <c r="E4156" s="73"/>
      <c r="F4156" s="73"/>
      <c r="G4156" s="73"/>
    </row>
    <row r="4157" spans="2:7" ht="32.25" customHeight="1" x14ac:dyDescent="0.35">
      <c r="B4157" s="73"/>
      <c r="C4157" s="73"/>
      <c r="D4157" s="73"/>
      <c r="E4157" s="73"/>
      <c r="F4157" s="73"/>
      <c r="G4157" s="73"/>
    </row>
    <row r="4158" spans="2:7" ht="32.25" customHeight="1" x14ac:dyDescent="0.35">
      <c r="B4158" s="73"/>
      <c r="C4158" s="73"/>
      <c r="D4158" s="73"/>
      <c r="E4158" s="73"/>
      <c r="F4158" s="73"/>
      <c r="G4158" s="73"/>
    </row>
    <row r="4159" spans="2:7" ht="32.25" customHeight="1" x14ac:dyDescent="0.35">
      <c r="B4159" s="73"/>
      <c r="C4159" s="73"/>
      <c r="D4159" s="73"/>
      <c r="E4159" s="73"/>
      <c r="F4159" s="73"/>
      <c r="G4159" s="73"/>
    </row>
    <row r="4160" spans="2:7" ht="32.25" customHeight="1" x14ac:dyDescent="0.35">
      <c r="B4160" s="73"/>
      <c r="C4160" s="73"/>
      <c r="D4160" s="73"/>
      <c r="E4160" s="73"/>
      <c r="F4160" s="73"/>
      <c r="G4160" s="73"/>
    </row>
    <row r="4161" spans="2:7" ht="32.25" customHeight="1" x14ac:dyDescent="0.35">
      <c r="B4161" s="73"/>
      <c r="C4161" s="73"/>
      <c r="D4161" s="73"/>
      <c r="E4161" s="73"/>
      <c r="F4161" s="73"/>
      <c r="G4161" s="73"/>
    </row>
    <row r="4162" spans="2:7" ht="32.25" customHeight="1" x14ac:dyDescent="0.35">
      <c r="B4162" s="73"/>
      <c r="C4162" s="73"/>
      <c r="D4162" s="73"/>
      <c r="E4162" s="73"/>
      <c r="F4162" s="73"/>
      <c r="G4162" s="73"/>
    </row>
    <row r="4163" spans="2:7" ht="32.25" customHeight="1" x14ac:dyDescent="0.35">
      <c r="B4163" s="73"/>
      <c r="C4163" s="73"/>
      <c r="D4163" s="73"/>
      <c r="E4163" s="73"/>
      <c r="F4163" s="73"/>
      <c r="G4163" s="73"/>
    </row>
    <row r="4164" spans="2:7" ht="32.25" customHeight="1" x14ac:dyDescent="0.35">
      <c r="B4164" s="73"/>
      <c r="C4164" s="73"/>
      <c r="D4164" s="73"/>
      <c r="E4164" s="73"/>
      <c r="F4164" s="73"/>
      <c r="G4164" s="73"/>
    </row>
    <row r="4165" spans="2:7" ht="32.25" customHeight="1" x14ac:dyDescent="0.35">
      <c r="B4165" s="73"/>
      <c r="C4165" s="73"/>
      <c r="D4165" s="73"/>
      <c r="E4165" s="73"/>
      <c r="F4165" s="73"/>
      <c r="G4165" s="73"/>
    </row>
    <row r="4166" spans="2:7" ht="32.25" customHeight="1" x14ac:dyDescent="0.35">
      <c r="B4166" s="73"/>
      <c r="C4166" s="73"/>
      <c r="D4166" s="73"/>
      <c r="E4166" s="73"/>
      <c r="F4166" s="73"/>
      <c r="G4166" s="73"/>
    </row>
    <row r="4167" spans="2:7" ht="32.25" customHeight="1" x14ac:dyDescent="0.35">
      <c r="B4167" s="73"/>
      <c r="C4167" s="73"/>
      <c r="D4167" s="73"/>
      <c r="E4167" s="73"/>
      <c r="F4167" s="73"/>
      <c r="G4167" s="73"/>
    </row>
    <row r="4168" spans="2:7" ht="32.25" customHeight="1" x14ac:dyDescent="0.35">
      <c r="B4168" s="73"/>
      <c r="C4168" s="73"/>
      <c r="D4168" s="73"/>
      <c r="E4168" s="73"/>
      <c r="F4168" s="73"/>
      <c r="G4168" s="73"/>
    </row>
    <row r="4169" spans="2:7" ht="32.25" customHeight="1" x14ac:dyDescent="0.35">
      <c r="B4169" s="73"/>
      <c r="C4169" s="73"/>
      <c r="D4169" s="73"/>
      <c r="E4169" s="73"/>
      <c r="F4169" s="73"/>
      <c r="G4169" s="73"/>
    </row>
    <row r="4170" spans="2:7" ht="32.25" customHeight="1" x14ac:dyDescent="0.35">
      <c r="B4170" s="73"/>
      <c r="C4170" s="73"/>
      <c r="D4170" s="73"/>
      <c r="E4170" s="73"/>
      <c r="F4170" s="73"/>
      <c r="G4170" s="73"/>
    </row>
    <row r="4171" spans="2:7" ht="32.25" customHeight="1" x14ac:dyDescent="0.35">
      <c r="B4171" s="73"/>
      <c r="C4171" s="73"/>
      <c r="D4171" s="73"/>
      <c r="E4171" s="73"/>
      <c r="F4171" s="73"/>
      <c r="G4171" s="73"/>
    </row>
    <row r="4172" spans="2:7" ht="32.25" customHeight="1" x14ac:dyDescent="0.35">
      <c r="B4172" s="73"/>
      <c r="C4172" s="73"/>
      <c r="D4172" s="73"/>
      <c r="E4172" s="73"/>
      <c r="F4172" s="73"/>
      <c r="G4172" s="73"/>
    </row>
    <row r="4173" spans="2:7" ht="32.25" customHeight="1" x14ac:dyDescent="0.35">
      <c r="B4173" s="73"/>
      <c r="C4173" s="73"/>
      <c r="D4173" s="73"/>
      <c r="E4173" s="73"/>
      <c r="F4173" s="73"/>
      <c r="G4173" s="73"/>
    </row>
    <row r="4174" spans="2:7" ht="32.25" customHeight="1" x14ac:dyDescent="0.35">
      <c r="B4174" s="73"/>
      <c r="C4174" s="73"/>
      <c r="D4174" s="73"/>
      <c r="E4174" s="73"/>
      <c r="F4174" s="73"/>
      <c r="G4174" s="73"/>
    </row>
    <row r="4175" spans="2:7" ht="32.25" customHeight="1" x14ac:dyDescent="0.35">
      <c r="B4175" s="73"/>
      <c r="C4175" s="73"/>
      <c r="D4175" s="73"/>
      <c r="E4175" s="73"/>
      <c r="F4175" s="73"/>
      <c r="G4175" s="73"/>
    </row>
    <row r="4176" spans="2:7" ht="32.25" customHeight="1" x14ac:dyDescent="0.35">
      <c r="B4176" s="73"/>
      <c r="C4176" s="73"/>
      <c r="D4176" s="73"/>
      <c r="E4176" s="73"/>
      <c r="F4176" s="73"/>
      <c r="G4176" s="73"/>
    </row>
    <row r="4177" spans="2:7" ht="32.25" customHeight="1" x14ac:dyDescent="0.35">
      <c r="B4177" s="73"/>
      <c r="C4177" s="73"/>
      <c r="D4177" s="73"/>
      <c r="E4177" s="73"/>
      <c r="F4177" s="73"/>
      <c r="G4177" s="73"/>
    </row>
    <row r="4178" spans="2:7" ht="32.25" customHeight="1" x14ac:dyDescent="0.35">
      <c r="B4178" s="73"/>
      <c r="C4178" s="73"/>
      <c r="D4178" s="73"/>
      <c r="E4178" s="73"/>
      <c r="F4178" s="73"/>
      <c r="G4178" s="73"/>
    </row>
    <row r="4179" spans="2:7" ht="32.25" customHeight="1" x14ac:dyDescent="0.35">
      <c r="B4179" s="73"/>
      <c r="C4179" s="73"/>
      <c r="D4179" s="73"/>
      <c r="E4179" s="73"/>
      <c r="F4179" s="73"/>
      <c r="G4179" s="73"/>
    </row>
    <row r="4180" spans="2:7" ht="32.25" customHeight="1" x14ac:dyDescent="0.35">
      <c r="B4180" s="73"/>
      <c r="C4180" s="73"/>
      <c r="D4180" s="73"/>
      <c r="E4180" s="73"/>
      <c r="F4180" s="73"/>
      <c r="G4180" s="73"/>
    </row>
    <row r="4181" spans="2:7" ht="32.25" customHeight="1" x14ac:dyDescent="0.35">
      <c r="B4181" s="73"/>
      <c r="C4181" s="73"/>
      <c r="D4181" s="73"/>
      <c r="E4181" s="73"/>
      <c r="F4181" s="73"/>
      <c r="G4181" s="73"/>
    </row>
    <row r="4182" spans="2:7" ht="32.25" customHeight="1" x14ac:dyDescent="0.35">
      <c r="B4182" s="73"/>
      <c r="C4182" s="73"/>
      <c r="D4182" s="73"/>
      <c r="E4182" s="73"/>
      <c r="F4182" s="73"/>
      <c r="G4182" s="73"/>
    </row>
    <row r="4183" spans="2:7" ht="32.25" customHeight="1" x14ac:dyDescent="0.35">
      <c r="B4183" s="73"/>
      <c r="C4183" s="73"/>
      <c r="D4183" s="73"/>
      <c r="E4183" s="73"/>
      <c r="F4183" s="73"/>
      <c r="G4183" s="73"/>
    </row>
    <row r="4184" spans="2:7" ht="32.25" customHeight="1" x14ac:dyDescent="0.35">
      <c r="B4184" s="73"/>
      <c r="C4184" s="73"/>
      <c r="D4184" s="73"/>
      <c r="E4184" s="73"/>
      <c r="F4184" s="73"/>
      <c r="G4184" s="73"/>
    </row>
    <row r="4185" spans="2:7" ht="32.25" customHeight="1" x14ac:dyDescent="0.35">
      <c r="B4185" s="73"/>
      <c r="C4185" s="73"/>
      <c r="D4185" s="73"/>
      <c r="E4185" s="73"/>
      <c r="F4185" s="73"/>
      <c r="G4185" s="73"/>
    </row>
    <row r="4186" spans="2:7" ht="32.25" customHeight="1" x14ac:dyDescent="0.35">
      <c r="B4186" s="73"/>
      <c r="C4186" s="73"/>
      <c r="D4186" s="73"/>
      <c r="E4186" s="73"/>
      <c r="F4186" s="73"/>
      <c r="G4186" s="73"/>
    </row>
    <row r="4187" spans="2:7" ht="32.25" customHeight="1" x14ac:dyDescent="0.35">
      <c r="B4187" s="73"/>
      <c r="C4187" s="73"/>
      <c r="D4187" s="73"/>
      <c r="E4187" s="73"/>
      <c r="F4187" s="73"/>
      <c r="G4187" s="73"/>
    </row>
    <row r="4188" spans="2:7" ht="32.25" customHeight="1" x14ac:dyDescent="0.35">
      <c r="B4188" s="73"/>
      <c r="C4188" s="73"/>
      <c r="D4188" s="73"/>
      <c r="E4188" s="73"/>
      <c r="F4188" s="73"/>
      <c r="G4188" s="73"/>
    </row>
    <row r="4189" spans="2:7" ht="32.25" customHeight="1" x14ac:dyDescent="0.35">
      <c r="B4189" s="73"/>
      <c r="C4189" s="73"/>
      <c r="D4189" s="73"/>
      <c r="E4189" s="73"/>
      <c r="F4189" s="73"/>
      <c r="G4189" s="73"/>
    </row>
    <row r="4190" spans="2:7" ht="32.25" customHeight="1" x14ac:dyDescent="0.35">
      <c r="B4190" s="73"/>
      <c r="C4190" s="73"/>
      <c r="D4190" s="73"/>
      <c r="E4190" s="73"/>
      <c r="F4190" s="73"/>
      <c r="G4190" s="73"/>
    </row>
    <row r="4191" spans="2:7" ht="32.25" customHeight="1" x14ac:dyDescent="0.35">
      <c r="B4191" s="73"/>
      <c r="C4191" s="73"/>
      <c r="D4191" s="73"/>
      <c r="E4191" s="73"/>
      <c r="F4191" s="73"/>
      <c r="G4191" s="73"/>
    </row>
    <row r="4192" spans="2:7" ht="32.25" customHeight="1" x14ac:dyDescent="0.35">
      <c r="B4192" s="73"/>
      <c r="C4192" s="73"/>
      <c r="D4192" s="73"/>
      <c r="E4192" s="73"/>
      <c r="F4192" s="73"/>
      <c r="G4192" s="73"/>
    </row>
    <row r="4193" spans="2:7" ht="32.25" customHeight="1" x14ac:dyDescent="0.35">
      <c r="B4193" s="73"/>
      <c r="C4193" s="73"/>
      <c r="D4193" s="73"/>
      <c r="E4193" s="73"/>
      <c r="F4193" s="73"/>
      <c r="G4193" s="73"/>
    </row>
    <row r="4194" spans="2:7" ht="32.25" customHeight="1" x14ac:dyDescent="0.35">
      <c r="B4194" s="73"/>
      <c r="C4194" s="73"/>
      <c r="D4194" s="73"/>
      <c r="E4194" s="73"/>
      <c r="F4194" s="73"/>
      <c r="G4194" s="73"/>
    </row>
    <row r="4195" spans="2:7" ht="32.25" customHeight="1" x14ac:dyDescent="0.35">
      <c r="B4195" s="73"/>
      <c r="C4195" s="73"/>
      <c r="D4195" s="73"/>
      <c r="E4195" s="73"/>
      <c r="F4195" s="73"/>
      <c r="G4195" s="73"/>
    </row>
    <row r="4196" spans="2:7" ht="32.25" customHeight="1" x14ac:dyDescent="0.35">
      <c r="B4196" s="73"/>
      <c r="C4196" s="73"/>
      <c r="D4196" s="73"/>
      <c r="E4196" s="73"/>
      <c r="F4196" s="73"/>
      <c r="G4196" s="73"/>
    </row>
    <row r="4197" spans="2:7" ht="32.25" customHeight="1" x14ac:dyDescent="0.35">
      <c r="B4197" s="73"/>
      <c r="C4197" s="73"/>
      <c r="D4197" s="73"/>
      <c r="E4197" s="73"/>
      <c r="F4197" s="73"/>
      <c r="G4197" s="73"/>
    </row>
    <row r="4198" spans="2:7" ht="32.25" customHeight="1" x14ac:dyDescent="0.35">
      <c r="B4198" s="73"/>
      <c r="C4198" s="73"/>
      <c r="D4198" s="73"/>
      <c r="E4198" s="73"/>
      <c r="F4198" s="73"/>
      <c r="G4198" s="73"/>
    </row>
    <row r="4199" spans="2:7" ht="32.25" customHeight="1" x14ac:dyDescent="0.35">
      <c r="B4199" s="73"/>
      <c r="C4199" s="73"/>
      <c r="D4199" s="73"/>
      <c r="E4199" s="73"/>
      <c r="F4199" s="73"/>
      <c r="G4199" s="73"/>
    </row>
    <row r="4200" spans="2:7" ht="32.25" customHeight="1" x14ac:dyDescent="0.35">
      <c r="B4200" s="73"/>
      <c r="C4200" s="73"/>
      <c r="D4200" s="73"/>
      <c r="E4200" s="73"/>
      <c r="F4200" s="73"/>
      <c r="G4200" s="73"/>
    </row>
    <row r="4201" spans="2:7" ht="32.25" customHeight="1" x14ac:dyDescent="0.35">
      <c r="B4201" s="73"/>
      <c r="C4201" s="73"/>
      <c r="D4201" s="73"/>
      <c r="E4201" s="73"/>
      <c r="F4201" s="73"/>
      <c r="G4201" s="73"/>
    </row>
    <row r="4202" spans="2:7" ht="32.25" customHeight="1" x14ac:dyDescent="0.35">
      <c r="B4202" s="73"/>
      <c r="C4202" s="73"/>
      <c r="D4202" s="73"/>
      <c r="E4202" s="73"/>
      <c r="F4202" s="73"/>
      <c r="G4202" s="73"/>
    </row>
    <row r="4203" spans="2:7" ht="32.25" customHeight="1" x14ac:dyDescent="0.35">
      <c r="B4203" s="73"/>
      <c r="C4203" s="73"/>
      <c r="D4203" s="73"/>
      <c r="E4203" s="73"/>
      <c r="F4203" s="73"/>
      <c r="G4203" s="73"/>
    </row>
    <row r="4204" spans="2:7" ht="32.25" customHeight="1" x14ac:dyDescent="0.35">
      <c r="B4204" s="73"/>
      <c r="C4204" s="73"/>
      <c r="D4204" s="73"/>
      <c r="E4204" s="73"/>
      <c r="F4204" s="73"/>
      <c r="G4204" s="73"/>
    </row>
    <row r="4205" spans="2:7" ht="32.25" customHeight="1" x14ac:dyDescent="0.35">
      <c r="B4205" s="73"/>
      <c r="C4205" s="73"/>
      <c r="D4205" s="73"/>
      <c r="E4205" s="73"/>
      <c r="F4205" s="73"/>
      <c r="G4205" s="73"/>
    </row>
    <row r="4206" spans="2:7" ht="32.25" customHeight="1" x14ac:dyDescent="0.35">
      <c r="B4206" s="73"/>
      <c r="C4206" s="73"/>
      <c r="D4206" s="73"/>
      <c r="E4206" s="73"/>
      <c r="F4206" s="73"/>
      <c r="G4206" s="73"/>
    </row>
    <row r="4207" spans="2:7" ht="32.25" customHeight="1" x14ac:dyDescent="0.35">
      <c r="B4207" s="73"/>
      <c r="C4207" s="73"/>
      <c r="D4207" s="73"/>
      <c r="E4207" s="73"/>
      <c r="F4207" s="73"/>
      <c r="G4207" s="73"/>
    </row>
    <row r="4208" spans="2:7" ht="32.25" customHeight="1" x14ac:dyDescent="0.35">
      <c r="B4208" s="73"/>
      <c r="C4208" s="73"/>
      <c r="D4208" s="73"/>
      <c r="E4208" s="73"/>
      <c r="F4208" s="73"/>
      <c r="G4208" s="73"/>
    </row>
    <row r="4209" spans="2:7" ht="32.25" customHeight="1" x14ac:dyDescent="0.35">
      <c r="B4209" s="73"/>
      <c r="C4209" s="73"/>
      <c r="D4209" s="73"/>
      <c r="E4209" s="73"/>
      <c r="F4209" s="73"/>
      <c r="G4209" s="73"/>
    </row>
    <row r="4210" spans="2:7" ht="32.25" customHeight="1" x14ac:dyDescent="0.35">
      <c r="B4210" s="73"/>
      <c r="C4210" s="73"/>
      <c r="D4210" s="73"/>
      <c r="E4210" s="73"/>
      <c r="F4210" s="73"/>
      <c r="G4210" s="73"/>
    </row>
    <row r="4211" spans="2:7" ht="32.25" customHeight="1" x14ac:dyDescent="0.35">
      <c r="B4211" s="73"/>
      <c r="C4211" s="73"/>
      <c r="D4211" s="73"/>
      <c r="E4211" s="73"/>
      <c r="F4211" s="73"/>
      <c r="G4211" s="73"/>
    </row>
    <row r="4212" spans="2:7" ht="32.25" customHeight="1" x14ac:dyDescent="0.35">
      <c r="B4212" s="73"/>
      <c r="C4212" s="73"/>
      <c r="D4212" s="73"/>
      <c r="E4212" s="73"/>
      <c r="F4212" s="73"/>
      <c r="G4212" s="73"/>
    </row>
    <row r="4213" spans="2:7" ht="32.25" customHeight="1" x14ac:dyDescent="0.35">
      <c r="B4213" s="73"/>
      <c r="C4213" s="73"/>
      <c r="D4213" s="73"/>
      <c r="E4213" s="73"/>
      <c r="F4213" s="73"/>
      <c r="G4213" s="73"/>
    </row>
    <row r="4214" spans="2:7" ht="32.25" customHeight="1" x14ac:dyDescent="0.35">
      <c r="B4214" s="73"/>
      <c r="C4214" s="73"/>
      <c r="D4214" s="73"/>
      <c r="E4214" s="73"/>
      <c r="F4214" s="73"/>
      <c r="G4214" s="73"/>
    </row>
    <row r="4215" spans="2:7" ht="32.25" customHeight="1" x14ac:dyDescent="0.35">
      <c r="B4215" s="73"/>
      <c r="C4215" s="73"/>
      <c r="D4215" s="73"/>
      <c r="E4215" s="73"/>
      <c r="F4215" s="73"/>
      <c r="G4215" s="73"/>
    </row>
    <row r="4216" spans="2:7" ht="32.25" customHeight="1" x14ac:dyDescent="0.35">
      <c r="B4216" s="73"/>
      <c r="C4216" s="73"/>
      <c r="D4216" s="73"/>
      <c r="E4216" s="73"/>
      <c r="F4216" s="73"/>
      <c r="G4216" s="73"/>
    </row>
    <row r="4217" spans="2:7" ht="32.25" customHeight="1" x14ac:dyDescent="0.35">
      <c r="B4217" s="73"/>
      <c r="C4217" s="73"/>
      <c r="D4217" s="73"/>
      <c r="E4217" s="73"/>
      <c r="F4217" s="73"/>
      <c r="G4217" s="73"/>
    </row>
    <row r="4218" spans="2:7" ht="32.25" customHeight="1" x14ac:dyDescent="0.35">
      <c r="B4218" s="73"/>
      <c r="C4218" s="73"/>
      <c r="D4218" s="73"/>
      <c r="E4218" s="73"/>
      <c r="F4218" s="73"/>
      <c r="G4218" s="73"/>
    </row>
    <row r="4219" spans="2:7" ht="32.25" customHeight="1" x14ac:dyDescent="0.35">
      <c r="B4219" s="73"/>
      <c r="C4219" s="73"/>
      <c r="D4219" s="73"/>
      <c r="E4219" s="73"/>
      <c r="F4219" s="73"/>
      <c r="G4219" s="73"/>
    </row>
    <row r="4220" spans="2:7" ht="32.25" customHeight="1" x14ac:dyDescent="0.35">
      <c r="B4220" s="73"/>
      <c r="C4220" s="73"/>
      <c r="D4220" s="73"/>
      <c r="E4220" s="73"/>
      <c r="F4220" s="73"/>
      <c r="G4220" s="73"/>
    </row>
    <row r="4221" spans="2:7" ht="32.25" customHeight="1" x14ac:dyDescent="0.35">
      <c r="B4221" s="73"/>
      <c r="C4221" s="73"/>
      <c r="D4221" s="73"/>
      <c r="E4221" s="73"/>
      <c r="F4221" s="73"/>
      <c r="G4221" s="73"/>
    </row>
    <row r="4222" spans="2:7" ht="32.25" customHeight="1" x14ac:dyDescent="0.35">
      <c r="B4222" s="73"/>
      <c r="C4222" s="73"/>
      <c r="D4222" s="73"/>
      <c r="E4222" s="73"/>
      <c r="F4222" s="73"/>
      <c r="G4222" s="73"/>
    </row>
    <row r="4223" spans="2:7" ht="32.25" customHeight="1" x14ac:dyDescent="0.35">
      <c r="B4223" s="73"/>
      <c r="C4223" s="73"/>
      <c r="D4223" s="73"/>
      <c r="E4223" s="73"/>
      <c r="F4223" s="73"/>
      <c r="G4223" s="73"/>
    </row>
    <row r="4224" spans="2:7" ht="32.25" customHeight="1" x14ac:dyDescent="0.35">
      <c r="B4224" s="73"/>
      <c r="C4224" s="73"/>
      <c r="D4224" s="73"/>
      <c r="E4224" s="73"/>
      <c r="F4224" s="73"/>
      <c r="G4224" s="73"/>
    </row>
    <row r="4225" spans="2:7" ht="32.25" customHeight="1" x14ac:dyDescent="0.35">
      <c r="B4225" s="73"/>
      <c r="C4225" s="73"/>
      <c r="D4225" s="73"/>
      <c r="E4225" s="73"/>
      <c r="F4225" s="73"/>
      <c r="G4225" s="73"/>
    </row>
    <row r="4226" spans="2:7" ht="32.25" customHeight="1" x14ac:dyDescent="0.35">
      <c r="B4226" s="73"/>
      <c r="C4226" s="73"/>
      <c r="D4226" s="73"/>
      <c r="E4226" s="73"/>
      <c r="F4226" s="73"/>
      <c r="G4226" s="73"/>
    </row>
    <row r="4227" spans="2:7" ht="32.25" customHeight="1" x14ac:dyDescent="0.35">
      <c r="B4227" s="73"/>
      <c r="C4227" s="73"/>
      <c r="D4227" s="73"/>
      <c r="E4227" s="73"/>
      <c r="F4227" s="73"/>
      <c r="G4227" s="73"/>
    </row>
    <row r="4228" spans="2:7" ht="32.25" customHeight="1" x14ac:dyDescent="0.35">
      <c r="B4228" s="73"/>
      <c r="C4228" s="73"/>
      <c r="D4228" s="73"/>
      <c r="E4228" s="73"/>
      <c r="F4228" s="73"/>
      <c r="G4228" s="73"/>
    </row>
    <row r="4229" spans="2:7" ht="32.25" customHeight="1" x14ac:dyDescent="0.35">
      <c r="B4229" s="73"/>
      <c r="C4229" s="73"/>
      <c r="D4229" s="73"/>
      <c r="E4229" s="73"/>
      <c r="F4229" s="73"/>
      <c r="G4229" s="73"/>
    </row>
    <row r="4230" spans="2:7" ht="32.25" customHeight="1" x14ac:dyDescent="0.35">
      <c r="B4230" s="73"/>
      <c r="C4230" s="73"/>
      <c r="D4230" s="73"/>
      <c r="E4230" s="73"/>
      <c r="F4230" s="73"/>
      <c r="G4230" s="73"/>
    </row>
    <row r="4231" spans="2:7" ht="32.25" customHeight="1" x14ac:dyDescent="0.35">
      <c r="B4231" s="73"/>
      <c r="C4231" s="73"/>
      <c r="D4231" s="73"/>
      <c r="E4231" s="73"/>
      <c r="F4231" s="73"/>
      <c r="G4231" s="73"/>
    </row>
    <row r="4232" spans="2:7" ht="32.25" customHeight="1" x14ac:dyDescent="0.35">
      <c r="B4232" s="73"/>
      <c r="C4232" s="73"/>
      <c r="D4232" s="73"/>
      <c r="E4232" s="73"/>
      <c r="F4232" s="73"/>
      <c r="G4232" s="73"/>
    </row>
    <row r="4233" spans="2:7" ht="32.25" customHeight="1" x14ac:dyDescent="0.35">
      <c r="B4233" s="73"/>
      <c r="C4233" s="73"/>
      <c r="D4233" s="73"/>
      <c r="E4233" s="73"/>
      <c r="F4233" s="73"/>
      <c r="G4233" s="73"/>
    </row>
    <row r="4234" spans="2:7" ht="32.25" customHeight="1" x14ac:dyDescent="0.35">
      <c r="B4234" s="73"/>
      <c r="C4234" s="73"/>
      <c r="D4234" s="73"/>
      <c r="E4234" s="73"/>
      <c r="F4234" s="73"/>
      <c r="G4234" s="73"/>
    </row>
    <row r="4235" spans="2:7" ht="32.25" customHeight="1" x14ac:dyDescent="0.35">
      <c r="B4235" s="73"/>
      <c r="C4235" s="73"/>
      <c r="D4235" s="73"/>
      <c r="E4235" s="73"/>
      <c r="F4235" s="73"/>
      <c r="G4235" s="73"/>
    </row>
    <row r="4236" spans="2:7" ht="32.25" customHeight="1" x14ac:dyDescent="0.35">
      <c r="B4236" s="73"/>
      <c r="C4236" s="73"/>
      <c r="D4236" s="73"/>
      <c r="E4236" s="73"/>
      <c r="F4236" s="73"/>
      <c r="G4236" s="73"/>
    </row>
    <row r="4237" spans="2:7" ht="32.25" customHeight="1" x14ac:dyDescent="0.35">
      <c r="B4237" s="73"/>
      <c r="C4237" s="73"/>
      <c r="D4237" s="73"/>
      <c r="E4237" s="73"/>
      <c r="F4237" s="73"/>
      <c r="G4237" s="73"/>
    </row>
    <row r="4238" spans="2:7" ht="32.25" customHeight="1" x14ac:dyDescent="0.35">
      <c r="B4238" s="73"/>
      <c r="C4238" s="73"/>
      <c r="D4238" s="73"/>
      <c r="E4238" s="73"/>
      <c r="F4238" s="73"/>
      <c r="G4238" s="73"/>
    </row>
    <row r="4239" spans="2:7" ht="32.25" customHeight="1" x14ac:dyDescent="0.35">
      <c r="B4239" s="73"/>
      <c r="C4239" s="73"/>
      <c r="D4239" s="73"/>
      <c r="E4239" s="73"/>
      <c r="F4239" s="73"/>
      <c r="G4239" s="73"/>
    </row>
    <row r="4240" spans="2:7" ht="32.25" customHeight="1" x14ac:dyDescent="0.35">
      <c r="B4240" s="73"/>
      <c r="C4240" s="73"/>
      <c r="D4240" s="73"/>
      <c r="E4240" s="73"/>
      <c r="F4240" s="73"/>
      <c r="G4240" s="73"/>
    </row>
    <row r="4241" spans="2:7" ht="32.25" customHeight="1" x14ac:dyDescent="0.35">
      <c r="B4241" s="73"/>
      <c r="C4241" s="73"/>
      <c r="D4241" s="73"/>
      <c r="E4241" s="73"/>
      <c r="F4241" s="73"/>
      <c r="G4241" s="73"/>
    </row>
    <row r="4242" spans="2:7" ht="32.25" customHeight="1" x14ac:dyDescent="0.35">
      <c r="B4242" s="73"/>
      <c r="C4242" s="73"/>
      <c r="D4242" s="73"/>
      <c r="E4242" s="73"/>
      <c r="F4242" s="73"/>
      <c r="G4242" s="73"/>
    </row>
    <row r="4243" spans="2:7" ht="32.25" customHeight="1" x14ac:dyDescent="0.35">
      <c r="B4243" s="73"/>
      <c r="C4243" s="73"/>
      <c r="D4243" s="73"/>
      <c r="E4243" s="73"/>
      <c r="F4243" s="73"/>
      <c r="G4243" s="73"/>
    </row>
    <row r="4244" spans="2:7" ht="32.25" customHeight="1" x14ac:dyDescent="0.35">
      <c r="B4244" s="73"/>
      <c r="C4244" s="73"/>
      <c r="D4244" s="73"/>
      <c r="E4244" s="73"/>
      <c r="F4244" s="73"/>
      <c r="G4244" s="73"/>
    </row>
    <row r="4245" spans="2:7" ht="32.25" customHeight="1" x14ac:dyDescent="0.35">
      <c r="B4245" s="73"/>
      <c r="C4245" s="73"/>
      <c r="D4245" s="73"/>
      <c r="E4245" s="73"/>
      <c r="F4245" s="73"/>
      <c r="G4245" s="73"/>
    </row>
    <row r="4246" spans="2:7" ht="32.25" customHeight="1" x14ac:dyDescent="0.35">
      <c r="B4246" s="73"/>
      <c r="C4246" s="73"/>
      <c r="D4246" s="73"/>
      <c r="E4246" s="73"/>
      <c r="F4246" s="73"/>
      <c r="G4246" s="73"/>
    </row>
    <row r="4247" spans="2:7" ht="32.25" customHeight="1" x14ac:dyDescent="0.35">
      <c r="B4247" s="73"/>
      <c r="C4247" s="73"/>
      <c r="D4247" s="73"/>
      <c r="E4247" s="73"/>
      <c r="F4247" s="73"/>
      <c r="G4247" s="73"/>
    </row>
    <row r="4248" spans="2:7" ht="32.25" customHeight="1" x14ac:dyDescent="0.35">
      <c r="B4248" s="73"/>
      <c r="C4248" s="73"/>
      <c r="D4248" s="73"/>
      <c r="E4248" s="73"/>
      <c r="F4248" s="73"/>
      <c r="G4248" s="73"/>
    </row>
    <row r="4249" spans="2:7" ht="32.25" customHeight="1" x14ac:dyDescent="0.35">
      <c r="B4249" s="73"/>
      <c r="C4249" s="73"/>
      <c r="D4249" s="73"/>
      <c r="E4249" s="73"/>
      <c r="F4249" s="73"/>
      <c r="G4249" s="73"/>
    </row>
    <row r="4250" spans="2:7" ht="32.25" customHeight="1" x14ac:dyDescent="0.35">
      <c r="B4250" s="73"/>
      <c r="C4250" s="73"/>
      <c r="D4250" s="73"/>
      <c r="E4250" s="73"/>
      <c r="F4250" s="73"/>
      <c r="G4250" s="73"/>
    </row>
    <row r="4251" spans="2:7" ht="32.25" customHeight="1" x14ac:dyDescent="0.35">
      <c r="B4251" s="73"/>
      <c r="C4251" s="73"/>
      <c r="D4251" s="73"/>
      <c r="E4251" s="73"/>
      <c r="F4251" s="73"/>
      <c r="G4251" s="73"/>
    </row>
    <row r="4252" spans="2:7" ht="32.25" customHeight="1" x14ac:dyDescent="0.35">
      <c r="B4252" s="73"/>
      <c r="C4252" s="73"/>
      <c r="D4252" s="73"/>
      <c r="E4252" s="73"/>
      <c r="F4252" s="73"/>
      <c r="G4252" s="73"/>
    </row>
    <row r="4253" spans="2:7" ht="32.25" customHeight="1" x14ac:dyDescent="0.35">
      <c r="B4253" s="73"/>
      <c r="C4253" s="73"/>
      <c r="D4253" s="73"/>
      <c r="E4253" s="73"/>
      <c r="F4253" s="73"/>
      <c r="G4253" s="73"/>
    </row>
    <row r="4254" spans="2:7" ht="32.25" customHeight="1" x14ac:dyDescent="0.35">
      <c r="B4254" s="73"/>
      <c r="C4254" s="73"/>
      <c r="D4254" s="73"/>
      <c r="E4254" s="73"/>
      <c r="F4254" s="73"/>
      <c r="G4254" s="73"/>
    </row>
    <row r="4255" spans="2:7" ht="32.25" customHeight="1" x14ac:dyDescent="0.35">
      <c r="B4255" s="73"/>
      <c r="C4255" s="73"/>
      <c r="D4255" s="73"/>
      <c r="E4255" s="73"/>
      <c r="F4255" s="73"/>
      <c r="G4255" s="73"/>
    </row>
    <row r="4256" spans="2:7" ht="32.25" customHeight="1" x14ac:dyDescent="0.35">
      <c r="B4256" s="73"/>
      <c r="C4256" s="73"/>
      <c r="D4256" s="73"/>
      <c r="E4256" s="73"/>
      <c r="F4256" s="73"/>
      <c r="G4256" s="73"/>
    </row>
    <row r="4257" spans="2:7" ht="32.25" customHeight="1" x14ac:dyDescent="0.35">
      <c r="B4257" s="73"/>
      <c r="C4257" s="73"/>
      <c r="D4257" s="73"/>
      <c r="E4257" s="73"/>
      <c r="F4257" s="73"/>
      <c r="G4257" s="73"/>
    </row>
    <row r="4258" spans="2:7" ht="32.25" customHeight="1" x14ac:dyDescent="0.35">
      <c r="B4258" s="73"/>
      <c r="C4258" s="73"/>
      <c r="D4258" s="73"/>
      <c r="E4258" s="73"/>
      <c r="F4258" s="73"/>
      <c r="G4258" s="73"/>
    </row>
    <row r="4259" spans="2:7" ht="32.25" customHeight="1" x14ac:dyDescent="0.35">
      <c r="B4259" s="73"/>
      <c r="C4259" s="73"/>
      <c r="D4259" s="73"/>
      <c r="E4259" s="73"/>
      <c r="F4259" s="73"/>
      <c r="G4259" s="73"/>
    </row>
    <row r="4260" spans="2:7" ht="32.25" customHeight="1" x14ac:dyDescent="0.35">
      <c r="B4260" s="73"/>
      <c r="C4260" s="73"/>
      <c r="D4260" s="73"/>
      <c r="E4260" s="73"/>
      <c r="F4260" s="73"/>
      <c r="G4260" s="73"/>
    </row>
    <row r="4261" spans="2:7" ht="32.25" customHeight="1" x14ac:dyDescent="0.35">
      <c r="B4261" s="73"/>
      <c r="C4261" s="73"/>
      <c r="D4261" s="73"/>
      <c r="E4261" s="73"/>
      <c r="F4261" s="73"/>
      <c r="G4261" s="73"/>
    </row>
    <row r="4262" spans="2:7" ht="32.25" customHeight="1" x14ac:dyDescent="0.35">
      <c r="B4262" s="73"/>
      <c r="C4262" s="73"/>
      <c r="D4262" s="73"/>
      <c r="E4262" s="73"/>
      <c r="F4262" s="73"/>
      <c r="G4262" s="73"/>
    </row>
    <row r="4263" spans="2:7" ht="32.25" customHeight="1" x14ac:dyDescent="0.35">
      <c r="B4263" s="73"/>
      <c r="C4263" s="73"/>
      <c r="D4263" s="73"/>
      <c r="E4263" s="73"/>
      <c r="F4263" s="73"/>
      <c r="G4263" s="73"/>
    </row>
    <row r="4264" spans="2:7" ht="32.25" customHeight="1" x14ac:dyDescent="0.35">
      <c r="B4264" s="73"/>
      <c r="C4264" s="73"/>
      <c r="D4264" s="73"/>
      <c r="E4264" s="73"/>
      <c r="F4264" s="73"/>
      <c r="G4264" s="73"/>
    </row>
    <row r="4265" spans="2:7" ht="32.25" customHeight="1" x14ac:dyDescent="0.35">
      <c r="B4265" s="73"/>
      <c r="C4265" s="73"/>
      <c r="D4265" s="73"/>
      <c r="E4265" s="73"/>
      <c r="F4265" s="73"/>
      <c r="G4265" s="73"/>
    </row>
    <row r="4266" spans="2:7" ht="32.25" customHeight="1" x14ac:dyDescent="0.35">
      <c r="B4266" s="73"/>
      <c r="C4266" s="73"/>
      <c r="D4266" s="73"/>
      <c r="E4266" s="73"/>
      <c r="F4266" s="73"/>
      <c r="G4266" s="73"/>
    </row>
    <row r="4267" spans="2:7" ht="32.25" customHeight="1" x14ac:dyDescent="0.35">
      <c r="B4267" s="73"/>
      <c r="C4267" s="73"/>
      <c r="D4267" s="73"/>
      <c r="E4267" s="73"/>
      <c r="F4267" s="73"/>
      <c r="G4267" s="73"/>
    </row>
    <row r="4268" spans="2:7" ht="32.25" customHeight="1" x14ac:dyDescent="0.35">
      <c r="B4268" s="73"/>
      <c r="C4268" s="73"/>
      <c r="D4268" s="73"/>
      <c r="E4268" s="73"/>
      <c r="F4268" s="73"/>
      <c r="G4268" s="73"/>
    </row>
    <row r="4269" spans="2:7" ht="32.25" customHeight="1" x14ac:dyDescent="0.35">
      <c r="B4269" s="73"/>
      <c r="C4269" s="73"/>
      <c r="D4269" s="73"/>
      <c r="E4269" s="73"/>
      <c r="F4269" s="73"/>
      <c r="G4269" s="73"/>
    </row>
    <row r="4270" spans="2:7" ht="32.25" customHeight="1" x14ac:dyDescent="0.35">
      <c r="B4270" s="73"/>
      <c r="C4270" s="73"/>
      <c r="D4270" s="73"/>
      <c r="E4270" s="73"/>
      <c r="F4270" s="73"/>
      <c r="G4270" s="73"/>
    </row>
    <row r="4271" spans="2:7" ht="32.25" customHeight="1" x14ac:dyDescent="0.35">
      <c r="B4271" s="73"/>
      <c r="C4271" s="73"/>
      <c r="D4271" s="73"/>
      <c r="E4271" s="73"/>
      <c r="F4271" s="73"/>
      <c r="G4271" s="73"/>
    </row>
    <row r="4272" spans="2:7" ht="32.25" customHeight="1" x14ac:dyDescent="0.35">
      <c r="B4272" s="73"/>
      <c r="C4272" s="73"/>
      <c r="D4272" s="73"/>
      <c r="E4272" s="73"/>
      <c r="F4272" s="73"/>
      <c r="G4272" s="73"/>
    </row>
    <row r="4273" spans="2:7" ht="32.25" customHeight="1" x14ac:dyDescent="0.35">
      <c r="B4273" s="73"/>
      <c r="C4273" s="73"/>
      <c r="D4273" s="73"/>
      <c r="E4273" s="73"/>
      <c r="F4273" s="73"/>
      <c r="G4273" s="73"/>
    </row>
    <row r="4274" spans="2:7" ht="32.25" customHeight="1" x14ac:dyDescent="0.35">
      <c r="B4274" s="73"/>
      <c r="C4274" s="73"/>
      <c r="D4274" s="73"/>
      <c r="E4274" s="73"/>
      <c r="F4274" s="73"/>
      <c r="G4274" s="73"/>
    </row>
    <row r="4275" spans="2:7" ht="32.25" customHeight="1" x14ac:dyDescent="0.35">
      <c r="B4275" s="73"/>
      <c r="C4275" s="73"/>
      <c r="D4275" s="73"/>
      <c r="E4275" s="73"/>
      <c r="F4275" s="73"/>
      <c r="G4275" s="73"/>
    </row>
    <row r="4276" spans="2:7" ht="32.25" customHeight="1" x14ac:dyDescent="0.35">
      <c r="B4276" s="73"/>
      <c r="C4276" s="73"/>
      <c r="D4276" s="73"/>
      <c r="E4276" s="73"/>
      <c r="F4276" s="73"/>
      <c r="G4276" s="73"/>
    </row>
    <row r="4277" spans="2:7" ht="32.25" customHeight="1" x14ac:dyDescent="0.35">
      <c r="B4277" s="73"/>
      <c r="C4277" s="73"/>
      <c r="D4277" s="73"/>
      <c r="E4277" s="73"/>
      <c r="F4277" s="73"/>
      <c r="G4277" s="73"/>
    </row>
    <row r="4278" spans="2:7" ht="32.25" customHeight="1" x14ac:dyDescent="0.35">
      <c r="B4278" s="73"/>
      <c r="C4278" s="73"/>
      <c r="D4278" s="73"/>
      <c r="E4278" s="73"/>
      <c r="F4278" s="73"/>
      <c r="G4278" s="73"/>
    </row>
    <row r="4279" spans="2:7" ht="32.25" customHeight="1" x14ac:dyDescent="0.35">
      <c r="B4279" s="73"/>
      <c r="C4279" s="73"/>
      <c r="D4279" s="73"/>
      <c r="E4279" s="73"/>
      <c r="F4279" s="73"/>
      <c r="G4279" s="73"/>
    </row>
    <row r="4280" spans="2:7" ht="32.25" customHeight="1" x14ac:dyDescent="0.35">
      <c r="B4280" s="73"/>
      <c r="C4280" s="73"/>
      <c r="D4280" s="73"/>
      <c r="E4280" s="73"/>
      <c r="F4280" s="73"/>
      <c r="G4280" s="73"/>
    </row>
    <row r="4281" spans="2:7" ht="32.25" customHeight="1" x14ac:dyDescent="0.35">
      <c r="B4281" s="73"/>
      <c r="C4281" s="73"/>
      <c r="D4281" s="73"/>
      <c r="E4281" s="73"/>
      <c r="F4281" s="73"/>
      <c r="G4281" s="73"/>
    </row>
    <row r="4282" spans="2:7" ht="32.25" customHeight="1" x14ac:dyDescent="0.35">
      <c r="B4282" s="73"/>
      <c r="C4282" s="73"/>
      <c r="D4282" s="73"/>
      <c r="E4282" s="73"/>
      <c r="F4282" s="73"/>
      <c r="G4282" s="73"/>
    </row>
    <row r="4283" spans="2:7" ht="32.25" customHeight="1" x14ac:dyDescent="0.35">
      <c r="B4283" s="73"/>
      <c r="C4283" s="73"/>
      <c r="D4283" s="73"/>
      <c r="E4283" s="73"/>
      <c r="F4283" s="73"/>
      <c r="G4283" s="73"/>
    </row>
    <row r="4284" spans="2:7" ht="32.25" customHeight="1" x14ac:dyDescent="0.35">
      <c r="B4284" s="73"/>
      <c r="C4284" s="73"/>
      <c r="D4284" s="73"/>
      <c r="E4284" s="73"/>
      <c r="F4284" s="73"/>
      <c r="G4284" s="73"/>
    </row>
    <row r="4285" spans="2:7" ht="32.25" customHeight="1" x14ac:dyDescent="0.35">
      <c r="B4285" s="73"/>
      <c r="C4285" s="73"/>
      <c r="D4285" s="73"/>
      <c r="E4285" s="73"/>
      <c r="F4285" s="73"/>
      <c r="G4285" s="73"/>
    </row>
    <row r="4286" spans="2:7" ht="32.25" customHeight="1" x14ac:dyDescent="0.35">
      <c r="B4286" s="73"/>
      <c r="C4286" s="73"/>
      <c r="D4286" s="73"/>
      <c r="E4286" s="73"/>
      <c r="F4286" s="73"/>
      <c r="G4286" s="73"/>
    </row>
    <row r="4287" spans="2:7" ht="32.25" customHeight="1" x14ac:dyDescent="0.35">
      <c r="B4287" s="73"/>
      <c r="C4287" s="73"/>
      <c r="D4287" s="73"/>
      <c r="E4287" s="73"/>
      <c r="F4287" s="73"/>
      <c r="G4287" s="73"/>
    </row>
    <row r="4288" spans="2:7" ht="32.25" customHeight="1" x14ac:dyDescent="0.35">
      <c r="B4288" s="73"/>
      <c r="C4288" s="73"/>
      <c r="D4288" s="73"/>
      <c r="E4288" s="73"/>
      <c r="F4288" s="73"/>
      <c r="G4288" s="73"/>
    </row>
    <row r="4289" spans="2:7" ht="32.25" customHeight="1" x14ac:dyDescent="0.35">
      <c r="B4289" s="73"/>
      <c r="C4289" s="73"/>
      <c r="D4289" s="73"/>
      <c r="E4289" s="73"/>
      <c r="F4289" s="73"/>
      <c r="G4289" s="73"/>
    </row>
    <row r="4290" spans="2:7" ht="32.25" customHeight="1" x14ac:dyDescent="0.35">
      <c r="B4290" s="73"/>
      <c r="C4290" s="73"/>
      <c r="D4290" s="73"/>
      <c r="E4290" s="73"/>
      <c r="F4290" s="73"/>
      <c r="G4290" s="73"/>
    </row>
    <row r="4291" spans="2:7" ht="32.25" customHeight="1" x14ac:dyDescent="0.35">
      <c r="B4291" s="73"/>
      <c r="C4291" s="73"/>
      <c r="D4291" s="73"/>
      <c r="E4291" s="73"/>
      <c r="F4291" s="73"/>
      <c r="G4291" s="73"/>
    </row>
    <row r="4292" spans="2:7" ht="32.25" customHeight="1" x14ac:dyDescent="0.35">
      <c r="B4292" s="73"/>
      <c r="C4292" s="73"/>
      <c r="D4292" s="73"/>
      <c r="E4292" s="73"/>
      <c r="F4292" s="73"/>
      <c r="G4292" s="73"/>
    </row>
    <row r="4293" spans="2:7" ht="32.25" customHeight="1" x14ac:dyDescent="0.35">
      <c r="B4293" s="73"/>
      <c r="C4293" s="73"/>
      <c r="D4293" s="73"/>
      <c r="E4293" s="73"/>
      <c r="F4293" s="73"/>
      <c r="G4293" s="73"/>
    </row>
    <row r="4294" spans="2:7" ht="32.25" customHeight="1" x14ac:dyDescent="0.35">
      <c r="B4294" s="73"/>
      <c r="C4294" s="73"/>
      <c r="D4294" s="73"/>
      <c r="E4294" s="73"/>
      <c r="F4294" s="73"/>
      <c r="G4294" s="73"/>
    </row>
    <row r="4295" spans="2:7" ht="32.25" customHeight="1" x14ac:dyDescent="0.35">
      <c r="B4295" s="73"/>
      <c r="C4295" s="73"/>
      <c r="D4295" s="73"/>
      <c r="E4295" s="73"/>
      <c r="F4295" s="73"/>
      <c r="G4295" s="73"/>
    </row>
    <row r="4296" spans="2:7" ht="32.25" customHeight="1" x14ac:dyDescent="0.35">
      <c r="B4296" s="73"/>
      <c r="C4296" s="73"/>
      <c r="D4296" s="73"/>
      <c r="E4296" s="73"/>
      <c r="F4296" s="73"/>
      <c r="G4296" s="73"/>
    </row>
    <row r="4297" spans="2:7" ht="32.25" customHeight="1" x14ac:dyDescent="0.35">
      <c r="B4297" s="73"/>
      <c r="C4297" s="73"/>
      <c r="D4297" s="73"/>
      <c r="E4297" s="73"/>
      <c r="F4297" s="73"/>
      <c r="G4297" s="73"/>
    </row>
    <row r="4298" spans="2:7" ht="32.25" customHeight="1" x14ac:dyDescent="0.35">
      <c r="B4298" s="73"/>
      <c r="C4298" s="73"/>
      <c r="D4298" s="73"/>
      <c r="E4298" s="73"/>
      <c r="F4298" s="73"/>
      <c r="G4298" s="73"/>
    </row>
    <row r="4299" spans="2:7" ht="32.25" customHeight="1" x14ac:dyDescent="0.35">
      <c r="B4299" s="73"/>
      <c r="C4299" s="73"/>
      <c r="D4299" s="73"/>
      <c r="E4299" s="73"/>
      <c r="F4299" s="73"/>
      <c r="G4299" s="73"/>
    </row>
    <row r="4300" spans="2:7" ht="32.25" customHeight="1" x14ac:dyDescent="0.35">
      <c r="B4300" s="73"/>
      <c r="C4300" s="73"/>
      <c r="D4300" s="73"/>
      <c r="E4300" s="73"/>
      <c r="F4300" s="73"/>
      <c r="G4300" s="73"/>
    </row>
    <row r="4301" spans="2:7" ht="32.25" customHeight="1" x14ac:dyDescent="0.35">
      <c r="B4301" s="73"/>
      <c r="C4301" s="73"/>
      <c r="D4301" s="73"/>
      <c r="E4301" s="73"/>
      <c r="F4301" s="73"/>
      <c r="G4301" s="73"/>
    </row>
    <row r="4302" spans="2:7" ht="32.25" customHeight="1" x14ac:dyDescent="0.35">
      <c r="B4302" s="73"/>
      <c r="C4302" s="73"/>
      <c r="D4302" s="73"/>
      <c r="E4302" s="73"/>
      <c r="F4302" s="73"/>
      <c r="G4302" s="73"/>
    </row>
    <row r="4303" spans="2:7" ht="32.25" customHeight="1" x14ac:dyDescent="0.35">
      <c r="B4303" s="73"/>
      <c r="C4303" s="73"/>
      <c r="D4303" s="73"/>
      <c r="E4303" s="73"/>
      <c r="F4303" s="73"/>
      <c r="G4303" s="73"/>
    </row>
    <row r="4304" spans="2:7" ht="32.25" customHeight="1" x14ac:dyDescent="0.35">
      <c r="B4304" s="73"/>
      <c r="C4304" s="73"/>
      <c r="D4304" s="73"/>
      <c r="E4304" s="73"/>
      <c r="F4304" s="73"/>
      <c r="G4304" s="73"/>
    </row>
    <row r="4305" spans="2:7" ht="32.25" customHeight="1" x14ac:dyDescent="0.35">
      <c r="B4305" s="73"/>
      <c r="C4305" s="73"/>
      <c r="D4305" s="73"/>
      <c r="E4305" s="73"/>
      <c r="F4305" s="73"/>
      <c r="G4305" s="73"/>
    </row>
    <row r="4306" spans="2:7" ht="32.25" customHeight="1" x14ac:dyDescent="0.35">
      <c r="B4306" s="73"/>
      <c r="C4306" s="73"/>
      <c r="D4306" s="73"/>
      <c r="E4306" s="73"/>
      <c r="F4306" s="73"/>
      <c r="G4306" s="73"/>
    </row>
    <row r="4307" spans="2:7" ht="32.25" customHeight="1" x14ac:dyDescent="0.35">
      <c r="B4307" s="73"/>
      <c r="C4307" s="73"/>
      <c r="D4307" s="73"/>
      <c r="E4307" s="73"/>
      <c r="F4307" s="73"/>
      <c r="G4307" s="73"/>
    </row>
    <row r="4308" spans="2:7" ht="32.25" customHeight="1" x14ac:dyDescent="0.35">
      <c r="B4308" s="73"/>
      <c r="C4308" s="73"/>
      <c r="D4308" s="73"/>
      <c r="E4308" s="73"/>
      <c r="F4308" s="73"/>
      <c r="G4308" s="73"/>
    </row>
    <row r="4309" spans="2:7" ht="32.25" customHeight="1" x14ac:dyDescent="0.35">
      <c r="B4309" s="73"/>
      <c r="C4309" s="73"/>
      <c r="D4309" s="73"/>
      <c r="E4309" s="73"/>
      <c r="F4309" s="73"/>
      <c r="G4309" s="73"/>
    </row>
    <row r="4310" spans="2:7" ht="32.25" customHeight="1" x14ac:dyDescent="0.35">
      <c r="B4310" s="73"/>
      <c r="C4310" s="73"/>
      <c r="D4310" s="73"/>
      <c r="E4310" s="73"/>
      <c r="F4310" s="73"/>
      <c r="G4310" s="73"/>
    </row>
    <row r="4311" spans="2:7" ht="32.25" customHeight="1" x14ac:dyDescent="0.35">
      <c r="B4311" s="73"/>
      <c r="C4311" s="73"/>
      <c r="D4311" s="73"/>
      <c r="E4311" s="73"/>
      <c r="F4311" s="73"/>
      <c r="G4311" s="73"/>
    </row>
    <row r="4312" spans="2:7" ht="32.25" customHeight="1" x14ac:dyDescent="0.35">
      <c r="B4312" s="73"/>
      <c r="C4312" s="73"/>
      <c r="D4312" s="73"/>
      <c r="E4312" s="73"/>
      <c r="F4312" s="73"/>
      <c r="G4312" s="73"/>
    </row>
    <row r="4313" spans="2:7" ht="32.25" customHeight="1" x14ac:dyDescent="0.35">
      <c r="B4313" s="73"/>
      <c r="C4313" s="73"/>
      <c r="D4313" s="73"/>
      <c r="E4313" s="73"/>
      <c r="F4313" s="73"/>
      <c r="G4313" s="73"/>
    </row>
    <row r="4314" spans="2:7" ht="32.25" customHeight="1" x14ac:dyDescent="0.35">
      <c r="B4314" s="73"/>
      <c r="C4314" s="73"/>
      <c r="D4314" s="73"/>
      <c r="E4314" s="73"/>
      <c r="F4314" s="73"/>
      <c r="G4314" s="73"/>
    </row>
    <row r="4315" spans="2:7" ht="32.25" customHeight="1" x14ac:dyDescent="0.35">
      <c r="B4315" s="73"/>
      <c r="C4315" s="73"/>
      <c r="D4315" s="73"/>
      <c r="E4315" s="73"/>
      <c r="F4315" s="73"/>
      <c r="G4315" s="73"/>
    </row>
    <row r="4316" spans="2:7" ht="32.25" customHeight="1" x14ac:dyDescent="0.35">
      <c r="B4316" s="73"/>
      <c r="C4316" s="73"/>
      <c r="D4316" s="73"/>
      <c r="E4316" s="73"/>
      <c r="F4316" s="73"/>
      <c r="G4316" s="73"/>
    </row>
    <row r="4317" spans="2:7" ht="32.25" customHeight="1" x14ac:dyDescent="0.35">
      <c r="B4317" s="73"/>
      <c r="C4317" s="73"/>
      <c r="D4317" s="73"/>
      <c r="E4317" s="73"/>
      <c r="F4317" s="73"/>
      <c r="G4317" s="73"/>
    </row>
    <row r="4318" spans="2:7" ht="32.25" customHeight="1" x14ac:dyDescent="0.35">
      <c r="B4318" s="73"/>
      <c r="C4318" s="73"/>
      <c r="D4318" s="73"/>
      <c r="E4318" s="73"/>
      <c r="F4318" s="73"/>
      <c r="G4318" s="73"/>
    </row>
    <row r="4319" spans="2:7" ht="32.25" customHeight="1" x14ac:dyDescent="0.35">
      <c r="B4319" s="73"/>
      <c r="C4319" s="73"/>
      <c r="D4319" s="73"/>
      <c r="E4319" s="73"/>
      <c r="F4319" s="73"/>
      <c r="G4319" s="73"/>
    </row>
    <row r="4320" spans="2:7" ht="32.25" customHeight="1" x14ac:dyDescent="0.35">
      <c r="B4320" s="73"/>
      <c r="C4320" s="73"/>
      <c r="D4320" s="73"/>
      <c r="E4320" s="73"/>
      <c r="F4320" s="73"/>
      <c r="G4320" s="73"/>
    </row>
    <row r="4321" spans="2:7" ht="32.25" customHeight="1" x14ac:dyDescent="0.35">
      <c r="B4321" s="73"/>
      <c r="C4321" s="73"/>
      <c r="D4321" s="73"/>
      <c r="E4321" s="73"/>
      <c r="F4321" s="73"/>
      <c r="G4321" s="73"/>
    </row>
    <row r="4322" spans="2:7" ht="32.25" customHeight="1" x14ac:dyDescent="0.35">
      <c r="B4322" s="73"/>
      <c r="C4322" s="73"/>
      <c r="D4322" s="73"/>
      <c r="E4322" s="73"/>
      <c r="F4322" s="73"/>
      <c r="G4322" s="73"/>
    </row>
    <row r="4323" spans="2:7" ht="32.25" customHeight="1" x14ac:dyDescent="0.35">
      <c r="B4323" s="73"/>
      <c r="C4323" s="73"/>
      <c r="D4323" s="73"/>
      <c r="E4323" s="73"/>
      <c r="F4323" s="73"/>
      <c r="G4323" s="73"/>
    </row>
    <row r="4324" spans="2:7" ht="32.25" customHeight="1" x14ac:dyDescent="0.35">
      <c r="B4324" s="73"/>
      <c r="C4324" s="73"/>
      <c r="D4324" s="73"/>
      <c r="E4324" s="73"/>
      <c r="F4324" s="73"/>
      <c r="G4324" s="73"/>
    </row>
    <row r="4325" spans="2:7" ht="32.25" customHeight="1" x14ac:dyDescent="0.35">
      <c r="B4325" s="73"/>
      <c r="C4325" s="73"/>
      <c r="D4325" s="73"/>
      <c r="E4325" s="73"/>
      <c r="F4325" s="73"/>
      <c r="G4325" s="73"/>
    </row>
    <row r="4326" spans="2:7" ht="32.25" customHeight="1" x14ac:dyDescent="0.35">
      <c r="B4326" s="73"/>
      <c r="C4326" s="73"/>
      <c r="D4326" s="73"/>
      <c r="E4326" s="73"/>
      <c r="F4326" s="73"/>
      <c r="G4326" s="73"/>
    </row>
    <row r="4327" spans="2:7" ht="32.25" customHeight="1" x14ac:dyDescent="0.35">
      <c r="B4327" s="73"/>
      <c r="C4327" s="73"/>
      <c r="D4327" s="73"/>
      <c r="E4327" s="73"/>
      <c r="F4327" s="73"/>
      <c r="G4327" s="73"/>
    </row>
    <row r="4328" spans="2:7" ht="32.25" customHeight="1" x14ac:dyDescent="0.35">
      <c r="B4328" s="73"/>
      <c r="C4328" s="73"/>
      <c r="D4328" s="73"/>
      <c r="E4328" s="73"/>
      <c r="F4328" s="73"/>
      <c r="G4328" s="73"/>
    </row>
    <row r="4329" spans="2:7" ht="32.25" customHeight="1" x14ac:dyDescent="0.35">
      <c r="B4329" s="73"/>
      <c r="C4329" s="73"/>
      <c r="D4329" s="73"/>
      <c r="E4329" s="73"/>
      <c r="F4329" s="73"/>
      <c r="G4329" s="73"/>
    </row>
    <row r="4330" spans="2:7" ht="32.25" customHeight="1" x14ac:dyDescent="0.35">
      <c r="B4330" s="73"/>
      <c r="C4330" s="73"/>
      <c r="D4330" s="73"/>
      <c r="E4330" s="73"/>
      <c r="F4330" s="73"/>
      <c r="G4330" s="73"/>
    </row>
    <row r="4331" spans="2:7" ht="32.25" customHeight="1" x14ac:dyDescent="0.35">
      <c r="B4331" s="73"/>
      <c r="C4331" s="73"/>
      <c r="D4331" s="73"/>
      <c r="E4331" s="73"/>
      <c r="F4331" s="73"/>
      <c r="G4331" s="73"/>
    </row>
    <row r="4332" spans="2:7" ht="32.25" customHeight="1" x14ac:dyDescent="0.35">
      <c r="B4332" s="73"/>
      <c r="C4332" s="73"/>
      <c r="D4332" s="73"/>
      <c r="E4332" s="73"/>
      <c r="F4332" s="73"/>
      <c r="G4332" s="73"/>
    </row>
    <row r="4333" spans="2:7" ht="32.25" customHeight="1" x14ac:dyDescent="0.35">
      <c r="B4333" s="73"/>
      <c r="C4333" s="73"/>
      <c r="D4333" s="73"/>
      <c r="E4333" s="73"/>
      <c r="F4333" s="73"/>
      <c r="G4333" s="73"/>
    </row>
    <row r="4334" spans="2:7" ht="32.25" customHeight="1" x14ac:dyDescent="0.35">
      <c r="B4334" s="73"/>
      <c r="C4334" s="73"/>
      <c r="D4334" s="73"/>
      <c r="E4334" s="73"/>
      <c r="F4334" s="73"/>
      <c r="G4334" s="73"/>
    </row>
    <row r="4335" spans="2:7" ht="32.25" customHeight="1" x14ac:dyDescent="0.35">
      <c r="B4335" s="73"/>
      <c r="C4335" s="73"/>
      <c r="D4335" s="73"/>
      <c r="E4335" s="73"/>
      <c r="F4335" s="73"/>
      <c r="G4335" s="73"/>
    </row>
    <row r="4336" spans="2:7" ht="32.25" customHeight="1" x14ac:dyDescent="0.35">
      <c r="B4336" s="73"/>
      <c r="C4336" s="73"/>
      <c r="D4336" s="73"/>
      <c r="E4336" s="73"/>
      <c r="F4336" s="73"/>
      <c r="G4336" s="73"/>
    </row>
    <row r="4337" spans="2:7" ht="32.25" customHeight="1" x14ac:dyDescent="0.35">
      <c r="B4337" s="73"/>
      <c r="C4337" s="73"/>
      <c r="D4337" s="73"/>
      <c r="E4337" s="73"/>
      <c r="F4337" s="73"/>
      <c r="G4337" s="73"/>
    </row>
    <row r="4338" spans="2:7" ht="32.25" customHeight="1" x14ac:dyDescent="0.35">
      <c r="B4338" s="73"/>
      <c r="C4338" s="73"/>
      <c r="D4338" s="73"/>
      <c r="E4338" s="73"/>
      <c r="F4338" s="73"/>
      <c r="G4338" s="73"/>
    </row>
    <row r="4339" spans="2:7" ht="32.25" customHeight="1" x14ac:dyDescent="0.35">
      <c r="B4339" s="73"/>
      <c r="C4339" s="73"/>
      <c r="D4339" s="73"/>
      <c r="E4339" s="73"/>
      <c r="F4339" s="73"/>
      <c r="G4339" s="73"/>
    </row>
    <row r="4340" spans="2:7" ht="32.25" customHeight="1" x14ac:dyDescent="0.35">
      <c r="B4340" s="73"/>
      <c r="C4340" s="73"/>
      <c r="D4340" s="73"/>
      <c r="E4340" s="73"/>
      <c r="F4340" s="73"/>
      <c r="G4340" s="73"/>
    </row>
    <row r="4341" spans="2:7" ht="32.25" customHeight="1" x14ac:dyDescent="0.35">
      <c r="B4341" s="73"/>
      <c r="C4341" s="73"/>
      <c r="D4341" s="73"/>
      <c r="E4341" s="73"/>
      <c r="F4341" s="73"/>
      <c r="G4341" s="73"/>
    </row>
    <row r="4342" spans="2:7" ht="32.25" customHeight="1" x14ac:dyDescent="0.35">
      <c r="B4342" s="73"/>
      <c r="C4342" s="73"/>
      <c r="D4342" s="73"/>
      <c r="E4342" s="73"/>
      <c r="F4342" s="73"/>
      <c r="G4342" s="73"/>
    </row>
    <row r="4343" spans="2:7" ht="32.25" customHeight="1" x14ac:dyDescent="0.35">
      <c r="B4343" s="73"/>
      <c r="C4343" s="73"/>
      <c r="D4343" s="73"/>
      <c r="E4343" s="73"/>
      <c r="F4343" s="73"/>
      <c r="G4343" s="73"/>
    </row>
    <row r="4344" spans="2:7" ht="32.25" customHeight="1" x14ac:dyDescent="0.35">
      <c r="B4344" s="73"/>
      <c r="C4344" s="73"/>
      <c r="D4344" s="73"/>
      <c r="E4344" s="73"/>
      <c r="F4344" s="73"/>
      <c r="G4344" s="73"/>
    </row>
    <row r="4345" spans="2:7" ht="32.25" customHeight="1" x14ac:dyDescent="0.35">
      <c r="B4345" s="73"/>
      <c r="C4345" s="73"/>
      <c r="D4345" s="73"/>
      <c r="E4345" s="73"/>
      <c r="F4345" s="73"/>
      <c r="G4345" s="73"/>
    </row>
    <row r="4346" spans="2:7" ht="32.25" customHeight="1" x14ac:dyDescent="0.35">
      <c r="B4346" s="73"/>
      <c r="C4346" s="73"/>
      <c r="D4346" s="73"/>
      <c r="E4346" s="73"/>
      <c r="F4346" s="73"/>
      <c r="G4346" s="73"/>
    </row>
    <row r="4347" spans="2:7" ht="32.25" customHeight="1" x14ac:dyDescent="0.35">
      <c r="B4347" s="73"/>
      <c r="C4347" s="73"/>
      <c r="D4347" s="73"/>
      <c r="E4347" s="73"/>
      <c r="F4347" s="73"/>
      <c r="G4347" s="73"/>
    </row>
    <row r="4348" spans="2:7" ht="32.25" customHeight="1" x14ac:dyDescent="0.35">
      <c r="B4348" s="73"/>
      <c r="C4348" s="73"/>
      <c r="D4348" s="73"/>
      <c r="E4348" s="73"/>
      <c r="F4348" s="73"/>
      <c r="G4348" s="73"/>
    </row>
    <row r="4349" spans="2:7" ht="32.25" customHeight="1" x14ac:dyDescent="0.35">
      <c r="B4349" s="73"/>
      <c r="C4349" s="73"/>
      <c r="D4349" s="73"/>
      <c r="E4349" s="73"/>
      <c r="F4349" s="73"/>
      <c r="G4349" s="73"/>
    </row>
    <row r="4350" spans="2:7" ht="32.25" customHeight="1" x14ac:dyDescent="0.35">
      <c r="B4350" s="73"/>
      <c r="C4350" s="73"/>
      <c r="D4350" s="73"/>
      <c r="E4350" s="73"/>
      <c r="F4350" s="73"/>
      <c r="G4350" s="73"/>
    </row>
    <row r="4351" spans="2:7" ht="32.25" customHeight="1" x14ac:dyDescent="0.35">
      <c r="B4351" s="73"/>
      <c r="C4351" s="73"/>
      <c r="D4351" s="73"/>
      <c r="E4351" s="73"/>
      <c r="F4351" s="73"/>
      <c r="G4351" s="73"/>
    </row>
    <row r="4352" spans="2:7" ht="32.25" customHeight="1" x14ac:dyDescent="0.35">
      <c r="B4352" s="73"/>
      <c r="C4352" s="73"/>
      <c r="D4352" s="73"/>
      <c r="E4352" s="73"/>
      <c r="F4352" s="73"/>
      <c r="G4352" s="73"/>
    </row>
    <row r="4353" spans="2:7" ht="32.25" customHeight="1" x14ac:dyDescent="0.35">
      <c r="B4353" s="73"/>
      <c r="C4353" s="73"/>
      <c r="D4353" s="73"/>
      <c r="E4353" s="73"/>
      <c r="F4353" s="73"/>
      <c r="G4353" s="73"/>
    </row>
    <row r="4354" spans="2:7" ht="32.25" customHeight="1" x14ac:dyDescent="0.35">
      <c r="B4354" s="73"/>
      <c r="C4354" s="73"/>
      <c r="D4354" s="73"/>
      <c r="E4354" s="73"/>
      <c r="F4354" s="73"/>
      <c r="G4354" s="73"/>
    </row>
    <row r="4355" spans="2:7" ht="32.25" customHeight="1" x14ac:dyDescent="0.35">
      <c r="B4355" s="73"/>
      <c r="C4355" s="73"/>
      <c r="D4355" s="73"/>
      <c r="E4355" s="73"/>
      <c r="F4355" s="73"/>
      <c r="G4355" s="73"/>
    </row>
    <row r="4356" spans="2:7" ht="32.25" customHeight="1" x14ac:dyDescent="0.35">
      <c r="B4356" s="73"/>
      <c r="C4356" s="73"/>
      <c r="D4356" s="73"/>
      <c r="E4356" s="73"/>
      <c r="F4356" s="73"/>
      <c r="G4356" s="73"/>
    </row>
    <row r="4357" spans="2:7" ht="32.25" customHeight="1" x14ac:dyDescent="0.35">
      <c r="B4357" s="73"/>
      <c r="C4357" s="73"/>
      <c r="D4357" s="73"/>
      <c r="E4357" s="73"/>
      <c r="F4357" s="73"/>
      <c r="G4357" s="73"/>
    </row>
    <row r="4358" spans="2:7" ht="32.25" customHeight="1" x14ac:dyDescent="0.35">
      <c r="B4358" s="73"/>
      <c r="C4358" s="73"/>
      <c r="D4358" s="73"/>
      <c r="E4358" s="73"/>
      <c r="F4358" s="73"/>
      <c r="G4358" s="73"/>
    </row>
    <row r="4359" spans="2:7" ht="32.25" customHeight="1" x14ac:dyDescent="0.35">
      <c r="B4359" s="73"/>
      <c r="C4359" s="73"/>
      <c r="D4359" s="73"/>
      <c r="E4359" s="73"/>
      <c r="F4359" s="73"/>
      <c r="G4359" s="73"/>
    </row>
    <row r="4360" spans="2:7" ht="32.25" customHeight="1" x14ac:dyDescent="0.35">
      <c r="B4360" s="73"/>
      <c r="C4360" s="73"/>
      <c r="D4360" s="73"/>
      <c r="E4360" s="73"/>
      <c r="F4360" s="73"/>
      <c r="G4360" s="73"/>
    </row>
    <row r="4361" spans="2:7" ht="32.25" customHeight="1" x14ac:dyDescent="0.35">
      <c r="B4361" s="73"/>
      <c r="C4361" s="73"/>
      <c r="D4361" s="73"/>
      <c r="E4361" s="73"/>
      <c r="F4361" s="73"/>
      <c r="G4361" s="73"/>
    </row>
    <row r="4362" spans="2:7" ht="32.25" customHeight="1" x14ac:dyDescent="0.35">
      <c r="B4362" s="73"/>
      <c r="C4362" s="73"/>
      <c r="D4362" s="73"/>
      <c r="E4362" s="73"/>
      <c r="F4362" s="73"/>
      <c r="G4362" s="73"/>
    </row>
    <row r="4363" spans="2:7" ht="32.25" customHeight="1" x14ac:dyDescent="0.35">
      <c r="B4363" s="73"/>
      <c r="C4363" s="73"/>
      <c r="D4363" s="73"/>
      <c r="E4363" s="73"/>
      <c r="F4363" s="73"/>
      <c r="G4363" s="73"/>
    </row>
    <row r="4364" spans="2:7" ht="32.25" customHeight="1" x14ac:dyDescent="0.35">
      <c r="B4364" s="73"/>
      <c r="C4364" s="73"/>
      <c r="D4364" s="73"/>
      <c r="E4364" s="73"/>
      <c r="F4364" s="73"/>
      <c r="G4364" s="73"/>
    </row>
    <row r="4365" spans="2:7" ht="32.25" customHeight="1" x14ac:dyDescent="0.35">
      <c r="B4365" s="73"/>
      <c r="C4365" s="73"/>
      <c r="D4365" s="73"/>
      <c r="E4365" s="73"/>
      <c r="F4365" s="73"/>
      <c r="G4365" s="73"/>
    </row>
    <row r="4366" spans="2:7" ht="32.25" customHeight="1" x14ac:dyDescent="0.35">
      <c r="B4366" s="73"/>
      <c r="C4366" s="73"/>
      <c r="D4366" s="73"/>
      <c r="E4366" s="73"/>
      <c r="F4366" s="73"/>
      <c r="G4366" s="73"/>
    </row>
    <row r="4367" spans="2:7" ht="32.25" customHeight="1" x14ac:dyDescent="0.35">
      <c r="B4367" s="73"/>
      <c r="C4367" s="73"/>
      <c r="D4367" s="73"/>
      <c r="E4367" s="73"/>
      <c r="F4367" s="73"/>
      <c r="G4367" s="73"/>
    </row>
    <row r="4368" spans="2:7" ht="32.25" customHeight="1" x14ac:dyDescent="0.35">
      <c r="B4368" s="73"/>
      <c r="C4368" s="73"/>
      <c r="D4368" s="73"/>
      <c r="E4368" s="73"/>
      <c r="F4368" s="73"/>
      <c r="G4368" s="73"/>
    </row>
    <row r="4369" spans="2:7" ht="32.25" customHeight="1" x14ac:dyDescent="0.35">
      <c r="B4369" s="73"/>
      <c r="C4369" s="73"/>
      <c r="D4369" s="73"/>
      <c r="E4369" s="73"/>
      <c r="F4369" s="73"/>
      <c r="G4369" s="73"/>
    </row>
    <row r="4370" spans="2:7" ht="32.25" customHeight="1" x14ac:dyDescent="0.35">
      <c r="B4370" s="73"/>
      <c r="C4370" s="73"/>
      <c r="D4370" s="73"/>
      <c r="E4370" s="73"/>
      <c r="F4370" s="73"/>
      <c r="G4370" s="73"/>
    </row>
    <row r="4371" spans="2:7" ht="32.25" customHeight="1" x14ac:dyDescent="0.35">
      <c r="B4371" s="73"/>
      <c r="C4371" s="73"/>
      <c r="D4371" s="73"/>
      <c r="E4371" s="73"/>
      <c r="F4371" s="73"/>
      <c r="G4371" s="73"/>
    </row>
    <row r="4372" spans="2:7" ht="32.25" customHeight="1" x14ac:dyDescent="0.35">
      <c r="B4372" s="73"/>
      <c r="C4372" s="73"/>
      <c r="D4372" s="73"/>
      <c r="E4372" s="73"/>
      <c r="F4372" s="73"/>
      <c r="G4372" s="73"/>
    </row>
    <row r="4373" spans="2:7" ht="32.25" customHeight="1" x14ac:dyDescent="0.35">
      <c r="B4373" s="73"/>
      <c r="C4373" s="73"/>
      <c r="D4373" s="73"/>
      <c r="E4373" s="73"/>
      <c r="F4373" s="73"/>
      <c r="G4373" s="73"/>
    </row>
    <row r="4374" spans="2:7" ht="32.25" customHeight="1" x14ac:dyDescent="0.35">
      <c r="B4374" s="73"/>
      <c r="C4374" s="73"/>
      <c r="D4374" s="73"/>
      <c r="E4374" s="73"/>
      <c r="F4374" s="73"/>
      <c r="G4374" s="73"/>
    </row>
    <row r="4375" spans="2:7" ht="32.25" customHeight="1" x14ac:dyDescent="0.35">
      <c r="B4375" s="73"/>
      <c r="C4375" s="73"/>
      <c r="D4375" s="73"/>
      <c r="E4375" s="73"/>
      <c r="F4375" s="73"/>
      <c r="G4375" s="73"/>
    </row>
    <row r="4376" spans="2:7" ht="32.25" customHeight="1" x14ac:dyDescent="0.35">
      <c r="B4376" s="73"/>
      <c r="C4376" s="73"/>
      <c r="D4376" s="73"/>
      <c r="E4376" s="73"/>
      <c r="F4376" s="73"/>
      <c r="G4376" s="73"/>
    </row>
    <row r="4377" spans="2:7" ht="32.25" customHeight="1" x14ac:dyDescent="0.35">
      <c r="B4377" s="73"/>
      <c r="C4377" s="73"/>
      <c r="D4377" s="73"/>
      <c r="E4377" s="73"/>
      <c r="F4377" s="73"/>
      <c r="G4377" s="73"/>
    </row>
    <row r="4378" spans="2:7" ht="32.25" customHeight="1" x14ac:dyDescent="0.35">
      <c r="B4378" s="73"/>
      <c r="C4378" s="73"/>
      <c r="D4378" s="73"/>
      <c r="E4378" s="73"/>
      <c r="F4378" s="73"/>
      <c r="G4378" s="73"/>
    </row>
    <row r="4379" spans="2:7" ht="32.25" customHeight="1" x14ac:dyDescent="0.35">
      <c r="B4379" s="73"/>
      <c r="C4379" s="73"/>
      <c r="D4379" s="73"/>
      <c r="E4379" s="73"/>
      <c r="F4379" s="73"/>
      <c r="G4379" s="73"/>
    </row>
    <row r="4380" spans="2:7" ht="32.25" customHeight="1" x14ac:dyDescent="0.35">
      <c r="B4380" s="73"/>
      <c r="C4380" s="73"/>
      <c r="D4380" s="73"/>
      <c r="E4380" s="73"/>
      <c r="F4380" s="73"/>
      <c r="G4380" s="73"/>
    </row>
    <row r="4381" spans="2:7" ht="32.25" customHeight="1" x14ac:dyDescent="0.35">
      <c r="B4381" s="73"/>
      <c r="C4381" s="73"/>
      <c r="D4381" s="73"/>
      <c r="E4381" s="73"/>
      <c r="F4381" s="73"/>
      <c r="G4381" s="73"/>
    </row>
    <row r="4382" spans="2:7" ht="32.25" customHeight="1" x14ac:dyDescent="0.35">
      <c r="B4382" s="73"/>
      <c r="C4382" s="73"/>
      <c r="D4382" s="73"/>
      <c r="E4382" s="73"/>
      <c r="F4382" s="73"/>
      <c r="G4382" s="73"/>
    </row>
    <row r="4383" spans="2:7" ht="32.25" customHeight="1" x14ac:dyDescent="0.35">
      <c r="B4383" s="73"/>
      <c r="C4383" s="73"/>
      <c r="D4383" s="73"/>
      <c r="E4383" s="73"/>
      <c r="F4383" s="73"/>
      <c r="G4383" s="73"/>
    </row>
    <row r="4384" spans="2:7" ht="32.25" customHeight="1" x14ac:dyDescent="0.35">
      <c r="B4384" s="73"/>
      <c r="C4384" s="73"/>
      <c r="D4384" s="73"/>
      <c r="E4384" s="73"/>
      <c r="F4384" s="73"/>
      <c r="G4384" s="73"/>
    </row>
    <row r="4385" spans="2:7" ht="32.25" customHeight="1" x14ac:dyDescent="0.35">
      <c r="B4385" s="73"/>
      <c r="C4385" s="73"/>
      <c r="D4385" s="73"/>
      <c r="E4385" s="73"/>
      <c r="F4385" s="73"/>
      <c r="G4385" s="73"/>
    </row>
    <row r="4386" spans="2:7" ht="32.25" customHeight="1" x14ac:dyDescent="0.35">
      <c r="B4386" s="73"/>
      <c r="C4386" s="73"/>
      <c r="D4386" s="73"/>
      <c r="E4386" s="73"/>
      <c r="F4386" s="73"/>
      <c r="G4386" s="73"/>
    </row>
    <row r="4387" spans="2:7" ht="32.25" customHeight="1" x14ac:dyDescent="0.35">
      <c r="B4387" s="73"/>
      <c r="C4387" s="73"/>
      <c r="D4387" s="73"/>
      <c r="E4387" s="73"/>
      <c r="F4387" s="73"/>
      <c r="G4387" s="73"/>
    </row>
    <row r="4388" spans="2:7" ht="32.25" customHeight="1" x14ac:dyDescent="0.35">
      <c r="B4388" s="73"/>
      <c r="C4388" s="73"/>
      <c r="D4388" s="73"/>
      <c r="E4388" s="73"/>
      <c r="F4388" s="73"/>
      <c r="G4388" s="73"/>
    </row>
    <row r="4389" spans="2:7" ht="32.25" customHeight="1" x14ac:dyDescent="0.35">
      <c r="B4389" s="73"/>
      <c r="C4389" s="73"/>
      <c r="D4389" s="73"/>
      <c r="E4389" s="73"/>
      <c r="F4389" s="73"/>
      <c r="G4389" s="73"/>
    </row>
    <row r="4390" spans="2:7" ht="32.25" customHeight="1" x14ac:dyDescent="0.35">
      <c r="B4390" s="73"/>
      <c r="C4390" s="73"/>
      <c r="D4390" s="73"/>
      <c r="E4390" s="73"/>
      <c r="F4390" s="73"/>
      <c r="G4390" s="73"/>
    </row>
    <row r="4391" spans="2:7" ht="32.25" customHeight="1" x14ac:dyDescent="0.35">
      <c r="B4391" s="73"/>
      <c r="C4391" s="73"/>
      <c r="D4391" s="73"/>
      <c r="E4391" s="73"/>
      <c r="F4391" s="73"/>
      <c r="G4391" s="73"/>
    </row>
    <row r="4392" spans="2:7" ht="32.25" customHeight="1" x14ac:dyDescent="0.35">
      <c r="B4392" s="73"/>
      <c r="C4392" s="73"/>
      <c r="D4392" s="73"/>
      <c r="E4392" s="73"/>
      <c r="F4392" s="73"/>
      <c r="G4392" s="73"/>
    </row>
    <row r="4393" spans="2:7" ht="32.25" customHeight="1" x14ac:dyDescent="0.35">
      <c r="B4393" s="73"/>
      <c r="C4393" s="73"/>
      <c r="D4393" s="73"/>
      <c r="E4393" s="73"/>
      <c r="F4393" s="73"/>
      <c r="G4393" s="73"/>
    </row>
    <row r="4394" spans="2:7" ht="32.25" customHeight="1" x14ac:dyDescent="0.35">
      <c r="B4394" s="73"/>
      <c r="C4394" s="73"/>
      <c r="D4394" s="73"/>
      <c r="E4394" s="73"/>
      <c r="F4394" s="73"/>
      <c r="G4394" s="73"/>
    </row>
    <row r="4395" spans="2:7" ht="32.25" customHeight="1" x14ac:dyDescent="0.35">
      <c r="B4395" s="73"/>
      <c r="C4395" s="73"/>
      <c r="D4395" s="73"/>
      <c r="E4395" s="73"/>
      <c r="F4395" s="73"/>
      <c r="G4395" s="73"/>
    </row>
    <row r="4396" spans="2:7" ht="32.25" customHeight="1" x14ac:dyDescent="0.35">
      <c r="B4396" s="73"/>
      <c r="C4396" s="73"/>
      <c r="D4396" s="73"/>
      <c r="E4396" s="73"/>
      <c r="F4396" s="73"/>
      <c r="G4396" s="73"/>
    </row>
    <row r="4397" spans="2:7" ht="32.25" customHeight="1" x14ac:dyDescent="0.35">
      <c r="B4397" s="73"/>
      <c r="C4397" s="73"/>
      <c r="D4397" s="73"/>
      <c r="E4397" s="73"/>
      <c r="F4397" s="73"/>
      <c r="G4397" s="73"/>
    </row>
    <row r="4398" spans="2:7" ht="32.25" customHeight="1" x14ac:dyDescent="0.35">
      <c r="B4398" s="73"/>
      <c r="C4398" s="73"/>
      <c r="D4398" s="73"/>
      <c r="E4398" s="73"/>
      <c r="F4398" s="73"/>
      <c r="G4398" s="73"/>
    </row>
    <row r="4399" spans="2:7" ht="32.25" customHeight="1" x14ac:dyDescent="0.35">
      <c r="B4399" s="73"/>
      <c r="C4399" s="73"/>
      <c r="D4399" s="73"/>
      <c r="E4399" s="73"/>
      <c r="F4399" s="73"/>
      <c r="G4399" s="73"/>
    </row>
    <row r="4400" spans="2:7" ht="32.25" customHeight="1" x14ac:dyDescent="0.35">
      <c r="B4400" s="73"/>
      <c r="C4400" s="73"/>
      <c r="D4400" s="73"/>
      <c r="E4400" s="73"/>
      <c r="F4400" s="73"/>
      <c r="G4400" s="73"/>
    </row>
    <row r="4401" spans="2:7" ht="32.25" customHeight="1" x14ac:dyDescent="0.35">
      <c r="B4401" s="73"/>
      <c r="C4401" s="73"/>
      <c r="D4401" s="73"/>
      <c r="E4401" s="73"/>
      <c r="F4401" s="73"/>
      <c r="G4401" s="73"/>
    </row>
    <row r="4402" spans="2:7" ht="32.25" customHeight="1" x14ac:dyDescent="0.35">
      <c r="B4402" s="73"/>
      <c r="C4402" s="73"/>
      <c r="D4402" s="73"/>
      <c r="E4402" s="73"/>
      <c r="F4402" s="73"/>
      <c r="G4402" s="73"/>
    </row>
    <row r="4403" spans="2:7" ht="32.25" customHeight="1" x14ac:dyDescent="0.35">
      <c r="B4403" s="73"/>
      <c r="C4403" s="73"/>
      <c r="D4403" s="73"/>
      <c r="E4403" s="73"/>
      <c r="F4403" s="73"/>
      <c r="G4403" s="73"/>
    </row>
    <row r="4404" spans="2:7" ht="32.25" customHeight="1" x14ac:dyDescent="0.35">
      <c r="B4404" s="73"/>
      <c r="C4404" s="73"/>
      <c r="D4404" s="73"/>
      <c r="E4404" s="73"/>
      <c r="F4404" s="73"/>
      <c r="G4404" s="73"/>
    </row>
    <row r="4405" spans="2:7" ht="32.25" customHeight="1" x14ac:dyDescent="0.35">
      <c r="B4405" s="73"/>
      <c r="C4405" s="73"/>
      <c r="D4405" s="73"/>
      <c r="E4405" s="73"/>
      <c r="F4405" s="73"/>
      <c r="G4405" s="73"/>
    </row>
    <row r="4406" spans="2:7" ht="32.25" customHeight="1" x14ac:dyDescent="0.35">
      <c r="B4406" s="73"/>
      <c r="C4406" s="73"/>
      <c r="D4406" s="73"/>
      <c r="E4406" s="73"/>
      <c r="F4406" s="73"/>
      <c r="G4406" s="73"/>
    </row>
    <row r="4407" spans="2:7" ht="32.25" customHeight="1" x14ac:dyDescent="0.35">
      <c r="B4407" s="73"/>
      <c r="C4407" s="73"/>
      <c r="D4407" s="73"/>
      <c r="E4407" s="73"/>
      <c r="F4407" s="73"/>
      <c r="G4407" s="73"/>
    </row>
    <row r="4408" spans="2:7" ht="32.25" customHeight="1" x14ac:dyDescent="0.35">
      <c r="B4408" s="73"/>
      <c r="C4408" s="73"/>
      <c r="D4408" s="73"/>
      <c r="E4408" s="73"/>
      <c r="F4408" s="73"/>
      <c r="G4408" s="73"/>
    </row>
    <row r="4409" spans="2:7" ht="32.25" customHeight="1" x14ac:dyDescent="0.35">
      <c r="B4409" s="73"/>
      <c r="C4409" s="73"/>
      <c r="D4409" s="73"/>
      <c r="E4409" s="73"/>
      <c r="F4409" s="73"/>
      <c r="G4409" s="73"/>
    </row>
    <row r="4410" spans="2:7" ht="32.25" customHeight="1" x14ac:dyDescent="0.35">
      <c r="B4410" s="73"/>
      <c r="C4410" s="73"/>
      <c r="D4410" s="73"/>
      <c r="E4410" s="73"/>
      <c r="F4410" s="73"/>
      <c r="G4410" s="73"/>
    </row>
    <row r="4411" spans="2:7" ht="32.25" customHeight="1" x14ac:dyDescent="0.35">
      <c r="B4411" s="73"/>
      <c r="C4411" s="73"/>
      <c r="D4411" s="73"/>
      <c r="E4411" s="73"/>
      <c r="F4411" s="73"/>
      <c r="G4411" s="73"/>
    </row>
    <row r="4412" spans="2:7" ht="32.25" customHeight="1" x14ac:dyDescent="0.35">
      <c r="B4412" s="73"/>
      <c r="C4412" s="73"/>
      <c r="D4412" s="73"/>
      <c r="E4412" s="73"/>
      <c r="F4412" s="73"/>
      <c r="G4412" s="73"/>
    </row>
    <row r="4413" spans="2:7" ht="32.25" customHeight="1" x14ac:dyDescent="0.35">
      <c r="B4413" s="73"/>
      <c r="C4413" s="73"/>
      <c r="D4413" s="73"/>
      <c r="E4413" s="73"/>
      <c r="F4413" s="73"/>
      <c r="G4413" s="73"/>
    </row>
    <row r="4414" spans="2:7" ht="32.25" customHeight="1" x14ac:dyDescent="0.35">
      <c r="B4414" s="73"/>
      <c r="C4414" s="73"/>
      <c r="D4414" s="73"/>
      <c r="E4414" s="73"/>
      <c r="F4414" s="73"/>
      <c r="G4414" s="73"/>
    </row>
    <row r="4415" spans="2:7" ht="32.25" customHeight="1" x14ac:dyDescent="0.35">
      <c r="B4415" s="73"/>
      <c r="C4415" s="73"/>
      <c r="D4415" s="73"/>
      <c r="E4415" s="73"/>
      <c r="F4415" s="73"/>
      <c r="G4415" s="73"/>
    </row>
    <row r="4416" spans="2:7" ht="32.25" customHeight="1" x14ac:dyDescent="0.35">
      <c r="B4416" s="73"/>
      <c r="C4416" s="73"/>
      <c r="D4416" s="73"/>
      <c r="E4416" s="73"/>
      <c r="F4416" s="73"/>
      <c r="G4416" s="73"/>
    </row>
    <row r="4417" spans="2:7" ht="32.25" customHeight="1" x14ac:dyDescent="0.35">
      <c r="B4417" s="73"/>
      <c r="C4417" s="73"/>
      <c r="D4417" s="73"/>
      <c r="E4417" s="73"/>
      <c r="F4417" s="73"/>
      <c r="G4417" s="73"/>
    </row>
    <row r="4418" spans="2:7" ht="32.25" customHeight="1" x14ac:dyDescent="0.35">
      <c r="B4418" s="73"/>
      <c r="C4418" s="73"/>
      <c r="D4418" s="73"/>
      <c r="E4418" s="73"/>
      <c r="F4418" s="73"/>
      <c r="G4418" s="73"/>
    </row>
    <row r="4419" spans="2:7" ht="32.25" customHeight="1" x14ac:dyDescent="0.35">
      <c r="B4419" s="73"/>
      <c r="C4419" s="73"/>
      <c r="D4419" s="73"/>
      <c r="E4419" s="73"/>
      <c r="F4419" s="73"/>
      <c r="G4419" s="73"/>
    </row>
    <row r="4420" spans="2:7" ht="32.25" customHeight="1" x14ac:dyDescent="0.35">
      <c r="B4420" s="73"/>
      <c r="C4420" s="73"/>
      <c r="D4420" s="73"/>
      <c r="E4420" s="73"/>
      <c r="F4420" s="73"/>
      <c r="G4420" s="73"/>
    </row>
    <row r="4421" spans="2:7" ht="32.25" customHeight="1" x14ac:dyDescent="0.35">
      <c r="B4421" s="73"/>
      <c r="C4421" s="73"/>
      <c r="D4421" s="73"/>
      <c r="E4421" s="73"/>
      <c r="F4421" s="73"/>
      <c r="G4421" s="73"/>
    </row>
    <row r="4422" spans="2:7" ht="32.25" customHeight="1" x14ac:dyDescent="0.35">
      <c r="B4422" s="73"/>
      <c r="C4422" s="73"/>
      <c r="D4422" s="73"/>
      <c r="E4422" s="73"/>
      <c r="F4422" s="73"/>
      <c r="G4422" s="73"/>
    </row>
    <row r="4423" spans="2:7" ht="32.25" customHeight="1" x14ac:dyDescent="0.35">
      <c r="B4423" s="73"/>
      <c r="C4423" s="73"/>
      <c r="D4423" s="73"/>
      <c r="E4423" s="73"/>
      <c r="F4423" s="73"/>
      <c r="G4423" s="73"/>
    </row>
    <row r="4424" spans="2:7" ht="32.25" customHeight="1" x14ac:dyDescent="0.35">
      <c r="B4424" s="73"/>
      <c r="C4424" s="73"/>
      <c r="D4424" s="73"/>
      <c r="E4424" s="73"/>
      <c r="F4424" s="73"/>
      <c r="G4424" s="73"/>
    </row>
    <row r="4425" spans="2:7" ht="32.25" customHeight="1" x14ac:dyDescent="0.35">
      <c r="B4425" s="73"/>
      <c r="C4425" s="73"/>
      <c r="D4425" s="73"/>
      <c r="E4425" s="73"/>
      <c r="F4425" s="73"/>
      <c r="G4425" s="73"/>
    </row>
    <row r="4426" spans="2:7" ht="32.25" customHeight="1" x14ac:dyDescent="0.35">
      <c r="B4426" s="73"/>
      <c r="C4426" s="73"/>
      <c r="D4426" s="73"/>
      <c r="E4426" s="73"/>
      <c r="F4426" s="73"/>
      <c r="G4426" s="73"/>
    </row>
    <row r="4427" spans="2:7" ht="32.25" customHeight="1" x14ac:dyDescent="0.35">
      <c r="B4427" s="73"/>
      <c r="C4427" s="73"/>
      <c r="D4427" s="73"/>
      <c r="E4427" s="73"/>
      <c r="F4427" s="73"/>
      <c r="G4427" s="73"/>
    </row>
    <row r="4428" spans="2:7" ht="32.25" customHeight="1" x14ac:dyDescent="0.35">
      <c r="B4428" s="73"/>
      <c r="C4428" s="73"/>
      <c r="D4428" s="73"/>
      <c r="E4428" s="73"/>
      <c r="F4428" s="73"/>
      <c r="G4428" s="73"/>
    </row>
    <row r="4429" spans="2:7" ht="32.25" customHeight="1" x14ac:dyDescent="0.35">
      <c r="B4429" s="73"/>
      <c r="C4429" s="73"/>
      <c r="D4429" s="73"/>
      <c r="E4429" s="73"/>
      <c r="F4429" s="73"/>
      <c r="G4429" s="73"/>
    </row>
    <row r="4430" spans="2:7" ht="32.25" customHeight="1" x14ac:dyDescent="0.35">
      <c r="B4430" s="73"/>
      <c r="C4430" s="73"/>
      <c r="D4430" s="73"/>
      <c r="E4430" s="73"/>
      <c r="F4430" s="73"/>
      <c r="G4430" s="73"/>
    </row>
    <row r="4431" spans="2:7" ht="32.25" customHeight="1" x14ac:dyDescent="0.35">
      <c r="B4431" s="73"/>
      <c r="C4431" s="73"/>
      <c r="D4431" s="73"/>
      <c r="E4431" s="73"/>
      <c r="F4431" s="73"/>
      <c r="G4431" s="73"/>
    </row>
    <row r="4432" spans="2:7" ht="32.25" customHeight="1" x14ac:dyDescent="0.35">
      <c r="B4432" s="73"/>
      <c r="C4432" s="73"/>
      <c r="D4432" s="73"/>
      <c r="E4432" s="73"/>
      <c r="F4432" s="73"/>
      <c r="G4432" s="73"/>
    </row>
    <row r="4433" spans="2:7" ht="32.25" customHeight="1" x14ac:dyDescent="0.35">
      <c r="B4433" s="73"/>
      <c r="C4433" s="73"/>
      <c r="D4433" s="73"/>
      <c r="E4433" s="73"/>
      <c r="F4433" s="73"/>
      <c r="G4433" s="73"/>
    </row>
    <row r="4434" spans="2:7" ht="32.25" customHeight="1" x14ac:dyDescent="0.35">
      <c r="B4434" s="73"/>
      <c r="C4434" s="73"/>
      <c r="D4434" s="73"/>
      <c r="E4434" s="73"/>
      <c r="F4434" s="73"/>
      <c r="G4434" s="73"/>
    </row>
    <row r="4435" spans="2:7" ht="32.25" customHeight="1" x14ac:dyDescent="0.35">
      <c r="B4435" s="73"/>
      <c r="C4435" s="73"/>
      <c r="D4435" s="73"/>
      <c r="E4435" s="73"/>
      <c r="F4435" s="73"/>
      <c r="G4435" s="73"/>
    </row>
    <row r="4436" spans="2:7" ht="32.25" customHeight="1" x14ac:dyDescent="0.35">
      <c r="B4436" s="73"/>
      <c r="C4436" s="73"/>
      <c r="D4436" s="73"/>
      <c r="E4436" s="73"/>
      <c r="F4436" s="73"/>
      <c r="G4436" s="73"/>
    </row>
    <row r="4437" spans="2:7" ht="32.25" customHeight="1" x14ac:dyDescent="0.35">
      <c r="B4437" s="73"/>
      <c r="C4437" s="73"/>
      <c r="D4437" s="73"/>
      <c r="E4437" s="73"/>
      <c r="F4437" s="73"/>
      <c r="G4437" s="73"/>
    </row>
    <row r="4438" spans="2:7" ht="32.25" customHeight="1" x14ac:dyDescent="0.35">
      <c r="B4438" s="73"/>
      <c r="C4438" s="73"/>
      <c r="D4438" s="73"/>
      <c r="E4438" s="73"/>
      <c r="F4438" s="73"/>
      <c r="G4438" s="73"/>
    </row>
    <row r="4439" spans="2:7" ht="32.25" customHeight="1" x14ac:dyDescent="0.35">
      <c r="B4439" s="73"/>
      <c r="C4439" s="73"/>
      <c r="D4439" s="73"/>
      <c r="E4439" s="73"/>
      <c r="F4439" s="73"/>
      <c r="G4439" s="73"/>
    </row>
    <row r="4440" spans="2:7" ht="32.25" customHeight="1" x14ac:dyDescent="0.35">
      <c r="B4440" s="73"/>
      <c r="C4440" s="73"/>
      <c r="D4440" s="73"/>
      <c r="E4440" s="73"/>
      <c r="F4440" s="73"/>
      <c r="G4440" s="73"/>
    </row>
    <row r="4441" spans="2:7" ht="32.25" customHeight="1" x14ac:dyDescent="0.35">
      <c r="B4441" s="73"/>
      <c r="C4441" s="73"/>
      <c r="D4441" s="73"/>
      <c r="E4441" s="73"/>
      <c r="F4441" s="73"/>
      <c r="G4441" s="73"/>
    </row>
    <row r="4442" spans="2:7" ht="32.25" customHeight="1" x14ac:dyDescent="0.35">
      <c r="B4442" s="73"/>
      <c r="C4442" s="73"/>
      <c r="D4442" s="73"/>
      <c r="E4442" s="73"/>
      <c r="F4442" s="73"/>
      <c r="G4442" s="73"/>
    </row>
    <row r="4443" spans="2:7" ht="32.25" customHeight="1" x14ac:dyDescent="0.35">
      <c r="B4443" s="73"/>
      <c r="C4443" s="73"/>
      <c r="D4443" s="73"/>
      <c r="E4443" s="73"/>
      <c r="F4443" s="73"/>
      <c r="G4443" s="73"/>
    </row>
    <row r="4444" spans="2:7" ht="32.25" customHeight="1" x14ac:dyDescent="0.35">
      <c r="B4444" s="73"/>
      <c r="C4444" s="73"/>
      <c r="D4444" s="73"/>
      <c r="E4444" s="73"/>
      <c r="F4444" s="73"/>
      <c r="G4444" s="73"/>
    </row>
    <row r="4445" spans="2:7" ht="32.25" customHeight="1" x14ac:dyDescent="0.35">
      <c r="B4445" s="73"/>
      <c r="C4445" s="73"/>
      <c r="D4445" s="73"/>
      <c r="E4445" s="73"/>
      <c r="F4445" s="73"/>
      <c r="G4445" s="73"/>
    </row>
    <row r="4446" spans="2:7" ht="32.25" customHeight="1" x14ac:dyDescent="0.35">
      <c r="B4446" s="73"/>
      <c r="C4446" s="73"/>
      <c r="D4446" s="73"/>
      <c r="E4446" s="73"/>
      <c r="F4446" s="73"/>
      <c r="G4446" s="73"/>
    </row>
    <row r="4447" spans="2:7" ht="32.25" customHeight="1" x14ac:dyDescent="0.35">
      <c r="B4447" s="73"/>
      <c r="C4447" s="73"/>
      <c r="D4447" s="73"/>
      <c r="E4447" s="73"/>
      <c r="F4447" s="73"/>
      <c r="G4447" s="73"/>
    </row>
    <row r="4448" spans="2:7" ht="32.25" customHeight="1" x14ac:dyDescent="0.35">
      <c r="B4448" s="73"/>
      <c r="C4448" s="73"/>
      <c r="D4448" s="73"/>
      <c r="E4448" s="73"/>
      <c r="F4448" s="73"/>
      <c r="G4448" s="73"/>
    </row>
    <row r="4449" spans="2:7" ht="32.25" customHeight="1" x14ac:dyDescent="0.35">
      <c r="B4449" s="73"/>
      <c r="C4449" s="73"/>
      <c r="D4449" s="73"/>
      <c r="E4449" s="73"/>
      <c r="F4449" s="73"/>
      <c r="G4449" s="73"/>
    </row>
    <row r="4450" spans="2:7" ht="32.25" customHeight="1" x14ac:dyDescent="0.35">
      <c r="B4450" s="73"/>
      <c r="C4450" s="73"/>
      <c r="D4450" s="73"/>
      <c r="E4450" s="73"/>
      <c r="F4450" s="73"/>
      <c r="G4450" s="73"/>
    </row>
    <row r="4451" spans="2:7" ht="32.25" customHeight="1" x14ac:dyDescent="0.35">
      <c r="B4451" s="73"/>
      <c r="C4451" s="73"/>
      <c r="D4451" s="73"/>
      <c r="E4451" s="73"/>
      <c r="F4451" s="73"/>
      <c r="G4451" s="73"/>
    </row>
    <row r="4452" spans="2:7" ht="32.25" customHeight="1" x14ac:dyDescent="0.35">
      <c r="B4452" s="73"/>
      <c r="C4452" s="73"/>
      <c r="D4452" s="73"/>
      <c r="E4452" s="73"/>
      <c r="F4452" s="73"/>
      <c r="G4452" s="73"/>
    </row>
    <row r="4453" spans="2:7" ht="32.25" customHeight="1" x14ac:dyDescent="0.35">
      <c r="B4453" s="73"/>
      <c r="C4453" s="73"/>
      <c r="D4453" s="73"/>
      <c r="E4453" s="73"/>
      <c r="F4453" s="73"/>
      <c r="G4453" s="73"/>
    </row>
    <row r="4454" spans="2:7" ht="32.25" customHeight="1" x14ac:dyDescent="0.35">
      <c r="B4454" s="73"/>
      <c r="C4454" s="73"/>
      <c r="D4454" s="73"/>
      <c r="E4454" s="73"/>
      <c r="F4454" s="73"/>
      <c r="G4454" s="73"/>
    </row>
    <row r="4455" spans="2:7" ht="32.25" customHeight="1" x14ac:dyDescent="0.35">
      <c r="B4455" s="73"/>
      <c r="C4455" s="73"/>
      <c r="D4455" s="73"/>
      <c r="E4455" s="73"/>
      <c r="F4455" s="73"/>
      <c r="G4455" s="73"/>
    </row>
    <row r="4456" spans="2:7" ht="32.25" customHeight="1" x14ac:dyDescent="0.35">
      <c r="B4456" s="73"/>
      <c r="C4456" s="73"/>
      <c r="D4456" s="73"/>
      <c r="E4456" s="73"/>
      <c r="F4456" s="73"/>
      <c r="G4456" s="73"/>
    </row>
    <row r="4457" spans="2:7" ht="32.25" customHeight="1" x14ac:dyDescent="0.35">
      <c r="B4457" s="73"/>
      <c r="C4457" s="73"/>
      <c r="D4457" s="73"/>
      <c r="E4457" s="73"/>
      <c r="F4457" s="73"/>
      <c r="G4457" s="73"/>
    </row>
    <row r="4458" spans="2:7" ht="32.25" customHeight="1" x14ac:dyDescent="0.35">
      <c r="B4458" s="73"/>
      <c r="C4458" s="73"/>
      <c r="D4458" s="73"/>
      <c r="E4458" s="73"/>
      <c r="F4458" s="73"/>
      <c r="G4458" s="73"/>
    </row>
    <row r="4459" spans="2:7" ht="32.25" customHeight="1" x14ac:dyDescent="0.35">
      <c r="B4459" s="73"/>
      <c r="C4459" s="73"/>
      <c r="D4459" s="73"/>
      <c r="E4459" s="73"/>
      <c r="F4459" s="73"/>
      <c r="G4459" s="73"/>
    </row>
    <row r="4460" spans="2:7" ht="32.25" customHeight="1" x14ac:dyDescent="0.35">
      <c r="B4460" s="73"/>
      <c r="C4460" s="73"/>
      <c r="D4460" s="73"/>
      <c r="E4460" s="73"/>
      <c r="F4460" s="73"/>
      <c r="G4460" s="73"/>
    </row>
    <row r="4461" spans="2:7" ht="32.25" customHeight="1" x14ac:dyDescent="0.35">
      <c r="B4461" s="73"/>
      <c r="C4461" s="73"/>
      <c r="D4461" s="73"/>
      <c r="E4461" s="73"/>
      <c r="F4461" s="73"/>
      <c r="G4461" s="73"/>
    </row>
    <row r="4462" spans="2:7" ht="32.25" customHeight="1" x14ac:dyDescent="0.35">
      <c r="B4462" s="73"/>
      <c r="C4462" s="73"/>
      <c r="D4462" s="73"/>
      <c r="E4462" s="73"/>
      <c r="F4462" s="73"/>
      <c r="G4462" s="73"/>
    </row>
    <row r="4463" spans="2:7" ht="32.25" customHeight="1" x14ac:dyDescent="0.35">
      <c r="B4463" s="73"/>
      <c r="C4463" s="73"/>
      <c r="D4463" s="73"/>
      <c r="E4463" s="73"/>
      <c r="F4463" s="73"/>
      <c r="G4463" s="73"/>
    </row>
    <row r="4464" spans="2:7" ht="32.25" customHeight="1" x14ac:dyDescent="0.35">
      <c r="B4464" s="73"/>
      <c r="C4464" s="73"/>
      <c r="D4464" s="73"/>
      <c r="E4464" s="73"/>
      <c r="F4464" s="73"/>
      <c r="G4464" s="73"/>
    </row>
    <row r="4465" spans="2:7" ht="32.25" customHeight="1" x14ac:dyDescent="0.35">
      <c r="B4465" s="73"/>
      <c r="C4465" s="73"/>
      <c r="D4465" s="73"/>
      <c r="E4465" s="73"/>
      <c r="F4465" s="73"/>
      <c r="G4465" s="73"/>
    </row>
    <row r="4466" spans="2:7" ht="32.25" customHeight="1" x14ac:dyDescent="0.35">
      <c r="B4466" s="73"/>
      <c r="C4466" s="73"/>
      <c r="D4466" s="73"/>
      <c r="E4466" s="73"/>
      <c r="F4466" s="73"/>
      <c r="G4466" s="73"/>
    </row>
    <row r="4467" spans="2:7" ht="32.25" customHeight="1" x14ac:dyDescent="0.35">
      <c r="B4467" s="73"/>
      <c r="C4467" s="73"/>
      <c r="D4467" s="73"/>
      <c r="E4467" s="73"/>
      <c r="F4467" s="73"/>
      <c r="G4467" s="73"/>
    </row>
    <row r="4468" spans="2:7" ht="32.25" customHeight="1" x14ac:dyDescent="0.35">
      <c r="B4468" s="73"/>
      <c r="C4468" s="73"/>
      <c r="D4468" s="73"/>
      <c r="E4468" s="73"/>
      <c r="F4468" s="73"/>
      <c r="G4468" s="73"/>
    </row>
    <row r="4469" spans="2:7" ht="32.25" customHeight="1" x14ac:dyDescent="0.35">
      <c r="B4469" s="73"/>
      <c r="C4469" s="73"/>
      <c r="D4469" s="73"/>
      <c r="E4469" s="73"/>
      <c r="F4469" s="73"/>
      <c r="G4469" s="73"/>
    </row>
    <row r="4470" spans="2:7" ht="32.25" customHeight="1" x14ac:dyDescent="0.35">
      <c r="B4470" s="73"/>
      <c r="C4470" s="73"/>
      <c r="D4470" s="73"/>
      <c r="E4470" s="73"/>
      <c r="F4470" s="73"/>
      <c r="G4470" s="73"/>
    </row>
    <row r="4471" spans="2:7" ht="32.25" customHeight="1" x14ac:dyDescent="0.35">
      <c r="B4471" s="73"/>
      <c r="C4471" s="73"/>
      <c r="D4471" s="73"/>
      <c r="E4471" s="73"/>
      <c r="F4471" s="73"/>
      <c r="G4471" s="73"/>
    </row>
    <row r="4472" spans="2:7" ht="32.25" customHeight="1" x14ac:dyDescent="0.35">
      <c r="B4472" s="73"/>
      <c r="C4472" s="73"/>
      <c r="D4472" s="73"/>
      <c r="E4472" s="73"/>
      <c r="F4472" s="73"/>
      <c r="G4472" s="73"/>
    </row>
    <row r="4473" spans="2:7" ht="32.25" customHeight="1" x14ac:dyDescent="0.35">
      <c r="B4473" s="73"/>
      <c r="C4473" s="73"/>
      <c r="D4473" s="73"/>
      <c r="E4473" s="73"/>
      <c r="F4473" s="73"/>
      <c r="G4473" s="73"/>
    </row>
    <row r="4474" spans="2:7" ht="32.25" customHeight="1" x14ac:dyDescent="0.35">
      <c r="B4474" s="73"/>
      <c r="C4474" s="73"/>
      <c r="D4474" s="73"/>
      <c r="E4474" s="73"/>
      <c r="F4474" s="73"/>
      <c r="G4474" s="73"/>
    </row>
    <row r="4475" spans="2:7" ht="32.25" customHeight="1" x14ac:dyDescent="0.35">
      <c r="B4475" s="73"/>
      <c r="C4475" s="73"/>
      <c r="D4475" s="73"/>
      <c r="E4475" s="73"/>
      <c r="F4475" s="73"/>
      <c r="G4475" s="73"/>
    </row>
    <row r="4476" spans="2:7" ht="32.25" customHeight="1" x14ac:dyDescent="0.35">
      <c r="B4476" s="73"/>
      <c r="C4476" s="73"/>
      <c r="D4476" s="73"/>
      <c r="E4476" s="73"/>
      <c r="F4476" s="73"/>
      <c r="G4476" s="73"/>
    </row>
    <row r="4477" spans="2:7" ht="32.25" customHeight="1" x14ac:dyDescent="0.35">
      <c r="B4477" s="73"/>
      <c r="C4477" s="73"/>
      <c r="D4477" s="73"/>
      <c r="E4477" s="73"/>
      <c r="F4477" s="73"/>
      <c r="G4477" s="73"/>
    </row>
    <row r="4478" spans="2:7" ht="32.25" customHeight="1" x14ac:dyDescent="0.35">
      <c r="B4478" s="73"/>
      <c r="C4478" s="73"/>
      <c r="D4478" s="73"/>
      <c r="E4478" s="73"/>
      <c r="F4478" s="73"/>
      <c r="G4478" s="73"/>
    </row>
    <row r="4479" spans="2:7" ht="32.25" customHeight="1" x14ac:dyDescent="0.35">
      <c r="B4479" s="73"/>
      <c r="C4479" s="73"/>
      <c r="D4479" s="73"/>
      <c r="E4479" s="73"/>
      <c r="F4479" s="73"/>
      <c r="G4479" s="73"/>
    </row>
    <row r="4480" spans="2:7" ht="32.25" customHeight="1" x14ac:dyDescent="0.35">
      <c r="B4480" s="73"/>
      <c r="C4480" s="73"/>
      <c r="D4480" s="73"/>
      <c r="E4480" s="73"/>
      <c r="F4480" s="73"/>
      <c r="G4480" s="73"/>
    </row>
    <row r="4481" spans="2:7" ht="32.25" customHeight="1" x14ac:dyDescent="0.35">
      <c r="B4481" s="73"/>
      <c r="C4481" s="73"/>
      <c r="D4481" s="73"/>
      <c r="E4481" s="73"/>
      <c r="F4481" s="73"/>
      <c r="G4481" s="73"/>
    </row>
    <row r="4482" spans="2:7" ht="32.25" customHeight="1" x14ac:dyDescent="0.35">
      <c r="B4482" s="73"/>
      <c r="C4482" s="73"/>
      <c r="D4482" s="73"/>
      <c r="E4482" s="73"/>
      <c r="F4482" s="73"/>
      <c r="G4482" s="73"/>
    </row>
    <row r="4483" spans="2:7" ht="32.25" customHeight="1" x14ac:dyDescent="0.35">
      <c r="B4483" s="73"/>
      <c r="C4483" s="73"/>
      <c r="D4483" s="73"/>
      <c r="E4483" s="73"/>
      <c r="F4483" s="73"/>
      <c r="G4483" s="73"/>
    </row>
    <row r="4484" spans="2:7" ht="32.25" customHeight="1" x14ac:dyDescent="0.35">
      <c r="B4484" s="73"/>
      <c r="C4484" s="73"/>
      <c r="D4484" s="73"/>
      <c r="E4484" s="73"/>
      <c r="F4484" s="73"/>
      <c r="G4484" s="73"/>
    </row>
    <row r="4485" spans="2:7" ht="32.25" customHeight="1" x14ac:dyDescent="0.35">
      <c r="B4485" s="73"/>
      <c r="C4485" s="73"/>
      <c r="D4485" s="73"/>
      <c r="E4485" s="73"/>
      <c r="F4485" s="73"/>
      <c r="G4485" s="73"/>
    </row>
    <row r="4486" spans="2:7" ht="32.25" customHeight="1" x14ac:dyDescent="0.35">
      <c r="B4486" s="73"/>
      <c r="C4486" s="73"/>
      <c r="D4486" s="73"/>
      <c r="E4486" s="73"/>
      <c r="F4486" s="73"/>
      <c r="G4486" s="73"/>
    </row>
    <row r="4487" spans="2:7" ht="32.25" customHeight="1" x14ac:dyDescent="0.35">
      <c r="B4487" s="73"/>
      <c r="C4487" s="73"/>
      <c r="D4487" s="73"/>
      <c r="E4487" s="73"/>
      <c r="F4487" s="73"/>
      <c r="G4487" s="73"/>
    </row>
    <row r="4488" spans="2:7" ht="32.25" customHeight="1" x14ac:dyDescent="0.35">
      <c r="B4488" s="73"/>
      <c r="C4488" s="73"/>
      <c r="D4488" s="73"/>
      <c r="E4488" s="73"/>
      <c r="F4488" s="73"/>
      <c r="G4488" s="73"/>
    </row>
    <row r="4489" spans="2:7" ht="32.25" customHeight="1" x14ac:dyDescent="0.35">
      <c r="B4489" s="73"/>
      <c r="C4489" s="73"/>
      <c r="D4489" s="73"/>
      <c r="E4489" s="73"/>
      <c r="F4489" s="73"/>
      <c r="G4489" s="73"/>
    </row>
    <row r="4490" spans="2:7" ht="32.25" customHeight="1" x14ac:dyDescent="0.35">
      <c r="B4490" s="73"/>
      <c r="C4490" s="73"/>
      <c r="D4490" s="73"/>
      <c r="E4490" s="73"/>
      <c r="F4490" s="73"/>
      <c r="G4490" s="73"/>
    </row>
    <row r="4491" spans="2:7" ht="32.25" customHeight="1" x14ac:dyDescent="0.35">
      <c r="B4491" s="73"/>
      <c r="C4491" s="73"/>
      <c r="D4491" s="73"/>
      <c r="E4491" s="73"/>
      <c r="F4491" s="73"/>
      <c r="G4491" s="73"/>
    </row>
    <row r="4492" spans="2:7" ht="32.25" customHeight="1" x14ac:dyDescent="0.35">
      <c r="B4492" s="73"/>
      <c r="C4492" s="73"/>
      <c r="D4492" s="73"/>
      <c r="E4492" s="73"/>
      <c r="F4492" s="73"/>
      <c r="G4492" s="73"/>
    </row>
    <row r="4493" spans="2:7" ht="32.25" customHeight="1" x14ac:dyDescent="0.35">
      <c r="B4493" s="73"/>
      <c r="C4493" s="73"/>
      <c r="D4493" s="73"/>
      <c r="E4493" s="73"/>
      <c r="F4493" s="73"/>
      <c r="G4493" s="73"/>
    </row>
    <row r="4494" spans="2:7" ht="32.25" customHeight="1" x14ac:dyDescent="0.35">
      <c r="B4494" s="73"/>
      <c r="C4494" s="73"/>
      <c r="D4494" s="73"/>
      <c r="E4494" s="73"/>
      <c r="F4494" s="73"/>
      <c r="G4494" s="73"/>
    </row>
    <row r="4495" spans="2:7" ht="32.25" customHeight="1" x14ac:dyDescent="0.35">
      <c r="B4495" s="73"/>
      <c r="C4495" s="73"/>
      <c r="D4495" s="73"/>
      <c r="E4495" s="73"/>
      <c r="F4495" s="73"/>
      <c r="G4495" s="73"/>
    </row>
    <row r="4496" spans="2:7" ht="32.25" customHeight="1" x14ac:dyDescent="0.35">
      <c r="B4496" s="73"/>
      <c r="C4496" s="73"/>
      <c r="D4496" s="73"/>
      <c r="E4496" s="73"/>
      <c r="F4496" s="73"/>
      <c r="G4496" s="73"/>
    </row>
    <row r="4497" spans="2:7" ht="32.25" customHeight="1" x14ac:dyDescent="0.35">
      <c r="B4497" s="73"/>
      <c r="C4497" s="73"/>
      <c r="D4497" s="73"/>
      <c r="E4497" s="73"/>
      <c r="F4497" s="73"/>
      <c r="G4497" s="73"/>
    </row>
    <row r="4498" spans="2:7" ht="32.25" customHeight="1" x14ac:dyDescent="0.35">
      <c r="B4498" s="73"/>
      <c r="C4498" s="73"/>
      <c r="D4498" s="73"/>
      <c r="E4498" s="73"/>
      <c r="F4498" s="73"/>
      <c r="G4498" s="73"/>
    </row>
    <row r="4499" spans="2:7" ht="32.25" customHeight="1" x14ac:dyDescent="0.35">
      <c r="B4499" s="73"/>
      <c r="C4499" s="73"/>
      <c r="D4499" s="73"/>
      <c r="E4499" s="73"/>
      <c r="F4499" s="73"/>
      <c r="G4499" s="73"/>
    </row>
    <row r="4500" spans="2:7" ht="32.25" customHeight="1" x14ac:dyDescent="0.35">
      <c r="B4500" s="73"/>
      <c r="C4500" s="73"/>
      <c r="D4500" s="73"/>
      <c r="E4500" s="73"/>
      <c r="F4500" s="73"/>
      <c r="G4500" s="73"/>
    </row>
    <row r="4501" spans="2:7" ht="32.25" customHeight="1" x14ac:dyDescent="0.35">
      <c r="B4501" s="73"/>
      <c r="C4501" s="73"/>
      <c r="D4501" s="73"/>
      <c r="E4501" s="73"/>
      <c r="F4501" s="73"/>
      <c r="G4501" s="73"/>
    </row>
    <row r="4502" spans="2:7" ht="32.25" customHeight="1" x14ac:dyDescent="0.35">
      <c r="B4502" s="73"/>
      <c r="C4502" s="73"/>
      <c r="D4502" s="73"/>
      <c r="E4502" s="73"/>
      <c r="F4502" s="73"/>
      <c r="G4502" s="73"/>
    </row>
    <row r="4503" spans="2:7" ht="32.25" customHeight="1" x14ac:dyDescent="0.35">
      <c r="B4503" s="73"/>
      <c r="C4503" s="73"/>
      <c r="D4503" s="73"/>
      <c r="E4503" s="73"/>
      <c r="F4503" s="73"/>
      <c r="G4503" s="73"/>
    </row>
    <row r="4504" spans="2:7" ht="32.25" customHeight="1" x14ac:dyDescent="0.35">
      <c r="B4504" s="73"/>
      <c r="C4504" s="73"/>
      <c r="D4504" s="73"/>
      <c r="E4504" s="73"/>
      <c r="F4504" s="73"/>
      <c r="G4504" s="73"/>
    </row>
    <row r="4505" spans="2:7" ht="32.25" customHeight="1" x14ac:dyDescent="0.35">
      <c r="B4505" s="73"/>
      <c r="C4505" s="73"/>
      <c r="D4505" s="73"/>
      <c r="E4505" s="73"/>
      <c r="F4505" s="73"/>
      <c r="G4505" s="73"/>
    </row>
    <row r="4506" spans="2:7" ht="32.25" customHeight="1" x14ac:dyDescent="0.35">
      <c r="B4506" s="73"/>
      <c r="C4506" s="73"/>
      <c r="D4506" s="73"/>
      <c r="E4506" s="73"/>
      <c r="F4506" s="73"/>
      <c r="G4506" s="73"/>
    </row>
    <row r="4507" spans="2:7" ht="32.25" customHeight="1" x14ac:dyDescent="0.35">
      <c r="B4507" s="73"/>
      <c r="C4507" s="73"/>
      <c r="D4507" s="73"/>
      <c r="E4507" s="73"/>
      <c r="F4507" s="73"/>
      <c r="G4507" s="73"/>
    </row>
    <row r="4508" spans="2:7" ht="32.25" customHeight="1" x14ac:dyDescent="0.35">
      <c r="B4508" s="73"/>
      <c r="C4508" s="73"/>
      <c r="D4508" s="73"/>
      <c r="E4508" s="73"/>
      <c r="F4508" s="73"/>
      <c r="G4508" s="73"/>
    </row>
    <row r="4509" spans="2:7" ht="32.25" customHeight="1" x14ac:dyDescent="0.35">
      <c r="B4509" s="73"/>
      <c r="C4509" s="73"/>
      <c r="D4509" s="73"/>
      <c r="E4509" s="73"/>
      <c r="F4509" s="73"/>
      <c r="G4509" s="73"/>
    </row>
    <row r="4510" spans="2:7" ht="32.25" customHeight="1" x14ac:dyDescent="0.35">
      <c r="B4510" s="73"/>
      <c r="C4510" s="73"/>
      <c r="D4510" s="73"/>
      <c r="E4510" s="73"/>
      <c r="F4510" s="73"/>
      <c r="G4510" s="73"/>
    </row>
    <row r="4511" spans="2:7" ht="32.25" customHeight="1" x14ac:dyDescent="0.35">
      <c r="B4511" s="73"/>
      <c r="C4511" s="73"/>
      <c r="D4511" s="73"/>
      <c r="E4511" s="73"/>
      <c r="F4511" s="73"/>
      <c r="G4511" s="73"/>
    </row>
    <row r="4512" spans="2:7" ht="32.25" customHeight="1" x14ac:dyDescent="0.35">
      <c r="B4512" s="73"/>
      <c r="C4512" s="73"/>
      <c r="D4512" s="73"/>
      <c r="E4512" s="73"/>
      <c r="F4512" s="73"/>
      <c r="G4512" s="73"/>
    </row>
    <row r="4513" spans="2:7" ht="32.25" customHeight="1" x14ac:dyDescent="0.35">
      <c r="B4513" s="73"/>
      <c r="C4513" s="73"/>
      <c r="D4513" s="73"/>
      <c r="E4513" s="73"/>
      <c r="F4513" s="73"/>
      <c r="G4513" s="73"/>
    </row>
    <row r="4514" spans="2:7" ht="32.25" customHeight="1" x14ac:dyDescent="0.35">
      <c r="B4514" s="73"/>
      <c r="C4514" s="73"/>
      <c r="D4514" s="73"/>
      <c r="E4514" s="73"/>
      <c r="F4514" s="73"/>
      <c r="G4514" s="73"/>
    </row>
    <row r="4515" spans="2:7" ht="32.25" customHeight="1" x14ac:dyDescent="0.35">
      <c r="B4515" s="73"/>
      <c r="C4515" s="73"/>
      <c r="D4515" s="73"/>
      <c r="E4515" s="73"/>
      <c r="F4515" s="73"/>
      <c r="G4515" s="73"/>
    </row>
    <row r="4516" spans="2:7" ht="32.25" customHeight="1" x14ac:dyDescent="0.35">
      <c r="B4516" s="73"/>
      <c r="C4516" s="73"/>
      <c r="D4516" s="73"/>
      <c r="E4516" s="73"/>
      <c r="F4516" s="73"/>
      <c r="G4516" s="73"/>
    </row>
    <row r="4517" spans="2:7" ht="32.25" customHeight="1" x14ac:dyDescent="0.35">
      <c r="B4517" s="73"/>
      <c r="C4517" s="73"/>
      <c r="D4517" s="73"/>
      <c r="E4517" s="73"/>
      <c r="F4517" s="73"/>
      <c r="G4517" s="73"/>
    </row>
    <row r="4518" spans="2:7" ht="32.25" customHeight="1" x14ac:dyDescent="0.35">
      <c r="B4518" s="73"/>
      <c r="C4518" s="73"/>
      <c r="D4518" s="73"/>
      <c r="E4518" s="73"/>
      <c r="F4518" s="73"/>
      <c r="G4518" s="73"/>
    </row>
    <row r="4519" spans="2:7" ht="32.25" customHeight="1" x14ac:dyDescent="0.35">
      <c r="B4519" s="73"/>
      <c r="C4519" s="73"/>
      <c r="D4519" s="73"/>
      <c r="E4519" s="73"/>
      <c r="F4519" s="73"/>
      <c r="G4519" s="73"/>
    </row>
    <row r="4520" spans="2:7" ht="32.25" customHeight="1" x14ac:dyDescent="0.35">
      <c r="B4520" s="73"/>
      <c r="C4520" s="73"/>
      <c r="D4520" s="73"/>
      <c r="E4520" s="73"/>
      <c r="F4520" s="73"/>
      <c r="G4520" s="73"/>
    </row>
    <row r="4521" spans="2:7" ht="32.25" customHeight="1" x14ac:dyDescent="0.35">
      <c r="B4521" s="73"/>
      <c r="C4521" s="73"/>
      <c r="D4521" s="73"/>
      <c r="E4521" s="73"/>
      <c r="F4521" s="73"/>
      <c r="G4521" s="73"/>
    </row>
    <row r="4522" spans="2:7" ht="32.25" customHeight="1" x14ac:dyDescent="0.35">
      <c r="B4522" s="73"/>
      <c r="C4522" s="73"/>
      <c r="D4522" s="73"/>
      <c r="E4522" s="73"/>
      <c r="F4522" s="73"/>
      <c r="G4522" s="73"/>
    </row>
    <row r="4523" spans="2:7" ht="32.25" customHeight="1" x14ac:dyDescent="0.35">
      <c r="B4523" s="73"/>
      <c r="C4523" s="73"/>
      <c r="D4523" s="73"/>
      <c r="E4523" s="73"/>
      <c r="F4523" s="73"/>
      <c r="G4523" s="73"/>
    </row>
    <row r="4524" spans="2:7" ht="32.25" customHeight="1" x14ac:dyDescent="0.35">
      <c r="B4524" s="73"/>
      <c r="C4524" s="73"/>
      <c r="D4524" s="73"/>
      <c r="E4524" s="73"/>
      <c r="F4524" s="73"/>
      <c r="G4524" s="73"/>
    </row>
    <row r="4525" spans="2:7" ht="32.25" customHeight="1" x14ac:dyDescent="0.35">
      <c r="B4525" s="73"/>
      <c r="C4525" s="73"/>
      <c r="D4525" s="73"/>
      <c r="E4525" s="73"/>
      <c r="F4525" s="73"/>
      <c r="G4525" s="73"/>
    </row>
    <row r="4526" spans="2:7" ht="32.25" customHeight="1" x14ac:dyDescent="0.35">
      <c r="B4526" s="73"/>
      <c r="C4526" s="73"/>
      <c r="D4526" s="73"/>
      <c r="E4526" s="73"/>
      <c r="F4526" s="73"/>
      <c r="G4526" s="73"/>
    </row>
    <row r="4527" spans="2:7" ht="32.25" customHeight="1" x14ac:dyDescent="0.35">
      <c r="B4527" s="73"/>
      <c r="C4527" s="73"/>
      <c r="D4527" s="73"/>
      <c r="E4527" s="73"/>
      <c r="F4527" s="73"/>
      <c r="G4527" s="73"/>
    </row>
    <row r="4528" spans="2:7" ht="32.25" customHeight="1" x14ac:dyDescent="0.35">
      <c r="B4528" s="73"/>
      <c r="C4528" s="73"/>
      <c r="D4528" s="73"/>
      <c r="E4528" s="73"/>
      <c r="F4528" s="73"/>
      <c r="G4528" s="73"/>
    </row>
    <row r="4529" spans="2:7" ht="32.25" customHeight="1" x14ac:dyDescent="0.35">
      <c r="B4529" s="73"/>
      <c r="C4529" s="73"/>
      <c r="D4529" s="73"/>
      <c r="E4529" s="73"/>
      <c r="F4529" s="73"/>
      <c r="G4529" s="73"/>
    </row>
    <row r="4530" spans="2:7" ht="32.25" customHeight="1" x14ac:dyDescent="0.35">
      <c r="B4530" s="73"/>
      <c r="C4530" s="73"/>
      <c r="D4530" s="73"/>
      <c r="E4530" s="73"/>
      <c r="F4530" s="73"/>
      <c r="G4530" s="73"/>
    </row>
    <row r="4531" spans="2:7" ht="32.25" customHeight="1" x14ac:dyDescent="0.35">
      <c r="B4531" s="73"/>
      <c r="C4531" s="73"/>
      <c r="D4531" s="73"/>
      <c r="E4531" s="73"/>
      <c r="F4531" s="73"/>
      <c r="G4531" s="73"/>
    </row>
    <row r="4532" spans="2:7" ht="32.25" customHeight="1" x14ac:dyDescent="0.35">
      <c r="B4532" s="73"/>
      <c r="C4532" s="73"/>
      <c r="D4532" s="73"/>
      <c r="E4532" s="73"/>
      <c r="F4532" s="73"/>
      <c r="G4532" s="73"/>
    </row>
    <row r="4533" spans="2:7" ht="32.25" customHeight="1" x14ac:dyDescent="0.35">
      <c r="B4533" s="73"/>
      <c r="C4533" s="73"/>
      <c r="D4533" s="73"/>
      <c r="E4533" s="73"/>
      <c r="F4533" s="73"/>
      <c r="G4533" s="73"/>
    </row>
    <row r="4534" spans="2:7" ht="32.25" customHeight="1" x14ac:dyDescent="0.35">
      <c r="B4534" s="73"/>
      <c r="C4534" s="73"/>
      <c r="D4534" s="73"/>
      <c r="E4534" s="73"/>
      <c r="F4534" s="73"/>
      <c r="G4534" s="73"/>
    </row>
    <row r="4535" spans="2:7" ht="32.25" customHeight="1" x14ac:dyDescent="0.35">
      <c r="B4535" s="73"/>
      <c r="C4535" s="73"/>
      <c r="D4535" s="73"/>
      <c r="E4535" s="73"/>
      <c r="F4535" s="73"/>
      <c r="G4535" s="73"/>
    </row>
    <row r="4536" spans="2:7" ht="32.25" customHeight="1" x14ac:dyDescent="0.35">
      <c r="B4536" s="73"/>
      <c r="C4536" s="73"/>
      <c r="D4536" s="73"/>
      <c r="E4536" s="73"/>
      <c r="F4536" s="73"/>
      <c r="G4536" s="73"/>
    </row>
    <row r="4537" spans="2:7" ht="32.25" customHeight="1" x14ac:dyDescent="0.35">
      <c r="B4537" s="73"/>
      <c r="C4537" s="73"/>
      <c r="D4537" s="73"/>
      <c r="E4537" s="73"/>
      <c r="F4537" s="73"/>
      <c r="G4537" s="73"/>
    </row>
    <row r="4538" spans="2:7" ht="32.25" customHeight="1" x14ac:dyDescent="0.35">
      <c r="B4538" s="73"/>
      <c r="C4538" s="73"/>
      <c r="D4538" s="73"/>
      <c r="E4538" s="73"/>
      <c r="F4538" s="73"/>
      <c r="G4538" s="73"/>
    </row>
    <row r="4539" spans="2:7" ht="32.25" customHeight="1" x14ac:dyDescent="0.35">
      <c r="B4539" s="73"/>
      <c r="C4539" s="73"/>
      <c r="D4539" s="73"/>
      <c r="E4539" s="73"/>
      <c r="F4539" s="73"/>
      <c r="G4539" s="73"/>
    </row>
    <row r="4540" spans="2:7" ht="32.25" customHeight="1" x14ac:dyDescent="0.35">
      <c r="B4540" s="73"/>
      <c r="C4540" s="73"/>
      <c r="D4540" s="73"/>
      <c r="E4540" s="73"/>
      <c r="F4540" s="73"/>
      <c r="G4540" s="73"/>
    </row>
    <row r="4541" spans="2:7" ht="32.25" customHeight="1" x14ac:dyDescent="0.35">
      <c r="B4541" s="73"/>
      <c r="C4541" s="73"/>
      <c r="D4541" s="73"/>
      <c r="E4541" s="73"/>
      <c r="F4541" s="73"/>
      <c r="G4541" s="73"/>
    </row>
    <row r="4542" spans="2:7" ht="32.25" customHeight="1" x14ac:dyDescent="0.35">
      <c r="B4542" s="73"/>
      <c r="C4542" s="73"/>
      <c r="D4542" s="73"/>
      <c r="E4542" s="73"/>
      <c r="F4542" s="73"/>
      <c r="G4542" s="73"/>
    </row>
    <row r="4543" spans="2:7" ht="32.25" customHeight="1" x14ac:dyDescent="0.35">
      <c r="B4543" s="73"/>
      <c r="C4543" s="73"/>
      <c r="D4543" s="73"/>
      <c r="E4543" s="73"/>
      <c r="F4543" s="73"/>
      <c r="G4543" s="73"/>
    </row>
    <row r="4544" spans="2:7" ht="32.25" customHeight="1" x14ac:dyDescent="0.35">
      <c r="B4544" s="73"/>
      <c r="C4544" s="73"/>
      <c r="D4544" s="73"/>
      <c r="E4544" s="73"/>
      <c r="F4544" s="73"/>
      <c r="G4544" s="73"/>
    </row>
    <row r="4545" spans="2:7" ht="32.25" customHeight="1" x14ac:dyDescent="0.35">
      <c r="B4545" s="73"/>
      <c r="C4545" s="73"/>
      <c r="D4545" s="73"/>
      <c r="E4545" s="73"/>
      <c r="F4545" s="73"/>
      <c r="G4545" s="73"/>
    </row>
    <row r="4546" spans="2:7" ht="32.25" customHeight="1" x14ac:dyDescent="0.35">
      <c r="B4546" s="73"/>
      <c r="C4546" s="73"/>
      <c r="D4546" s="73"/>
      <c r="E4546" s="73"/>
      <c r="F4546" s="73"/>
      <c r="G4546" s="73"/>
    </row>
    <row r="4547" spans="2:7" ht="32.25" customHeight="1" x14ac:dyDescent="0.35">
      <c r="B4547" s="73"/>
      <c r="C4547" s="73"/>
      <c r="D4547" s="73"/>
      <c r="E4547" s="73"/>
      <c r="F4547" s="73"/>
      <c r="G4547" s="73"/>
    </row>
    <row r="4548" spans="2:7" ht="32.25" customHeight="1" x14ac:dyDescent="0.35">
      <c r="B4548" s="73"/>
      <c r="C4548" s="73"/>
      <c r="D4548" s="73"/>
      <c r="E4548" s="73"/>
      <c r="F4548" s="73"/>
      <c r="G4548" s="73"/>
    </row>
    <row r="4549" spans="2:7" ht="32.25" customHeight="1" x14ac:dyDescent="0.35">
      <c r="B4549" s="73"/>
      <c r="C4549" s="73"/>
      <c r="D4549" s="73"/>
      <c r="E4549" s="73"/>
      <c r="F4549" s="73"/>
      <c r="G4549" s="73"/>
    </row>
    <row r="4550" spans="2:7" ht="32.25" customHeight="1" x14ac:dyDescent="0.35">
      <c r="B4550" s="73"/>
      <c r="C4550" s="73"/>
      <c r="D4550" s="73"/>
      <c r="E4550" s="73"/>
      <c r="F4550" s="73"/>
      <c r="G4550" s="73"/>
    </row>
    <row r="4551" spans="2:7" ht="32.25" customHeight="1" x14ac:dyDescent="0.35">
      <c r="B4551" s="73"/>
      <c r="C4551" s="73"/>
      <c r="D4551" s="73"/>
      <c r="E4551" s="73"/>
      <c r="F4551" s="73"/>
      <c r="G4551" s="73"/>
    </row>
    <row r="4552" spans="2:7" ht="32.25" customHeight="1" x14ac:dyDescent="0.35">
      <c r="B4552" s="73"/>
      <c r="C4552" s="73"/>
      <c r="D4552" s="73"/>
      <c r="E4552" s="73"/>
      <c r="F4552" s="73"/>
      <c r="G4552" s="73"/>
    </row>
    <row r="4553" spans="2:7" ht="32.25" customHeight="1" x14ac:dyDescent="0.35">
      <c r="B4553" s="73"/>
      <c r="C4553" s="73"/>
      <c r="D4553" s="73"/>
      <c r="E4553" s="73"/>
      <c r="F4553" s="73"/>
      <c r="G4553" s="73"/>
    </row>
    <row r="4554" spans="2:7" ht="32.25" customHeight="1" x14ac:dyDescent="0.35">
      <c r="B4554" s="73"/>
      <c r="C4554" s="73"/>
      <c r="D4554" s="73"/>
      <c r="E4554" s="73"/>
      <c r="F4554" s="73"/>
      <c r="G4554" s="73"/>
    </row>
    <row r="4555" spans="2:7" ht="32.25" customHeight="1" x14ac:dyDescent="0.35">
      <c r="B4555" s="73"/>
      <c r="C4555" s="73"/>
      <c r="D4555" s="73"/>
      <c r="E4555" s="73"/>
      <c r="F4555" s="73"/>
      <c r="G4555" s="73"/>
    </row>
    <row r="4556" spans="2:7" ht="32.25" customHeight="1" x14ac:dyDescent="0.35">
      <c r="B4556" s="73"/>
      <c r="C4556" s="73"/>
      <c r="D4556" s="73"/>
      <c r="E4556" s="73"/>
      <c r="F4556" s="73"/>
      <c r="G4556" s="73"/>
    </row>
    <row r="4557" spans="2:7" ht="32.25" customHeight="1" x14ac:dyDescent="0.35">
      <c r="B4557" s="73"/>
      <c r="C4557" s="73"/>
      <c r="D4557" s="73"/>
      <c r="E4557" s="73"/>
      <c r="F4557" s="73"/>
      <c r="G4557" s="73"/>
    </row>
    <row r="4558" spans="2:7" ht="32.25" customHeight="1" x14ac:dyDescent="0.35">
      <c r="B4558" s="73"/>
      <c r="C4558" s="73"/>
      <c r="D4558" s="73"/>
      <c r="E4558" s="73"/>
      <c r="F4558" s="73"/>
      <c r="G4558" s="73"/>
    </row>
    <row r="4559" spans="2:7" ht="32.25" customHeight="1" x14ac:dyDescent="0.35">
      <c r="B4559" s="73"/>
      <c r="C4559" s="73"/>
      <c r="D4559" s="73"/>
      <c r="E4559" s="73"/>
      <c r="F4559" s="73"/>
      <c r="G4559" s="73"/>
    </row>
    <row r="4560" spans="2:7" ht="32.25" customHeight="1" x14ac:dyDescent="0.35">
      <c r="B4560" s="73"/>
      <c r="C4560" s="73"/>
      <c r="D4560" s="73"/>
      <c r="E4560" s="73"/>
      <c r="F4560" s="73"/>
      <c r="G4560" s="73"/>
    </row>
    <row r="4561" spans="2:7" ht="32.25" customHeight="1" x14ac:dyDescent="0.35">
      <c r="B4561" s="73"/>
      <c r="C4561" s="73"/>
      <c r="D4561" s="73"/>
      <c r="E4561" s="73"/>
      <c r="F4561" s="73"/>
      <c r="G4561" s="73"/>
    </row>
    <row r="4562" spans="2:7" ht="32.25" customHeight="1" x14ac:dyDescent="0.35">
      <c r="B4562" s="73"/>
      <c r="C4562" s="73"/>
      <c r="D4562" s="73"/>
      <c r="E4562" s="73"/>
      <c r="F4562" s="73"/>
      <c r="G4562" s="73"/>
    </row>
    <row r="4563" spans="2:7" ht="32.25" customHeight="1" x14ac:dyDescent="0.35">
      <c r="B4563" s="73"/>
      <c r="C4563" s="73"/>
      <c r="D4563" s="73"/>
      <c r="E4563" s="73"/>
      <c r="F4563" s="73"/>
      <c r="G4563" s="73"/>
    </row>
    <row r="4564" spans="2:7" ht="32.25" customHeight="1" x14ac:dyDescent="0.35">
      <c r="B4564" s="73"/>
      <c r="C4564" s="73"/>
      <c r="D4564" s="73"/>
      <c r="E4564" s="73"/>
      <c r="F4564" s="73"/>
      <c r="G4564" s="73"/>
    </row>
    <row r="4565" spans="2:7" ht="32.25" customHeight="1" x14ac:dyDescent="0.35">
      <c r="B4565" s="73"/>
      <c r="C4565" s="73"/>
      <c r="D4565" s="73"/>
      <c r="E4565" s="73"/>
      <c r="F4565" s="73"/>
      <c r="G4565" s="73"/>
    </row>
    <row r="4566" spans="2:7" ht="32.25" customHeight="1" x14ac:dyDescent="0.35">
      <c r="B4566" s="73"/>
      <c r="C4566" s="73"/>
      <c r="D4566" s="73"/>
      <c r="E4566" s="73"/>
      <c r="F4566" s="73"/>
      <c r="G4566" s="73"/>
    </row>
    <row r="4567" spans="2:7" ht="32.25" customHeight="1" x14ac:dyDescent="0.35">
      <c r="B4567" s="73"/>
      <c r="C4567" s="73"/>
      <c r="D4567" s="73"/>
      <c r="E4567" s="73"/>
      <c r="F4567" s="73"/>
      <c r="G4567" s="73"/>
    </row>
    <row r="4568" spans="2:7" ht="32.25" customHeight="1" x14ac:dyDescent="0.35">
      <c r="B4568" s="73"/>
      <c r="C4568" s="73"/>
      <c r="D4568" s="73"/>
      <c r="E4568" s="73"/>
      <c r="F4568" s="73"/>
      <c r="G4568" s="73"/>
    </row>
    <row r="4569" spans="2:7" ht="32.25" customHeight="1" x14ac:dyDescent="0.35">
      <c r="B4569" s="73"/>
      <c r="C4569" s="73"/>
      <c r="D4569" s="73"/>
      <c r="E4569" s="73"/>
      <c r="F4569" s="73"/>
      <c r="G4569" s="73"/>
    </row>
    <row r="4570" spans="2:7" ht="32.25" customHeight="1" x14ac:dyDescent="0.35">
      <c r="B4570" s="73"/>
      <c r="C4570" s="73"/>
      <c r="D4570" s="73"/>
      <c r="E4570" s="73"/>
      <c r="F4570" s="73"/>
      <c r="G4570" s="73"/>
    </row>
    <row r="4571" spans="2:7" ht="32.25" customHeight="1" x14ac:dyDescent="0.35">
      <c r="B4571" s="73"/>
      <c r="C4571" s="73"/>
      <c r="D4571" s="73"/>
      <c r="E4571" s="73"/>
      <c r="F4571" s="73"/>
      <c r="G4571" s="73"/>
    </row>
    <row r="4572" spans="2:7" ht="32.25" customHeight="1" x14ac:dyDescent="0.35">
      <c r="B4572" s="73"/>
      <c r="C4572" s="73"/>
      <c r="D4572" s="73"/>
      <c r="E4572" s="73"/>
      <c r="F4572" s="73"/>
      <c r="G4572" s="73"/>
    </row>
    <row r="4573" spans="2:7" ht="32.25" customHeight="1" x14ac:dyDescent="0.35">
      <c r="B4573" s="73"/>
      <c r="C4573" s="73"/>
      <c r="D4573" s="73"/>
      <c r="E4573" s="73"/>
      <c r="F4573" s="73"/>
      <c r="G4573" s="73"/>
    </row>
    <row r="4574" spans="2:7" ht="32.25" customHeight="1" x14ac:dyDescent="0.35">
      <c r="B4574" s="73"/>
      <c r="C4574" s="73"/>
      <c r="D4574" s="73"/>
      <c r="E4574" s="73"/>
      <c r="F4574" s="73"/>
      <c r="G4574" s="73"/>
    </row>
    <row r="4575" spans="2:7" ht="32.25" customHeight="1" x14ac:dyDescent="0.35">
      <c r="B4575" s="73"/>
      <c r="C4575" s="73"/>
      <c r="D4575" s="73"/>
      <c r="E4575" s="73"/>
      <c r="F4575" s="73"/>
      <c r="G4575" s="73"/>
    </row>
    <row r="4576" spans="2:7" ht="32.25" customHeight="1" x14ac:dyDescent="0.35">
      <c r="B4576" s="73"/>
      <c r="C4576" s="73"/>
      <c r="D4576" s="73"/>
      <c r="E4576" s="73"/>
      <c r="F4576" s="73"/>
      <c r="G4576" s="73"/>
    </row>
    <row r="4577" spans="2:7" ht="32.25" customHeight="1" x14ac:dyDescent="0.35">
      <c r="B4577" s="73"/>
      <c r="C4577" s="73"/>
      <c r="D4577" s="73"/>
      <c r="E4577" s="73"/>
      <c r="F4577" s="73"/>
      <c r="G4577" s="73"/>
    </row>
    <row r="4578" spans="2:7" ht="32.25" customHeight="1" x14ac:dyDescent="0.35">
      <c r="B4578" s="73"/>
      <c r="C4578" s="73"/>
      <c r="D4578" s="73"/>
      <c r="E4578" s="73"/>
      <c r="F4578" s="73"/>
      <c r="G4578" s="73"/>
    </row>
    <row r="4579" spans="2:7" ht="32.25" customHeight="1" x14ac:dyDescent="0.35">
      <c r="B4579" s="73"/>
      <c r="C4579" s="73"/>
      <c r="D4579" s="73"/>
      <c r="E4579" s="73"/>
      <c r="F4579" s="73"/>
      <c r="G4579" s="73"/>
    </row>
    <row r="4580" spans="2:7" ht="32.25" customHeight="1" x14ac:dyDescent="0.35">
      <c r="B4580" s="73"/>
      <c r="C4580" s="73"/>
      <c r="D4580" s="73"/>
      <c r="E4580" s="73"/>
      <c r="F4580" s="73"/>
      <c r="G4580" s="73"/>
    </row>
    <row r="4581" spans="2:7" ht="32.25" customHeight="1" x14ac:dyDescent="0.35">
      <c r="B4581" s="73"/>
      <c r="C4581" s="73"/>
      <c r="D4581" s="73"/>
      <c r="E4581" s="73"/>
      <c r="F4581" s="73"/>
      <c r="G4581" s="73"/>
    </row>
    <row r="4582" spans="2:7" ht="32.25" customHeight="1" x14ac:dyDescent="0.35">
      <c r="B4582" s="73"/>
      <c r="C4582" s="73"/>
      <c r="D4582" s="73"/>
      <c r="E4582" s="73"/>
      <c r="F4582" s="73"/>
      <c r="G4582" s="73"/>
    </row>
    <row r="4583" spans="2:7" ht="32.25" customHeight="1" x14ac:dyDescent="0.35">
      <c r="B4583" s="73"/>
      <c r="C4583" s="73"/>
      <c r="D4583" s="73"/>
      <c r="E4583" s="73"/>
      <c r="F4583" s="73"/>
      <c r="G4583" s="73"/>
    </row>
    <row r="4584" spans="2:7" ht="32.25" customHeight="1" x14ac:dyDescent="0.35">
      <c r="B4584" s="73"/>
      <c r="C4584" s="73"/>
      <c r="D4584" s="73"/>
      <c r="E4584" s="73"/>
      <c r="F4584" s="73"/>
      <c r="G4584" s="73"/>
    </row>
    <row r="4585" spans="2:7" ht="32.25" customHeight="1" x14ac:dyDescent="0.35">
      <c r="B4585" s="73"/>
      <c r="C4585" s="73"/>
      <c r="D4585" s="73"/>
      <c r="E4585" s="73"/>
      <c r="F4585" s="73"/>
      <c r="G4585" s="73"/>
    </row>
    <row r="4586" spans="2:7" ht="32.25" customHeight="1" x14ac:dyDescent="0.35">
      <c r="B4586" s="73"/>
      <c r="C4586" s="73"/>
      <c r="D4586" s="73"/>
      <c r="E4586" s="73"/>
      <c r="F4586" s="73"/>
      <c r="G4586" s="73"/>
    </row>
    <row r="4587" spans="2:7" ht="32.25" customHeight="1" x14ac:dyDescent="0.35">
      <c r="B4587" s="73"/>
      <c r="C4587" s="73"/>
      <c r="D4587" s="73"/>
      <c r="E4587" s="73"/>
      <c r="F4587" s="73"/>
      <c r="G4587" s="73"/>
    </row>
    <row r="4588" spans="2:7" ht="32.25" customHeight="1" x14ac:dyDescent="0.35">
      <c r="B4588" s="73"/>
      <c r="C4588" s="73"/>
      <c r="D4588" s="73"/>
      <c r="E4588" s="73"/>
      <c r="F4588" s="73"/>
      <c r="G4588" s="73"/>
    </row>
    <row r="4589" spans="2:7" ht="32.25" customHeight="1" x14ac:dyDescent="0.35">
      <c r="B4589" s="73"/>
      <c r="C4589" s="73"/>
      <c r="D4589" s="73"/>
      <c r="E4589" s="73"/>
      <c r="F4589" s="73"/>
      <c r="G4589" s="73"/>
    </row>
    <row r="4590" spans="2:7" ht="32.25" customHeight="1" x14ac:dyDescent="0.35">
      <c r="B4590" s="73"/>
      <c r="C4590" s="73"/>
      <c r="D4590" s="73"/>
      <c r="E4590" s="73"/>
      <c r="F4590" s="73"/>
      <c r="G4590" s="73"/>
    </row>
    <row r="4591" spans="2:7" ht="32.25" customHeight="1" x14ac:dyDescent="0.35">
      <c r="B4591" s="73"/>
      <c r="C4591" s="73"/>
      <c r="D4591" s="73"/>
      <c r="E4591" s="73"/>
      <c r="F4591" s="73"/>
      <c r="G4591" s="73"/>
    </row>
    <row r="4592" spans="2:7" ht="32.25" customHeight="1" x14ac:dyDescent="0.35">
      <c r="B4592" s="73"/>
      <c r="C4592" s="73"/>
      <c r="D4592" s="73"/>
      <c r="E4592" s="73"/>
      <c r="F4592" s="73"/>
      <c r="G4592" s="73"/>
    </row>
    <row r="4593" spans="2:7" ht="32.25" customHeight="1" x14ac:dyDescent="0.35">
      <c r="B4593" s="73"/>
      <c r="C4593" s="73"/>
      <c r="D4593" s="73"/>
      <c r="E4593" s="73"/>
      <c r="F4593" s="73"/>
      <c r="G4593" s="73"/>
    </row>
    <row r="4594" spans="2:7" ht="32.25" customHeight="1" x14ac:dyDescent="0.35">
      <c r="B4594" s="73"/>
      <c r="C4594" s="73"/>
      <c r="D4594" s="73"/>
      <c r="E4594" s="73"/>
      <c r="F4594" s="73"/>
      <c r="G4594" s="73"/>
    </row>
    <row r="4595" spans="2:7" ht="32.25" customHeight="1" x14ac:dyDescent="0.35">
      <c r="B4595" s="73"/>
      <c r="C4595" s="73"/>
      <c r="D4595" s="73"/>
      <c r="E4595" s="73"/>
      <c r="F4595" s="73"/>
      <c r="G4595" s="73"/>
    </row>
    <row r="4596" spans="2:7" ht="32.25" customHeight="1" x14ac:dyDescent="0.35">
      <c r="B4596" s="73"/>
      <c r="C4596" s="73"/>
      <c r="D4596" s="73"/>
      <c r="E4596" s="73"/>
      <c r="F4596" s="73"/>
      <c r="G4596" s="73"/>
    </row>
    <row r="4597" spans="2:7" ht="32.25" customHeight="1" x14ac:dyDescent="0.35">
      <c r="B4597" s="73"/>
      <c r="C4597" s="73"/>
      <c r="D4597" s="73"/>
      <c r="E4597" s="73"/>
      <c r="F4597" s="73"/>
      <c r="G4597" s="73"/>
    </row>
    <row r="4598" spans="2:7" ht="32.25" customHeight="1" x14ac:dyDescent="0.35">
      <c r="B4598" s="73"/>
      <c r="C4598" s="73"/>
      <c r="D4598" s="73"/>
      <c r="E4598" s="73"/>
      <c r="F4598" s="73"/>
      <c r="G4598" s="73"/>
    </row>
    <row r="4599" spans="2:7" ht="32.25" customHeight="1" x14ac:dyDescent="0.35">
      <c r="B4599" s="73"/>
      <c r="C4599" s="73"/>
      <c r="D4599" s="73"/>
      <c r="E4599" s="73"/>
      <c r="F4599" s="73"/>
      <c r="G4599" s="73"/>
    </row>
    <row r="4600" spans="2:7" ht="32.25" customHeight="1" x14ac:dyDescent="0.35">
      <c r="B4600" s="73"/>
      <c r="C4600" s="73"/>
      <c r="D4600" s="73"/>
      <c r="E4600" s="73"/>
      <c r="F4600" s="73"/>
      <c r="G4600" s="73"/>
    </row>
    <row r="4601" spans="2:7" ht="32.25" customHeight="1" x14ac:dyDescent="0.35">
      <c r="B4601" s="73"/>
      <c r="C4601" s="73"/>
      <c r="D4601" s="73"/>
      <c r="E4601" s="73"/>
      <c r="F4601" s="73"/>
      <c r="G4601" s="73"/>
    </row>
    <row r="4602" spans="2:7" ht="32.25" customHeight="1" x14ac:dyDescent="0.35">
      <c r="B4602" s="73"/>
      <c r="C4602" s="73"/>
      <c r="D4602" s="73"/>
      <c r="E4602" s="73"/>
      <c r="F4602" s="73"/>
      <c r="G4602" s="73"/>
    </row>
    <row r="4603" spans="2:7" ht="32.25" customHeight="1" x14ac:dyDescent="0.35">
      <c r="B4603" s="73"/>
      <c r="C4603" s="73"/>
      <c r="D4603" s="73"/>
      <c r="E4603" s="73"/>
      <c r="F4603" s="73"/>
      <c r="G4603" s="73"/>
    </row>
    <row r="4604" spans="2:7" ht="32.25" customHeight="1" x14ac:dyDescent="0.35">
      <c r="B4604" s="73"/>
      <c r="C4604" s="73"/>
      <c r="D4604" s="73"/>
      <c r="E4604" s="73"/>
      <c r="F4604" s="73"/>
      <c r="G4604" s="73"/>
    </row>
    <row r="4605" spans="2:7" ht="32.25" customHeight="1" x14ac:dyDescent="0.35">
      <c r="B4605" s="73"/>
      <c r="C4605" s="73"/>
      <c r="D4605" s="73"/>
      <c r="E4605" s="73"/>
      <c r="F4605" s="73"/>
      <c r="G4605" s="73"/>
    </row>
    <row r="4606" spans="2:7" ht="32.25" customHeight="1" x14ac:dyDescent="0.35">
      <c r="B4606" s="73"/>
      <c r="C4606" s="73"/>
      <c r="D4606" s="73"/>
      <c r="E4606" s="73"/>
      <c r="F4606" s="73"/>
      <c r="G4606" s="73"/>
    </row>
    <row r="4607" spans="2:7" ht="32.25" customHeight="1" x14ac:dyDescent="0.35">
      <c r="B4607" s="73"/>
      <c r="C4607" s="73"/>
      <c r="D4607" s="73"/>
      <c r="E4607" s="73"/>
      <c r="F4607" s="73"/>
      <c r="G4607" s="73"/>
    </row>
    <row r="4608" spans="2:7" ht="32.25" customHeight="1" x14ac:dyDescent="0.35">
      <c r="B4608" s="73"/>
      <c r="C4608" s="73"/>
      <c r="D4608" s="73"/>
      <c r="E4608" s="73"/>
      <c r="F4608" s="73"/>
      <c r="G4608" s="73"/>
    </row>
    <row r="4609" spans="2:7" ht="32.25" customHeight="1" x14ac:dyDescent="0.35">
      <c r="B4609" s="73"/>
      <c r="C4609" s="73"/>
      <c r="D4609" s="73"/>
      <c r="E4609" s="73"/>
      <c r="F4609" s="73"/>
      <c r="G4609" s="73"/>
    </row>
    <row r="4610" spans="2:7" ht="32.25" customHeight="1" x14ac:dyDescent="0.35">
      <c r="B4610" s="73"/>
      <c r="C4610" s="73"/>
      <c r="D4610" s="73"/>
      <c r="E4610" s="73"/>
      <c r="F4610" s="73"/>
      <c r="G4610" s="73"/>
    </row>
    <row r="4611" spans="2:7" ht="32.25" customHeight="1" x14ac:dyDescent="0.35">
      <c r="B4611" s="73"/>
      <c r="C4611" s="73"/>
      <c r="D4611" s="73"/>
      <c r="E4611" s="73"/>
      <c r="F4611" s="73"/>
      <c r="G4611" s="73"/>
    </row>
    <row r="4612" spans="2:7" ht="32.25" customHeight="1" x14ac:dyDescent="0.35">
      <c r="B4612" s="73"/>
      <c r="C4612" s="73"/>
      <c r="D4612" s="73"/>
      <c r="E4612" s="73"/>
      <c r="F4612" s="73"/>
      <c r="G4612" s="73"/>
    </row>
    <row r="4613" spans="2:7" ht="32.25" customHeight="1" x14ac:dyDescent="0.35">
      <c r="B4613" s="73"/>
      <c r="C4613" s="73"/>
      <c r="D4613" s="73"/>
      <c r="E4613" s="73"/>
      <c r="F4613" s="73"/>
      <c r="G4613" s="73"/>
    </row>
    <row r="4614" spans="2:7" ht="32.25" customHeight="1" x14ac:dyDescent="0.35">
      <c r="B4614" s="73"/>
      <c r="C4614" s="73"/>
      <c r="D4614" s="73"/>
      <c r="E4614" s="73"/>
      <c r="F4614" s="73"/>
      <c r="G4614" s="73"/>
    </row>
    <row r="4615" spans="2:7" ht="32.25" customHeight="1" x14ac:dyDescent="0.35">
      <c r="B4615" s="73"/>
      <c r="C4615" s="73"/>
      <c r="D4615" s="73"/>
      <c r="E4615" s="73"/>
      <c r="F4615" s="73"/>
      <c r="G4615" s="73"/>
    </row>
    <row r="4616" spans="2:7" ht="32.25" customHeight="1" x14ac:dyDescent="0.35">
      <c r="B4616" s="73"/>
      <c r="C4616" s="73"/>
      <c r="D4616" s="73"/>
      <c r="E4616" s="73"/>
      <c r="F4616" s="73"/>
      <c r="G4616" s="73"/>
    </row>
    <row r="4617" spans="2:7" ht="32.25" customHeight="1" x14ac:dyDescent="0.35">
      <c r="B4617" s="73"/>
      <c r="C4617" s="73"/>
      <c r="D4617" s="73"/>
      <c r="E4617" s="73"/>
      <c r="F4617" s="73"/>
      <c r="G4617" s="73"/>
    </row>
    <row r="4618" spans="2:7" ht="32.25" customHeight="1" x14ac:dyDescent="0.35">
      <c r="B4618" s="73"/>
      <c r="C4618" s="73"/>
      <c r="D4618" s="73"/>
      <c r="E4618" s="73"/>
      <c r="F4618" s="73"/>
      <c r="G4618" s="73"/>
    </row>
    <row r="4619" spans="2:7" ht="32.25" customHeight="1" x14ac:dyDescent="0.35">
      <c r="B4619" s="73"/>
      <c r="C4619" s="73"/>
      <c r="D4619" s="73"/>
      <c r="E4619" s="73"/>
      <c r="F4619" s="73"/>
      <c r="G4619" s="73"/>
    </row>
    <row r="4620" spans="2:7" ht="32.25" customHeight="1" x14ac:dyDescent="0.35">
      <c r="B4620" s="73"/>
      <c r="C4620" s="73"/>
      <c r="D4620" s="73"/>
      <c r="E4620" s="73"/>
      <c r="F4620" s="73"/>
      <c r="G4620" s="73"/>
    </row>
    <row r="4621" spans="2:7" ht="32.25" customHeight="1" x14ac:dyDescent="0.35">
      <c r="B4621" s="73"/>
      <c r="C4621" s="73"/>
      <c r="D4621" s="73"/>
      <c r="E4621" s="73"/>
      <c r="F4621" s="73"/>
      <c r="G4621" s="73"/>
    </row>
    <row r="4622" spans="2:7" ht="32.25" customHeight="1" x14ac:dyDescent="0.35">
      <c r="B4622" s="73"/>
      <c r="C4622" s="73"/>
      <c r="D4622" s="73"/>
      <c r="E4622" s="73"/>
      <c r="F4622" s="73"/>
      <c r="G4622" s="73"/>
    </row>
    <row r="4623" spans="2:7" ht="32.25" customHeight="1" x14ac:dyDescent="0.35">
      <c r="B4623" s="73"/>
      <c r="C4623" s="73"/>
      <c r="D4623" s="73"/>
      <c r="E4623" s="73"/>
      <c r="F4623" s="73"/>
      <c r="G4623" s="73"/>
    </row>
    <row r="4624" spans="2:7" ht="32.25" customHeight="1" x14ac:dyDescent="0.35">
      <c r="B4624" s="73"/>
      <c r="C4624" s="73"/>
      <c r="D4624" s="73"/>
      <c r="E4624" s="73"/>
      <c r="F4624" s="73"/>
      <c r="G4624" s="73"/>
    </row>
    <row r="4625" spans="2:7" ht="32.25" customHeight="1" x14ac:dyDescent="0.35">
      <c r="B4625" s="73"/>
      <c r="C4625" s="73"/>
      <c r="D4625" s="73"/>
      <c r="E4625" s="73"/>
      <c r="F4625" s="73"/>
      <c r="G4625" s="73"/>
    </row>
    <row r="4626" spans="2:7" ht="32.25" customHeight="1" x14ac:dyDescent="0.35">
      <c r="B4626" s="73"/>
      <c r="C4626" s="73"/>
      <c r="D4626" s="73"/>
      <c r="E4626" s="73"/>
      <c r="F4626" s="73"/>
      <c r="G4626" s="73"/>
    </row>
    <row r="4627" spans="2:7" ht="32.25" customHeight="1" x14ac:dyDescent="0.35">
      <c r="B4627" s="73"/>
      <c r="C4627" s="73"/>
      <c r="D4627" s="73"/>
      <c r="E4627" s="73"/>
      <c r="F4627" s="73"/>
      <c r="G4627" s="73"/>
    </row>
    <row r="4628" spans="2:7" ht="32.25" customHeight="1" x14ac:dyDescent="0.35">
      <c r="B4628" s="73"/>
      <c r="C4628" s="73"/>
      <c r="D4628" s="73"/>
      <c r="E4628" s="73"/>
      <c r="F4628" s="73"/>
      <c r="G4628" s="73"/>
    </row>
    <row r="4629" spans="2:7" ht="32.25" customHeight="1" x14ac:dyDescent="0.35">
      <c r="B4629" s="73"/>
      <c r="C4629" s="73"/>
      <c r="D4629" s="73"/>
      <c r="E4629" s="73"/>
      <c r="F4629" s="73"/>
      <c r="G4629" s="73"/>
    </row>
    <row r="4630" spans="2:7" ht="32.25" customHeight="1" x14ac:dyDescent="0.35">
      <c r="B4630" s="73"/>
      <c r="C4630" s="73"/>
      <c r="D4630" s="73"/>
      <c r="E4630" s="73"/>
      <c r="F4630" s="73"/>
      <c r="G4630" s="73"/>
    </row>
    <row r="4631" spans="2:7" ht="32.25" customHeight="1" x14ac:dyDescent="0.35">
      <c r="B4631" s="73"/>
      <c r="C4631" s="73"/>
      <c r="D4631" s="73"/>
      <c r="E4631" s="73"/>
      <c r="F4631" s="73"/>
      <c r="G4631" s="73"/>
    </row>
    <row r="4632" spans="2:7" ht="32.25" customHeight="1" x14ac:dyDescent="0.35">
      <c r="B4632" s="73"/>
      <c r="C4632" s="73"/>
      <c r="D4632" s="73"/>
      <c r="E4632" s="73"/>
      <c r="F4632" s="73"/>
      <c r="G4632" s="73"/>
    </row>
    <row r="4633" spans="2:7" ht="32.25" customHeight="1" x14ac:dyDescent="0.35">
      <c r="B4633" s="73"/>
      <c r="C4633" s="73"/>
      <c r="D4633" s="73"/>
      <c r="E4633" s="73"/>
      <c r="F4633" s="73"/>
      <c r="G4633" s="73"/>
    </row>
    <row r="4634" spans="2:7" ht="32.25" customHeight="1" x14ac:dyDescent="0.35">
      <c r="B4634" s="73"/>
      <c r="C4634" s="73"/>
      <c r="D4634" s="73"/>
      <c r="E4634" s="73"/>
      <c r="F4634" s="73"/>
      <c r="G4634" s="73"/>
    </row>
    <row r="4635" spans="2:7" ht="32.25" customHeight="1" x14ac:dyDescent="0.35">
      <c r="B4635" s="73"/>
      <c r="C4635" s="73"/>
      <c r="D4635" s="73"/>
      <c r="E4635" s="73"/>
      <c r="F4635" s="73"/>
      <c r="G4635" s="73"/>
    </row>
    <row r="4636" spans="2:7" ht="32.25" customHeight="1" x14ac:dyDescent="0.35">
      <c r="B4636" s="73"/>
      <c r="C4636" s="73"/>
      <c r="D4636" s="73"/>
      <c r="E4636" s="73"/>
      <c r="F4636" s="73"/>
      <c r="G4636" s="73"/>
    </row>
    <row r="4637" spans="2:7" ht="32.25" customHeight="1" x14ac:dyDescent="0.35">
      <c r="B4637" s="73"/>
      <c r="C4637" s="73"/>
      <c r="D4637" s="73"/>
      <c r="E4637" s="73"/>
      <c r="F4637" s="73"/>
      <c r="G4637" s="73"/>
    </row>
    <row r="4638" spans="2:7" ht="32.25" customHeight="1" x14ac:dyDescent="0.35">
      <c r="B4638" s="73"/>
      <c r="C4638" s="73"/>
      <c r="D4638" s="73"/>
      <c r="E4638" s="73"/>
      <c r="F4638" s="73"/>
      <c r="G4638" s="73"/>
    </row>
    <row r="4639" spans="2:7" ht="32.25" customHeight="1" x14ac:dyDescent="0.35">
      <c r="B4639" s="73"/>
      <c r="C4639" s="73"/>
      <c r="D4639" s="73"/>
      <c r="E4639" s="73"/>
      <c r="F4639" s="73"/>
      <c r="G4639" s="73"/>
    </row>
    <row r="4640" spans="2:7" ht="32.25" customHeight="1" x14ac:dyDescent="0.35">
      <c r="B4640" s="73"/>
      <c r="C4640" s="73"/>
      <c r="D4640" s="73"/>
      <c r="E4640" s="73"/>
      <c r="F4640" s="73"/>
      <c r="G4640" s="73"/>
    </row>
    <row r="4641" spans="2:7" ht="32.25" customHeight="1" x14ac:dyDescent="0.35">
      <c r="B4641" s="73"/>
      <c r="C4641" s="73"/>
      <c r="D4641" s="73"/>
      <c r="E4641" s="73"/>
      <c r="F4641" s="73"/>
      <c r="G4641" s="73"/>
    </row>
    <row r="4642" spans="2:7" ht="32.25" customHeight="1" x14ac:dyDescent="0.35">
      <c r="B4642" s="73"/>
      <c r="C4642" s="73"/>
      <c r="D4642" s="73"/>
      <c r="E4642" s="73"/>
      <c r="F4642" s="73"/>
      <c r="G4642" s="73"/>
    </row>
    <row r="4643" spans="2:7" ht="32.25" customHeight="1" x14ac:dyDescent="0.35">
      <c r="B4643" s="73"/>
      <c r="C4643" s="73"/>
      <c r="D4643" s="73"/>
      <c r="E4643" s="73"/>
      <c r="F4643" s="73"/>
      <c r="G4643" s="73"/>
    </row>
    <row r="4644" spans="2:7" ht="32.25" customHeight="1" x14ac:dyDescent="0.35">
      <c r="B4644" s="73"/>
      <c r="C4644" s="73"/>
      <c r="D4644" s="73"/>
      <c r="E4644" s="73"/>
      <c r="F4644" s="73"/>
      <c r="G4644" s="73"/>
    </row>
    <row r="4645" spans="2:7" ht="32.25" customHeight="1" x14ac:dyDescent="0.35">
      <c r="B4645" s="73"/>
      <c r="C4645" s="73"/>
      <c r="D4645" s="73"/>
      <c r="E4645" s="73"/>
      <c r="F4645" s="73"/>
      <c r="G4645" s="73"/>
    </row>
    <row r="4646" spans="2:7" ht="32.25" customHeight="1" x14ac:dyDescent="0.35">
      <c r="B4646" s="73"/>
      <c r="C4646" s="73"/>
      <c r="D4646" s="73"/>
      <c r="E4646" s="73"/>
      <c r="F4646" s="73"/>
      <c r="G4646" s="73"/>
    </row>
    <row r="4647" spans="2:7" ht="32.25" customHeight="1" x14ac:dyDescent="0.35">
      <c r="B4647" s="73"/>
      <c r="C4647" s="73"/>
      <c r="D4647" s="73"/>
      <c r="E4647" s="73"/>
      <c r="F4647" s="73"/>
      <c r="G4647" s="73"/>
    </row>
    <row r="4648" spans="2:7" ht="32.25" customHeight="1" x14ac:dyDescent="0.35">
      <c r="B4648" s="73"/>
      <c r="C4648" s="73"/>
      <c r="D4648" s="73"/>
      <c r="E4648" s="73"/>
      <c r="F4648" s="73"/>
      <c r="G4648" s="73"/>
    </row>
    <row r="4649" spans="2:7" ht="32.25" customHeight="1" x14ac:dyDescent="0.35">
      <c r="B4649" s="73"/>
      <c r="C4649" s="73"/>
      <c r="D4649" s="73"/>
      <c r="E4649" s="73"/>
      <c r="F4649" s="73"/>
      <c r="G4649" s="73"/>
    </row>
    <row r="4650" spans="2:7" ht="32.25" customHeight="1" x14ac:dyDescent="0.35">
      <c r="B4650" s="73"/>
      <c r="C4650" s="73"/>
      <c r="D4650" s="73"/>
      <c r="E4650" s="73"/>
      <c r="F4650" s="73"/>
      <c r="G4650" s="73"/>
    </row>
    <row r="4651" spans="2:7" ht="32.25" customHeight="1" x14ac:dyDescent="0.35">
      <c r="B4651" s="73"/>
      <c r="C4651" s="73"/>
      <c r="D4651" s="73"/>
      <c r="E4651" s="73"/>
      <c r="F4651" s="73"/>
      <c r="G4651" s="73"/>
    </row>
    <row r="4652" spans="2:7" ht="32.25" customHeight="1" x14ac:dyDescent="0.35">
      <c r="B4652" s="73"/>
      <c r="C4652" s="73"/>
      <c r="D4652" s="73"/>
      <c r="E4652" s="73"/>
      <c r="F4652" s="73"/>
      <c r="G4652" s="73"/>
    </row>
    <row r="4653" spans="2:7" ht="32.25" customHeight="1" x14ac:dyDescent="0.35">
      <c r="B4653" s="73"/>
      <c r="C4653" s="73"/>
      <c r="D4653" s="73"/>
      <c r="E4653" s="73"/>
      <c r="F4653" s="73"/>
      <c r="G4653" s="73"/>
    </row>
    <row r="4654" spans="2:7" ht="32.25" customHeight="1" x14ac:dyDescent="0.35">
      <c r="B4654" s="73"/>
      <c r="C4654" s="73"/>
      <c r="D4654" s="73"/>
      <c r="E4654" s="73"/>
      <c r="F4654" s="73"/>
      <c r="G4654" s="73"/>
    </row>
    <row r="4655" spans="2:7" ht="32.25" customHeight="1" x14ac:dyDescent="0.35">
      <c r="B4655" s="73"/>
      <c r="C4655" s="73"/>
      <c r="D4655" s="73"/>
      <c r="E4655" s="73"/>
      <c r="F4655" s="73"/>
      <c r="G4655" s="73"/>
    </row>
    <row r="4656" spans="2:7" ht="32.25" customHeight="1" x14ac:dyDescent="0.35">
      <c r="B4656" s="73"/>
      <c r="C4656" s="73"/>
      <c r="D4656" s="73"/>
      <c r="E4656" s="73"/>
      <c r="F4656" s="73"/>
      <c r="G4656" s="73"/>
    </row>
    <row r="4657" spans="2:7" ht="32.25" customHeight="1" x14ac:dyDescent="0.35">
      <c r="B4657" s="73"/>
      <c r="C4657" s="73"/>
      <c r="D4657" s="73"/>
      <c r="E4657" s="73"/>
      <c r="F4657" s="73"/>
      <c r="G4657" s="73"/>
    </row>
    <row r="4658" spans="2:7" ht="32.25" customHeight="1" x14ac:dyDescent="0.35">
      <c r="B4658" s="73"/>
      <c r="C4658" s="73"/>
      <c r="D4658" s="73"/>
      <c r="E4658" s="73"/>
      <c r="F4658" s="73"/>
      <c r="G4658" s="73"/>
    </row>
    <row r="4659" spans="2:7" ht="32.25" customHeight="1" x14ac:dyDescent="0.35">
      <c r="B4659" s="73"/>
      <c r="C4659" s="73"/>
      <c r="D4659" s="73"/>
      <c r="E4659" s="73"/>
      <c r="F4659" s="73"/>
      <c r="G4659" s="73"/>
    </row>
    <row r="4660" spans="2:7" ht="32.25" customHeight="1" x14ac:dyDescent="0.35">
      <c r="B4660" s="73"/>
      <c r="C4660" s="73"/>
      <c r="D4660" s="73"/>
      <c r="E4660" s="73"/>
      <c r="F4660" s="73"/>
      <c r="G4660" s="73"/>
    </row>
    <row r="4661" spans="2:7" ht="32.25" customHeight="1" x14ac:dyDescent="0.35">
      <c r="B4661" s="73"/>
      <c r="C4661" s="73"/>
      <c r="D4661" s="73"/>
      <c r="E4661" s="73"/>
      <c r="F4661" s="73"/>
      <c r="G4661" s="73"/>
    </row>
    <row r="4662" spans="2:7" ht="32.25" customHeight="1" x14ac:dyDescent="0.35">
      <c r="B4662" s="73"/>
      <c r="C4662" s="73"/>
      <c r="D4662" s="73"/>
      <c r="E4662" s="73"/>
      <c r="F4662" s="73"/>
      <c r="G4662" s="73"/>
    </row>
    <row r="4663" spans="2:7" ht="32.25" customHeight="1" x14ac:dyDescent="0.35">
      <c r="B4663" s="73"/>
      <c r="C4663" s="73"/>
      <c r="D4663" s="73"/>
      <c r="E4663" s="73"/>
      <c r="F4663" s="73"/>
      <c r="G4663" s="73"/>
    </row>
    <row r="4664" spans="2:7" ht="32.25" customHeight="1" x14ac:dyDescent="0.35">
      <c r="B4664" s="73"/>
      <c r="C4664" s="73"/>
      <c r="D4664" s="73"/>
      <c r="E4664" s="73"/>
      <c r="F4664" s="73"/>
      <c r="G4664" s="73"/>
    </row>
    <row r="4665" spans="2:7" ht="32.25" customHeight="1" x14ac:dyDescent="0.35">
      <c r="B4665" s="73"/>
      <c r="C4665" s="73"/>
      <c r="D4665" s="73"/>
      <c r="E4665" s="73"/>
      <c r="F4665" s="73"/>
      <c r="G4665" s="73"/>
    </row>
    <row r="4666" spans="2:7" ht="32.25" customHeight="1" x14ac:dyDescent="0.35">
      <c r="B4666" s="73"/>
      <c r="C4666" s="73"/>
      <c r="D4666" s="73"/>
      <c r="E4666" s="73"/>
      <c r="F4666" s="73"/>
      <c r="G4666" s="73"/>
    </row>
    <row r="4667" spans="2:7" ht="32.25" customHeight="1" x14ac:dyDescent="0.35">
      <c r="B4667" s="73"/>
      <c r="C4667" s="73"/>
      <c r="D4667" s="73"/>
      <c r="E4667" s="73"/>
      <c r="F4667" s="73"/>
      <c r="G4667" s="73"/>
    </row>
    <row r="4668" spans="2:7" ht="32.25" customHeight="1" x14ac:dyDescent="0.35">
      <c r="B4668" s="73"/>
      <c r="C4668" s="73"/>
      <c r="D4668" s="73"/>
      <c r="E4668" s="73"/>
      <c r="F4668" s="73"/>
      <c r="G4668" s="73"/>
    </row>
    <row r="4669" spans="2:7" ht="32.25" customHeight="1" x14ac:dyDescent="0.35">
      <c r="B4669" s="73"/>
      <c r="C4669" s="73"/>
      <c r="D4669" s="73"/>
      <c r="E4669" s="73"/>
      <c r="F4669" s="73"/>
      <c r="G4669" s="73"/>
    </row>
    <row r="4670" spans="2:7" ht="32.25" customHeight="1" x14ac:dyDescent="0.35">
      <c r="B4670" s="73"/>
      <c r="C4670" s="73"/>
      <c r="D4670" s="73"/>
      <c r="E4670" s="73"/>
      <c r="F4670" s="73"/>
      <c r="G4670" s="73"/>
    </row>
    <row r="4671" spans="2:7" ht="32.25" customHeight="1" x14ac:dyDescent="0.35">
      <c r="B4671" s="73"/>
      <c r="C4671" s="73"/>
      <c r="D4671" s="73"/>
      <c r="E4671" s="73"/>
      <c r="F4671" s="73"/>
      <c r="G4671" s="73"/>
    </row>
    <row r="4672" spans="2:7" ht="32.25" customHeight="1" x14ac:dyDescent="0.35">
      <c r="B4672" s="73"/>
      <c r="C4672" s="73"/>
      <c r="D4672" s="73"/>
      <c r="E4672" s="73"/>
      <c r="F4672" s="73"/>
      <c r="G4672" s="73"/>
    </row>
    <row r="4673" spans="2:7" ht="32.25" customHeight="1" x14ac:dyDescent="0.35">
      <c r="B4673" s="73"/>
      <c r="C4673" s="73"/>
      <c r="D4673" s="73"/>
      <c r="E4673" s="73"/>
      <c r="F4673" s="73"/>
      <c r="G4673" s="73"/>
    </row>
    <row r="4674" spans="2:7" ht="32.25" customHeight="1" x14ac:dyDescent="0.35">
      <c r="B4674" s="73"/>
      <c r="C4674" s="73"/>
      <c r="D4674" s="73"/>
      <c r="E4674" s="73"/>
      <c r="F4674" s="73"/>
      <c r="G4674" s="73"/>
    </row>
    <row r="4675" spans="2:7" ht="32.25" customHeight="1" x14ac:dyDescent="0.35">
      <c r="B4675" s="73"/>
      <c r="C4675" s="73"/>
      <c r="D4675" s="73"/>
      <c r="E4675" s="73"/>
      <c r="F4675" s="73"/>
      <c r="G4675" s="73"/>
    </row>
    <row r="4676" spans="2:7" ht="32.25" customHeight="1" x14ac:dyDescent="0.35">
      <c r="B4676" s="73"/>
      <c r="C4676" s="73"/>
      <c r="D4676" s="73"/>
      <c r="E4676" s="73"/>
      <c r="F4676" s="73"/>
      <c r="G4676" s="73"/>
    </row>
    <row r="4677" spans="2:7" ht="32.25" customHeight="1" x14ac:dyDescent="0.35">
      <c r="B4677" s="73"/>
      <c r="C4677" s="73"/>
      <c r="D4677" s="73"/>
      <c r="E4677" s="73"/>
      <c r="F4677" s="73"/>
      <c r="G4677" s="73"/>
    </row>
    <row r="4678" spans="2:7" ht="32.25" customHeight="1" x14ac:dyDescent="0.35">
      <c r="B4678" s="73"/>
      <c r="C4678" s="73"/>
      <c r="D4678" s="73"/>
      <c r="E4678" s="73"/>
      <c r="F4678" s="73"/>
      <c r="G4678" s="73"/>
    </row>
    <row r="4679" spans="2:7" ht="32.25" customHeight="1" x14ac:dyDescent="0.35">
      <c r="B4679" s="73"/>
      <c r="C4679" s="73"/>
      <c r="D4679" s="73"/>
      <c r="E4679" s="73"/>
      <c r="F4679" s="73"/>
      <c r="G4679" s="73"/>
    </row>
    <row r="4680" spans="2:7" ht="32.25" customHeight="1" x14ac:dyDescent="0.35">
      <c r="B4680" s="73"/>
      <c r="C4680" s="73"/>
      <c r="D4680" s="73"/>
      <c r="E4680" s="73"/>
      <c r="F4680" s="73"/>
      <c r="G4680" s="73"/>
    </row>
    <row r="4681" spans="2:7" ht="32.25" customHeight="1" x14ac:dyDescent="0.35">
      <c r="B4681" s="73"/>
      <c r="C4681" s="73"/>
      <c r="D4681" s="73"/>
      <c r="E4681" s="73"/>
      <c r="F4681" s="73"/>
      <c r="G4681" s="73"/>
    </row>
    <row r="4682" spans="2:7" ht="32.25" customHeight="1" x14ac:dyDescent="0.35">
      <c r="B4682" s="73"/>
      <c r="C4682" s="73"/>
      <c r="D4682" s="73"/>
      <c r="E4682" s="73"/>
      <c r="F4682" s="73"/>
      <c r="G4682" s="73"/>
    </row>
    <row r="4683" spans="2:7" ht="32.25" customHeight="1" x14ac:dyDescent="0.35">
      <c r="B4683" s="73"/>
      <c r="C4683" s="73"/>
      <c r="D4683" s="73"/>
      <c r="E4683" s="73"/>
      <c r="F4683" s="73"/>
      <c r="G4683" s="73"/>
    </row>
    <row r="4684" spans="2:7" ht="32.25" customHeight="1" x14ac:dyDescent="0.35">
      <c r="B4684" s="73"/>
      <c r="C4684" s="73"/>
      <c r="D4684" s="73"/>
      <c r="E4684" s="73"/>
      <c r="F4684" s="73"/>
      <c r="G4684" s="73"/>
    </row>
    <row r="4685" spans="2:7" ht="32.25" customHeight="1" x14ac:dyDescent="0.35">
      <c r="B4685" s="73"/>
      <c r="C4685" s="73"/>
      <c r="D4685" s="73"/>
      <c r="E4685" s="73"/>
      <c r="F4685" s="73"/>
      <c r="G4685" s="73"/>
    </row>
    <row r="4686" spans="2:7" ht="32.25" customHeight="1" x14ac:dyDescent="0.35">
      <c r="B4686" s="73"/>
      <c r="C4686" s="73"/>
      <c r="D4686" s="73"/>
      <c r="E4686" s="73"/>
      <c r="F4686" s="73"/>
      <c r="G4686" s="73"/>
    </row>
    <row r="4687" spans="2:7" ht="32.25" customHeight="1" x14ac:dyDescent="0.35">
      <c r="B4687" s="73"/>
      <c r="C4687" s="73"/>
      <c r="D4687" s="73"/>
      <c r="E4687" s="73"/>
      <c r="F4687" s="73"/>
      <c r="G4687" s="73"/>
    </row>
    <row r="4688" spans="2:7" ht="32.25" customHeight="1" x14ac:dyDescent="0.35">
      <c r="B4688" s="73"/>
      <c r="C4688" s="73"/>
      <c r="D4688" s="73"/>
      <c r="E4688" s="73"/>
      <c r="F4688" s="73"/>
      <c r="G4688" s="73"/>
    </row>
    <row r="4689" spans="2:7" ht="32.25" customHeight="1" x14ac:dyDescent="0.35">
      <c r="B4689" s="73"/>
      <c r="C4689" s="73"/>
      <c r="D4689" s="73"/>
      <c r="E4689" s="73"/>
      <c r="F4689" s="73"/>
      <c r="G4689" s="73"/>
    </row>
    <row r="4690" spans="2:7" ht="32.25" customHeight="1" x14ac:dyDescent="0.35">
      <c r="B4690" s="73"/>
      <c r="C4690" s="73"/>
      <c r="D4690" s="73"/>
      <c r="E4690" s="73"/>
      <c r="F4690" s="73"/>
      <c r="G4690" s="73"/>
    </row>
    <row r="4691" spans="2:7" ht="32.25" customHeight="1" x14ac:dyDescent="0.35">
      <c r="B4691" s="73"/>
      <c r="C4691" s="73"/>
      <c r="D4691" s="73"/>
      <c r="E4691" s="73"/>
      <c r="F4691" s="73"/>
      <c r="G4691" s="73"/>
    </row>
    <row r="4692" spans="2:7" ht="32.25" customHeight="1" x14ac:dyDescent="0.35">
      <c r="B4692" s="73"/>
      <c r="C4692" s="73"/>
      <c r="D4692" s="73"/>
      <c r="E4692" s="73"/>
      <c r="F4692" s="73"/>
      <c r="G4692" s="73"/>
    </row>
    <row r="4693" spans="2:7" ht="32.25" customHeight="1" x14ac:dyDescent="0.35">
      <c r="B4693" s="73"/>
      <c r="C4693" s="73"/>
      <c r="D4693" s="73"/>
      <c r="E4693" s="73"/>
      <c r="F4693" s="73"/>
      <c r="G4693" s="73"/>
    </row>
    <row r="4694" spans="2:7" ht="32.25" customHeight="1" x14ac:dyDescent="0.35">
      <c r="B4694" s="73"/>
      <c r="C4694" s="73"/>
      <c r="D4694" s="73"/>
      <c r="E4694" s="73"/>
      <c r="F4694" s="73"/>
      <c r="G4694" s="73"/>
    </row>
    <row r="4695" spans="2:7" ht="32.25" customHeight="1" x14ac:dyDescent="0.35">
      <c r="B4695" s="73"/>
      <c r="C4695" s="73"/>
      <c r="D4695" s="73"/>
      <c r="E4695" s="73"/>
      <c r="F4695" s="73"/>
      <c r="G4695" s="73"/>
    </row>
    <row r="4696" spans="2:7" ht="32.25" customHeight="1" x14ac:dyDescent="0.35">
      <c r="B4696" s="73"/>
      <c r="C4696" s="73"/>
      <c r="D4696" s="73"/>
      <c r="E4696" s="73"/>
      <c r="F4696" s="73"/>
      <c r="G4696" s="73"/>
    </row>
    <row r="4697" spans="2:7" ht="32.25" customHeight="1" x14ac:dyDescent="0.35">
      <c r="B4697" s="73"/>
      <c r="C4697" s="73"/>
      <c r="D4697" s="73"/>
      <c r="E4697" s="73"/>
      <c r="F4697" s="73"/>
      <c r="G4697" s="73"/>
    </row>
    <row r="4698" spans="2:7" ht="32.25" customHeight="1" x14ac:dyDescent="0.35">
      <c r="B4698" s="73"/>
      <c r="C4698" s="73"/>
      <c r="D4698" s="73"/>
      <c r="E4698" s="73"/>
      <c r="F4698" s="73"/>
      <c r="G4698" s="73"/>
    </row>
    <row r="4699" spans="2:7" ht="32.25" customHeight="1" x14ac:dyDescent="0.35">
      <c r="B4699" s="73"/>
      <c r="C4699" s="73"/>
      <c r="D4699" s="73"/>
      <c r="E4699" s="73"/>
      <c r="F4699" s="73"/>
      <c r="G4699" s="73"/>
    </row>
    <row r="4700" spans="2:7" ht="32.25" customHeight="1" x14ac:dyDescent="0.35">
      <c r="B4700" s="73"/>
      <c r="C4700" s="73"/>
      <c r="D4700" s="73"/>
      <c r="E4700" s="73"/>
      <c r="F4700" s="73"/>
      <c r="G4700" s="73"/>
    </row>
    <row r="4701" spans="2:7" ht="32.25" customHeight="1" x14ac:dyDescent="0.35">
      <c r="B4701" s="73"/>
      <c r="C4701" s="73"/>
      <c r="D4701" s="73"/>
      <c r="E4701" s="73"/>
      <c r="F4701" s="73"/>
      <c r="G4701" s="73"/>
    </row>
    <row r="4702" spans="2:7" ht="32.25" customHeight="1" x14ac:dyDescent="0.35">
      <c r="B4702" s="73"/>
      <c r="C4702" s="73"/>
      <c r="D4702" s="73"/>
      <c r="E4702" s="73"/>
      <c r="F4702" s="73"/>
      <c r="G4702" s="73"/>
    </row>
    <row r="4703" spans="2:7" ht="32.25" customHeight="1" x14ac:dyDescent="0.35">
      <c r="B4703" s="73"/>
      <c r="C4703" s="73"/>
      <c r="D4703" s="73"/>
      <c r="E4703" s="73"/>
      <c r="F4703" s="73"/>
      <c r="G4703" s="73"/>
    </row>
    <row r="4704" spans="2:7" ht="32.25" customHeight="1" x14ac:dyDescent="0.35">
      <c r="B4704" s="73"/>
      <c r="C4704" s="73"/>
      <c r="D4704" s="73"/>
      <c r="E4704" s="73"/>
      <c r="F4704" s="73"/>
      <c r="G4704" s="73"/>
    </row>
    <row r="4705" spans="2:7" ht="32.25" customHeight="1" x14ac:dyDescent="0.35">
      <c r="B4705" s="73"/>
      <c r="C4705" s="73"/>
      <c r="D4705" s="73"/>
      <c r="E4705" s="73"/>
      <c r="F4705" s="73"/>
      <c r="G4705" s="73"/>
    </row>
    <row r="4706" spans="2:7" ht="32.25" customHeight="1" x14ac:dyDescent="0.35">
      <c r="B4706" s="73"/>
      <c r="C4706" s="73"/>
      <c r="D4706" s="73"/>
      <c r="E4706" s="73"/>
      <c r="F4706" s="73"/>
      <c r="G4706" s="73"/>
    </row>
    <row r="4707" spans="2:7" ht="32.25" customHeight="1" x14ac:dyDescent="0.35">
      <c r="B4707" s="73"/>
      <c r="C4707" s="73"/>
      <c r="D4707" s="73"/>
      <c r="E4707" s="73"/>
      <c r="F4707" s="73"/>
      <c r="G4707" s="73"/>
    </row>
    <row r="4708" spans="2:7" ht="32.25" customHeight="1" x14ac:dyDescent="0.35">
      <c r="B4708" s="73"/>
      <c r="C4708" s="73"/>
      <c r="D4708" s="73"/>
      <c r="E4708" s="73"/>
      <c r="F4708" s="73"/>
      <c r="G4708" s="73"/>
    </row>
    <row r="4709" spans="2:7" ht="32.25" customHeight="1" x14ac:dyDescent="0.35">
      <c r="B4709" s="73"/>
      <c r="C4709" s="73"/>
      <c r="D4709" s="73"/>
      <c r="E4709" s="73"/>
      <c r="F4709" s="73"/>
      <c r="G4709" s="73"/>
    </row>
    <row r="4710" spans="2:7" ht="32.25" customHeight="1" x14ac:dyDescent="0.35">
      <c r="B4710" s="73"/>
      <c r="C4710" s="73"/>
      <c r="D4710" s="73"/>
      <c r="E4710" s="73"/>
      <c r="F4710" s="73"/>
      <c r="G4710" s="73"/>
    </row>
    <row r="4711" spans="2:7" ht="32.25" customHeight="1" x14ac:dyDescent="0.35">
      <c r="B4711" s="73"/>
      <c r="C4711" s="73"/>
      <c r="D4711" s="73"/>
      <c r="E4711" s="73"/>
      <c r="F4711" s="73"/>
      <c r="G4711" s="73"/>
    </row>
    <row r="4712" spans="2:7" ht="32.25" customHeight="1" x14ac:dyDescent="0.35">
      <c r="B4712" s="73"/>
      <c r="C4712" s="73"/>
      <c r="D4712" s="73"/>
      <c r="E4712" s="73"/>
      <c r="F4712" s="73"/>
      <c r="G4712" s="73"/>
    </row>
    <row r="4713" spans="2:7" ht="32.25" customHeight="1" x14ac:dyDescent="0.35">
      <c r="B4713" s="73"/>
      <c r="C4713" s="73"/>
      <c r="D4713" s="73"/>
      <c r="E4713" s="73"/>
      <c r="F4713" s="73"/>
      <c r="G4713" s="73"/>
    </row>
    <row r="4714" spans="2:7" ht="32.25" customHeight="1" x14ac:dyDescent="0.35">
      <c r="B4714" s="73"/>
      <c r="C4714" s="73"/>
      <c r="D4714" s="73"/>
      <c r="E4714" s="73"/>
      <c r="F4714" s="73"/>
      <c r="G4714" s="73"/>
    </row>
    <row r="4715" spans="2:7" ht="32.25" customHeight="1" x14ac:dyDescent="0.35">
      <c r="B4715" s="73"/>
      <c r="C4715" s="73"/>
      <c r="D4715" s="73"/>
      <c r="E4715" s="73"/>
      <c r="F4715" s="73"/>
      <c r="G4715" s="73"/>
    </row>
    <row r="4716" spans="2:7" ht="32.25" customHeight="1" x14ac:dyDescent="0.35">
      <c r="B4716" s="73"/>
      <c r="C4716" s="73"/>
      <c r="D4716" s="73"/>
      <c r="E4716" s="73"/>
      <c r="F4716" s="73"/>
      <c r="G4716" s="73"/>
    </row>
    <row r="4717" spans="2:7" ht="32.25" customHeight="1" x14ac:dyDescent="0.35">
      <c r="B4717" s="73"/>
      <c r="C4717" s="73"/>
      <c r="D4717" s="73"/>
      <c r="E4717" s="73"/>
      <c r="F4717" s="73"/>
      <c r="G4717" s="73"/>
    </row>
    <row r="4718" spans="2:7" ht="32.25" customHeight="1" x14ac:dyDescent="0.35">
      <c r="B4718" s="73"/>
      <c r="C4718" s="73"/>
      <c r="D4718" s="73"/>
      <c r="E4718" s="73"/>
      <c r="F4718" s="73"/>
      <c r="G4718" s="73"/>
    </row>
    <row r="4719" spans="2:7" ht="32.25" customHeight="1" x14ac:dyDescent="0.35">
      <c r="B4719" s="73"/>
      <c r="C4719" s="73"/>
      <c r="D4719" s="73"/>
      <c r="E4719" s="73"/>
      <c r="F4719" s="73"/>
      <c r="G4719" s="73"/>
    </row>
    <row r="4720" spans="2:7" ht="32.25" customHeight="1" x14ac:dyDescent="0.35">
      <c r="B4720" s="73"/>
      <c r="C4720" s="73"/>
      <c r="D4720" s="73"/>
      <c r="E4720" s="73"/>
      <c r="F4720" s="73"/>
      <c r="G4720" s="73"/>
    </row>
    <row r="4721" spans="2:7" ht="32.25" customHeight="1" x14ac:dyDescent="0.35">
      <c r="B4721" s="73"/>
      <c r="C4721" s="73"/>
      <c r="D4721" s="73"/>
      <c r="E4721" s="73"/>
      <c r="F4721" s="73"/>
      <c r="G4721" s="73"/>
    </row>
    <row r="4722" spans="2:7" ht="32.25" customHeight="1" x14ac:dyDescent="0.35">
      <c r="B4722" s="73"/>
      <c r="C4722" s="73"/>
      <c r="D4722" s="73"/>
      <c r="E4722" s="73"/>
      <c r="F4722" s="73"/>
      <c r="G4722" s="73"/>
    </row>
    <row r="4723" spans="2:7" ht="32.25" customHeight="1" x14ac:dyDescent="0.35">
      <c r="B4723" s="73"/>
      <c r="C4723" s="73"/>
      <c r="D4723" s="73"/>
      <c r="E4723" s="73"/>
      <c r="F4723" s="73"/>
      <c r="G4723" s="73"/>
    </row>
    <row r="4724" spans="2:7" ht="32.25" customHeight="1" x14ac:dyDescent="0.35">
      <c r="B4724" s="73"/>
      <c r="C4724" s="73"/>
      <c r="D4724" s="73"/>
      <c r="E4724" s="73"/>
      <c r="F4724" s="73"/>
      <c r="G4724" s="73"/>
    </row>
    <row r="4725" spans="2:7" ht="32.25" customHeight="1" x14ac:dyDescent="0.35">
      <c r="B4725" s="73"/>
      <c r="C4725" s="73"/>
      <c r="D4725" s="73"/>
      <c r="E4725" s="73"/>
      <c r="F4725" s="73"/>
      <c r="G4725" s="73"/>
    </row>
    <row r="4726" spans="2:7" ht="32.25" customHeight="1" x14ac:dyDescent="0.35">
      <c r="B4726" s="73"/>
      <c r="C4726" s="73"/>
      <c r="D4726" s="73"/>
      <c r="E4726" s="73"/>
      <c r="F4726" s="73"/>
      <c r="G4726" s="73"/>
    </row>
    <row r="4727" spans="2:7" ht="32.25" customHeight="1" x14ac:dyDescent="0.35">
      <c r="B4727" s="73"/>
      <c r="C4727" s="73"/>
      <c r="D4727" s="73"/>
      <c r="E4727" s="73"/>
      <c r="F4727" s="73"/>
      <c r="G4727" s="73"/>
    </row>
    <row r="4728" spans="2:7" ht="32.25" customHeight="1" x14ac:dyDescent="0.35">
      <c r="B4728" s="73"/>
      <c r="C4728" s="73"/>
      <c r="D4728" s="73"/>
      <c r="E4728" s="73"/>
      <c r="F4728" s="73"/>
      <c r="G4728" s="73"/>
    </row>
    <row r="4729" spans="2:7" ht="32.25" customHeight="1" x14ac:dyDescent="0.35">
      <c r="B4729" s="73"/>
      <c r="C4729" s="73"/>
      <c r="D4729" s="73"/>
      <c r="E4729" s="73"/>
      <c r="F4729" s="73"/>
      <c r="G4729" s="73"/>
    </row>
    <row r="4730" spans="2:7" ht="32.25" customHeight="1" x14ac:dyDescent="0.35">
      <c r="B4730" s="73"/>
      <c r="C4730" s="73"/>
      <c r="D4730" s="73"/>
      <c r="E4730" s="73"/>
      <c r="F4730" s="73"/>
      <c r="G4730" s="73"/>
    </row>
    <row r="4731" spans="2:7" ht="32.25" customHeight="1" x14ac:dyDescent="0.35">
      <c r="B4731" s="73"/>
      <c r="C4731" s="73"/>
      <c r="D4731" s="73"/>
      <c r="E4731" s="73"/>
      <c r="F4731" s="73"/>
      <c r="G4731" s="73"/>
    </row>
    <row r="4732" spans="2:7" ht="32.25" customHeight="1" x14ac:dyDescent="0.35">
      <c r="B4732" s="73"/>
      <c r="C4732" s="73"/>
      <c r="D4732" s="73"/>
      <c r="E4732" s="73"/>
      <c r="F4732" s="73"/>
      <c r="G4732" s="73"/>
    </row>
    <row r="4733" spans="2:7" ht="32.25" customHeight="1" x14ac:dyDescent="0.35">
      <c r="B4733" s="73"/>
      <c r="C4733" s="73"/>
      <c r="D4733" s="73"/>
      <c r="E4733" s="73"/>
      <c r="F4733" s="73"/>
      <c r="G4733" s="73"/>
    </row>
    <row r="4734" spans="2:7" ht="32.25" customHeight="1" x14ac:dyDescent="0.35">
      <c r="B4734" s="73"/>
      <c r="C4734" s="73"/>
      <c r="D4734" s="73"/>
      <c r="E4734" s="73"/>
      <c r="F4734" s="73"/>
      <c r="G4734" s="73"/>
    </row>
    <row r="4735" spans="2:7" ht="32.25" customHeight="1" x14ac:dyDescent="0.35">
      <c r="B4735" s="73"/>
      <c r="C4735" s="73"/>
      <c r="D4735" s="73"/>
      <c r="E4735" s="73"/>
      <c r="F4735" s="73"/>
      <c r="G4735" s="73"/>
    </row>
    <row r="4736" spans="2:7" ht="32.25" customHeight="1" x14ac:dyDescent="0.35">
      <c r="B4736" s="73"/>
      <c r="C4736" s="73"/>
      <c r="D4736" s="73"/>
      <c r="E4736" s="73"/>
      <c r="F4736" s="73"/>
      <c r="G4736" s="73"/>
    </row>
    <row r="4737" spans="2:7" ht="32.25" customHeight="1" x14ac:dyDescent="0.35">
      <c r="B4737" s="73"/>
      <c r="C4737" s="73"/>
      <c r="D4737" s="73"/>
      <c r="E4737" s="73"/>
      <c r="F4737" s="73"/>
      <c r="G4737" s="73"/>
    </row>
    <row r="4738" spans="2:7" ht="32.25" customHeight="1" x14ac:dyDescent="0.35">
      <c r="B4738" s="73"/>
      <c r="C4738" s="73"/>
      <c r="D4738" s="73"/>
      <c r="E4738" s="73"/>
      <c r="F4738" s="73"/>
      <c r="G4738" s="73"/>
    </row>
    <row r="4739" spans="2:7" ht="32.25" customHeight="1" x14ac:dyDescent="0.35">
      <c r="B4739" s="73"/>
      <c r="C4739" s="73"/>
      <c r="D4739" s="73"/>
      <c r="E4739" s="73"/>
      <c r="F4739" s="73"/>
      <c r="G4739" s="73"/>
    </row>
    <row r="4740" spans="2:7" ht="32.25" customHeight="1" x14ac:dyDescent="0.35">
      <c r="B4740" s="73"/>
      <c r="C4740" s="73"/>
      <c r="D4740" s="73"/>
      <c r="E4740" s="73"/>
      <c r="F4740" s="73"/>
      <c r="G4740" s="73"/>
    </row>
    <row r="4741" spans="2:7" ht="32.25" customHeight="1" x14ac:dyDescent="0.35">
      <c r="B4741" s="73"/>
      <c r="C4741" s="73"/>
      <c r="D4741" s="73"/>
      <c r="E4741" s="73"/>
      <c r="F4741" s="73"/>
      <c r="G4741" s="73"/>
    </row>
    <row r="4742" spans="2:7" ht="32.25" customHeight="1" x14ac:dyDescent="0.35">
      <c r="B4742" s="73"/>
      <c r="C4742" s="73"/>
      <c r="D4742" s="73"/>
      <c r="E4742" s="73"/>
      <c r="F4742" s="73"/>
      <c r="G4742" s="73"/>
    </row>
    <row r="4743" spans="2:7" ht="32.25" customHeight="1" x14ac:dyDescent="0.35">
      <c r="B4743" s="73"/>
      <c r="C4743" s="73"/>
      <c r="D4743" s="73"/>
      <c r="E4743" s="73"/>
      <c r="F4743" s="73"/>
      <c r="G4743" s="73"/>
    </row>
    <row r="4744" spans="2:7" ht="32.25" customHeight="1" x14ac:dyDescent="0.35">
      <c r="B4744" s="73"/>
      <c r="C4744" s="73"/>
      <c r="D4744" s="73"/>
      <c r="E4744" s="73"/>
      <c r="F4744" s="73"/>
      <c r="G4744" s="73"/>
    </row>
    <row r="4745" spans="2:7" ht="32.25" customHeight="1" x14ac:dyDescent="0.35">
      <c r="B4745" s="73"/>
      <c r="C4745" s="73"/>
      <c r="D4745" s="73"/>
      <c r="E4745" s="73"/>
      <c r="F4745" s="73"/>
      <c r="G4745" s="73"/>
    </row>
    <row r="4746" spans="2:7" ht="32.25" customHeight="1" x14ac:dyDescent="0.35">
      <c r="B4746" s="73"/>
      <c r="C4746" s="73"/>
      <c r="D4746" s="73"/>
      <c r="E4746" s="73"/>
      <c r="F4746" s="73"/>
      <c r="G4746" s="73"/>
    </row>
    <row r="4747" spans="2:7" ht="32.25" customHeight="1" x14ac:dyDescent="0.35">
      <c r="B4747" s="73"/>
      <c r="C4747" s="73"/>
      <c r="D4747" s="73"/>
      <c r="E4747" s="73"/>
      <c r="F4747" s="73"/>
      <c r="G4747" s="73"/>
    </row>
    <row r="4748" spans="2:7" ht="32.25" customHeight="1" x14ac:dyDescent="0.35">
      <c r="B4748" s="73"/>
      <c r="C4748" s="73"/>
      <c r="D4748" s="73"/>
      <c r="E4748" s="73"/>
      <c r="F4748" s="73"/>
      <c r="G4748" s="73"/>
    </row>
    <row r="4749" spans="2:7" ht="32.25" customHeight="1" x14ac:dyDescent="0.35">
      <c r="B4749" s="73"/>
      <c r="C4749" s="73"/>
      <c r="D4749" s="73"/>
      <c r="E4749" s="73"/>
      <c r="F4749" s="73"/>
      <c r="G4749" s="73"/>
    </row>
    <row r="4750" spans="2:7" ht="32.25" customHeight="1" x14ac:dyDescent="0.35">
      <c r="B4750" s="73"/>
      <c r="C4750" s="73"/>
      <c r="D4750" s="73"/>
      <c r="E4750" s="73"/>
      <c r="F4750" s="73"/>
      <c r="G4750" s="73"/>
    </row>
    <row r="4751" spans="2:7" ht="32.25" customHeight="1" x14ac:dyDescent="0.35">
      <c r="B4751" s="73"/>
      <c r="C4751" s="73"/>
      <c r="D4751" s="73"/>
      <c r="E4751" s="73"/>
      <c r="F4751" s="73"/>
      <c r="G4751" s="73"/>
    </row>
    <row r="4752" spans="2:7" ht="32.25" customHeight="1" x14ac:dyDescent="0.35">
      <c r="B4752" s="73"/>
      <c r="C4752" s="73"/>
      <c r="D4752" s="73"/>
      <c r="E4752" s="73"/>
      <c r="F4752" s="73"/>
      <c r="G4752" s="73"/>
    </row>
    <row r="4753" spans="2:7" ht="32.25" customHeight="1" x14ac:dyDescent="0.35">
      <c r="B4753" s="73"/>
      <c r="C4753" s="73"/>
      <c r="D4753" s="73"/>
      <c r="E4753" s="73"/>
      <c r="F4753" s="73"/>
      <c r="G4753" s="73"/>
    </row>
    <row r="4754" spans="2:7" ht="32.25" customHeight="1" x14ac:dyDescent="0.35">
      <c r="B4754" s="73"/>
      <c r="C4754" s="73"/>
      <c r="D4754" s="73"/>
      <c r="E4754" s="73"/>
      <c r="F4754" s="73"/>
      <c r="G4754" s="73"/>
    </row>
    <row r="4755" spans="2:7" ht="32.25" customHeight="1" x14ac:dyDescent="0.35">
      <c r="B4755" s="73"/>
      <c r="C4755" s="73"/>
      <c r="D4755" s="73"/>
      <c r="E4755" s="73"/>
      <c r="F4755" s="73"/>
      <c r="G4755" s="73"/>
    </row>
    <row r="4756" spans="2:7" ht="32.25" customHeight="1" x14ac:dyDescent="0.35">
      <c r="B4756" s="73"/>
      <c r="C4756" s="73"/>
      <c r="D4756" s="73"/>
      <c r="E4756" s="73"/>
      <c r="F4756" s="73"/>
      <c r="G4756" s="73"/>
    </row>
    <row r="4757" spans="2:7" ht="32.25" customHeight="1" x14ac:dyDescent="0.35">
      <c r="B4757" s="73"/>
      <c r="C4757" s="73"/>
      <c r="D4757" s="73"/>
      <c r="E4757" s="73"/>
      <c r="F4757" s="73"/>
      <c r="G4757" s="73"/>
    </row>
    <row r="4758" spans="2:7" ht="32.25" customHeight="1" x14ac:dyDescent="0.35">
      <c r="B4758" s="73"/>
      <c r="C4758" s="73"/>
      <c r="D4758" s="73"/>
      <c r="E4758" s="73"/>
      <c r="F4758" s="73"/>
      <c r="G4758" s="73"/>
    </row>
    <row r="4759" spans="2:7" ht="32.25" customHeight="1" x14ac:dyDescent="0.35">
      <c r="B4759" s="73"/>
      <c r="C4759" s="73"/>
      <c r="D4759" s="73"/>
      <c r="E4759" s="73"/>
      <c r="F4759" s="73"/>
      <c r="G4759" s="73"/>
    </row>
    <row r="4760" spans="2:7" ht="32.25" customHeight="1" x14ac:dyDescent="0.35">
      <c r="B4760" s="73"/>
      <c r="C4760" s="73"/>
      <c r="D4760" s="73"/>
      <c r="E4760" s="73"/>
      <c r="F4760" s="73"/>
      <c r="G4760" s="73"/>
    </row>
    <row r="4761" spans="2:7" ht="32.25" customHeight="1" x14ac:dyDescent="0.35">
      <c r="B4761" s="73"/>
      <c r="C4761" s="73"/>
      <c r="D4761" s="73"/>
      <c r="E4761" s="73"/>
      <c r="F4761" s="73"/>
      <c r="G4761" s="73"/>
    </row>
    <row r="4762" spans="2:7" ht="32.25" customHeight="1" x14ac:dyDescent="0.35">
      <c r="B4762" s="73"/>
      <c r="C4762" s="73"/>
      <c r="D4762" s="73"/>
      <c r="E4762" s="73"/>
      <c r="F4762" s="73"/>
      <c r="G4762" s="73"/>
    </row>
    <row r="4763" spans="2:7" ht="32.25" customHeight="1" x14ac:dyDescent="0.35">
      <c r="B4763" s="73"/>
      <c r="C4763" s="73"/>
      <c r="D4763" s="73"/>
      <c r="E4763" s="73"/>
      <c r="F4763" s="73"/>
      <c r="G4763" s="73"/>
    </row>
    <row r="4764" spans="2:7" ht="32.25" customHeight="1" x14ac:dyDescent="0.35">
      <c r="B4764" s="73"/>
      <c r="C4764" s="73"/>
      <c r="D4764" s="73"/>
      <c r="E4764" s="73"/>
      <c r="F4764" s="73"/>
      <c r="G4764" s="73"/>
    </row>
    <row r="4765" spans="2:7" ht="32.25" customHeight="1" x14ac:dyDescent="0.35">
      <c r="B4765" s="73"/>
      <c r="C4765" s="73"/>
      <c r="D4765" s="73"/>
      <c r="E4765" s="73"/>
      <c r="F4765" s="73"/>
      <c r="G4765" s="73"/>
    </row>
    <row r="4766" spans="2:7" ht="32.25" customHeight="1" x14ac:dyDescent="0.35">
      <c r="B4766" s="73"/>
      <c r="C4766" s="73"/>
      <c r="D4766" s="73"/>
      <c r="E4766" s="73"/>
      <c r="F4766" s="73"/>
      <c r="G4766" s="73"/>
    </row>
    <row r="4767" spans="2:7" ht="32.25" customHeight="1" x14ac:dyDescent="0.35">
      <c r="B4767" s="73"/>
      <c r="C4767" s="73"/>
      <c r="D4767" s="73"/>
      <c r="E4767" s="73"/>
      <c r="F4767" s="73"/>
      <c r="G4767" s="73"/>
    </row>
    <row r="4768" spans="2:7" ht="32.25" customHeight="1" x14ac:dyDescent="0.35">
      <c r="B4768" s="73"/>
      <c r="C4768" s="73"/>
      <c r="D4768" s="73"/>
      <c r="E4768" s="73"/>
      <c r="F4768" s="73"/>
      <c r="G4768" s="73"/>
    </row>
    <row r="4769" spans="2:7" ht="32.25" customHeight="1" x14ac:dyDescent="0.35">
      <c r="B4769" s="73"/>
      <c r="C4769" s="73"/>
      <c r="D4769" s="73"/>
      <c r="E4769" s="73"/>
      <c r="F4769" s="73"/>
      <c r="G4769" s="73"/>
    </row>
    <row r="4770" spans="2:7" ht="32.25" customHeight="1" x14ac:dyDescent="0.35">
      <c r="B4770" s="73"/>
      <c r="C4770" s="73"/>
      <c r="D4770" s="73"/>
      <c r="E4770" s="73"/>
      <c r="F4770" s="73"/>
      <c r="G4770" s="73"/>
    </row>
    <row r="4771" spans="2:7" ht="32.25" customHeight="1" x14ac:dyDescent="0.35">
      <c r="B4771" s="73"/>
      <c r="C4771" s="73"/>
      <c r="D4771" s="73"/>
      <c r="E4771" s="73"/>
      <c r="F4771" s="73"/>
      <c r="G4771" s="73"/>
    </row>
    <row r="4772" spans="2:7" ht="32.25" customHeight="1" x14ac:dyDescent="0.35">
      <c r="B4772" s="73"/>
      <c r="C4772" s="73"/>
      <c r="D4772" s="73"/>
      <c r="E4772" s="73"/>
      <c r="F4772" s="73"/>
      <c r="G4772" s="73"/>
    </row>
    <row r="4773" spans="2:7" ht="32.25" customHeight="1" x14ac:dyDescent="0.35">
      <c r="B4773" s="73"/>
      <c r="C4773" s="73"/>
      <c r="D4773" s="73"/>
      <c r="E4773" s="73"/>
      <c r="F4773" s="73"/>
      <c r="G4773" s="73"/>
    </row>
    <row r="4774" spans="2:7" ht="32.25" customHeight="1" x14ac:dyDescent="0.35">
      <c r="B4774" s="73"/>
      <c r="C4774" s="73"/>
      <c r="D4774" s="73"/>
      <c r="E4774" s="73"/>
      <c r="F4774" s="73"/>
      <c r="G4774" s="73"/>
    </row>
    <row r="4775" spans="2:7" ht="32.25" customHeight="1" x14ac:dyDescent="0.35">
      <c r="B4775" s="73"/>
      <c r="C4775" s="73"/>
      <c r="D4775" s="73"/>
      <c r="E4775" s="73"/>
      <c r="F4775" s="73"/>
      <c r="G4775" s="73"/>
    </row>
    <row r="4776" spans="2:7" ht="32.25" customHeight="1" x14ac:dyDescent="0.35">
      <c r="B4776" s="73"/>
      <c r="C4776" s="73"/>
      <c r="D4776" s="73"/>
      <c r="E4776" s="73"/>
      <c r="F4776" s="73"/>
      <c r="G4776" s="73"/>
    </row>
    <row r="4777" spans="2:7" ht="32.25" customHeight="1" x14ac:dyDescent="0.35">
      <c r="B4777" s="73"/>
      <c r="C4777" s="73"/>
      <c r="D4777" s="73"/>
      <c r="E4777" s="73"/>
      <c r="F4777" s="73"/>
      <c r="G4777" s="73"/>
    </row>
    <row r="4778" spans="2:7" ht="32.25" customHeight="1" x14ac:dyDescent="0.35">
      <c r="B4778" s="73"/>
      <c r="C4778" s="73"/>
      <c r="D4778" s="73"/>
      <c r="E4778" s="73"/>
      <c r="F4778" s="73"/>
      <c r="G4778" s="73"/>
    </row>
    <row r="4779" spans="2:7" ht="32.25" customHeight="1" x14ac:dyDescent="0.35">
      <c r="B4779" s="73"/>
      <c r="C4779" s="73"/>
      <c r="D4779" s="73"/>
      <c r="E4779" s="73"/>
      <c r="F4779" s="73"/>
      <c r="G4779" s="73"/>
    </row>
    <row r="4780" spans="2:7" ht="32.25" customHeight="1" x14ac:dyDescent="0.35">
      <c r="B4780" s="73"/>
      <c r="C4780" s="73"/>
      <c r="D4780" s="73"/>
      <c r="E4780" s="73"/>
      <c r="F4780" s="73"/>
      <c r="G4780" s="73"/>
    </row>
    <row r="4781" spans="2:7" ht="32.25" customHeight="1" x14ac:dyDescent="0.35">
      <c r="B4781" s="73"/>
      <c r="C4781" s="73"/>
      <c r="D4781" s="73"/>
      <c r="E4781" s="73"/>
      <c r="F4781" s="73"/>
      <c r="G4781" s="73"/>
    </row>
    <row r="4782" spans="2:7" ht="32.25" customHeight="1" x14ac:dyDescent="0.35">
      <c r="B4782" s="73"/>
      <c r="C4782" s="73"/>
      <c r="D4782" s="73"/>
      <c r="E4782" s="73"/>
      <c r="F4782" s="73"/>
      <c r="G4782" s="73"/>
    </row>
    <row r="4783" spans="2:7" ht="32.25" customHeight="1" x14ac:dyDescent="0.35">
      <c r="B4783" s="73"/>
      <c r="C4783" s="73"/>
      <c r="D4783" s="73"/>
      <c r="E4783" s="73"/>
      <c r="F4783" s="73"/>
      <c r="G4783" s="73"/>
    </row>
    <row r="4784" spans="2:7" ht="32.25" customHeight="1" x14ac:dyDescent="0.35">
      <c r="B4784" s="73"/>
      <c r="C4784" s="73"/>
      <c r="D4784" s="73"/>
      <c r="E4784" s="73"/>
      <c r="F4784" s="73"/>
      <c r="G4784" s="73"/>
    </row>
    <row r="4785" spans="2:7" ht="32.25" customHeight="1" x14ac:dyDescent="0.35">
      <c r="B4785" s="73"/>
      <c r="C4785" s="73"/>
      <c r="D4785" s="73"/>
      <c r="E4785" s="73"/>
      <c r="F4785" s="73"/>
      <c r="G4785" s="73"/>
    </row>
    <row r="4786" spans="2:7" ht="32.25" customHeight="1" x14ac:dyDescent="0.35">
      <c r="B4786" s="73"/>
      <c r="C4786" s="73"/>
      <c r="D4786" s="73"/>
      <c r="E4786" s="73"/>
      <c r="F4786" s="73"/>
      <c r="G4786" s="73"/>
    </row>
    <row r="4787" spans="2:7" ht="32.25" customHeight="1" x14ac:dyDescent="0.35">
      <c r="B4787" s="73"/>
      <c r="C4787" s="73"/>
      <c r="D4787" s="73"/>
      <c r="E4787" s="73"/>
      <c r="F4787" s="73"/>
      <c r="G4787" s="73"/>
    </row>
    <row r="4788" spans="2:7" ht="32.25" customHeight="1" x14ac:dyDescent="0.35">
      <c r="B4788" s="73"/>
      <c r="C4788" s="73"/>
      <c r="D4788" s="73"/>
      <c r="E4788" s="73"/>
      <c r="F4788" s="73"/>
      <c r="G4788" s="73"/>
    </row>
    <row r="4789" spans="2:7" ht="32.25" customHeight="1" x14ac:dyDescent="0.35">
      <c r="B4789" s="73"/>
      <c r="C4789" s="73"/>
      <c r="D4789" s="73"/>
      <c r="E4789" s="73"/>
      <c r="F4789" s="73"/>
      <c r="G4789" s="73"/>
    </row>
    <row r="4790" spans="2:7" ht="32.25" customHeight="1" x14ac:dyDescent="0.35">
      <c r="B4790" s="73"/>
      <c r="C4790" s="73"/>
      <c r="D4790" s="73"/>
      <c r="E4790" s="73"/>
      <c r="F4790" s="73"/>
      <c r="G4790" s="73"/>
    </row>
    <row r="4791" spans="2:7" ht="32.25" customHeight="1" x14ac:dyDescent="0.35">
      <c r="B4791" s="73"/>
      <c r="C4791" s="73"/>
      <c r="D4791" s="73"/>
      <c r="E4791" s="73"/>
      <c r="F4791" s="73"/>
      <c r="G4791" s="73"/>
    </row>
    <row r="4792" spans="2:7" ht="32.25" customHeight="1" x14ac:dyDescent="0.35">
      <c r="B4792" s="73"/>
      <c r="C4792" s="73"/>
      <c r="D4792" s="73"/>
      <c r="E4792" s="73"/>
      <c r="F4792" s="73"/>
      <c r="G4792" s="73"/>
    </row>
    <row r="4793" spans="2:7" ht="32.25" customHeight="1" x14ac:dyDescent="0.35">
      <c r="B4793" s="73"/>
      <c r="C4793" s="73"/>
      <c r="D4793" s="73"/>
      <c r="E4793" s="73"/>
      <c r="F4793" s="73"/>
      <c r="G4793" s="73"/>
    </row>
    <row r="4794" spans="2:7" ht="32.25" customHeight="1" x14ac:dyDescent="0.35">
      <c r="B4794" s="73"/>
      <c r="C4794" s="73"/>
      <c r="D4794" s="73"/>
      <c r="E4794" s="73"/>
      <c r="F4794" s="73"/>
      <c r="G4794" s="73"/>
    </row>
    <row r="4795" spans="2:7" ht="32.25" customHeight="1" x14ac:dyDescent="0.35">
      <c r="B4795" s="73"/>
      <c r="C4795" s="73"/>
      <c r="D4795" s="73"/>
      <c r="E4795" s="73"/>
      <c r="F4795" s="73"/>
      <c r="G4795" s="73"/>
    </row>
    <row r="4796" spans="2:7" ht="32.25" customHeight="1" x14ac:dyDescent="0.35">
      <c r="B4796" s="73"/>
      <c r="C4796" s="73"/>
      <c r="D4796" s="73"/>
      <c r="E4796" s="73"/>
      <c r="F4796" s="73"/>
      <c r="G4796" s="73"/>
    </row>
    <row r="4797" spans="2:7" ht="32.25" customHeight="1" x14ac:dyDescent="0.35">
      <c r="B4797" s="73"/>
      <c r="C4797" s="73"/>
      <c r="D4797" s="73"/>
      <c r="E4797" s="73"/>
      <c r="F4797" s="73"/>
      <c r="G4797" s="73"/>
    </row>
    <row r="4798" spans="2:7" ht="32.25" customHeight="1" x14ac:dyDescent="0.35">
      <c r="B4798" s="73"/>
      <c r="C4798" s="73"/>
      <c r="D4798" s="73"/>
      <c r="E4798" s="73"/>
      <c r="F4798" s="73"/>
      <c r="G4798" s="73"/>
    </row>
    <row r="4799" spans="2:7" ht="32.25" customHeight="1" x14ac:dyDescent="0.35">
      <c r="B4799" s="73"/>
      <c r="C4799" s="73"/>
      <c r="D4799" s="73"/>
      <c r="E4799" s="73"/>
      <c r="F4799" s="73"/>
      <c r="G4799" s="73"/>
    </row>
    <row r="4800" spans="2:7" ht="32.25" customHeight="1" x14ac:dyDescent="0.35">
      <c r="B4800" s="73"/>
      <c r="C4800" s="73"/>
      <c r="D4800" s="73"/>
      <c r="E4800" s="73"/>
      <c r="F4800" s="73"/>
      <c r="G4800" s="73"/>
    </row>
    <row r="4801" spans="2:7" ht="32.25" customHeight="1" x14ac:dyDescent="0.35">
      <c r="B4801" s="73"/>
      <c r="C4801" s="73"/>
      <c r="D4801" s="73"/>
      <c r="E4801" s="73"/>
      <c r="F4801" s="73"/>
      <c r="G4801" s="73"/>
    </row>
    <row r="4802" spans="2:7" ht="32.25" customHeight="1" x14ac:dyDescent="0.35">
      <c r="B4802" s="73"/>
      <c r="C4802" s="73"/>
      <c r="D4802" s="73"/>
      <c r="E4802" s="73"/>
      <c r="F4802" s="73"/>
      <c r="G4802" s="73"/>
    </row>
    <row r="4803" spans="2:7" ht="32.25" customHeight="1" x14ac:dyDescent="0.35">
      <c r="B4803" s="73"/>
      <c r="C4803" s="73"/>
      <c r="D4803" s="73"/>
      <c r="E4803" s="73"/>
      <c r="F4803" s="73"/>
      <c r="G4803" s="73"/>
    </row>
    <row r="4804" spans="2:7" ht="32.25" customHeight="1" x14ac:dyDescent="0.35">
      <c r="B4804" s="73"/>
      <c r="C4804" s="73"/>
      <c r="D4804" s="73"/>
      <c r="E4804" s="73"/>
      <c r="F4804" s="73"/>
      <c r="G4804" s="73"/>
    </row>
    <row r="4805" spans="2:7" ht="32.25" customHeight="1" x14ac:dyDescent="0.35">
      <c r="B4805" s="73"/>
      <c r="C4805" s="73"/>
      <c r="D4805" s="73"/>
      <c r="E4805" s="73"/>
      <c r="F4805" s="73"/>
      <c r="G4805" s="73"/>
    </row>
    <row r="4806" spans="2:7" ht="32.25" customHeight="1" x14ac:dyDescent="0.35">
      <c r="B4806" s="73"/>
      <c r="C4806" s="73"/>
      <c r="D4806" s="73"/>
      <c r="E4806" s="73"/>
      <c r="F4806" s="73"/>
      <c r="G4806" s="73"/>
    </row>
    <row r="4807" spans="2:7" ht="32.25" customHeight="1" x14ac:dyDescent="0.35">
      <c r="B4807" s="73"/>
      <c r="C4807" s="73"/>
      <c r="D4807" s="73"/>
      <c r="E4807" s="73"/>
      <c r="F4807" s="73"/>
      <c r="G4807" s="73"/>
    </row>
    <row r="4808" spans="2:7" ht="32.25" customHeight="1" x14ac:dyDescent="0.35">
      <c r="B4808" s="73"/>
      <c r="C4808" s="73"/>
      <c r="D4808" s="73"/>
      <c r="E4808" s="73"/>
      <c r="F4808" s="73"/>
      <c r="G4808" s="73"/>
    </row>
    <row r="4809" spans="2:7" ht="32.25" customHeight="1" x14ac:dyDescent="0.35">
      <c r="B4809" s="73"/>
      <c r="C4809" s="73"/>
      <c r="D4809" s="73"/>
      <c r="E4809" s="73"/>
      <c r="F4809" s="73"/>
      <c r="G4809" s="73"/>
    </row>
    <row r="4810" spans="2:7" ht="32.25" customHeight="1" x14ac:dyDescent="0.35">
      <c r="B4810" s="73"/>
      <c r="C4810" s="73"/>
      <c r="D4810" s="73"/>
      <c r="E4810" s="73"/>
      <c r="F4810" s="73"/>
      <c r="G4810" s="73"/>
    </row>
    <row r="4811" spans="2:7" ht="32.25" customHeight="1" x14ac:dyDescent="0.35">
      <c r="B4811" s="73"/>
      <c r="C4811" s="73"/>
      <c r="D4811" s="73"/>
      <c r="E4811" s="73"/>
      <c r="F4811" s="73"/>
      <c r="G4811" s="73"/>
    </row>
    <row r="4812" spans="2:7" ht="32.25" customHeight="1" x14ac:dyDescent="0.35">
      <c r="B4812" s="73"/>
      <c r="C4812" s="73"/>
      <c r="D4812" s="73"/>
      <c r="E4812" s="73"/>
      <c r="F4812" s="73"/>
      <c r="G4812" s="73"/>
    </row>
    <row r="4813" spans="2:7" ht="32.25" customHeight="1" x14ac:dyDescent="0.35">
      <c r="B4813" s="73"/>
      <c r="C4813" s="73"/>
      <c r="D4813" s="73"/>
      <c r="E4813" s="73"/>
      <c r="F4813" s="73"/>
      <c r="G4813" s="73"/>
    </row>
    <row r="4814" spans="2:7" ht="32.25" customHeight="1" x14ac:dyDescent="0.35">
      <c r="B4814" s="73"/>
      <c r="C4814" s="73"/>
      <c r="D4814" s="73"/>
      <c r="E4814" s="73"/>
      <c r="F4814" s="73"/>
      <c r="G4814" s="73"/>
    </row>
    <row r="4815" spans="2:7" ht="32.25" customHeight="1" x14ac:dyDescent="0.35">
      <c r="B4815" s="73"/>
      <c r="C4815" s="73"/>
      <c r="D4815" s="73"/>
      <c r="E4815" s="73"/>
      <c r="F4815" s="73"/>
      <c r="G4815" s="73"/>
    </row>
    <row r="4816" spans="2:7" ht="32.25" customHeight="1" x14ac:dyDescent="0.35">
      <c r="B4816" s="73"/>
      <c r="C4816" s="73"/>
      <c r="D4816" s="73"/>
      <c r="E4816" s="73"/>
      <c r="F4816" s="73"/>
      <c r="G4816" s="73"/>
    </row>
    <row r="4817" spans="2:7" ht="32.25" customHeight="1" x14ac:dyDescent="0.35">
      <c r="B4817" s="73"/>
      <c r="C4817" s="73"/>
      <c r="D4817" s="73"/>
      <c r="E4817" s="73"/>
      <c r="F4817" s="73"/>
      <c r="G4817" s="73"/>
    </row>
    <row r="4818" spans="2:7" ht="32.25" customHeight="1" x14ac:dyDescent="0.35">
      <c r="B4818" s="73"/>
      <c r="C4818" s="73"/>
      <c r="D4818" s="73"/>
      <c r="E4818" s="73"/>
      <c r="F4818" s="73"/>
      <c r="G4818" s="73"/>
    </row>
    <row r="4819" spans="2:7" ht="32.25" customHeight="1" x14ac:dyDescent="0.35">
      <c r="B4819" s="73"/>
      <c r="C4819" s="73"/>
      <c r="D4819" s="73"/>
      <c r="E4819" s="73"/>
      <c r="F4819" s="73"/>
      <c r="G4819" s="73"/>
    </row>
    <row r="4820" spans="2:7" ht="32.25" customHeight="1" x14ac:dyDescent="0.35">
      <c r="B4820" s="73"/>
      <c r="C4820" s="73"/>
      <c r="D4820" s="73"/>
      <c r="E4820" s="73"/>
      <c r="F4820" s="73"/>
      <c r="G4820" s="73"/>
    </row>
    <row r="4821" spans="2:7" ht="32.25" customHeight="1" x14ac:dyDescent="0.35">
      <c r="B4821" s="73"/>
      <c r="C4821" s="73"/>
      <c r="D4821" s="73"/>
      <c r="E4821" s="73"/>
      <c r="F4821" s="73"/>
      <c r="G4821" s="73"/>
    </row>
    <row r="4822" spans="2:7" ht="32.25" customHeight="1" x14ac:dyDescent="0.35">
      <c r="B4822" s="73"/>
      <c r="C4822" s="73"/>
      <c r="D4822" s="73"/>
      <c r="E4822" s="73"/>
      <c r="F4822" s="73"/>
      <c r="G4822" s="73"/>
    </row>
    <row r="4823" spans="2:7" ht="32.25" customHeight="1" x14ac:dyDescent="0.35">
      <c r="B4823" s="73"/>
      <c r="C4823" s="73"/>
      <c r="D4823" s="73"/>
      <c r="E4823" s="73"/>
      <c r="F4823" s="73"/>
      <c r="G4823" s="73"/>
    </row>
    <row r="4824" spans="2:7" ht="32.25" customHeight="1" x14ac:dyDescent="0.35">
      <c r="B4824" s="73"/>
      <c r="C4824" s="73"/>
      <c r="D4824" s="73"/>
      <c r="E4824" s="73"/>
      <c r="F4824" s="73"/>
      <c r="G4824" s="73"/>
    </row>
    <row r="4825" spans="2:7" ht="32.25" customHeight="1" x14ac:dyDescent="0.35">
      <c r="B4825" s="73"/>
      <c r="C4825" s="73"/>
      <c r="D4825" s="73"/>
      <c r="E4825" s="73"/>
      <c r="F4825" s="73"/>
      <c r="G4825" s="73"/>
    </row>
    <row r="4826" spans="2:7" ht="32.25" customHeight="1" x14ac:dyDescent="0.35">
      <c r="B4826" s="73"/>
      <c r="C4826" s="73"/>
      <c r="D4826" s="73"/>
      <c r="E4826" s="73"/>
      <c r="F4826" s="73"/>
      <c r="G4826" s="73"/>
    </row>
    <row r="4827" spans="2:7" ht="32.25" customHeight="1" x14ac:dyDescent="0.35">
      <c r="B4827" s="73"/>
      <c r="C4827" s="73"/>
      <c r="D4827" s="73"/>
      <c r="E4827" s="73"/>
      <c r="F4827" s="73"/>
      <c r="G4827" s="73"/>
    </row>
    <row r="4828" spans="2:7" ht="32.25" customHeight="1" x14ac:dyDescent="0.35">
      <c r="B4828" s="73"/>
      <c r="C4828" s="73"/>
      <c r="D4828" s="73"/>
      <c r="E4828" s="73"/>
      <c r="F4828" s="73"/>
      <c r="G4828" s="73"/>
    </row>
    <row r="4829" spans="2:7" ht="32.25" customHeight="1" x14ac:dyDescent="0.35">
      <c r="B4829" s="73"/>
      <c r="C4829" s="73"/>
      <c r="D4829" s="73"/>
      <c r="E4829" s="73"/>
      <c r="F4829" s="73"/>
      <c r="G4829" s="73"/>
    </row>
    <row r="4830" spans="2:7" ht="32.25" customHeight="1" x14ac:dyDescent="0.35">
      <c r="B4830" s="73"/>
      <c r="C4830" s="73"/>
      <c r="D4830" s="73"/>
      <c r="E4830" s="73"/>
      <c r="F4830" s="73"/>
      <c r="G4830" s="73"/>
    </row>
    <row r="4831" spans="2:7" ht="32.25" customHeight="1" x14ac:dyDescent="0.35">
      <c r="B4831" s="73"/>
      <c r="C4831" s="73"/>
      <c r="D4831" s="73"/>
      <c r="E4831" s="73"/>
      <c r="F4831" s="73"/>
      <c r="G4831" s="73"/>
    </row>
    <row r="4832" spans="2:7" ht="32.25" customHeight="1" x14ac:dyDescent="0.35">
      <c r="B4832" s="73"/>
      <c r="C4832" s="73"/>
      <c r="D4832" s="73"/>
      <c r="E4832" s="73"/>
      <c r="F4832" s="73"/>
      <c r="G4832" s="73"/>
    </row>
    <row r="4833" spans="2:7" ht="32.25" customHeight="1" x14ac:dyDescent="0.35">
      <c r="B4833" s="73"/>
      <c r="C4833" s="73"/>
      <c r="D4833" s="73"/>
      <c r="E4833" s="73"/>
      <c r="F4833" s="73"/>
      <c r="G4833" s="73"/>
    </row>
    <row r="4834" spans="2:7" ht="32.25" customHeight="1" x14ac:dyDescent="0.35">
      <c r="B4834" s="73"/>
      <c r="C4834" s="73"/>
      <c r="D4834" s="73"/>
      <c r="E4834" s="73"/>
      <c r="F4834" s="73"/>
      <c r="G4834" s="73"/>
    </row>
    <row r="4835" spans="2:7" ht="32.25" customHeight="1" x14ac:dyDescent="0.35">
      <c r="B4835" s="73"/>
      <c r="C4835" s="73"/>
      <c r="D4835" s="73"/>
      <c r="E4835" s="73"/>
      <c r="F4835" s="73"/>
      <c r="G4835" s="73"/>
    </row>
    <row r="4836" spans="2:7" ht="32.25" customHeight="1" x14ac:dyDescent="0.35">
      <c r="B4836" s="73"/>
      <c r="C4836" s="73"/>
      <c r="D4836" s="73"/>
      <c r="E4836" s="73"/>
      <c r="F4836" s="73"/>
      <c r="G4836" s="73"/>
    </row>
    <row r="4837" spans="2:7" ht="32.25" customHeight="1" x14ac:dyDescent="0.35">
      <c r="B4837" s="73"/>
      <c r="C4837" s="73"/>
      <c r="D4837" s="73"/>
      <c r="E4837" s="73"/>
      <c r="F4837" s="73"/>
      <c r="G4837" s="73"/>
    </row>
    <row r="4838" spans="2:7" ht="32.25" customHeight="1" x14ac:dyDescent="0.35">
      <c r="B4838" s="73"/>
      <c r="C4838" s="73"/>
      <c r="D4838" s="73"/>
      <c r="E4838" s="73"/>
      <c r="F4838" s="73"/>
      <c r="G4838" s="73"/>
    </row>
    <row r="4839" spans="2:7" ht="32.25" customHeight="1" x14ac:dyDescent="0.35">
      <c r="B4839" s="73"/>
      <c r="C4839" s="73"/>
      <c r="D4839" s="73"/>
      <c r="E4839" s="73"/>
      <c r="F4839" s="73"/>
      <c r="G4839" s="73"/>
    </row>
    <row r="4840" spans="2:7" ht="32.25" customHeight="1" x14ac:dyDescent="0.35">
      <c r="B4840" s="73"/>
      <c r="C4840" s="73"/>
      <c r="D4840" s="73"/>
      <c r="E4840" s="73"/>
      <c r="F4840" s="73"/>
      <c r="G4840" s="73"/>
    </row>
    <row r="4841" spans="2:7" ht="32.25" customHeight="1" x14ac:dyDescent="0.35">
      <c r="B4841" s="73"/>
      <c r="C4841" s="73"/>
      <c r="D4841" s="73"/>
      <c r="E4841" s="73"/>
      <c r="F4841" s="73"/>
      <c r="G4841" s="73"/>
    </row>
    <row r="4842" spans="2:7" ht="32.25" customHeight="1" x14ac:dyDescent="0.35">
      <c r="B4842" s="73"/>
      <c r="C4842" s="73"/>
      <c r="D4842" s="73"/>
      <c r="E4842" s="73"/>
      <c r="F4842" s="73"/>
      <c r="G4842" s="73"/>
    </row>
    <row r="4843" spans="2:7" ht="32.25" customHeight="1" x14ac:dyDescent="0.35">
      <c r="B4843" s="73"/>
      <c r="C4843" s="73"/>
      <c r="D4843" s="73"/>
      <c r="E4843" s="73"/>
      <c r="F4843" s="73"/>
      <c r="G4843" s="73"/>
    </row>
    <row r="4844" spans="2:7" ht="32.25" customHeight="1" x14ac:dyDescent="0.35">
      <c r="B4844" s="73"/>
      <c r="C4844" s="73"/>
      <c r="D4844" s="73"/>
      <c r="E4844" s="73"/>
      <c r="F4844" s="73"/>
      <c r="G4844" s="73"/>
    </row>
    <row r="4845" spans="2:7" ht="32.25" customHeight="1" x14ac:dyDescent="0.35">
      <c r="B4845" s="73"/>
      <c r="C4845" s="73"/>
      <c r="D4845" s="73"/>
      <c r="E4845" s="73"/>
      <c r="F4845" s="73"/>
      <c r="G4845" s="73"/>
    </row>
    <row r="4846" spans="2:7" ht="32.25" customHeight="1" x14ac:dyDescent="0.35">
      <c r="B4846" s="73"/>
      <c r="C4846" s="73"/>
      <c r="D4846" s="73"/>
      <c r="E4846" s="73"/>
      <c r="F4846" s="73"/>
      <c r="G4846" s="73"/>
    </row>
    <row r="4847" spans="2:7" ht="32.25" customHeight="1" x14ac:dyDescent="0.35">
      <c r="B4847" s="73"/>
      <c r="C4847" s="73"/>
      <c r="D4847" s="73"/>
      <c r="E4847" s="73"/>
      <c r="F4847" s="73"/>
      <c r="G4847" s="73"/>
    </row>
    <row r="4848" spans="2:7" ht="32.25" customHeight="1" x14ac:dyDescent="0.35">
      <c r="B4848" s="73"/>
      <c r="C4848" s="73"/>
      <c r="D4848" s="73"/>
      <c r="E4848" s="73"/>
      <c r="F4848" s="73"/>
      <c r="G4848" s="73"/>
    </row>
    <row r="4849" spans="2:7" ht="32.25" customHeight="1" x14ac:dyDescent="0.35">
      <c r="B4849" s="73"/>
      <c r="C4849" s="73"/>
      <c r="D4849" s="73"/>
      <c r="E4849" s="73"/>
      <c r="F4849" s="73"/>
      <c r="G4849" s="73"/>
    </row>
    <row r="4850" spans="2:7" ht="32.25" customHeight="1" x14ac:dyDescent="0.35">
      <c r="B4850" s="73"/>
      <c r="C4850" s="73"/>
      <c r="D4850" s="73"/>
      <c r="E4850" s="73"/>
      <c r="F4850" s="73"/>
      <c r="G4850" s="73"/>
    </row>
    <row r="4851" spans="2:7" ht="32.25" customHeight="1" x14ac:dyDescent="0.35">
      <c r="B4851" s="73"/>
      <c r="C4851" s="73"/>
      <c r="D4851" s="73"/>
      <c r="E4851" s="73"/>
      <c r="F4851" s="73"/>
      <c r="G4851" s="73"/>
    </row>
    <row r="4852" spans="2:7" ht="32.25" customHeight="1" x14ac:dyDescent="0.35">
      <c r="B4852" s="73"/>
      <c r="C4852" s="73"/>
      <c r="D4852" s="73"/>
      <c r="E4852" s="73"/>
      <c r="F4852" s="73"/>
      <c r="G4852" s="73"/>
    </row>
    <row r="4853" spans="2:7" ht="32.25" customHeight="1" x14ac:dyDescent="0.35">
      <c r="B4853" s="73"/>
      <c r="C4853" s="73"/>
      <c r="D4853" s="73"/>
      <c r="E4853" s="73"/>
      <c r="F4853" s="73"/>
      <c r="G4853" s="73"/>
    </row>
    <row r="4854" spans="2:7" ht="32.25" customHeight="1" x14ac:dyDescent="0.35">
      <c r="B4854" s="73"/>
      <c r="C4854" s="73"/>
      <c r="D4854" s="73"/>
      <c r="E4854" s="73"/>
      <c r="F4854" s="73"/>
      <c r="G4854" s="73"/>
    </row>
    <row r="4855" spans="2:7" ht="32.25" customHeight="1" x14ac:dyDescent="0.35">
      <c r="B4855" s="73"/>
      <c r="C4855" s="73"/>
      <c r="D4855" s="73"/>
      <c r="E4855" s="73"/>
      <c r="F4855" s="73"/>
      <c r="G4855" s="73"/>
    </row>
    <row r="4856" spans="2:7" ht="32.25" customHeight="1" x14ac:dyDescent="0.35">
      <c r="B4856" s="73"/>
      <c r="C4856" s="73"/>
      <c r="D4856" s="73"/>
      <c r="E4856" s="73"/>
      <c r="F4856" s="73"/>
      <c r="G4856" s="73"/>
    </row>
    <row r="4857" spans="2:7" ht="32.25" customHeight="1" x14ac:dyDescent="0.35">
      <c r="B4857" s="73"/>
      <c r="C4857" s="73"/>
      <c r="D4857" s="73"/>
      <c r="E4857" s="73"/>
      <c r="F4857" s="73"/>
      <c r="G4857" s="73"/>
    </row>
    <row r="4858" spans="2:7" ht="32.25" customHeight="1" x14ac:dyDescent="0.35">
      <c r="B4858" s="73"/>
      <c r="C4858" s="73"/>
      <c r="D4858" s="73"/>
      <c r="E4858" s="73"/>
      <c r="F4858" s="73"/>
      <c r="G4858" s="73"/>
    </row>
    <row r="4859" spans="2:7" ht="32.25" customHeight="1" x14ac:dyDescent="0.35">
      <c r="B4859" s="73"/>
      <c r="C4859" s="73"/>
      <c r="D4859" s="73"/>
      <c r="E4859" s="73"/>
      <c r="F4859" s="73"/>
      <c r="G4859" s="73"/>
    </row>
    <row r="4860" spans="2:7" ht="32.25" customHeight="1" x14ac:dyDescent="0.35">
      <c r="B4860" s="73"/>
      <c r="C4860" s="73"/>
      <c r="D4860" s="73"/>
      <c r="E4860" s="73"/>
      <c r="F4860" s="73"/>
      <c r="G4860" s="73"/>
    </row>
    <row r="4861" spans="2:7" ht="32.25" customHeight="1" x14ac:dyDescent="0.35">
      <c r="B4861" s="73"/>
      <c r="C4861" s="73"/>
      <c r="D4861" s="73"/>
      <c r="E4861" s="73"/>
      <c r="F4861" s="73"/>
      <c r="G4861" s="73"/>
    </row>
    <row r="4862" spans="2:7" ht="32.25" customHeight="1" x14ac:dyDescent="0.35">
      <c r="B4862" s="73"/>
      <c r="C4862" s="73"/>
      <c r="D4862" s="73"/>
      <c r="E4862" s="73"/>
      <c r="F4862" s="73"/>
      <c r="G4862" s="73"/>
    </row>
    <row r="4863" spans="2:7" ht="32.25" customHeight="1" x14ac:dyDescent="0.35">
      <c r="B4863" s="73"/>
      <c r="C4863" s="73"/>
      <c r="D4863" s="73"/>
      <c r="E4863" s="73"/>
      <c r="F4863" s="73"/>
      <c r="G4863" s="73"/>
    </row>
    <row r="4864" spans="2:7" ht="32.25" customHeight="1" x14ac:dyDescent="0.35">
      <c r="B4864" s="73"/>
      <c r="C4864" s="73"/>
      <c r="D4864" s="73"/>
      <c r="E4864" s="73"/>
      <c r="F4864" s="73"/>
      <c r="G4864" s="73"/>
    </row>
    <row r="4865" spans="2:7" ht="32.25" customHeight="1" x14ac:dyDescent="0.35">
      <c r="B4865" s="73"/>
      <c r="C4865" s="73"/>
      <c r="D4865" s="73"/>
      <c r="E4865" s="73"/>
      <c r="F4865" s="73"/>
      <c r="G4865" s="73"/>
    </row>
    <row r="4866" spans="2:7" ht="32.25" customHeight="1" x14ac:dyDescent="0.35">
      <c r="B4866" s="73"/>
      <c r="C4866" s="73"/>
      <c r="D4866" s="73"/>
      <c r="E4866" s="73"/>
      <c r="F4866" s="73"/>
      <c r="G4866" s="73"/>
    </row>
    <row r="4867" spans="2:7" ht="32.25" customHeight="1" x14ac:dyDescent="0.35">
      <c r="B4867" s="73"/>
      <c r="C4867" s="73"/>
      <c r="D4867" s="73"/>
      <c r="E4867" s="73"/>
      <c r="F4867" s="73"/>
      <c r="G4867" s="73"/>
    </row>
    <row r="4868" spans="2:7" ht="32.25" customHeight="1" x14ac:dyDescent="0.35">
      <c r="B4868" s="73"/>
      <c r="C4868" s="73"/>
      <c r="D4868" s="73"/>
      <c r="E4868" s="73"/>
      <c r="F4868" s="73"/>
      <c r="G4868" s="73"/>
    </row>
    <row r="4869" spans="2:7" ht="32.25" customHeight="1" x14ac:dyDescent="0.35">
      <c r="B4869" s="73"/>
      <c r="C4869" s="73"/>
      <c r="D4869" s="73"/>
      <c r="E4869" s="73"/>
      <c r="F4869" s="73"/>
      <c r="G4869" s="73"/>
    </row>
    <row r="4870" spans="2:7" ht="32.25" customHeight="1" x14ac:dyDescent="0.35">
      <c r="B4870" s="73"/>
      <c r="C4870" s="73"/>
      <c r="D4870" s="73"/>
      <c r="E4870" s="73"/>
      <c r="F4870" s="73"/>
      <c r="G4870" s="73"/>
    </row>
    <row r="4871" spans="2:7" ht="32.25" customHeight="1" x14ac:dyDescent="0.35">
      <c r="B4871" s="73"/>
      <c r="C4871" s="73"/>
      <c r="D4871" s="73"/>
      <c r="E4871" s="73"/>
      <c r="F4871" s="73"/>
      <c r="G4871" s="73"/>
    </row>
    <row r="4872" spans="2:7" ht="32.25" customHeight="1" x14ac:dyDescent="0.35">
      <c r="B4872" s="73"/>
      <c r="C4872" s="73"/>
      <c r="D4872" s="73"/>
      <c r="E4872" s="73"/>
      <c r="F4872" s="73"/>
      <c r="G4872" s="73"/>
    </row>
    <row r="4873" spans="2:7" ht="32.25" customHeight="1" x14ac:dyDescent="0.35">
      <c r="B4873" s="73"/>
      <c r="C4873" s="73"/>
      <c r="D4873" s="73"/>
      <c r="E4873" s="73"/>
      <c r="F4873" s="73"/>
      <c r="G4873" s="73"/>
    </row>
    <row r="4874" spans="2:7" ht="32.25" customHeight="1" x14ac:dyDescent="0.35">
      <c r="B4874" s="73"/>
      <c r="C4874" s="73"/>
      <c r="D4874" s="73"/>
      <c r="E4874" s="73"/>
      <c r="F4874" s="73"/>
      <c r="G4874" s="73"/>
    </row>
    <row r="4875" spans="2:7" ht="32.25" customHeight="1" x14ac:dyDescent="0.35">
      <c r="B4875" s="73"/>
      <c r="C4875" s="73"/>
      <c r="D4875" s="73"/>
      <c r="E4875" s="73"/>
      <c r="F4875" s="73"/>
      <c r="G4875" s="73"/>
    </row>
    <row r="4876" spans="2:7" ht="32.25" customHeight="1" x14ac:dyDescent="0.35">
      <c r="B4876" s="73"/>
      <c r="C4876" s="73"/>
      <c r="D4876" s="73"/>
      <c r="E4876" s="73"/>
      <c r="F4876" s="73"/>
      <c r="G4876" s="73"/>
    </row>
    <row r="4877" spans="2:7" ht="32.25" customHeight="1" x14ac:dyDescent="0.35">
      <c r="B4877" s="73"/>
      <c r="C4877" s="73"/>
      <c r="D4877" s="73"/>
      <c r="E4877" s="73"/>
      <c r="F4877" s="73"/>
      <c r="G4877" s="73"/>
    </row>
    <row r="4878" spans="2:7" ht="32.25" customHeight="1" x14ac:dyDescent="0.35">
      <c r="B4878" s="73"/>
      <c r="C4878" s="73"/>
      <c r="D4878" s="73"/>
      <c r="E4878" s="73"/>
      <c r="F4878" s="73"/>
      <c r="G4878" s="73"/>
    </row>
    <row r="4879" spans="2:7" ht="32.25" customHeight="1" x14ac:dyDescent="0.35">
      <c r="B4879" s="73"/>
      <c r="C4879" s="73"/>
      <c r="D4879" s="73"/>
      <c r="E4879" s="73"/>
      <c r="F4879" s="73"/>
      <c r="G4879" s="73"/>
    </row>
    <row r="4880" spans="2:7" ht="32.25" customHeight="1" x14ac:dyDescent="0.35">
      <c r="B4880" s="73"/>
      <c r="C4880" s="73"/>
      <c r="D4880" s="73"/>
      <c r="E4880" s="73"/>
      <c r="F4880" s="73"/>
      <c r="G4880" s="73"/>
    </row>
    <row r="4881" spans="2:7" ht="32.25" customHeight="1" x14ac:dyDescent="0.35">
      <c r="B4881" s="73"/>
      <c r="C4881" s="73"/>
      <c r="D4881" s="73"/>
      <c r="E4881" s="73"/>
      <c r="F4881" s="73"/>
      <c r="G4881" s="73"/>
    </row>
    <row r="4882" spans="2:7" ht="32.25" customHeight="1" x14ac:dyDescent="0.35">
      <c r="B4882" s="73"/>
      <c r="C4882" s="73"/>
      <c r="D4882" s="73"/>
      <c r="E4882" s="73"/>
      <c r="F4882" s="73"/>
      <c r="G4882" s="73"/>
    </row>
    <row r="4883" spans="2:7" ht="32.25" customHeight="1" x14ac:dyDescent="0.35">
      <c r="B4883" s="73"/>
      <c r="C4883" s="73"/>
      <c r="D4883" s="73"/>
      <c r="E4883" s="73"/>
      <c r="F4883" s="73"/>
      <c r="G4883" s="73"/>
    </row>
    <row r="4884" spans="2:7" ht="32.25" customHeight="1" x14ac:dyDescent="0.35">
      <c r="B4884" s="73"/>
      <c r="C4884" s="73"/>
      <c r="D4884" s="73"/>
      <c r="E4884" s="73"/>
      <c r="F4884" s="73"/>
      <c r="G4884" s="73"/>
    </row>
    <row r="4885" spans="2:7" ht="32.25" customHeight="1" x14ac:dyDescent="0.35">
      <c r="B4885" s="73"/>
      <c r="C4885" s="73"/>
      <c r="D4885" s="73"/>
      <c r="E4885" s="73"/>
      <c r="F4885" s="73"/>
      <c r="G4885" s="73"/>
    </row>
    <row r="4886" spans="2:7" ht="32.25" customHeight="1" x14ac:dyDescent="0.35">
      <c r="B4886" s="73"/>
      <c r="C4886" s="73"/>
      <c r="D4886" s="73"/>
      <c r="E4886" s="73"/>
      <c r="F4886" s="73"/>
      <c r="G4886" s="73"/>
    </row>
    <row r="4887" spans="2:7" ht="32.25" customHeight="1" x14ac:dyDescent="0.35">
      <c r="B4887" s="73"/>
      <c r="C4887" s="73"/>
      <c r="D4887" s="73"/>
      <c r="E4887" s="73"/>
      <c r="F4887" s="73"/>
      <c r="G4887" s="73"/>
    </row>
    <row r="4888" spans="2:7" ht="32.25" customHeight="1" x14ac:dyDescent="0.35">
      <c r="B4888" s="73"/>
      <c r="C4888" s="73"/>
      <c r="D4888" s="73"/>
      <c r="E4888" s="73"/>
      <c r="F4888" s="73"/>
      <c r="G4888" s="73"/>
    </row>
    <row r="4889" spans="2:7" ht="32.25" customHeight="1" x14ac:dyDescent="0.35">
      <c r="B4889" s="73"/>
      <c r="C4889" s="73"/>
      <c r="D4889" s="73"/>
      <c r="E4889" s="73"/>
      <c r="F4889" s="73"/>
      <c r="G4889" s="73"/>
    </row>
    <row r="4890" spans="2:7" ht="32.25" customHeight="1" x14ac:dyDescent="0.35">
      <c r="B4890" s="73"/>
      <c r="C4890" s="73"/>
      <c r="D4890" s="73"/>
      <c r="E4890" s="73"/>
      <c r="F4890" s="73"/>
      <c r="G4890" s="73"/>
    </row>
    <row r="4891" spans="2:7" ht="32.25" customHeight="1" x14ac:dyDescent="0.35">
      <c r="B4891" s="73"/>
      <c r="C4891" s="73"/>
      <c r="D4891" s="73"/>
      <c r="E4891" s="73"/>
      <c r="F4891" s="73"/>
      <c r="G4891" s="73"/>
    </row>
    <row r="4892" spans="2:7" ht="32.25" customHeight="1" x14ac:dyDescent="0.35">
      <c r="B4892" s="73"/>
      <c r="C4892" s="73"/>
      <c r="D4892" s="73"/>
      <c r="E4892" s="73"/>
      <c r="F4892" s="73"/>
      <c r="G4892" s="73"/>
    </row>
    <row r="4893" spans="2:7" ht="32.25" customHeight="1" x14ac:dyDescent="0.35">
      <c r="B4893" s="73"/>
      <c r="C4893" s="73"/>
      <c r="D4893" s="73"/>
      <c r="E4893" s="73"/>
      <c r="F4893" s="73"/>
      <c r="G4893" s="73"/>
    </row>
    <row r="4894" spans="2:7" ht="32.25" customHeight="1" x14ac:dyDescent="0.35">
      <c r="B4894" s="73"/>
      <c r="C4894" s="73"/>
      <c r="D4894" s="73"/>
      <c r="E4894" s="73"/>
      <c r="F4894" s="73"/>
      <c r="G4894" s="73"/>
    </row>
    <row r="4895" spans="2:7" ht="32.25" customHeight="1" x14ac:dyDescent="0.35">
      <c r="B4895" s="73"/>
      <c r="C4895" s="73"/>
      <c r="D4895" s="73"/>
      <c r="E4895" s="73"/>
      <c r="F4895" s="73"/>
      <c r="G4895" s="73"/>
    </row>
    <row r="4896" spans="2:7" ht="32.25" customHeight="1" x14ac:dyDescent="0.35">
      <c r="B4896" s="73"/>
      <c r="C4896" s="73"/>
      <c r="D4896" s="73"/>
      <c r="E4896" s="73"/>
      <c r="F4896" s="73"/>
      <c r="G4896" s="73"/>
    </row>
    <row r="4897" spans="2:7" ht="32.25" customHeight="1" x14ac:dyDescent="0.35">
      <c r="B4897" s="73"/>
      <c r="C4897" s="73"/>
      <c r="D4897" s="73"/>
      <c r="E4897" s="73"/>
      <c r="F4897" s="73"/>
      <c r="G4897" s="73"/>
    </row>
    <row r="4898" spans="2:7" ht="32.25" customHeight="1" x14ac:dyDescent="0.35">
      <c r="B4898" s="73"/>
      <c r="C4898" s="73"/>
      <c r="D4898" s="73"/>
      <c r="E4898" s="73"/>
      <c r="F4898" s="73"/>
      <c r="G4898" s="73"/>
    </row>
    <row r="4899" spans="2:7" ht="32.25" customHeight="1" x14ac:dyDescent="0.35">
      <c r="B4899" s="73"/>
      <c r="C4899" s="73"/>
      <c r="D4899" s="73"/>
      <c r="E4899" s="73"/>
      <c r="F4899" s="73"/>
      <c r="G4899" s="73"/>
    </row>
    <row r="4900" spans="2:7" ht="32.25" customHeight="1" x14ac:dyDescent="0.35">
      <c r="B4900" s="73"/>
      <c r="C4900" s="73"/>
      <c r="D4900" s="73"/>
      <c r="E4900" s="73"/>
      <c r="F4900" s="73"/>
      <c r="G4900" s="73"/>
    </row>
    <row r="4901" spans="2:7" ht="32.25" customHeight="1" x14ac:dyDescent="0.35">
      <c r="B4901" s="73"/>
      <c r="C4901" s="73"/>
      <c r="D4901" s="73"/>
      <c r="E4901" s="73"/>
      <c r="F4901" s="73"/>
      <c r="G4901" s="73"/>
    </row>
    <row r="4902" spans="2:7" ht="32.25" customHeight="1" x14ac:dyDescent="0.35">
      <c r="B4902" s="73"/>
      <c r="C4902" s="73"/>
      <c r="D4902" s="73"/>
      <c r="E4902" s="73"/>
      <c r="F4902" s="73"/>
      <c r="G4902" s="73"/>
    </row>
    <row r="4903" spans="2:7" ht="32.25" customHeight="1" x14ac:dyDescent="0.35">
      <c r="B4903" s="73"/>
      <c r="C4903" s="73"/>
      <c r="D4903" s="73"/>
      <c r="E4903" s="73"/>
      <c r="F4903" s="73"/>
      <c r="G4903" s="73"/>
    </row>
    <row r="4904" spans="2:7" ht="32.25" customHeight="1" x14ac:dyDescent="0.35">
      <c r="B4904" s="73"/>
      <c r="C4904" s="73"/>
      <c r="D4904" s="73"/>
      <c r="E4904" s="73"/>
      <c r="F4904" s="73"/>
      <c r="G4904" s="73"/>
    </row>
    <row r="4905" spans="2:7" ht="32.25" customHeight="1" x14ac:dyDescent="0.35">
      <c r="B4905" s="73"/>
      <c r="C4905" s="73"/>
      <c r="D4905" s="73"/>
      <c r="E4905" s="73"/>
      <c r="F4905" s="73"/>
      <c r="G4905" s="73"/>
    </row>
    <row r="4906" spans="2:7" ht="32.25" customHeight="1" x14ac:dyDescent="0.35">
      <c r="B4906" s="73"/>
      <c r="C4906" s="73"/>
      <c r="D4906" s="73"/>
      <c r="E4906" s="73"/>
      <c r="F4906" s="73"/>
      <c r="G4906" s="73"/>
    </row>
    <row r="4907" spans="2:7" ht="32.25" customHeight="1" x14ac:dyDescent="0.35">
      <c r="B4907" s="73"/>
      <c r="C4907" s="73"/>
      <c r="D4907" s="73"/>
      <c r="E4907" s="73"/>
      <c r="F4907" s="73"/>
      <c r="G4907" s="73"/>
    </row>
    <row r="4908" spans="2:7" ht="32.25" customHeight="1" x14ac:dyDescent="0.35">
      <c r="B4908" s="73"/>
      <c r="C4908" s="73"/>
      <c r="D4908" s="73"/>
      <c r="E4908" s="73"/>
      <c r="F4908" s="73"/>
      <c r="G4908" s="73"/>
    </row>
    <row r="4909" spans="2:7" ht="32.25" customHeight="1" x14ac:dyDescent="0.35">
      <c r="B4909" s="73"/>
      <c r="C4909" s="73"/>
      <c r="D4909" s="73"/>
      <c r="E4909" s="73"/>
      <c r="F4909" s="73"/>
      <c r="G4909" s="73"/>
    </row>
    <row r="4910" spans="2:7" ht="32.25" customHeight="1" x14ac:dyDescent="0.35">
      <c r="B4910" s="73"/>
      <c r="C4910" s="73"/>
      <c r="D4910" s="73"/>
      <c r="E4910" s="73"/>
      <c r="F4910" s="73"/>
      <c r="G4910" s="73"/>
    </row>
    <row r="4911" spans="2:7" ht="32.25" customHeight="1" x14ac:dyDescent="0.35">
      <c r="B4911" s="73"/>
      <c r="C4911" s="73"/>
      <c r="D4911" s="73"/>
      <c r="E4911" s="73"/>
      <c r="F4911" s="73"/>
      <c r="G4911" s="73"/>
    </row>
    <row r="4912" spans="2:7" ht="32.25" customHeight="1" x14ac:dyDescent="0.35">
      <c r="B4912" s="73"/>
      <c r="C4912" s="73"/>
      <c r="D4912" s="73"/>
      <c r="E4912" s="73"/>
      <c r="F4912" s="73"/>
      <c r="G4912" s="73"/>
    </row>
    <row r="4913" spans="2:7" ht="32.25" customHeight="1" x14ac:dyDescent="0.35">
      <c r="B4913" s="73"/>
      <c r="C4913" s="73"/>
      <c r="D4913" s="73"/>
      <c r="E4913" s="73"/>
      <c r="F4913" s="73"/>
      <c r="G4913" s="73"/>
    </row>
    <row r="4914" spans="2:7" ht="32.25" customHeight="1" x14ac:dyDescent="0.35">
      <c r="B4914" s="73"/>
      <c r="C4914" s="73"/>
      <c r="D4914" s="73"/>
      <c r="E4914" s="73"/>
      <c r="F4914" s="73"/>
      <c r="G4914" s="73"/>
    </row>
    <row r="4915" spans="2:7" ht="32.25" customHeight="1" x14ac:dyDescent="0.35">
      <c r="B4915" s="73"/>
      <c r="C4915" s="73"/>
      <c r="D4915" s="73"/>
      <c r="E4915" s="73"/>
      <c r="F4915" s="73"/>
      <c r="G4915" s="73"/>
    </row>
    <row r="4916" spans="2:7" ht="32.25" customHeight="1" x14ac:dyDescent="0.35">
      <c r="B4916" s="73"/>
      <c r="C4916" s="73"/>
      <c r="D4916" s="73"/>
      <c r="E4916" s="73"/>
      <c r="F4916" s="73"/>
      <c r="G4916" s="73"/>
    </row>
    <row r="4917" spans="2:7" ht="32.25" customHeight="1" x14ac:dyDescent="0.35">
      <c r="B4917" s="73"/>
      <c r="C4917" s="73"/>
      <c r="D4917" s="73"/>
      <c r="E4917" s="73"/>
      <c r="F4917" s="73"/>
      <c r="G4917" s="73"/>
    </row>
    <row r="4918" spans="2:7" ht="32.25" customHeight="1" x14ac:dyDescent="0.35">
      <c r="B4918" s="73"/>
      <c r="C4918" s="73"/>
      <c r="D4918" s="73"/>
      <c r="E4918" s="73"/>
      <c r="F4918" s="73"/>
      <c r="G4918" s="73"/>
    </row>
    <row r="4919" spans="2:7" ht="32.25" customHeight="1" x14ac:dyDescent="0.35">
      <c r="B4919" s="73"/>
      <c r="C4919" s="73"/>
      <c r="D4919" s="73"/>
      <c r="E4919" s="73"/>
      <c r="F4919" s="73"/>
      <c r="G4919" s="73"/>
    </row>
    <row r="4920" spans="2:7" ht="32.25" customHeight="1" x14ac:dyDescent="0.35">
      <c r="B4920" s="73"/>
      <c r="C4920" s="73"/>
      <c r="D4920" s="73"/>
      <c r="E4920" s="73"/>
      <c r="F4920" s="73"/>
      <c r="G4920" s="73"/>
    </row>
    <row r="4921" spans="2:7" ht="32.25" customHeight="1" x14ac:dyDescent="0.35">
      <c r="B4921" s="73"/>
      <c r="C4921" s="73"/>
      <c r="D4921" s="73"/>
      <c r="E4921" s="73"/>
      <c r="F4921" s="73"/>
      <c r="G4921" s="73"/>
    </row>
    <row r="4922" spans="2:7" ht="32.25" customHeight="1" x14ac:dyDescent="0.35">
      <c r="B4922" s="73"/>
      <c r="C4922" s="73"/>
      <c r="D4922" s="73"/>
      <c r="E4922" s="73"/>
      <c r="F4922" s="73"/>
      <c r="G4922" s="73"/>
    </row>
    <row r="4923" spans="2:7" ht="32.25" customHeight="1" x14ac:dyDescent="0.35">
      <c r="B4923" s="73"/>
      <c r="C4923" s="73"/>
      <c r="D4923" s="73"/>
      <c r="E4923" s="73"/>
      <c r="F4923" s="73"/>
      <c r="G4923" s="73"/>
    </row>
    <row r="4924" spans="2:7" ht="32.25" customHeight="1" x14ac:dyDescent="0.35">
      <c r="B4924" s="73"/>
      <c r="C4924" s="73"/>
      <c r="D4924" s="73"/>
      <c r="E4924" s="73"/>
      <c r="F4924" s="73"/>
      <c r="G4924" s="73"/>
    </row>
    <row r="4925" spans="2:7" ht="32.25" customHeight="1" x14ac:dyDescent="0.35">
      <c r="B4925" s="73"/>
      <c r="C4925" s="73"/>
      <c r="D4925" s="73"/>
      <c r="E4925" s="73"/>
      <c r="F4925" s="73"/>
      <c r="G4925" s="73"/>
    </row>
    <row r="4926" spans="2:7" ht="32.25" customHeight="1" x14ac:dyDescent="0.35">
      <c r="B4926" s="73"/>
      <c r="C4926" s="73"/>
      <c r="D4926" s="73"/>
      <c r="E4926" s="73"/>
      <c r="F4926" s="73"/>
      <c r="G4926" s="73"/>
    </row>
    <row r="4927" spans="2:7" ht="32.25" customHeight="1" x14ac:dyDescent="0.35">
      <c r="B4927" s="73"/>
      <c r="C4927" s="73"/>
      <c r="D4927" s="73"/>
      <c r="E4927" s="73"/>
      <c r="F4927" s="73"/>
      <c r="G4927" s="73"/>
    </row>
    <row r="4928" spans="2:7" ht="32.25" customHeight="1" x14ac:dyDescent="0.35">
      <c r="B4928" s="73"/>
      <c r="C4928" s="73"/>
      <c r="D4928" s="73"/>
      <c r="E4928" s="73"/>
      <c r="F4928" s="73"/>
      <c r="G4928" s="73"/>
    </row>
    <row r="4929" spans="2:7" ht="32.25" customHeight="1" x14ac:dyDescent="0.35">
      <c r="B4929" s="73"/>
      <c r="C4929" s="73"/>
      <c r="D4929" s="73"/>
      <c r="E4929" s="73"/>
      <c r="F4929" s="73"/>
      <c r="G4929" s="73"/>
    </row>
    <row r="4930" spans="2:7" ht="32.25" customHeight="1" x14ac:dyDescent="0.35">
      <c r="B4930" s="73"/>
      <c r="C4930" s="73"/>
      <c r="D4930" s="73"/>
      <c r="E4930" s="73"/>
      <c r="F4930" s="73"/>
      <c r="G4930" s="73"/>
    </row>
    <row r="4931" spans="2:7" ht="32.25" customHeight="1" x14ac:dyDescent="0.35">
      <c r="B4931" s="73"/>
      <c r="C4931" s="73"/>
      <c r="D4931" s="73"/>
      <c r="E4931" s="73"/>
      <c r="F4931" s="73"/>
      <c r="G4931" s="73"/>
    </row>
    <row r="4932" spans="2:7" ht="32.25" customHeight="1" x14ac:dyDescent="0.35">
      <c r="B4932" s="73"/>
      <c r="C4932" s="73"/>
      <c r="D4932" s="73"/>
      <c r="E4932" s="73"/>
      <c r="F4932" s="73"/>
      <c r="G4932" s="73"/>
    </row>
    <row r="4933" spans="2:7" ht="32.25" customHeight="1" x14ac:dyDescent="0.35">
      <c r="B4933" s="73"/>
      <c r="C4933" s="73"/>
      <c r="D4933" s="73"/>
      <c r="E4933" s="73"/>
      <c r="F4933" s="73"/>
      <c r="G4933" s="73"/>
    </row>
    <row r="4934" spans="2:7" ht="32.25" customHeight="1" x14ac:dyDescent="0.35">
      <c r="B4934" s="73"/>
      <c r="C4934" s="73"/>
      <c r="D4934" s="73"/>
      <c r="E4934" s="73"/>
      <c r="F4934" s="73"/>
      <c r="G4934" s="73"/>
    </row>
    <row r="4935" spans="2:7" ht="32.25" customHeight="1" x14ac:dyDescent="0.35">
      <c r="B4935" s="73"/>
      <c r="C4935" s="73"/>
      <c r="D4935" s="73"/>
      <c r="E4935" s="73"/>
      <c r="F4935" s="73"/>
      <c r="G4935" s="73"/>
    </row>
    <row r="4936" spans="2:7" ht="32.25" customHeight="1" x14ac:dyDescent="0.35">
      <c r="B4936" s="73"/>
      <c r="C4936" s="73"/>
      <c r="D4936" s="73"/>
      <c r="E4936" s="73"/>
      <c r="F4936" s="73"/>
      <c r="G4936" s="73"/>
    </row>
    <row r="4937" spans="2:7" ht="32.25" customHeight="1" x14ac:dyDescent="0.35">
      <c r="B4937" s="73"/>
      <c r="C4937" s="73"/>
      <c r="D4937" s="73"/>
      <c r="E4937" s="73"/>
      <c r="F4937" s="73"/>
      <c r="G4937" s="73"/>
    </row>
    <row r="4938" spans="2:7" ht="32.25" customHeight="1" x14ac:dyDescent="0.35">
      <c r="B4938" s="73"/>
      <c r="C4938" s="73"/>
      <c r="D4938" s="73"/>
      <c r="E4938" s="73"/>
      <c r="F4938" s="73"/>
      <c r="G4938" s="73"/>
    </row>
    <row r="4939" spans="2:7" ht="32.25" customHeight="1" x14ac:dyDescent="0.35">
      <c r="B4939" s="73"/>
      <c r="C4939" s="73"/>
      <c r="D4939" s="73"/>
      <c r="E4939" s="73"/>
      <c r="F4939" s="73"/>
      <c r="G4939" s="73"/>
    </row>
    <row r="4940" spans="2:7" ht="32.25" customHeight="1" x14ac:dyDescent="0.35">
      <c r="B4940" s="73"/>
      <c r="C4940" s="73"/>
      <c r="D4940" s="73"/>
      <c r="E4940" s="73"/>
      <c r="F4940" s="73"/>
      <c r="G4940" s="73"/>
    </row>
    <row r="4941" spans="2:7" ht="32.25" customHeight="1" x14ac:dyDescent="0.35">
      <c r="B4941" s="73"/>
      <c r="C4941" s="73"/>
      <c r="D4941" s="73"/>
      <c r="E4941" s="73"/>
      <c r="F4941" s="73"/>
      <c r="G4941" s="73"/>
    </row>
    <row r="4942" spans="2:7" ht="32.25" customHeight="1" x14ac:dyDescent="0.35">
      <c r="B4942" s="73"/>
      <c r="C4942" s="73"/>
      <c r="D4942" s="73"/>
      <c r="E4942" s="73"/>
      <c r="F4942" s="73"/>
      <c r="G4942" s="73"/>
    </row>
    <row r="4943" spans="2:7" ht="32.25" customHeight="1" x14ac:dyDescent="0.35">
      <c r="B4943" s="73"/>
      <c r="C4943" s="73"/>
      <c r="D4943" s="73"/>
      <c r="E4943" s="73"/>
      <c r="F4943" s="73"/>
      <c r="G4943" s="73"/>
    </row>
    <row r="4944" spans="2:7" ht="32.25" customHeight="1" x14ac:dyDescent="0.35">
      <c r="B4944" s="73"/>
      <c r="C4944" s="73"/>
      <c r="D4944" s="73"/>
      <c r="E4944" s="73"/>
      <c r="F4944" s="73"/>
      <c r="G4944" s="73"/>
    </row>
    <row r="4945" spans="2:7" ht="32.25" customHeight="1" x14ac:dyDescent="0.35">
      <c r="B4945" s="73"/>
      <c r="C4945" s="73"/>
      <c r="D4945" s="73"/>
      <c r="E4945" s="73"/>
      <c r="F4945" s="73"/>
      <c r="G4945" s="73"/>
    </row>
    <row r="4946" spans="2:7" ht="32.25" customHeight="1" x14ac:dyDescent="0.35">
      <c r="B4946" s="73"/>
      <c r="C4946" s="73"/>
      <c r="D4946" s="73"/>
      <c r="E4946" s="73"/>
      <c r="F4946" s="73"/>
      <c r="G4946" s="73"/>
    </row>
    <row r="4947" spans="2:7" ht="32.25" customHeight="1" x14ac:dyDescent="0.35">
      <c r="B4947" s="73"/>
      <c r="C4947" s="73"/>
      <c r="D4947" s="73"/>
      <c r="E4947" s="73"/>
      <c r="F4947" s="73"/>
      <c r="G4947" s="73"/>
    </row>
    <row r="4948" spans="2:7" ht="32.25" customHeight="1" x14ac:dyDescent="0.35">
      <c r="B4948" s="73"/>
      <c r="C4948" s="73"/>
      <c r="D4948" s="73"/>
      <c r="E4948" s="73"/>
      <c r="F4948" s="73"/>
      <c r="G4948" s="73"/>
    </row>
    <row r="4949" spans="2:7" ht="32.25" customHeight="1" x14ac:dyDescent="0.35">
      <c r="B4949" s="73"/>
      <c r="C4949" s="73"/>
      <c r="D4949" s="73"/>
      <c r="E4949" s="73"/>
      <c r="F4949" s="73"/>
      <c r="G4949" s="73"/>
    </row>
    <row r="4950" spans="2:7" ht="32.25" customHeight="1" x14ac:dyDescent="0.35">
      <c r="B4950" s="73"/>
      <c r="C4950" s="73"/>
      <c r="D4950" s="73"/>
      <c r="E4950" s="73"/>
      <c r="F4950" s="73"/>
      <c r="G4950" s="73"/>
    </row>
    <row r="4951" spans="2:7" ht="32.25" customHeight="1" x14ac:dyDescent="0.35">
      <c r="B4951" s="73"/>
      <c r="C4951" s="73"/>
      <c r="D4951" s="73"/>
      <c r="E4951" s="73"/>
      <c r="F4951" s="73"/>
      <c r="G4951" s="73"/>
    </row>
    <row r="4952" spans="2:7" ht="32.25" customHeight="1" x14ac:dyDescent="0.35">
      <c r="B4952" s="73"/>
      <c r="C4952" s="73"/>
      <c r="D4952" s="73"/>
      <c r="E4952" s="73"/>
      <c r="F4952" s="73"/>
      <c r="G4952" s="73"/>
    </row>
    <row r="4953" spans="2:7" ht="32.25" customHeight="1" x14ac:dyDescent="0.35">
      <c r="B4953" s="73"/>
      <c r="C4953" s="73"/>
      <c r="D4953" s="73"/>
      <c r="E4953" s="73"/>
      <c r="F4953" s="73"/>
      <c r="G4953" s="73"/>
    </row>
    <row r="4954" spans="2:7" ht="32.25" customHeight="1" x14ac:dyDescent="0.35">
      <c r="B4954" s="73"/>
      <c r="C4954" s="73"/>
      <c r="D4954" s="73"/>
      <c r="E4954" s="73"/>
      <c r="F4954" s="73"/>
      <c r="G4954" s="73"/>
    </row>
    <row r="4955" spans="2:7" ht="32.25" customHeight="1" x14ac:dyDescent="0.35">
      <c r="B4955" s="73"/>
      <c r="C4955" s="73"/>
      <c r="D4955" s="73"/>
      <c r="E4955" s="73"/>
      <c r="F4955" s="73"/>
      <c r="G4955" s="73"/>
    </row>
    <row r="4956" spans="2:7" ht="32.25" customHeight="1" x14ac:dyDescent="0.35">
      <c r="B4956" s="73"/>
      <c r="C4956" s="73"/>
      <c r="D4956" s="73"/>
      <c r="E4956" s="73"/>
      <c r="F4956" s="73"/>
      <c r="G4956" s="73"/>
    </row>
    <row r="4957" spans="2:7" ht="32.25" customHeight="1" x14ac:dyDescent="0.35">
      <c r="B4957" s="73"/>
      <c r="C4957" s="73"/>
      <c r="D4957" s="73"/>
      <c r="E4957" s="73"/>
      <c r="F4957" s="73"/>
      <c r="G4957" s="73"/>
    </row>
    <row r="4958" spans="2:7" ht="32.25" customHeight="1" x14ac:dyDescent="0.35">
      <c r="B4958" s="73"/>
      <c r="C4958" s="73"/>
      <c r="D4958" s="73"/>
      <c r="E4958" s="73"/>
      <c r="F4958" s="73"/>
      <c r="G4958" s="73"/>
    </row>
    <row r="4959" spans="2:7" ht="32.25" customHeight="1" x14ac:dyDescent="0.35">
      <c r="B4959" s="73"/>
      <c r="C4959" s="73"/>
      <c r="D4959" s="73"/>
      <c r="E4959" s="73"/>
      <c r="F4959" s="73"/>
      <c r="G4959" s="73"/>
    </row>
    <row r="4960" spans="2:7" ht="32.25" customHeight="1" x14ac:dyDescent="0.35">
      <c r="B4960" s="73"/>
      <c r="C4960" s="73"/>
      <c r="D4960" s="73"/>
      <c r="E4960" s="73"/>
      <c r="F4960" s="73"/>
      <c r="G4960" s="73"/>
    </row>
    <row r="4961" spans="2:7" ht="32.25" customHeight="1" x14ac:dyDescent="0.35">
      <c r="B4961" s="73"/>
      <c r="C4961" s="73"/>
      <c r="D4961" s="73"/>
      <c r="E4961" s="73"/>
      <c r="F4961" s="73"/>
      <c r="G4961" s="73"/>
    </row>
    <row r="4962" spans="2:7" ht="32.25" customHeight="1" x14ac:dyDescent="0.35">
      <c r="B4962" s="73"/>
      <c r="C4962" s="73"/>
      <c r="D4962" s="73"/>
      <c r="E4962" s="73"/>
      <c r="F4962" s="73"/>
      <c r="G4962" s="73"/>
    </row>
    <row r="4963" spans="2:7" ht="32.25" customHeight="1" x14ac:dyDescent="0.35">
      <c r="B4963" s="73"/>
      <c r="C4963" s="73"/>
      <c r="D4963" s="73"/>
      <c r="E4963" s="73"/>
      <c r="F4963" s="73"/>
      <c r="G4963" s="73"/>
    </row>
    <row r="4964" spans="2:7" ht="32.25" customHeight="1" x14ac:dyDescent="0.35">
      <c r="B4964" s="73"/>
      <c r="C4964" s="73"/>
      <c r="D4964" s="73"/>
      <c r="E4964" s="73"/>
      <c r="F4964" s="73"/>
      <c r="G4964" s="73"/>
    </row>
    <row r="4965" spans="2:7" ht="32.25" customHeight="1" x14ac:dyDescent="0.35">
      <c r="B4965" s="73"/>
      <c r="C4965" s="73"/>
      <c r="D4965" s="73"/>
      <c r="E4965" s="73"/>
      <c r="F4965" s="73"/>
      <c r="G4965" s="73"/>
    </row>
    <row r="4966" spans="2:7" ht="32.25" customHeight="1" x14ac:dyDescent="0.35">
      <c r="B4966" s="73"/>
      <c r="C4966" s="73"/>
      <c r="D4966" s="73"/>
      <c r="E4966" s="73"/>
      <c r="F4966" s="73"/>
      <c r="G4966" s="73"/>
    </row>
    <row r="4967" spans="2:7" ht="32.25" customHeight="1" x14ac:dyDescent="0.35">
      <c r="B4967" s="73"/>
      <c r="C4967" s="73"/>
      <c r="D4967" s="73"/>
      <c r="E4967" s="73"/>
      <c r="F4967" s="73"/>
      <c r="G4967" s="73"/>
    </row>
    <row r="4968" spans="2:7" ht="32.25" customHeight="1" x14ac:dyDescent="0.35">
      <c r="B4968" s="73"/>
      <c r="C4968" s="73"/>
      <c r="D4968" s="73"/>
      <c r="E4968" s="73"/>
      <c r="F4968" s="73"/>
      <c r="G4968" s="73"/>
    </row>
    <row r="4969" spans="2:7" ht="32.25" customHeight="1" x14ac:dyDescent="0.35">
      <c r="B4969" s="73"/>
      <c r="C4969" s="73"/>
      <c r="D4969" s="73"/>
      <c r="E4969" s="73"/>
      <c r="F4969" s="73"/>
      <c r="G4969" s="73"/>
    </row>
    <row r="4970" spans="2:7" ht="32.25" customHeight="1" x14ac:dyDescent="0.35">
      <c r="B4970" s="73"/>
      <c r="C4970" s="73"/>
      <c r="D4970" s="73"/>
      <c r="E4970" s="73"/>
      <c r="F4970" s="73"/>
      <c r="G4970" s="73"/>
    </row>
    <row r="4971" spans="2:7" ht="32.25" customHeight="1" x14ac:dyDescent="0.35">
      <c r="B4971" s="73"/>
      <c r="C4971" s="73"/>
      <c r="D4971" s="73"/>
      <c r="E4971" s="73"/>
      <c r="F4971" s="73"/>
      <c r="G4971" s="73"/>
    </row>
    <row r="4972" spans="2:7" ht="32.25" customHeight="1" x14ac:dyDescent="0.35">
      <c r="B4972" s="73"/>
      <c r="C4972" s="73"/>
      <c r="D4972" s="73"/>
      <c r="E4972" s="73"/>
      <c r="F4972" s="73"/>
      <c r="G4972" s="73"/>
    </row>
    <row r="4973" spans="2:7" ht="32.25" customHeight="1" x14ac:dyDescent="0.35">
      <c r="B4973" s="73"/>
      <c r="C4973" s="73"/>
      <c r="D4973" s="73"/>
      <c r="E4973" s="73"/>
      <c r="F4973" s="73"/>
      <c r="G4973" s="73"/>
    </row>
    <row r="4974" spans="2:7" ht="32.25" customHeight="1" x14ac:dyDescent="0.35">
      <c r="B4974" s="73"/>
      <c r="C4974" s="73"/>
      <c r="D4974" s="73"/>
      <c r="E4974" s="73"/>
      <c r="F4974" s="73"/>
      <c r="G4974" s="73"/>
    </row>
    <row r="4975" spans="2:7" ht="32.25" customHeight="1" x14ac:dyDescent="0.35">
      <c r="B4975" s="73"/>
      <c r="C4975" s="73"/>
      <c r="D4975" s="73"/>
      <c r="E4975" s="73"/>
      <c r="F4975" s="73"/>
      <c r="G4975" s="73"/>
    </row>
    <row r="4976" spans="2:7" ht="32.25" customHeight="1" x14ac:dyDescent="0.35">
      <c r="B4976" s="73"/>
      <c r="C4976" s="73"/>
      <c r="D4976" s="73"/>
      <c r="E4976" s="73"/>
      <c r="F4976" s="73"/>
      <c r="G4976" s="73"/>
    </row>
    <row r="4977" spans="2:7" ht="32.25" customHeight="1" x14ac:dyDescent="0.35">
      <c r="B4977" s="73"/>
      <c r="C4977" s="73"/>
      <c r="D4977" s="73"/>
      <c r="E4977" s="73"/>
      <c r="F4977" s="73"/>
      <c r="G4977" s="73"/>
    </row>
    <row r="4978" spans="2:7" ht="32.25" customHeight="1" x14ac:dyDescent="0.35">
      <c r="B4978" s="73"/>
      <c r="C4978" s="73"/>
      <c r="D4978" s="73"/>
      <c r="E4978" s="73"/>
      <c r="F4978" s="73"/>
      <c r="G4978" s="73"/>
    </row>
    <row r="4979" spans="2:7" ht="32.25" customHeight="1" x14ac:dyDescent="0.35">
      <c r="B4979" s="73"/>
      <c r="C4979" s="73"/>
      <c r="D4979" s="73"/>
      <c r="E4979" s="73"/>
      <c r="F4979" s="73"/>
      <c r="G4979" s="73"/>
    </row>
    <row r="4980" spans="2:7" ht="32.25" customHeight="1" x14ac:dyDescent="0.35">
      <c r="B4980" s="73"/>
      <c r="C4980" s="73"/>
      <c r="D4980" s="73"/>
      <c r="E4980" s="73"/>
      <c r="F4980" s="73"/>
      <c r="G4980" s="73"/>
    </row>
    <row r="4981" spans="2:7" ht="32.25" customHeight="1" x14ac:dyDescent="0.35">
      <c r="B4981" s="73"/>
      <c r="C4981" s="73"/>
      <c r="D4981" s="73"/>
      <c r="E4981" s="73"/>
      <c r="F4981" s="73"/>
      <c r="G4981" s="73"/>
    </row>
    <row r="4982" spans="2:7" ht="32.25" customHeight="1" x14ac:dyDescent="0.35">
      <c r="B4982" s="73"/>
      <c r="C4982" s="73"/>
      <c r="D4982" s="73"/>
      <c r="E4982" s="73"/>
      <c r="F4982" s="73"/>
      <c r="G4982" s="73"/>
    </row>
    <row r="4983" spans="2:7" ht="32.25" customHeight="1" x14ac:dyDescent="0.35">
      <c r="B4983" s="73"/>
      <c r="C4983" s="73"/>
      <c r="D4983" s="73"/>
      <c r="E4983" s="73"/>
      <c r="F4983" s="73"/>
      <c r="G4983" s="73"/>
    </row>
    <row r="4984" spans="2:7" ht="32.25" customHeight="1" x14ac:dyDescent="0.35">
      <c r="B4984" s="73"/>
      <c r="C4984" s="73"/>
      <c r="D4984" s="73"/>
      <c r="E4984" s="73"/>
      <c r="F4984" s="73"/>
      <c r="G4984" s="73"/>
    </row>
    <row r="4985" spans="2:7" ht="32.25" customHeight="1" x14ac:dyDescent="0.35">
      <c r="B4985" s="73"/>
      <c r="C4985" s="73"/>
      <c r="D4985" s="73"/>
      <c r="E4985" s="73"/>
      <c r="F4985" s="73"/>
      <c r="G4985" s="73"/>
    </row>
    <row r="4986" spans="2:7" ht="32.25" customHeight="1" x14ac:dyDescent="0.35">
      <c r="B4986" s="73"/>
      <c r="C4986" s="73"/>
      <c r="D4986" s="73"/>
      <c r="E4986" s="73"/>
      <c r="F4986" s="73"/>
      <c r="G4986" s="73"/>
    </row>
    <row r="4987" spans="2:7" ht="32.25" customHeight="1" x14ac:dyDescent="0.35">
      <c r="B4987" s="73"/>
      <c r="C4987" s="73"/>
      <c r="D4987" s="73"/>
      <c r="E4987" s="73"/>
      <c r="F4987" s="73"/>
      <c r="G4987" s="73"/>
    </row>
    <row r="4988" spans="2:7" ht="32.25" customHeight="1" x14ac:dyDescent="0.35">
      <c r="B4988" s="73"/>
      <c r="C4988" s="73"/>
      <c r="D4988" s="73"/>
      <c r="E4988" s="73"/>
      <c r="F4988" s="73"/>
      <c r="G4988" s="73"/>
    </row>
    <row r="4989" spans="2:7" ht="32.25" customHeight="1" x14ac:dyDescent="0.35">
      <c r="B4989" s="73"/>
      <c r="C4989" s="73"/>
      <c r="D4989" s="73"/>
      <c r="E4989" s="73"/>
      <c r="F4989" s="73"/>
      <c r="G4989" s="73"/>
    </row>
    <row r="4990" spans="2:7" ht="32.25" customHeight="1" x14ac:dyDescent="0.35">
      <c r="B4990" s="73"/>
      <c r="C4990" s="73"/>
      <c r="D4990" s="73"/>
      <c r="E4990" s="73"/>
      <c r="F4990" s="73"/>
      <c r="G4990" s="73"/>
    </row>
    <row r="4991" spans="2:7" ht="32.25" customHeight="1" x14ac:dyDescent="0.35">
      <c r="B4991" s="73"/>
      <c r="C4991" s="73"/>
      <c r="D4991" s="73"/>
      <c r="E4991" s="73"/>
      <c r="F4991" s="73"/>
      <c r="G4991" s="73"/>
    </row>
    <row r="4992" spans="2:7" ht="32.25" customHeight="1" x14ac:dyDescent="0.35">
      <c r="B4992" s="73"/>
      <c r="C4992" s="73"/>
      <c r="D4992" s="73"/>
      <c r="E4992" s="73"/>
      <c r="F4992" s="73"/>
      <c r="G4992" s="73"/>
    </row>
    <row r="4993" spans="2:7" ht="32.25" customHeight="1" x14ac:dyDescent="0.35">
      <c r="B4993" s="73"/>
      <c r="C4993" s="73"/>
      <c r="D4993" s="73"/>
      <c r="E4993" s="73"/>
      <c r="F4993" s="73"/>
      <c r="G4993" s="73"/>
    </row>
    <row r="4994" spans="2:7" ht="32.25" customHeight="1" x14ac:dyDescent="0.35">
      <c r="B4994" s="73"/>
      <c r="C4994" s="73"/>
      <c r="D4994" s="73"/>
      <c r="E4994" s="73"/>
      <c r="F4994" s="73"/>
      <c r="G4994" s="73"/>
    </row>
    <row r="4995" spans="2:7" ht="32.25" customHeight="1" x14ac:dyDescent="0.35">
      <c r="B4995" s="73"/>
      <c r="C4995" s="73"/>
      <c r="D4995" s="73"/>
      <c r="E4995" s="73"/>
      <c r="F4995" s="73"/>
      <c r="G4995" s="73"/>
    </row>
    <row r="4996" spans="2:7" ht="32.25" customHeight="1" x14ac:dyDescent="0.35">
      <c r="B4996" s="73"/>
      <c r="C4996" s="73"/>
      <c r="D4996" s="73"/>
      <c r="E4996" s="73"/>
      <c r="F4996" s="73"/>
      <c r="G4996" s="73"/>
    </row>
    <row r="4997" spans="2:7" ht="32.25" customHeight="1" x14ac:dyDescent="0.35">
      <c r="B4997" s="73"/>
      <c r="C4997" s="73"/>
      <c r="D4997" s="73"/>
      <c r="E4997" s="73"/>
      <c r="F4997" s="73"/>
      <c r="G4997" s="73"/>
    </row>
    <row r="4998" spans="2:7" ht="32.25" customHeight="1" x14ac:dyDescent="0.35">
      <c r="B4998" s="73"/>
      <c r="C4998" s="73"/>
      <c r="D4998" s="73"/>
      <c r="E4998" s="73"/>
      <c r="F4998" s="73"/>
      <c r="G4998" s="73"/>
    </row>
    <row r="4999" spans="2:7" ht="32.25" customHeight="1" x14ac:dyDescent="0.35">
      <c r="B4999" s="73"/>
      <c r="C4999" s="73"/>
      <c r="D4999" s="73"/>
      <c r="E4999" s="73"/>
      <c r="F4999" s="73"/>
      <c r="G4999" s="73"/>
    </row>
    <row r="5000" spans="2:7" ht="32.25" customHeight="1" x14ac:dyDescent="0.35">
      <c r="B5000" s="73"/>
      <c r="C5000" s="73"/>
      <c r="D5000" s="73"/>
      <c r="E5000" s="73"/>
      <c r="F5000" s="73"/>
      <c r="G5000" s="73"/>
    </row>
    <row r="5001" spans="2:7" ht="32.25" customHeight="1" x14ac:dyDescent="0.35">
      <c r="B5001" s="73"/>
      <c r="C5001" s="73"/>
      <c r="D5001" s="73"/>
      <c r="E5001" s="73"/>
      <c r="F5001" s="73"/>
      <c r="G5001" s="73"/>
    </row>
    <row r="5002" spans="2:7" ht="32.25" customHeight="1" x14ac:dyDescent="0.35">
      <c r="B5002" s="73"/>
      <c r="C5002" s="73"/>
      <c r="D5002" s="73"/>
      <c r="E5002" s="73"/>
      <c r="F5002" s="73"/>
      <c r="G5002" s="73"/>
    </row>
    <row r="5003" spans="2:7" ht="32.25" customHeight="1" x14ac:dyDescent="0.35">
      <c r="B5003" s="73"/>
      <c r="C5003" s="73"/>
      <c r="D5003" s="73"/>
      <c r="E5003" s="73"/>
      <c r="F5003" s="73"/>
      <c r="G5003" s="73"/>
    </row>
    <row r="5004" spans="2:7" ht="32.25" customHeight="1" x14ac:dyDescent="0.35">
      <c r="B5004" s="73"/>
      <c r="C5004" s="73"/>
      <c r="D5004" s="73"/>
      <c r="E5004" s="73"/>
      <c r="F5004" s="73"/>
      <c r="G5004" s="73"/>
    </row>
    <row r="5005" spans="2:7" ht="32.25" customHeight="1" x14ac:dyDescent="0.35">
      <c r="B5005" s="73"/>
      <c r="C5005" s="73"/>
      <c r="D5005" s="73"/>
      <c r="E5005" s="73"/>
      <c r="F5005" s="73"/>
      <c r="G5005" s="73"/>
    </row>
    <row r="5006" spans="2:7" ht="32.25" customHeight="1" x14ac:dyDescent="0.35">
      <c r="B5006" s="73"/>
      <c r="C5006" s="73"/>
      <c r="D5006" s="73"/>
      <c r="E5006" s="73"/>
      <c r="F5006" s="73"/>
      <c r="G5006" s="73"/>
    </row>
    <row r="5007" spans="2:7" ht="32.25" customHeight="1" x14ac:dyDescent="0.35">
      <c r="B5007" s="73"/>
      <c r="C5007" s="73"/>
      <c r="D5007" s="73"/>
      <c r="E5007" s="73"/>
      <c r="F5007" s="73"/>
      <c r="G5007" s="73"/>
    </row>
    <row r="5008" spans="2:7" ht="32.25" customHeight="1" x14ac:dyDescent="0.35">
      <c r="B5008" s="73"/>
      <c r="C5008" s="73"/>
      <c r="D5008" s="73"/>
      <c r="E5008" s="73"/>
      <c r="F5008" s="73"/>
      <c r="G5008" s="73"/>
    </row>
    <row r="5009" spans="2:7" ht="32.25" customHeight="1" x14ac:dyDescent="0.35">
      <c r="B5009" s="73"/>
      <c r="C5009" s="73"/>
      <c r="D5009" s="73"/>
      <c r="E5009" s="73"/>
      <c r="F5009" s="73"/>
      <c r="G5009" s="73"/>
    </row>
    <row r="5010" spans="2:7" ht="32.25" customHeight="1" x14ac:dyDescent="0.35">
      <c r="B5010" s="73"/>
      <c r="C5010" s="73"/>
      <c r="D5010" s="73"/>
      <c r="E5010" s="73"/>
      <c r="F5010" s="73"/>
      <c r="G5010" s="73"/>
    </row>
    <row r="5011" spans="2:7" ht="32.25" customHeight="1" x14ac:dyDescent="0.35">
      <c r="B5011" s="73"/>
      <c r="C5011" s="73"/>
      <c r="D5011" s="73"/>
      <c r="E5011" s="73"/>
      <c r="F5011" s="73"/>
      <c r="G5011" s="73"/>
    </row>
    <row r="5012" spans="2:7" ht="32.25" customHeight="1" x14ac:dyDescent="0.35">
      <c r="B5012" s="73"/>
      <c r="C5012" s="73"/>
      <c r="D5012" s="73"/>
      <c r="E5012" s="73"/>
      <c r="F5012" s="73"/>
      <c r="G5012" s="73"/>
    </row>
    <row r="5013" spans="2:7" ht="32.25" customHeight="1" x14ac:dyDescent="0.35">
      <c r="B5013" s="73"/>
      <c r="C5013" s="73"/>
      <c r="D5013" s="73"/>
      <c r="E5013" s="73"/>
      <c r="F5013" s="73"/>
      <c r="G5013" s="73"/>
    </row>
    <row r="5014" spans="2:7" ht="32.25" customHeight="1" x14ac:dyDescent="0.35">
      <c r="B5014" s="73"/>
      <c r="C5014" s="73"/>
      <c r="D5014" s="73"/>
      <c r="E5014" s="73"/>
      <c r="F5014" s="73"/>
      <c r="G5014" s="73"/>
    </row>
    <row r="5015" spans="2:7" ht="32.25" customHeight="1" x14ac:dyDescent="0.35">
      <c r="B5015" s="73"/>
      <c r="C5015" s="73"/>
      <c r="D5015" s="73"/>
      <c r="E5015" s="73"/>
      <c r="F5015" s="73"/>
      <c r="G5015" s="73"/>
    </row>
    <row r="5016" spans="2:7" ht="32.25" customHeight="1" x14ac:dyDescent="0.35">
      <c r="B5016" s="73"/>
      <c r="C5016" s="73"/>
      <c r="D5016" s="73"/>
      <c r="E5016" s="73"/>
      <c r="F5016" s="73"/>
      <c r="G5016" s="73"/>
    </row>
    <row r="5017" spans="2:7" ht="32.25" customHeight="1" x14ac:dyDescent="0.35">
      <c r="B5017" s="73"/>
      <c r="C5017" s="73"/>
      <c r="D5017" s="73"/>
      <c r="E5017" s="73"/>
      <c r="F5017" s="73"/>
      <c r="G5017" s="73"/>
    </row>
    <row r="5018" spans="2:7" ht="32.25" customHeight="1" x14ac:dyDescent="0.35">
      <c r="B5018" s="73"/>
      <c r="C5018" s="73"/>
      <c r="D5018" s="73"/>
      <c r="E5018" s="73"/>
      <c r="F5018" s="73"/>
      <c r="G5018" s="73"/>
    </row>
    <row r="5019" spans="2:7" ht="32.25" customHeight="1" x14ac:dyDescent="0.35">
      <c r="B5019" s="73"/>
      <c r="C5019" s="73"/>
      <c r="D5019" s="73"/>
      <c r="E5019" s="73"/>
      <c r="F5019" s="73"/>
      <c r="G5019" s="73"/>
    </row>
    <row r="5020" spans="2:7" ht="32.25" customHeight="1" x14ac:dyDescent="0.35">
      <c r="B5020" s="73"/>
      <c r="C5020" s="73"/>
      <c r="D5020" s="73"/>
      <c r="E5020" s="73"/>
      <c r="F5020" s="73"/>
      <c r="G5020" s="73"/>
    </row>
    <row r="5021" spans="2:7" ht="32.25" customHeight="1" x14ac:dyDescent="0.35">
      <c r="B5021" s="73"/>
      <c r="C5021" s="73"/>
      <c r="D5021" s="73"/>
      <c r="E5021" s="73"/>
      <c r="F5021" s="73"/>
      <c r="G5021" s="73"/>
    </row>
    <row r="5022" spans="2:7" ht="32.25" customHeight="1" x14ac:dyDescent="0.35">
      <c r="B5022" s="73"/>
      <c r="C5022" s="73"/>
      <c r="D5022" s="73"/>
      <c r="E5022" s="73"/>
      <c r="F5022" s="73"/>
      <c r="G5022" s="73"/>
    </row>
    <row r="5023" spans="2:7" ht="32.25" customHeight="1" x14ac:dyDescent="0.35">
      <c r="B5023" s="73"/>
      <c r="C5023" s="73"/>
      <c r="D5023" s="73"/>
      <c r="E5023" s="73"/>
      <c r="F5023" s="73"/>
      <c r="G5023" s="73"/>
    </row>
    <row r="5024" spans="2:7" ht="32.25" customHeight="1" x14ac:dyDescent="0.35">
      <c r="B5024" s="73"/>
      <c r="C5024" s="73"/>
      <c r="D5024" s="73"/>
      <c r="E5024" s="73"/>
      <c r="F5024" s="73"/>
      <c r="G5024" s="73"/>
    </row>
    <row r="5025" spans="2:7" ht="32.25" customHeight="1" x14ac:dyDescent="0.35">
      <c r="B5025" s="73"/>
      <c r="C5025" s="73"/>
      <c r="D5025" s="73"/>
      <c r="E5025" s="73"/>
      <c r="F5025" s="73"/>
      <c r="G5025" s="73"/>
    </row>
    <row r="5026" spans="2:7" ht="32.25" customHeight="1" x14ac:dyDescent="0.35">
      <c r="B5026" s="73"/>
      <c r="C5026" s="73"/>
      <c r="D5026" s="73"/>
      <c r="E5026" s="73"/>
      <c r="F5026" s="73"/>
      <c r="G5026" s="73"/>
    </row>
    <row r="5027" spans="2:7" ht="32.25" customHeight="1" x14ac:dyDescent="0.35">
      <c r="B5027" s="73"/>
      <c r="C5027" s="73"/>
      <c r="D5027" s="73"/>
      <c r="E5027" s="73"/>
      <c r="F5027" s="73"/>
      <c r="G5027" s="73"/>
    </row>
    <row r="5028" spans="2:7" ht="32.25" customHeight="1" x14ac:dyDescent="0.35">
      <c r="B5028" s="73"/>
      <c r="C5028" s="73"/>
      <c r="D5028" s="73"/>
      <c r="E5028" s="73"/>
      <c r="F5028" s="73"/>
      <c r="G5028" s="73"/>
    </row>
    <row r="5029" spans="2:7" ht="32.25" customHeight="1" x14ac:dyDescent="0.35">
      <c r="B5029" s="73"/>
      <c r="C5029" s="73"/>
      <c r="D5029" s="73"/>
      <c r="E5029" s="73"/>
      <c r="F5029" s="73"/>
      <c r="G5029" s="73"/>
    </row>
    <row r="5030" spans="2:7" ht="32.25" customHeight="1" x14ac:dyDescent="0.35">
      <c r="B5030" s="73"/>
      <c r="C5030" s="73"/>
      <c r="D5030" s="73"/>
      <c r="E5030" s="73"/>
      <c r="F5030" s="73"/>
      <c r="G5030" s="73"/>
    </row>
    <row r="5031" spans="2:7" ht="32.25" customHeight="1" x14ac:dyDescent="0.35">
      <c r="B5031" s="73"/>
      <c r="C5031" s="73"/>
      <c r="D5031" s="73"/>
      <c r="E5031" s="73"/>
      <c r="F5031" s="73"/>
      <c r="G5031" s="73"/>
    </row>
    <row r="5032" spans="2:7" ht="32.25" customHeight="1" x14ac:dyDescent="0.35">
      <c r="B5032" s="73"/>
      <c r="C5032" s="73"/>
      <c r="D5032" s="73"/>
      <c r="E5032" s="73"/>
      <c r="F5032" s="73"/>
      <c r="G5032" s="73"/>
    </row>
    <row r="5033" spans="2:7" ht="32.25" customHeight="1" x14ac:dyDescent="0.35">
      <c r="B5033" s="73"/>
      <c r="C5033" s="73"/>
      <c r="D5033" s="73"/>
      <c r="E5033" s="73"/>
      <c r="F5033" s="73"/>
      <c r="G5033" s="73"/>
    </row>
    <row r="5034" spans="2:7" ht="32.25" customHeight="1" x14ac:dyDescent="0.35">
      <c r="B5034" s="73"/>
      <c r="C5034" s="73"/>
      <c r="D5034" s="73"/>
      <c r="E5034" s="73"/>
      <c r="F5034" s="73"/>
      <c r="G5034" s="73"/>
    </row>
    <row r="5035" spans="2:7" ht="32.25" customHeight="1" x14ac:dyDescent="0.35">
      <c r="B5035" s="73"/>
      <c r="C5035" s="73"/>
      <c r="D5035" s="73"/>
      <c r="E5035" s="73"/>
      <c r="F5035" s="73"/>
      <c r="G5035" s="73"/>
    </row>
    <row r="5036" spans="2:7" ht="32.25" customHeight="1" x14ac:dyDescent="0.35">
      <c r="B5036" s="73"/>
      <c r="C5036" s="73"/>
      <c r="D5036" s="73"/>
      <c r="E5036" s="73"/>
      <c r="F5036" s="73"/>
      <c r="G5036" s="73"/>
    </row>
    <row r="5037" spans="2:7" ht="32.25" customHeight="1" x14ac:dyDescent="0.35">
      <c r="B5037" s="73"/>
      <c r="C5037" s="73"/>
      <c r="D5037" s="73"/>
      <c r="E5037" s="73"/>
      <c r="F5037" s="73"/>
      <c r="G5037" s="73"/>
    </row>
    <row r="5038" spans="2:7" ht="32.25" customHeight="1" x14ac:dyDescent="0.35">
      <c r="B5038" s="73"/>
      <c r="C5038" s="73"/>
      <c r="D5038" s="73"/>
      <c r="E5038" s="73"/>
      <c r="F5038" s="73"/>
      <c r="G5038" s="73"/>
    </row>
    <row r="5039" spans="2:7" ht="32.25" customHeight="1" x14ac:dyDescent="0.35">
      <c r="B5039" s="73"/>
      <c r="C5039" s="73"/>
      <c r="D5039" s="73"/>
      <c r="E5039" s="73"/>
      <c r="F5039" s="73"/>
      <c r="G5039" s="73"/>
    </row>
    <row r="5040" spans="2:7" ht="32.25" customHeight="1" x14ac:dyDescent="0.35">
      <c r="B5040" s="73"/>
      <c r="C5040" s="73"/>
      <c r="D5040" s="73"/>
      <c r="E5040" s="73"/>
      <c r="F5040" s="73"/>
      <c r="G5040" s="73"/>
    </row>
    <row r="5041" spans="2:7" ht="32.25" customHeight="1" x14ac:dyDescent="0.35">
      <c r="B5041" s="73"/>
      <c r="C5041" s="73"/>
      <c r="D5041" s="73"/>
      <c r="E5041" s="73"/>
      <c r="F5041" s="73"/>
      <c r="G5041" s="73"/>
    </row>
    <row r="5042" spans="2:7" ht="32.25" customHeight="1" x14ac:dyDescent="0.35">
      <c r="B5042" s="73"/>
      <c r="C5042" s="73"/>
      <c r="D5042" s="73"/>
      <c r="E5042" s="73"/>
      <c r="F5042" s="73"/>
      <c r="G5042" s="73"/>
    </row>
    <row r="5043" spans="2:7" ht="32.25" customHeight="1" x14ac:dyDescent="0.35">
      <c r="B5043" s="73"/>
      <c r="C5043" s="73"/>
      <c r="D5043" s="73"/>
      <c r="E5043" s="73"/>
      <c r="F5043" s="73"/>
      <c r="G5043" s="73"/>
    </row>
    <row r="5044" spans="2:7" ht="32.25" customHeight="1" x14ac:dyDescent="0.35">
      <c r="B5044" s="73"/>
      <c r="C5044" s="73"/>
      <c r="D5044" s="73"/>
      <c r="E5044" s="73"/>
      <c r="F5044" s="73"/>
      <c r="G5044" s="73"/>
    </row>
    <row r="5045" spans="2:7" ht="32.25" customHeight="1" x14ac:dyDescent="0.35">
      <c r="B5045" s="73"/>
      <c r="C5045" s="73"/>
      <c r="D5045" s="73"/>
      <c r="E5045" s="73"/>
      <c r="F5045" s="73"/>
      <c r="G5045" s="73"/>
    </row>
    <row r="5046" spans="2:7" ht="32.25" customHeight="1" x14ac:dyDescent="0.35">
      <c r="B5046" s="73"/>
      <c r="C5046" s="73"/>
      <c r="D5046" s="73"/>
      <c r="E5046" s="73"/>
      <c r="F5046" s="73"/>
      <c r="G5046" s="73"/>
    </row>
    <row r="5047" spans="2:7" ht="32.25" customHeight="1" x14ac:dyDescent="0.35">
      <c r="B5047" s="73"/>
      <c r="C5047" s="73"/>
      <c r="D5047" s="73"/>
      <c r="E5047" s="73"/>
      <c r="F5047" s="73"/>
      <c r="G5047" s="73"/>
    </row>
    <row r="5048" spans="2:7" ht="32.25" customHeight="1" x14ac:dyDescent="0.35">
      <c r="B5048" s="73"/>
      <c r="C5048" s="73"/>
      <c r="D5048" s="73"/>
      <c r="E5048" s="73"/>
      <c r="F5048" s="73"/>
      <c r="G5048" s="73"/>
    </row>
    <row r="5049" spans="2:7" ht="32.25" customHeight="1" x14ac:dyDescent="0.35">
      <c r="B5049" s="73"/>
      <c r="C5049" s="73"/>
      <c r="D5049" s="73"/>
      <c r="E5049" s="73"/>
      <c r="F5049" s="73"/>
      <c r="G5049" s="73"/>
    </row>
    <row r="5050" spans="2:7" ht="32.25" customHeight="1" x14ac:dyDescent="0.35">
      <c r="B5050" s="73"/>
      <c r="C5050" s="73"/>
      <c r="D5050" s="73"/>
      <c r="E5050" s="73"/>
      <c r="F5050" s="73"/>
      <c r="G5050" s="73"/>
    </row>
    <row r="5051" spans="2:7" ht="32.25" customHeight="1" x14ac:dyDescent="0.35">
      <c r="B5051" s="73"/>
      <c r="C5051" s="73"/>
      <c r="D5051" s="73"/>
      <c r="E5051" s="73"/>
      <c r="F5051" s="73"/>
      <c r="G5051" s="73"/>
    </row>
    <row r="5052" spans="2:7" ht="32.25" customHeight="1" x14ac:dyDescent="0.35">
      <c r="B5052" s="73"/>
      <c r="C5052" s="73"/>
      <c r="D5052" s="73"/>
      <c r="E5052" s="73"/>
      <c r="F5052" s="73"/>
      <c r="G5052" s="73"/>
    </row>
    <row r="5053" spans="2:7" ht="32.25" customHeight="1" x14ac:dyDescent="0.35">
      <c r="B5053" s="73"/>
      <c r="C5053" s="73"/>
      <c r="D5053" s="73"/>
      <c r="E5053" s="73"/>
      <c r="F5053" s="73"/>
      <c r="G5053" s="73"/>
    </row>
    <row r="5054" spans="2:7" ht="32.25" customHeight="1" x14ac:dyDescent="0.35">
      <c r="B5054" s="73"/>
      <c r="C5054" s="73"/>
      <c r="D5054" s="73"/>
      <c r="E5054" s="73"/>
      <c r="F5054" s="73"/>
      <c r="G5054" s="73"/>
    </row>
    <row r="5055" spans="2:7" ht="32.25" customHeight="1" x14ac:dyDescent="0.35">
      <c r="B5055" s="73"/>
      <c r="C5055" s="73"/>
      <c r="D5055" s="73"/>
      <c r="E5055" s="73"/>
      <c r="F5055" s="73"/>
      <c r="G5055" s="73"/>
    </row>
    <row r="5056" spans="2:7" ht="32.25" customHeight="1" x14ac:dyDescent="0.35">
      <c r="B5056" s="73"/>
      <c r="C5056" s="73"/>
      <c r="D5056" s="73"/>
      <c r="E5056" s="73"/>
      <c r="F5056" s="73"/>
      <c r="G5056" s="73"/>
    </row>
    <row r="5057" spans="2:7" ht="32.25" customHeight="1" x14ac:dyDescent="0.35">
      <c r="B5057" s="73"/>
      <c r="C5057" s="73"/>
      <c r="D5057" s="73"/>
      <c r="E5057" s="73"/>
      <c r="F5057" s="73"/>
      <c r="G5057" s="73"/>
    </row>
    <row r="5058" spans="2:7" ht="32.25" customHeight="1" x14ac:dyDescent="0.35">
      <c r="B5058" s="73"/>
      <c r="C5058" s="73"/>
      <c r="D5058" s="73"/>
      <c r="E5058" s="73"/>
      <c r="F5058" s="73"/>
      <c r="G5058" s="73"/>
    </row>
    <row r="5059" spans="2:7" ht="32.25" customHeight="1" x14ac:dyDescent="0.35">
      <c r="B5059" s="73"/>
      <c r="C5059" s="73"/>
      <c r="D5059" s="73"/>
      <c r="E5059" s="73"/>
      <c r="F5059" s="73"/>
      <c r="G5059" s="73"/>
    </row>
    <row r="5060" spans="2:7" ht="32.25" customHeight="1" x14ac:dyDescent="0.35">
      <c r="B5060" s="73"/>
      <c r="C5060" s="73"/>
      <c r="D5060" s="73"/>
      <c r="E5060" s="73"/>
      <c r="F5060" s="73"/>
      <c r="G5060" s="73"/>
    </row>
    <row r="5061" spans="2:7" ht="32.25" customHeight="1" x14ac:dyDescent="0.35">
      <c r="B5061" s="73"/>
      <c r="C5061" s="73"/>
      <c r="D5061" s="73"/>
      <c r="E5061" s="73"/>
      <c r="F5061" s="73"/>
      <c r="G5061" s="73"/>
    </row>
    <row r="5062" spans="2:7" ht="32.25" customHeight="1" x14ac:dyDescent="0.35">
      <c r="B5062" s="73"/>
      <c r="C5062" s="73"/>
      <c r="D5062" s="73"/>
      <c r="E5062" s="73"/>
      <c r="F5062" s="73"/>
      <c r="G5062" s="73"/>
    </row>
    <row r="5063" spans="2:7" ht="32.25" customHeight="1" x14ac:dyDescent="0.35">
      <c r="B5063" s="73"/>
      <c r="C5063" s="73"/>
      <c r="D5063" s="73"/>
      <c r="E5063" s="73"/>
      <c r="F5063" s="73"/>
      <c r="G5063" s="73"/>
    </row>
    <row r="5064" spans="2:7" ht="32.25" customHeight="1" x14ac:dyDescent="0.35">
      <c r="B5064" s="73"/>
      <c r="C5064" s="73"/>
      <c r="D5064" s="73"/>
      <c r="E5064" s="73"/>
      <c r="F5064" s="73"/>
      <c r="G5064" s="73"/>
    </row>
    <row r="5065" spans="2:7" ht="32.25" customHeight="1" x14ac:dyDescent="0.35">
      <c r="B5065" s="73"/>
      <c r="C5065" s="73"/>
      <c r="D5065" s="73"/>
      <c r="E5065" s="73"/>
      <c r="F5065" s="73"/>
      <c r="G5065" s="73"/>
    </row>
    <row r="5066" spans="2:7" ht="32.25" customHeight="1" x14ac:dyDescent="0.35">
      <c r="B5066" s="73"/>
      <c r="C5066" s="73"/>
      <c r="D5066" s="73"/>
      <c r="E5066" s="73"/>
      <c r="F5066" s="73"/>
      <c r="G5066" s="73"/>
    </row>
    <row r="5067" spans="2:7" ht="32.25" customHeight="1" x14ac:dyDescent="0.35">
      <c r="B5067" s="73"/>
      <c r="C5067" s="73"/>
      <c r="D5067" s="73"/>
      <c r="E5067" s="73"/>
      <c r="F5067" s="73"/>
      <c r="G5067" s="73"/>
    </row>
    <row r="5068" spans="2:7" ht="32.25" customHeight="1" x14ac:dyDescent="0.35">
      <c r="B5068" s="73"/>
      <c r="C5068" s="73"/>
      <c r="D5068" s="73"/>
      <c r="E5068" s="73"/>
      <c r="F5068" s="73"/>
      <c r="G5068" s="73"/>
    </row>
    <row r="5069" spans="2:7" ht="32.25" customHeight="1" x14ac:dyDescent="0.35">
      <c r="B5069" s="73"/>
      <c r="C5069" s="73"/>
      <c r="D5069" s="73"/>
      <c r="E5069" s="73"/>
      <c r="F5069" s="73"/>
      <c r="G5069" s="73"/>
    </row>
    <row r="5070" spans="2:7" ht="32.25" customHeight="1" x14ac:dyDescent="0.35">
      <c r="B5070" s="73"/>
      <c r="C5070" s="73"/>
      <c r="D5070" s="73"/>
      <c r="E5070" s="73"/>
      <c r="F5070" s="73"/>
      <c r="G5070" s="73"/>
    </row>
    <row r="5071" spans="2:7" ht="32.25" customHeight="1" x14ac:dyDescent="0.35">
      <c r="B5071" s="73"/>
      <c r="C5071" s="73"/>
      <c r="D5071" s="73"/>
      <c r="E5071" s="73"/>
      <c r="F5071" s="73"/>
      <c r="G5071" s="73"/>
    </row>
    <row r="5072" spans="2:7" ht="32.25" customHeight="1" x14ac:dyDescent="0.35">
      <c r="B5072" s="73"/>
      <c r="C5072" s="73"/>
      <c r="D5072" s="73"/>
      <c r="E5072" s="73"/>
      <c r="F5072" s="73"/>
      <c r="G5072" s="73"/>
    </row>
    <row r="5073" spans="2:7" ht="32.25" customHeight="1" x14ac:dyDescent="0.35">
      <c r="B5073" s="73"/>
      <c r="C5073" s="73"/>
      <c r="D5073" s="73"/>
      <c r="E5073" s="73"/>
      <c r="F5073" s="73"/>
      <c r="G5073" s="73"/>
    </row>
    <row r="5074" spans="2:7" ht="32.25" customHeight="1" x14ac:dyDescent="0.35">
      <c r="B5074" s="73"/>
      <c r="C5074" s="73"/>
      <c r="D5074" s="73"/>
      <c r="E5074" s="73"/>
      <c r="F5074" s="73"/>
      <c r="G5074" s="73"/>
    </row>
    <row r="5075" spans="2:7" ht="32.25" customHeight="1" x14ac:dyDescent="0.35">
      <c r="B5075" s="73"/>
      <c r="C5075" s="73"/>
      <c r="D5075" s="73"/>
      <c r="E5075" s="73"/>
      <c r="F5075" s="73"/>
      <c r="G5075" s="73"/>
    </row>
    <row r="5076" spans="2:7" ht="32.25" customHeight="1" x14ac:dyDescent="0.35">
      <c r="B5076" s="73"/>
      <c r="C5076" s="73"/>
      <c r="D5076" s="73"/>
      <c r="E5076" s="73"/>
      <c r="F5076" s="73"/>
      <c r="G5076" s="73"/>
    </row>
    <row r="5077" spans="2:7" ht="32.25" customHeight="1" x14ac:dyDescent="0.35">
      <c r="B5077" s="73"/>
      <c r="C5077" s="73"/>
      <c r="D5077" s="73"/>
      <c r="E5077" s="73"/>
      <c r="F5077" s="73"/>
      <c r="G5077" s="73"/>
    </row>
    <row r="5078" spans="2:7" ht="32.25" customHeight="1" x14ac:dyDescent="0.35">
      <c r="B5078" s="73"/>
      <c r="C5078" s="73"/>
      <c r="D5078" s="73"/>
      <c r="E5078" s="73"/>
      <c r="F5078" s="73"/>
      <c r="G5078" s="73"/>
    </row>
    <row r="5079" spans="2:7" ht="32.25" customHeight="1" x14ac:dyDescent="0.35">
      <c r="B5079" s="73"/>
      <c r="C5079" s="73"/>
      <c r="D5079" s="73"/>
      <c r="E5079" s="73"/>
      <c r="F5079" s="73"/>
      <c r="G5079" s="73"/>
    </row>
    <row r="5080" spans="2:7" ht="32.25" customHeight="1" x14ac:dyDescent="0.35">
      <c r="B5080" s="73"/>
      <c r="C5080" s="73"/>
      <c r="D5080" s="73"/>
      <c r="E5080" s="73"/>
      <c r="F5080" s="73"/>
      <c r="G5080" s="73"/>
    </row>
    <row r="5081" spans="2:7" ht="32.25" customHeight="1" x14ac:dyDescent="0.35">
      <c r="B5081" s="73"/>
      <c r="C5081" s="73"/>
      <c r="D5081" s="73"/>
      <c r="E5081" s="73"/>
      <c r="F5081" s="73"/>
      <c r="G5081" s="73"/>
    </row>
    <row r="5082" spans="2:7" ht="32.25" customHeight="1" x14ac:dyDescent="0.35">
      <c r="B5082" s="73"/>
      <c r="C5082" s="73"/>
      <c r="D5082" s="73"/>
      <c r="E5082" s="73"/>
      <c r="F5082" s="73"/>
      <c r="G5082" s="73"/>
    </row>
    <row r="5083" spans="2:7" ht="32.25" customHeight="1" x14ac:dyDescent="0.35">
      <c r="B5083" s="73"/>
      <c r="C5083" s="73"/>
      <c r="D5083" s="73"/>
      <c r="E5083" s="73"/>
      <c r="F5083" s="73"/>
      <c r="G5083" s="73"/>
    </row>
    <row r="5084" spans="2:7" ht="32.25" customHeight="1" x14ac:dyDescent="0.35">
      <c r="B5084" s="73"/>
      <c r="C5084" s="73"/>
      <c r="D5084" s="73"/>
      <c r="E5084" s="73"/>
      <c r="F5084" s="73"/>
      <c r="G5084" s="73"/>
    </row>
    <row r="5085" spans="2:7" ht="32.25" customHeight="1" x14ac:dyDescent="0.35">
      <c r="B5085" s="73"/>
      <c r="C5085" s="73"/>
      <c r="D5085" s="73"/>
      <c r="E5085" s="73"/>
      <c r="F5085" s="73"/>
      <c r="G5085" s="73"/>
    </row>
    <row r="5086" spans="2:7" ht="32.25" customHeight="1" x14ac:dyDescent="0.35">
      <c r="B5086" s="73"/>
      <c r="C5086" s="73"/>
      <c r="D5086" s="73"/>
      <c r="E5086" s="73"/>
      <c r="F5086" s="73"/>
      <c r="G5086" s="73"/>
    </row>
    <row r="5087" spans="2:7" ht="32.25" customHeight="1" x14ac:dyDescent="0.35">
      <c r="B5087" s="73"/>
      <c r="C5087" s="73"/>
      <c r="D5087" s="73"/>
      <c r="E5087" s="73"/>
      <c r="F5087" s="73"/>
      <c r="G5087" s="73"/>
    </row>
    <row r="5088" spans="2:7" ht="32.25" customHeight="1" x14ac:dyDescent="0.35">
      <c r="B5088" s="73"/>
      <c r="C5088" s="73"/>
      <c r="D5088" s="73"/>
      <c r="E5088" s="73"/>
      <c r="F5088" s="73"/>
      <c r="G5088" s="73"/>
    </row>
    <row r="5089" spans="2:7" ht="32.25" customHeight="1" x14ac:dyDescent="0.35">
      <c r="B5089" s="73"/>
      <c r="C5089" s="73"/>
      <c r="D5089" s="73"/>
      <c r="E5089" s="73"/>
      <c r="F5089" s="73"/>
      <c r="G5089" s="73"/>
    </row>
    <row r="5090" spans="2:7" ht="32.25" customHeight="1" x14ac:dyDescent="0.35">
      <c r="B5090" s="73"/>
      <c r="C5090" s="73"/>
      <c r="D5090" s="73"/>
      <c r="E5090" s="73"/>
      <c r="F5090" s="73"/>
      <c r="G5090" s="73"/>
    </row>
    <row r="5091" spans="2:7" ht="32.25" customHeight="1" x14ac:dyDescent="0.35">
      <c r="B5091" s="73"/>
      <c r="C5091" s="73"/>
      <c r="D5091" s="73"/>
      <c r="E5091" s="73"/>
      <c r="F5091" s="73"/>
      <c r="G5091" s="73"/>
    </row>
    <row r="5092" spans="2:7" ht="32.25" customHeight="1" x14ac:dyDescent="0.35">
      <c r="B5092" s="73"/>
      <c r="C5092" s="73"/>
      <c r="D5092" s="73"/>
      <c r="E5092" s="73"/>
      <c r="F5092" s="73"/>
      <c r="G5092" s="73"/>
    </row>
    <row r="5093" spans="2:7" ht="32.25" customHeight="1" x14ac:dyDescent="0.35">
      <c r="B5093" s="73"/>
      <c r="C5093" s="73"/>
      <c r="D5093" s="73"/>
      <c r="E5093" s="73"/>
      <c r="F5093" s="73"/>
      <c r="G5093" s="73"/>
    </row>
    <row r="5094" spans="2:7" ht="32.25" customHeight="1" x14ac:dyDescent="0.35">
      <c r="B5094" s="73"/>
      <c r="C5094" s="73"/>
      <c r="D5094" s="73"/>
      <c r="E5094" s="73"/>
      <c r="F5094" s="73"/>
      <c r="G5094" s="73"/>
    </row>
    <row r="5095" spans="2:7" ht="32.25" customHeight="1" x14ac:dyDescent="0.35">
      <c r="B5095" s="73"/>
      <c r="C5095" s="73"/>
      <c r="D5095" s="73"/>
      <c r="E5095" s="73"/>
      <c r="F5095" s="73"/>
      <c r="G5095" s="73"/>
    </row>
    <row r="5096" spans="2:7" ht="32.25" customHeight="1" x14ac:dyDescent="0.35">
      <c r="B5096" s="73"/>
      <c r="C5096" s="73"/>
      <c r="D5096" s="73"/>
      <c r="E5096" s="73"/>
      <c r="F5096" s="73"/>
      <c r="G5096" s="73"/>
    </row>
    <row r="5097" spans="2:7" ht="32.25" customHeight="1" x14ac:dyDescent="0.35">
      <c r="B5097" s="73"/>
      <c r="C5097" s="73"/>
      <c r="D5097" s="73"/>
      <c r="E5097" s="73"/>
      <c r="F5097" s="73"/>
      <c r="G5097" s="73"/>
    </row>
    <row r="5098" spans="2:7" ht="32.25" customHeight="1" x14ac:dyDescent="0.35">
      <c r="B5098" s="73"/>
      <c r="C5098" s="73"/>
      <c r="D5098" s="73"/>
      <c r="E5098" s="73"/>
      <c r="F5098" s="73"/>
      <c r="G5098" s="73"/>
    </row>
    <row r="5099" spans="2:7" ht="32.25" customHeight="1" x14ac:dyDescent="0.35">
      <c r="B5099" s="73"/>
      <c r="C5099" s="73"/>
      <c r="D5099" s="73"/>
      <c r="E5099" s="73"/>
      <c r="F5099" s="73"/>
      <c r="G5099" s="73"/>
    </row>
    <row r="5100" spans="2:7" ht="32.25" customHeight="1" x14ac:dyDescent="0.35">
      <c r="B5100" s="73"/>
      <c r="C5100" s="73"/>
      <c r="D5100" s="73"/>
      <c r="E5100" s="73"/>
      <c r="F5100" s="73"/>
      <c r="G5100" s="73"/>
    </row>
    <row r="5101" spans="2:7" ht="32.25" customHeight="1" x14ac:dyDescent="0.35">
      <c r="B5101" s="73"/>
      <c r="C5101" s="73"/>
      <c r="D5101" s="73"/>
      <c r="E5101" s="73"/>
      <c r="F5101" s="73"/>
      <c r="G5101" s="73"/>
    </row>
    <row r="5102" spans="2:7" ht="32.25" customHeight="1" x14ac:dyDescent="0.35">
      <c r="B5102" s="73"/>
      <c r="C5102" s="73"/>
      <c r="D5102" s="73"/>
      <c r="E5102" s="73"/>
      <c r="F5102" s="73"/>
      <c r="G5102" s="73"/>
    </row>
    <row r="5103" spans="2:7" ht="32.25" customHeight="1" x14ac:dyDescent="0.35">
      <c r="B5103" s="73"/>
      <c r="C5103" s="73"/>
      <c r="D5103" s="73"/>
      <c r="E5103" s="73"/>
      <c r="F5103" s="73"/>
      <c r="G5103" s="73"/>
    </row>
    <row r="5104" spans="2:7" ht="32.25" customHeight="1" x14ac:dyDescent="0.35">
      <c r="B5104" s="73"/>
      <c r="C5104" s="73"/>
      <c r="D5104" s="73"/>
      <c r="E5104" s="73"/>
      <c r="F5104" s="73"/>
      <c r="G5104" s="73"/>
    </row>
    <row r="5105" spans="2:7" ht="32.25" customHeight="1" x14ac:dyDescent="0.35">
      <c r="B5105" s="73"/>
      <c r="C5105" s="73"/>
      <c r="D5105" s="73"/>
      <c r="E5105" s="73"/>
      <c r="F5105" s="73"/>
      <c r="G5105" s="73"/>
    </row>
    <row r="5106" spans="2:7" ht="32.25" customHeight="1" x14ac:dyDescent="0.35">
      <c r="B5106" s="73"/>
      <c r="C5106" s="73"/>
      <c r="D5106" s="73"/>
      <c r="E5106" s="73"/>
      <c r="F5106" s="73"/>
      <c r="G5106" s="73"/>
    </row>
    <row r="5107" spans="2:7" ht="32.25" customHeight="1" x14ac:dyDescent="0.35">
      <c r="B5107" s="73"/>
      <c r="C5107" s="73"/>
      <c r="D5107" s="73"/>
      <c r="E5107" s="73"/>
      <c r="F5107" s="73"/>
      <c r="G5107" s="73"/>
    </row>
    <row r="5108" spans="2:7" ht="32.25" customHeight="1" x14ac:dyDescent="0.35">
      <c r="B5108" s="73"/>
      <c r="C5108" s="73"/>
      <c r="D5108" s="73"/>
      <c r="E5108" s="73"/>
      <c r="F5108" s="73"/>
      <c r="G5108" s="73"/>
    </row>
    <row r="5109" spans="2:7" ht="32.25" customHeight="1" x14ac:dyDescent="0.35">
      <c r="B5109" s="73"/>
      <c r="C5109" s="73"/>
      <c r="D5109" s="73"/>
      <c r="E5109" s="73"/>
      <c r="F5109" s="73"/>
      <c r="G5109" s="73"/>
    </row>
    <row r="5110" spans="2:7" ht="32.25" customHeight="1" x14ac:dyDescent="0.35">
      <c r="B5110" s="73"/>
      <c r="C5110" s="73"/>
      <c r="D5110" s="73"/>
      <c r="E5110" s="73"/>
      <c r="F5110" s="73"/>
      <c r="G5110" s="73"/>
    </row>
    <row r="5111" spans="2:7" ht="32.25" customHeight="1" x14ac:dyDescent="0.35">
      <c r="B5111" s="73"/>
      <c r="C5111" s="73"/>
      <c r="D5111" s="73"/>
      <c r="E5111" s="73"/>
      <c r="F5111" s="73"/>
      <c r="G5111" s="73"/>
    </row>
    <row r="5112" spans="2:7" ht="32.25" customHeight="1" x14ac:dyDescent="0.35">
      <c r="B5112" s="73"/>
      <c r="C5112" s="73"/>
      <c r="D5112" s="73"/>
      <c r="E5112" s="73"/>
      <c r="F5112" s="73"/>
      <c r="G5112" s="73"/>
    </row>
    <row r="5113" spans="2:7" ht="32.25" customHeight="1" x14ac:dyDescent="0.35">
      <c r="B5113" s="73"/>
      <c r="C5113" s="73"/>
      <c r="D5113" s="73"/>
      <c r="E5113" s="73"/>
      <c r="F5113" s="73"/>
      <c r="G5113" s="73"/>
    </row>
    <row r="5114" spans="2:7" ht="32.25" customHeight="1" x14ac:dyDescent="0.35">
      <c r="B5114" s="73"/>
      <c r="C5114" s="73"/>
      <c r="D5114" s="73"/>
      <c r="E5114" s="73"/>
      <c r="F5114" s="73"/>
      <c r="G5114" s="73"/>
    </row>
    <row r="5115" spans="2:7" ht="32.25" customHeight="1" x14ac:dyDescent="0.35">
      <c r="B5115" s="73"/>
      <c r="C5115" s="73"/>
      <c r="D5115" s="73"/>
      <c r="E5115" s="73"/>
      <c r="F5115" s="73"/>
      <c r="G5115" s="73"/>
    </row>
    <row r="5116" spans="2:7" ht="32.25" customHeight="1" x14ac:dyDescent="0.35">
      <c r="B5116" s="73"/>
      <c r="C5116" s="73"/>
      <c r="D5116" s="73"/>
      <c r="E5116" s="73"/>
      <c r="F5116" s="73"/>
      <c r="G5116" s="73"/>
    </row>
    <row r="5117" spans="2:7" ht="32.25" customHeight="1" x14ac:dyDescent="0.35">
      <c r="B5117" s="73"/>
      <c r="C5117" s="73"/>
      <c r="D5117" s="73"/>
      <c r="E5117" s="73"/>
      <c r="F5117" s="73"/>
      <c r="G5117" s="73"/>
    </row>
    <row r="5118" spans="2:7" ht="32.25" customHeight="1" x14ac:dyDescent="0.35">
      <c r="B5118" s="73"/>
      <c r="C5118" s="73"/>
      <c r="D5118" s="73"/>
      <c r="E5118" s="73"/>
      <c r="F5118" s="73"/>
      <c r="G5118" s="73"/>
    </row>
    <row r="5119" spans="2:7" ht="32.25" customHeight="1" x14ac:dyDescent="0.35">
      <c r="B5119" s="73"/>
      <c r="C5119" s="73"/>
      <c r="D5119" s="73"/>
      <c r="E5119" s="73"/>
      <c r="F5119" s="73"/>
      <c r="G5119" s="73"/>
    </row>
    <row r="5120" spans="2:7" ht="32.25" customHeight="1" x14ac:dyDescent="0.35">
      <c r="B5120" s="73"/>
      <c r="C5120" s="73"/>
      <c r="D5120" s="73"/>
      <c r="E5120" s="73"/>
      <c r="F5120" s="73"/>
      <c r="G5120" s="73"/>
    </row>
    <row r="5121" spans="2:7" ht="32.25" customHeight="1" x14ac:dyDescent="0.35">
      <c r="B5121" s="73"/>
      <c r="C5121" s="73"/>
      <c r="D5121" s="73"/>
      <c r="E5121" s="73"/>
      <c r="F5121" s="73"/>
      <c r="G5121" s="73"/>
    </row>
    <row r="5122" spans="2:7" ht="32.25" customHeight="1" x14ac:dyDescent="0.35">
      <c r="B5122" s="73"/>
      <c r="C5122" s="73"/>
      <c r="D5122" s="73"/>
      <c r="E5122" s="73"/>
      <c r="F5122" s="73"/>
      <c r="G5122" s="73"/>
    </row>
    <row r="5123" spans="2:7" ht="32.25" customHeight="1" x14ac:dyDescent="0.35">
      <c r="B5123" s="73"/>
      <c r="C5123" s="73"/>
      <c r="D5123" s="73"/>
      <c r="E5123" s="73"/>
      <c r="F5123" s="73"/>
      <c r="G5123" s="73"/>
    </row>
    <row r="5124" spans="2:7" ht="32.25" customHeight="1" x14ac:dyDescent="0.35">
      <c r="B5124" s="73"/>
      <c r="C5124" s="73"/>
      <c r="D5124" s="73"/>
      <c r="E5124" s="73"/>
      <c r="F5124" s="73"/>
      <c r="G5124" s="73"/>
    </row>
    <row r="5125" spans="2:7" ht="32.25" customHeight="1" x14ac:dyDescent="0.35">
      <c r="B5125" s="73"/>
      <c r="C5125" s="73"/>
      <c r="D5125" s="73"/>
      <c r="E5125" s="73"/>
      <c r="F5125" s="73"/>
      <c r="G5125" s="73"/>
    </row>
    <row r="5126" spans="2:7" ht="32.25" customHeight="1" x14ac:dyDescent="0.35">
      <c r="B5126" s="73"/>
      <c r="C5126" s="73"/>
      <c r="D5126" s="73"/>
      <c r="E5126" s="73"/>
      <c r="F5126" s="73"/>
      <c r="G5126" s="73"/>
    </row>
    <row r="5127" spans="2:7" ht="32.25" customHeight="1" x14ac:dyDescent="0.35">
      <c r="B5127" s="73"/>
      <c r="C5127" s="73"/>
      <c r="D5127" s="73"/>
      <c r="E5127" s="73"/>
      <c r="F5127" s="73"/>
      <c r="G5127" s="73"/>
    </row>
    <row r="5128" spans="2:7" ht="32.25" customHeight="1" x14ac:dyDescent="0.35">
      <c r="B5128" s="73"/>
      <c r="C5128" s="73"/>
      <c r="D5128" s="73"/>
      <c r="E5128" s="73"/>
      <c r="F5128" s="73"/>
      <c r="G5128" s="73"/>
    </row>
    <row r="5129" spans="2:7" ht="32.25" customHeight="1" x14ac:dyDescent="0.35">
      <c r="B5129" s="73"/>
      <c r="C5129" s="73"/>
      <c r="D5129" s="73"/>
      <c r="E5129" s="73"/>
      <c r="F5129" s="73"/>
      <c r="G5129" s="73"/>
    </row>
    <row r="5130" spans="2:7" ht="32.25" customHeight="1" x14ac:dyDescent="0.35">
      <c r="B5130" s="73"/>
      <c r="C5130" s="73"/>
      <c r="D5130" s="73"/>
      <c r="E5130" s="73"/>
      <c r="F5130" s="73"/>
      <c r="G5130" s="73"/>
    </row>
    <row r="5131" spans="2:7" ht="32.25" customHeight="1" x14ac:dyDescent="0.35">
      <c r="B5131" s="73"/>
      <c r="C5131" s="73"/>
      <c r="D5131" s="73"/>
      <c r="E5131" s="73"/>
      <c r="F5131" s="73"/>
      <c r="G5131" s="73"/>
    </row>
    <row r="5132" spans="2:7" ht="32.25" customHeight="1" x14ac:dyDescent="0.35">
      <c r="B5132" s="73"/>
      <c r="C5132" s="73"/>
      <c r="D5132" s="73"/>
      <c r="E5132" s="73"/>
      <c r="F5132" s="73"/>
      <c r="G5132" s="73"/>
    </row>
    <row r="5133" spans="2:7" ht="32.25" customHeight="1" x14ac:dyDescent="0.35">
      <c r="B5133" s="73"/>
      <c r="C5133" s="73"/>
      <c r="D5133" s="73"/>
      <c r="E5133" s="73"/>
      <c r="F5133" s="73"/>
      <c r="G5133" s="73"/>
    </row>
    <row r="5134" spans="2:7" ht="32.25" customHeight="1" x14ac:dyDescent="0.35">
      <c r="B5134" s="73"/>
      <c r="C5134" s="73"/>
      <c r="D5134" s="73"/>
      <c r="E5134" s="73"/>
      <c r="F5134" s="73"/>
      <c r="G5134" s="73"/>
    </row>
    <row r="5135" spans="2:7" ht="32.25" customHeight="1" x14ac:dyDescent="0.35">
      <c r="B5135" s="73"/>
      <c r="C5135" s="73"/>
      <c r="D5135" s="73"/>
      <c r="E5135" s="73"/>
      <c r="F5135" s="73"/>
      <c r="G5135" s="73"/>
    </row>
    <row r="5136" spans="2:7" ht="32.25" customHeight="1" x14ac:dyDescent="0.35">
      <c r="B5136" s="73"/>
      <c r="C5136" s="73"/>
      <c r="D5136" s="73"/>
      <c r="E5136" s="73"/>
      <c r="F5136" s="73"/>
      <c r="G5136" s="73"/>
    </row>
    <row r="5137" spans="2:7" ht="32.25" customHeight="1" x14ac:dyDescent="0.35">
      <c r="B5137" s="73"/>
      <c r="C5137" s="73"/>
      <c r="D5137" s="73"/>
      <c r="E5137" s="73"/>
      <c r="F5137" s="73"/>
      <c r="G5137" s="73"/>
    </row>
    <row r="5138" spans="2:7" ht="32.25" customHeight="1" x14ac:dyDescent="0.35">
      <c r="B5138" s="73"/>
      <c r="C5138" s="73"/>
      <c r="D5138" s="73"/>
      <c r="E5138" s="73"/>
      <c r="F5138" s="73"/>
      <c r="G5138" s="73"/>
    </row>
    <row r="5139" spans="2:7" ht="32.25" customHeight="1" x14ac:dyDescent="0.35">
      <c r="B5139" s="73"/>
      <c r="C5139" s="73"/>
      <c r="D5139" s="73"/>
      <c r="E5139" s="73"/>
      <c r="F5139" s="73"/>
      <c r="G5139" s="73"/>
    </row>
    <row r="5140" spans="2:7" ht="32.25" customHeight="1" x14ac:dyDescent="0.35">
      <c r="B5140" s="73"/>
      <c r="C5140" s="73"/>
      <c r="D5140" s="73"/>
      <c r="E5140" s="73"/>
      <c r="F5140" s="73"/>
      <c r="G5140" s="73"/>
    </row>
    <row r="5141" spans="2:7" ht="32.25" customHeight="1" x14ac:dyDescent="0.35">
      <c r="B5141" s="73"/>
      <c r="C5141" s="73"/>
      <c r="D5141" s="73"/>
      <c r="E5141" s="73"/>
      <c r="F5141" s="73"/>
      <c r="G5141" s="73"/>
    </row>
    <row r="5142" spans="2:7" ht="32.25" customHeight="1" x14ac:dyDescent="0.35">
      <c r="B5142" s="73"/>
      <c r="C5142" s="73"/>
      <c r="D5142" s="73"/>
      <c r="E5142" s="73"/>
      <c r="F5142" s="73"/>
      <c r="G5142" s="73"/>
    </row>
    <row r="5143" spans="2:7" ht="32.25" customHeight="1" x14ac:dyDescent="0.35">
      <c r="B5143" s="73"/>
      <c r="C5143" s="73"/>
      <c r="D5143" s="73"/>
      <c r="E5143" s="73"/>
      <c r="F5143" s="73"/>
      <c r="G5143" s="73"/>
    </row>
    <row r="5144" spans="2:7" ht="32.25" customHeight="1" x14ac:dyDescent="0.35">
      <c r="B5144" s="73"/>
      <c r="C5144" s="73"/>
      <c r="D5144" s="73"/>
      <c r="E5144" s="73"/>
      <c r="F5144" s="73"/>
      <c r="G5144" s="73"/>
    </row>
    <row r="5145" spans="2:7" ht="32.25" customHeight="1" x14ac:dyDescent="0.35">
      <c r="B5145" s="73"/>
      <c r="C5145" s="73"/>
      <c r="D5145" s="73"/>
      <c r="E5145" s="73"/>
      <c r="F5145" s="73"/>
      <c r="G5145" s="73"/>
    </row>
    <row r="5146" spans="2:7" ht="32.25" customHeight="1" x14ac:dyDescent="0.35">
      <c r="B5146" s="73"/>
      <c r="C5146" s="73"/>
      <c r="D5146" s="73"/>
      <c r="E5146" s="73"/>
      <c r="F5146" s="73"/>
      <c r="G5146" s="73"/>
    </row>
    <row r="5147" spans="2:7" ht="32.25" customHeight="1" x14ac:dyDescent="0.35">
      <c r="B5147" s="73"/>
      <c r="C5147" s="73"/>
      <c r="D5147" s="73"/>
      <c r="E5147" s="73"/>
      <c r="F5147" s="73"/>
      <c r="G5147" s="73"/>
    </row>
    <row r="5148" spans="2:7" ht="32.25" customHeight="1" x14ac:dyDescent="0.35">
      <c r="B5148" s="73"/>
      <c r="C5148" s="73"/>
      <c r="D5148" s="73"/>
      <c r="E5148" s="73"/>
      <c r="F5148" s="73"/>
      <c r="G5148" s="73"/>
    </row>
    <row r="5149" spans="2:7" ht="32.25" customHeight="1" x14ac:dyDescent="0.35">
      <c r="B5149" s="73"/>
      <c r="C5149" s="73"/>
      <c r="D5149" s="73"/>
      <c r="E5149" s="73"/>
      <c r="F5149" s="73"/>
      <c r="G5149" s="73"/>
    </row>
    <row r="5150" spans="2:7" ht="32.25" customHeight="1" x14ac:dyDescent="0.35">
      <c r="B5150" s="73"/>
      <c r="C5150" s="73"/>
      <c r="D5150" s="73"/>
      <c r="E5150" s="73"/>
      <c r="F5150" s="73"/>
      <c r="G5150" s="73"/>
    </row>
    <row r="5151" spans="2:7" ht="32.25" customHeight="1" x14ac:dyDescent="0.35">
      <c r="B5151" s="73"/>
      <c r="C5151" s="73"/>
      <c r="D5151" s="73"/>
      <c r="E5151" s="73"/>
      <c r="F5151" s="73"/>
      <c r="G5151" s="73"/>
    </row>
    <row r="5152" spans="2:7" ht="32.25" customHeight="1" x14ac:dyDescent="0.35">
      <c r="B5152" s="73"/>
      <c r="C5152" s="73"/>
      <c r="D5152" s="73"/>
      <c r="E5152" s="73"/>
      <c r="F5152" s="73"/>
      <c r="G5152" s="73"/>
    </row>
    <row r="5153" spans="2:7" ht="32.25" customHeight="1" x14ac:dyDescent="0.35">
      <c r="B5153" s="73"/>
      <c r="C5153" s="73"/>
      <c r="D5153" s="73"/>
      <c r="E5153" s="73"/>
      <c r="F5153" s="73"/>
      <c r="G5153" s="73"/>
    </row>
    <row r="5154" spans="2:7" ht="32.25" customHeight="1" x14ac:dyDescent="0.35">
      <c r="B5154" s="73"/>
      <c r="C5154" s="73"/>
      <c r="D5154" s="73"/>
      <c r="E5154" s="73"/>
      <c r="F5154" s="73"/>
      <c r="G5154" s="73"/>
    </row>
    <row r="5155" spans="2:7" ht="32.25" customHeight="1" x14ac:dyDescent="0.35">
      <c r="B5155" s="73"/>
      <c r="C5155" s="73"/>
      <c r="D5155" s="73"/>
      <c r="E5155" s="73"/>
      <c r="F5155" s="73"/>
      <c r="G5155" s="73"/>
    </row>
    <row r="5156" spans="2:7" ht="32.25" customHeight="1" x14ac:dyDescent="0.35">
      <c r="B5156" s="73"/>
      <c r="C5156" s="73"/>
      <c r="D5156" s="73"/>
      <c r="E5156" s="73"/>
      <c r="F5156" s="73"/>
      <c r="G5156" s="73"/>
    </row>
    <row r="5157" spans="2:7" ht="32.25" customHeight="1" x14ac:dyDescent="0.35">
      <c r="B5157" s="73"/>
      <c r="C5157" s="73"/>
      <c r="D5157" s="73"/>
      <c r="E5157" s="73"/>
      <c r="F5157" s="73"/>
      <c r="G5157" s="73"/>
    </row>
    <row r="5158" spans="2:7" ht="32.25" customHeight="1" x14ac:dyDescent="0.35">
      <c r="B5158" s="73"/>
      <c r="C5158" s="73"/>
      <c r="D5158" s="73"/>
      <c r="E5158" s="73"/>
      <c r="F5158" s="73"/>
      <c r="G5158" s="73"/>
    </row>
    <row r="5159" spans="2:7" ht="32.25" customHeight="1" x14ac:dyDescent="0.35">
      <c r="B5159" s="73"/>
      <c r="C5159" s="73"/>
      <c r="D5159" s="73"/>
      <c r="E5159" s="73"/>
      <c r="F5159" s="73"/>
      <c r="G5159" s="73"/>
    </row>
    <row r="5160" spans="2:7" ht="32.25" customHeight="1" x14ac:dyDescent="0.35">
      <c r="B5160" s="73"/>
      <c r="C5160" s="73"/>
      <c r="D5160" s="73"/>
      <c r="E5160" s="73"/>
      <c r="F5160" s="73"/>
      <c r="G5160" s="73"/>
    </row>
    <row r="5161" spans="2:7" ht="32.25" customHeight="1" x14ac:dyDescent="0.35">
      <c r="B5161" s="73"/>
      <c r="C5161" s="73"/>
      <c r="D5161" s="73"/>
      <c r="E5161" s="73"/>
      <c r="F5161" s="73"/>
      <c r="G5161" s="73"/>
    </row>
    <row r="5162" spans="2:7" ht="32.25" customHeight="1" x14ac:dyDescent="0.35">
      <c r="B5162" s="73"/>
      <c r="C5162" s="73"/>
      <c r="D5162" s="73"/>
      <c r="E5162" s="73"/>
      <c r="F5162" s="73"/>
      <c r="G5162" s="73"/>
    </row>
    <row r="5163" spans="2:7" ht="32.25" customHeight="1" x14ac:dyDescent="0.35">
      <c r="B5163" s="73"/>
      <c r="C5163" s="73"/>
      <c r="D5163" s="73"/>
      <c r="E5163" s="73"/>
      <c r="F5163" s="73"/>
      <c r="G5163" s="73"/>
    </row>
    <row r="5164" spans="2:7" ht="32.25" customHeight="1" x14ac:dyDescent="0.35">
      <c r="B5164" s="73"/>
      <c r="C5164" s="73"/>
      <c r="D5164" s="73"/>
      <c r="E5164" s="73"/>
      <c r="F5164" s="73"/>
      <c r="G5164" s="73"/>
    </row>
    <row r="5165" spans="2:7" ht="32.25" customHeight="1" x14ac:dyDescent="0.35">
      <c r="B5165" s="73"/>
      <c r="C5165" s="73"/>
      <c r="D5165" s="73"/>
      <c r="E5165" s="73"/>
      <c r="F5165" s="73"/>
      <c r="G5165" s="73"/>
    </row>
    <row r="5166" spans="2:7" ht="32.25" customHeight="1" x14ac:dyDescent="0.35">
      <c r="B5166" s="73"/>
      <c r="C5166" s="73"/>
      <c r="D5166" s="73"/>
      <c r="E5166" s="73"/>
      <c r="F5166" s="73"/>
      <c r="G5166" s="73"/>
    </row>
    <row r="5167" spans="2:7" ht="32.25" customHeight="1" x14ac:dyDescent="0.35">
      <c r="B5167" s="73"/>
      <c r="C5167" s="73"/>
      <c r="D5167" s="73"/>
      <c r="E5167" s="73"/>
      <c r="F5167" s="73"/>
      <c r="G5167" s="73"/>
    </row>
    <row r="5168" spans="2:7" ht="32.25" customHeight="1" x14ac:dyDescent="0.35">
      <c r="B5168" s="73"/>
      <c r="C5168" s="73"/>
      <c r="D5168" s="73"/>
      <c r="E5168" s="73"/>
      <c r="F5168" s="73"/>
      <c r="G5168" s="73"/>
    </row>
    <row r="5169" spans="2:7" ht="32.25" customHeight="1" x14ac:dyDescent="0.35">
      <c r="B5169" s="73"/>
      <c r="C5169" s="73"/>
      <c r="D5169" s="73"/>
      <c r="E5169" s="73"/>
      <c r="F5169" s="73"/>
      <c r="G5169" s="73"/>
    </row>
    <row r="5170" spans="2:7" ht="32.25" customHeight="1" x14ac:dyDescent="0.35">
      <c r="B5170" s="73"/>
      <c r="C5170" s="73"/>
      <c r="D5170" s="73"/>
      <c r="E5170" s="73"/>
      <c r="F5170" s="73"/>
      <c r="G5170" s="73"/>
    </row>
    <row r="5171" spans="2:7" ht="32.25" customHeight="1" x14ac:dyDescent="0.35">
      <c r="B5171" s="73"/>
      <c r="C5171" s="73"/>
      <c r="D5171" s="73"/>
      <c r="E5171" s="73"/>
      <c r="F5171" s="73"/>
      <c r="G5171" s="73"/>
    </row>
    <row r="5172" spans="2:7" ht="32.25" customHeight="1" x14ac:dyDescent="0.35">
      <c r="B5172" s="73"/>
      <c r="C5172" s="73"/>
      <c r="D5172" s="73"/>
      <c r="E5172" s="73"/>
      <c r="F5172" s="73"/>
      <c r="G5172" s="73"/>
    </row>
    <row r="5173" spans="2:7" ht="32.25" customHeight="1" x14ac:dyDescent="0.35">
      <c r="B5173" s="73"/>
      <c r="C5173" s="73"/>
      <c r="D5173" s="73"/>
      <c r="E5173" s="73"/>
      <c r="F5173" s="73"/>
      <c r="G5173" s="73"/>
    </row>
    <row r="5174" spans="2:7" ht="32.25" customHeight="1" x14ac:dyDescent="0.35">
      <c r="B5174" s="73"/>
      <c r="C5174" s="73"/>
      <c r="D5174" s="73"/>
      <c r="E5174" s="73"/>
      <c r="F5174" s="73"/>
      <c r="G5174" s="73"/>
    </row>
    <row r="5175" spans="2:7" ht="32.25" customHeight="1" x14ac:dyDescent="0.35">
      <c r="B5175" s="73"/>
      <c r="C5175" s="73"/>
      <c r="D5175" s="73"/>
      <c r="E5175" s="73"/>
      <c r="F5175" s="73"/>
      <c r="G5175" s="73"/>
    </row>
    <row r="5176" spans="2:7" ht="32.25" customHeight="1" x14ac:dyDescent="0.35">
      <c r="B5176" s="73"/>
      <c r="C5176" s="73"/>
      <c r="D5176" s="73"/>
      <c r="E5176" s="73"/>
      <c r="F5176" s="73"/>
      <c r="G5176" s="73"/>
    </row>
    <row r="5177" spans="2:7" ht="32.25" customHeight="1" x14ac:dyDescent="0.35">
      <c r="B5177" s="73"/>
      <c r="C5177" s="73"/>
      <c r="D5177" s="73"/>
      <c r="E5177" s="73"/>
      <c r="F5177" s="73"/>
      <c r="G5177" s="73"/>
    </row>
    <row r="5178" spans="2:7" ht="32.25" customHeight="1" x14ac:dyDescent="0.35">
      <c r="B5178" s="73"/>
      <c r="C5178" s="73"/>
      <c r="D5178" s="73"/>
      <c r="E5178" s="73"/>
      <c r="F5178" s="73"/>
      <c r="G5178" s="73"/>
    </row>
    <row r="5179" spans="2:7" ht="32.25" customHeight="1" x14ac:dyDescent="0.35">
      <c r="B5179" s="73"/>
      <c r="C5179" s="73"/>
      <c r="D5179" s="73"/>
      <c r="E5179" s="73"/>
      <c r="F5179" s="73"/>
      <c r="G5179" s="73"/>
    </row>
    <row r="5180" spans="2:7" ht="32.25" customHeight="1" x14ac:dyDescent="0.35">
      <c r="B5180" s="73"/>
      <c r="C5180" s="73"/>
      <c r="D5180" s="73"/>
      <c r="E5180" s="73"/>
      <c r="F5180" s="73"/>
      <c r="G5180" s="73"/>
    </row>
    <row r="5181" spans="2:7" ht="32.25" customHeight="1" x14ac:dyDescent="0.35">
      <c r="B5181" s="73"/>
      <c r="C5181" s="73"/>
      <c r="D5181" s="73"/>
      <c r="E5181" s="73"/>
      <c r="F5181" s="73"/>
      <c r="G5181" s="73"/>
    </row>
    <row r="5182" spans="2:7" ht="32.25" customHeight="1" x14ac:dyDescent="0.35">
      <c r="B5182" s="73"/>
      <c r="C5182" s="73"/>
      <c r="D5182" s="73"/>
      <c r="E5182" s="73"/>
      <c r="F5182" s="73"/>
      <c r="G5182" s="73"/>
    </row>
    <row r="5183" spans="2:7" ht="32.25" customHeight="1" x14ac:dyDescent="0.35">
      <c r="B5183" s="73"/>
      <c r="C5183" s="73"/>
      <c r="D5183" s="73"/>
      <c r="E5183" s="73"/>
      <c r="F5183" s="73"/>
      <c r="G5183" s="73"/>
    </row>
    <row r="5184" spans="2:7" ht="32.25" customHeight="1" x14ac:dyDescent="0.35">
      <c r="B5184" s="73"/>
      <c r="C5184" s="73"/>
      <c r="D5184" s="73"/>
      <c r="E5184" s="73"/>
      <c r="F5184" s="73"/>
      <c r="G5184" s="73"/>
    </row>
    <row r="5185" spans="2:7" ht="32.25" customHeight="1" x14ac:dyDescent="0.35">
      <c r="B5185" s="73"/>
      <c r="C5185" s="73"/>
      <c r="D5185" s="73"/>
      <c r="E5185" s="73"/>
      <c r="F5185" s="73"/>
      <c r="G5185" s="73"/>
    </row>
    <row r="5186" spans="2:7" ht="32.25" customHeight="1" x14ac:dyDescent="0.35">
      <c r="B5186" s="73"/>
      <c r="C5186" s="73"/>
      <c r="D5186" s="73"/>
      <c r="E5186" s="73"/>
      <c r="F5186" s="73"/>
      <c r="G5186" s="73"/>
    </row>
    <row r="5187" spans="2:7" ht="32.25" customHeight="1" x14ac:dyDescent="0.35">
      <c r="B5187" s="73"/>
      <c r="C5187" s="73"/>
      <c r="D5187" s="73"/>
      <c r="E5187" s="73"/>
      <c r="F5187" s="73"/>
      <c r="G5187" s="73"/>
    </row>
    <row r="5188" spans="2:7" ht="32.25" customHeight="1" x14ac:dyDescent="0.35">
      <c r="B5188" s="73"/>
      <c r="C5188" s="73"/>
      <c r="D5188" s="73"/>
      <c r="E5188" s="73"/>
      <c r="F5188" s="73"/>
      <c r="G5188" s="73"/>
    </row>
    <row r="5189" spans="2:7" ht="32.25" customHeight="1" x14ac:dyDescent="0.35">
      <c r="B5189" s="73"/>
      <c r="C5189" s="73"/>
      <c r="D5189" s="73"/>
      <c r="E5189" s="73"/>
      <c r="F5189" s="73"/>
      <c r="G5189" s="73"/>
    </row>
    <row r="5190" spans="2:7" ht="32.25" customHeight="1" x14ac:dyDescent="0.35">
      <c r="B5190" s="73"/>
      <c r="C5190" s="73"/>
      <c r="D5190" s="73"/>
      <c r="E5190" s="73"/>
      <c r="F5190" s="73"/>
      <c r="G5190" s="73"/>
    </row>
    <row r="5191" spans="2:7" ht="32.25" customHeight="1" x14ac:dyDescent="0.35">
      <c r="B5191" s="73"/>
      <c r="C5191" s="73"/>
      <c r="D5191" s="73"/>
      <c r="E5191" s="73"/>
      <c r="F5191" s="73"/>
      <c r="G5191" s="73"/>
    </row>
    <row r="5192" spans="2:7" ht="32.25" customHeight="1" x14ac:dyDescent="0.35">
      <c r="B5192" s="73"/>
      <c r="C5192" s="73"/>
      <c r="D5192" s="73"/>
      <c r="E5192" s="73"/>
      <c r="F5192" s="73"/>
      <c r="G5192" s="73"/>
    </row>
    <row r="5193" spans="2:7" ht="32.25" customHeight="1" x14ac:dyDescent="0.35">
      <c r="B5193" s="73"/>
      <c r="C5193" s="73"/>
      <c r="D5193" s="73"/>
      <c r="E5193" s="73"/>
      <c r="F5193" s="73"/>
      <c r="G5193" s="73"/>
    </row>
    <row r="5194" spans="2:7" ht="32.25" customHeight="1" x14ac:dyDescent="0.35">
      <c r="B5194" s="73"/>
      <c r="C5194" s="73"/>
      <c r="D5194" s="73"/>
      <c r="E5194" s="73"/>
      <c r="F5194" s="73"/>
      <c r="G5194" s="73"/>
    </row>
    <row r="5195" spans="2:7" ht="32.25" customHeight="1" x14ac:dyDescent="0.35">
      <c r="B5195" s="73"/>
      <c r="C5195" s="73"/>
      <c r="D5195" s="73"/>
      <c r="E5195" s="73"/>
      <c r="F5195" s="73"/>
      <c r="G5195" s="73"/>
    </row>
    <row r="5196" spans="2:7" ht="32.25" customHeight="1" x14ac:dyDescent="0.35">
      <c r="B5196" s="73"/>
      <c r="C5196" s="73"/>
      <c r="D5196" s="73"/>
      <c r="E5196" s="73"/>
      <c r="F5196" s="73"/>
      <c r="G5196" s="73"/>
    </row>
    <row r="5197" spans="2:7" ht="32.25" customHeight="1" x14ac:dyDescent="0.35">
      <c r="B5197" s="73"/>
      <c r="C5197" s="73"/>
      <c r="D5197" s="73"/>
      <c r="E5197" s="73"/>
      <c r="F5197" s="73"/>
      <c r="G5197" s="73"/>
    </row>
    <row r="5198" spans="2:7" ht="32.25" customHeight="1" x14ac:dyDescent="0.35">
      <c r="B5198" s="73"/>
      <c r="C5198" s="73"/>
      <c r="D5198" s="73"/>
      <c r="E5198" s="73"/>
      <c r="F5198" s="73"/>
      <c r="G5198" s="73"/>
    </row>
    <row r="5199" spans="2:7" ht="32.25" customHeight="1" x14ac:dyDescent="0.35">
      <c r="B5199" s="73"/>
      <c r="C5199" s="73"/>
      <c r="D5199" s="73"/>
      <c r="E5199" s="73"/>
      <c r="F5199" s="73"/>
      <c r="G5199" s="73"/>
    </row>
    <row r="5200" spans="2:7" ht="32.25" customHeight="1" x14ac:dyDescent="0.35">
      <c r="B5200" s="73"/>
      <c r="C5200" s="73"/>
      <c r="D5200" s="73"/>
      <c r="E5200" s="73"/>
      <c r="F5200" s="73"/>
      <c r="G5200" s="73"/>
    </row>
    <row r="5201" spans="2:7" ht="32.25" customHeight="1" x14ac:dyDescent="0.35">
      <c r="B5201" s="73"/>
      <c r="C5201" s="73"/>
      <c r="D5201" s="73"/>
      <c r="E5201" s="73"/>
      <c r="F5201" s="73"/>
      <c r="G5201" s="73"/>
    </row>
    <row r="5202" spans="2:7" ht="32.25" customHeight="1" x14ac:dyDescent="0.35">
      <c r="B5202" s="73"/>
      <c r="C5202" s="73"/>
      <c r="D5202" s="73"/>
      <c r="E5202" s="73"/>
      <c r="F5202" s="73"/>
      <c r="G5202" s="73"/>
    </row>
    <row r="5203" spans="2:7" ht="32.25" customHeight="1" x14ac:dyDescent="0.35">
      <c r="B5203" s="73"/>
      <c r="C5203" s="73"/>
      <c r="D5203" s="73"/>
      <c r="E5203" s="73"/>
      <c r="F5203" s="73"/>
      <c r="G5203" s="73"/>
    </row>
    <row r="5204" spans="2:7" ht="32.25" customHeight="1" x14ac:dyDescent="0.35">
      <c r="B5204" s="73"/>
      <c r="C5204" s="73"/>
      <c r="D5204" s="73"/>
      <c r="E5204" s="73"/>
      <c r="F5204" s="73"/>
      <c r="G5204" s="73"/>
    </row>
    <row r="5205" spans="2:7" ht="32.25" customHeight="1" x14ac:dyDescent="0.35">
      <c r="B5205" s="73"/>
      <c r="C5205" s="73"/>
      <c r="D5205" s="73"/>
      <c r="E5205" s="73"/>
      <c r="F5205" s="73"/>
      <c r="G5205" s="73"/>
    </row>
    <row r="5206" spans="2:7" ht="32.25" customHeight="1" x14ac:dyDescent="0.35">
      <c r="B5206" s="73"/>
      <c r="C5206" s="73"/>
      <c r="D5206" s="73"/>
      <c r="E5206" s="73"/>
      <c r="F5206" s="73"/>
      <c r="G5206" s="73"/>
    </row>
    <row r="5207" spans="2:7" ht="32.25" customHeight="1" x14ac:dyDescent="0.35">
      <c r="B5207" s="73"/>
      <c r="C5207" s="73"/>
      <c r="D5207" s="73"/>
      <c r="E5207" s="73"/>
      <c r="F5207" s="73"/>
      <c r="G5207" s="73"/>
    </row>
    <row r="5208" spans="2:7" ht="32.25" customHeight="1" x14ac:dyDescent="0.35">
      <c r="B5208" s="73"/>
      <c r="C5208" s="73"/>
      <c r="D5208" s="73"/>
      <c r="E5208" s="73"/>
      <c r="F5208" s="73"/>
      <c r="G5208" s="73"/>
    </row>
    <row r="5209" spans="2:7" ht="32.25" customHeight="1" x14ac:dyDescent="0.35">
      <c r="B5209" s="73"/>
      <c r="C5209" s="73"/>
      <c r="D5209" s="73"/>
      <c r="E5209" s="73"/>
      <c r="F5209" s="73"/>
      <c r="G5209" s="73"/>
    </row>
    <row r="5210" spans="2:7" ht="32.25" customHeight="1" x14ac:dyDescent="0.35">
      <c r="B5210" s="73"/>
      <c r="C5210" s="73"/>
      <c r="D5210" s="73"/>
      <c r="E5210" s="73"/>
      <c r="F5210" s="73"/>
      <c r="G5210" s="73"/>
    </row>
    <row r="5211" spans="2:7" ht="32.25" customHeight="1" x14ac:dyDescent="0.35">
      <c r="B5211" s="73"/>
      <c r="C5211" s="73"/>
      <c r="D5211" s="73"/>
      <c r="E5211" s="73"/>
      <c r="F5211" s="73"/>
      <c r="G5211" s="73"/>
    </row>
    <row r="5212" spans="2:7" ht="32.25" customHeight="1" x14ac:dyDescent="0.35">
      <c r="B5212" s="73"/>
      <c r="C5212" s="73"/>
      <c r="D5212" s="73"/>
      <c r="E5212" s="73"/>
      <c r="F5212" s="73"/>
      <c r="G5212" s="73"/>
    </row>
    <row r="5213" spans="2:7" ht="32.25" customHeight="1" x14ac:dyDescent="0.35">
      <c r="B5213" s="73"/>
      <c r="C5213" s="73"/>
      <c r="D5213" s="73"/>
      <c r="E5213" s="73"/>
      <c r="F5213" s="73"/>
      <c r="G5213" s="73"/>
    </row>
    <row r="5214" spans="2:7" ht="32.25" customHeight="1" x14ac:dyDescent="0.35">
      <c r="B5214" s="73"/>
      <c r="C5214" s="73"/>
      <c r="D5214" s="73"/>
      <c r="E5214" s="73"/>
      <c r="F5214" s="73"/>
      <c r="G5214" s="73"/>
    </row>
    <row r="5215" spans="2:7" ht="32.25" customHeight="1" x14ac:dyDescent="0.35">
      <c r="B5215" s="73"/>
      <c r="C5215" s="73"/>
      <c r="D5215" s="73"/>
      <c r="E5215" s="73"/>
      <c r="F5215" s="73"/>
      <c r="G5215" s="73"/>
    </row>
    <row r="5216" spans="2:7" ht="32.25" customHeight="1" x14ac:dyDescent="0.35">
      <c r="B5216" s="73"/>
      <c r="C5216" s="73"/>
      <c r="D5216" s="73"/>
      <c r="E5216" s="73"/>
      <c r="F5216" s="73"/>
      <c r="G5216" s="73"/>
    </row>
    <row r="5217" spans="2:7" ht="32.25" customHeight="1" x14ac:dyDescent="0.35">
      <c r="B5217" s="73"/>
      <c r="C5217" s="73"/>
      <c r="D5217" s="73"/>
      <c r="E5217" s="73"/>
      <c r="F5217" s="73"/>
      <c r="G5217" s="73"/>
    </row>
    <row r="5218" spans="2:7" ht="32.25" customHeight="1" x14ac:dyDescent="0.35">
      <c r="B5218" s="73"/>
      <c r="C5218" s="73"/>
      <c r="D5218" s="73"/>
      <c r="E5218" s="73"/>
      <c r="F5218" s="73"/>
      <c r="G5218" s="73"/>
    </row>
    <row r="5219" spans="2:7" ht="32.25" customHeight="1" x14ac:dyDescent="0.35">
      <c r="B5219" s="73"/>
      <c r="C5219" s="73"/>
      <c r="D5219" s="73"/>
      <c r="E5219" s="73"/>
      <c r="F5219" s="73"/>
      <c r="G5219" s="73"/>
    </row>
    <row r="5220" spans="2:7" ht="32.25" customHeight="1" x14ac:dyDescent="0.35">
      <c r="B5220" s="73"/>
      <c r="C5220" s="73"/>
      <c r="D5220" s="73"/>
      <c r="E5220" s="73"/>
      <c r="F5220" s="73"/>
      <c r="G5220" s="73"/>
    </row>
    <row r="5221" spans="2:7" ht="32.25" customHeight="1" x14ac:dyDescent="0.35">
      <c r="B5221" s="73"/>
      <c r="C5221" s="73"/>
      <c r="D5221" s="73"/>
      <c r="E5221" s="73"/>
      <c r="F5221" s="73"/>
      <c r="G5221" s="73"/>
    </row>
    <row r="5222" spans="2:7" ht="32.25" customHeight="1" x14ac:dyDescent="0.35">
      <c r="B5222" s="73"/>
      <c r="C5222" s="73"/>
      <c r="D5222" s="73"/>
      <c r="E5222" s="73"/>
      <c r="F5222" s="73"/>
      <c r="G5222" s="73"/>
    </row>
    <row r="5223" spans="2:7" ht="32.25" customHeight="1" x14ac:dyDescent="0.35">
      <c r="B5223" s="73"/>
      <c r="C5223" s="73"/>
      <c r="D5223" s="73"/>
      <c r="E5223" s="73"/>
      <c r="F5223" s="73"/>
      <c r="G5223" s="73"/>
    </row>
    <row r="5224" spans="2:7" ht="32.25" customHeight="1" x14ac:dyDescent="0.35">
      <c r="B5224" s="73"/>
      <c r="C5224" s="73"/>
      <c r="D5224" s="73"/>
      <c r="E5224" s="73"/>
      <c r="F5224" s="73"/>
      <c r="G5224" s="73"/>
    </row>
    <row r="5225" spans="2:7" ht="32.25" customHeight="1" x14ac:dyDescent="0.35">
      <c r="B5225" s="73"/>
      <c r="C5225" s="73"/>
      <c r="D5225" s="73"/>
      <c r="E5225" s="73"/>
      <c r="F5225" s="73"/>
      <c r="G5225" s="73"/>
    </row>
    <row r="5226" spans="2:7" ht="32.25" customHeight="1" x14ac:dyDescent="0.35">
      <c r="B5226" s="73"/>
      <c r="C5226" s="73"/>
      <c r="D5226" s="73"/>
      <c r="E5226" s="73"/>
      <c r="F5226" s="73"/>
      <c r="G5226" s="73"/>
    </row>
    <row r="5227" spans="2:7" ht="32.25" customHeight="1" x14ac:dyDescent="0.35">
      <c r="B5227" s="73"/>
      <c r="C5227" s="73"/>
      <c r="D5227" s="73"/>
      <c r="E5227" s="73"/>
      <c r="F5227" s="73"/>
      <c r="G5227" s="73"/>
    </row>
    <row r="5228" spans="2:7" ht="32.25" customHeight="1" x14ac:dyDescent="0.35">
      <c r="B5228" s="73"/>
      <c r="C5228" s="73"/>
      <c r="D5228" s="73"/>
      <c r="E5228" s="73"/>
      <c r="F5228" s="73"/>
      <c r="G5228" s="73"/>
    </row>
    <row r="5229" spans="2:7" ht="32.25" customHeight="1" x14ac:dyDescent="0.35">
      <c r="B5229" s="73"/>
      <c r="C5229" s="73"/>
      <c r="D5229" s="73"/>
      <c r="E5229" s="73"/>
      <c r="F5229" s="73"/>
      <c r="G5229" s="73"/>
    </row>
    <row r="5230" spans="2:7" ht="32.25" customHeight="1" x14ac:dyDescent="0.35">
      <c r="B5230" s="73"/>
      <c r="C5230" s="73"/>
      <c r="D5230" s="73"/>
      <c r="E5230" s="73"/>
      <c r="F5230" s="73"/>
      <c r="G5230" s="73"/>
    </row>
    <row r="5231" spans="2:7" ht="32.25" customHeight="1" x14ac:dyDescent="0.35">
      <c r="B5231" s="73"/>
      <c r="C5231" s="73"/>
      <c r="D5231" s="73"/>
      <c r="E5231" s="73"/>
      <c r="F5231" s="73"/>
      <c r="G5231" s="73"/>
    </row>
    <row r="5232" spans="2:7" ht="32.25" customHeight="1" x14ac:dyDescent="0.35">
      <c r="B5232" s="73"/>
      <c r="C5232" s="73"/>
      <c r="D5232" s="73"/>
      <c r="E5232" s="73"/>
      <c r="F5232" s="73"/>
      <c r="G5232" s="73"/>
    </row>
    <row r="5233" spans="2:7" ht="32.25" customHeight="1" x14ac:dyDescent="0.35">
      <c r="B5233" s="73"/>
      <c r="C5233" s="73"/>
      <c r="D5233" s="73"/>
      <c r="E5233" s="73"/>
      <c r="F5233" s="73"/>
      <c r="G5233" s="73"/>
    </row>
    <row r="5234" spans="2:7" ht="32.25" customHeight="1" x14ac:dyDescent="0.35">
      <c r="B5234" s="73"/>
      <c r="C5234" s="73"/>
      <c r="D5234" s="73"/>
      <c r="E5234" s="73"/>
      <c r="F5234" s="73"/>
      <c r="G5234" s="73"/>
    </row>
    <row r="5235" spans="2:7" ht="32.25" customHeight="1" x14ac:dyDescent="0.35">
      <c r="B5235" s="73"/>
      <c r="C5235" s="73"/>
      <c r="D5235" s="73"/>
      <c r="E5235" s="73"/>
      <c r="F5235" s="73"/>
      <c r="G5235" s="73"/>
    </row>
    <row r="5236" spans="2:7" ht="32.25" customHeight="1" x14ac:dyDescent="0.35">
      <c r="B5236" s="73"/>
      <c r="C5236" s="73"/>
      <c r="D5236" s="73"/>
      <c r="E5236" s="73"/>
      <c r="F5236" s="73"/>
      <c r="G5236" s="73"/>
    </row>
    <row r="5237" spans="2:7" ht="32.25" customHeight="1" x14ac:dyDescent="0.35">
      <c r="B5237" s="73"/>
      <c r="C5237" s="73"/>
      <c r="D5237" s="73"/>
      <c r="E5237" s="73"/>
      <c r="F5237" s="73"/>
      <c r="G5237" s="73"/>
    </row>
    <row r="5238" spans="2:7" ht="32.25" customHeight="1" x14ac:dyDescent="0.35">
      <c r="B5238" s="73"/>
      <c r="C5238" s="73"/>
      <c r="D5238" s="73"/>
      <c r="E5238" s="73"/>
      <c r="F5238" s="73"/>
      <c r="G5238" s="73"/>
    </row>
    <row r="5239" spans="2:7" ht="32.25" customHeight="1" x14ac:dyDescent="0.35">
      <c r="B5239" s="73"/>
      <c r="C5239" s="73"/>
      <c r="D5239" s="73"/>
      <c r="E5239" s="73"/>
      <c r="F5239" s="73"/>
      <c r="G5239" s="73"/>
    </row>
    <row r="5240" spans="2:7" ht="32.25" customHeight="1" x14ac:dyDescent="0.35">
      <c r="B5240" s="73"/>
      <c r="C5240" s="73"/>
      <c r="D5240" s="73"/>
      <c r="E5240" s="73"/>
      <c r="F5240" s="73"/>
      <c r="G5240" s="73"/>
    </row>
    <row r="5241" spans="2:7" ht="32.25" customHeight="1" x14ac:dyDescent="0.35">
      <c r="B5241" s="73"/>
      <c r="C5241" s="73"/>
      <c r="D5241" s="73"/>
      <c r="E5241" s="73"/>
      <c r="F5241" s="73"/>
      <c r="G5241" s="73"/>
    </row>
    <row r="5242" spans="2:7" ht="32.25" customHeight="1" x14ac:dyDescent="0.35">
      <c r="B5242" s="73"/>
      <c r="C5242" s="73"/>
      <c r="D5242" s="73"/>
      <c r="E5242" s="73"/>
      <c r="F5242" s="73"/>
      <c r="G5242" s="73"/>
    </row>
    <row r="5243" spans="2:7" ht="32.25" customHeight="1" x14ac:dyDescent="0.35">
      <c r="B5243" s="73"/>
      <c r="C5243" s="73"/>
      <c r="D5243" s="73"/>
      <c r="E5243" s="73"/>
      <c r="F5243" s="73"/>
      <c r="G5243" s="73"/>
    </row>
    <row r="5244" spans="2:7" ht="32.25" customHeight="1" x14ac:dyDescent="0.35">
      <c r="B5244" s="73"/>
      <c r="C5244" s="73"/>
      <c r="D5244" s="73"/>
      <c r="E5244" s="73"/>
      <c r="F5244" s="73"/>
      <c r="G5244" s="73"/>
    </row>
    <row r="5245" spans="2:7" ht="32.25" customHeight="1" x14ac:dyDescent="0.35">
      <c r="B5245" s="73"/>
      <c r="C5245" s="73"/>
      <c r="D5245" s="73"/>
      <c r="E5245" s="73"/>
      <c r="F5245" s="73"/>
      <c r="G5245" s="73"/>
    </row>
    <row r="5246" spans="2:7" ht="32.25" customHeight="1" x14ac:dyDescent="0.35">
      <c r="B5246" s="73"/>
      <c r="C5246" s="73"/>
      <c r="D5246" s="73"/>
      <c r="E5246" s="73"/>
      <c r="F5246" s="73"/>
      <c r="G5246" s="73"/>
    </row>
    <row r="5247" spans="2:7" ht="32.25" customHeight="1" x14ac:dyDescent="0.35">
      <c r="B5247" s="73"/>
      <c r="C5247" s="73"/>
      <c r="D5247" s="73"/>
      <c r="E5247" s="73"/>
      <c r="F5247" s="73"/>
      <c r="G5247" s="73"/>
    </row>
    <row r="5248" spans="2:7" ht="32.25" customHeight="1" x14ac:dyDescent="0.35">
      <c r="B5248" s="73"/>
      <c r="C5248" s="73"/>
      <c r="D5248" s="73"/>
      <c r="E5248" s="73"/>
      <c r="F5248" s="73"/>
      <c r="G5248" s="73"/>
    </row>
    <row r="5249" spans="2:7" ht="32.25" customHeight="1" x14ac:dyDescent="0.35">
      <c r="B5249" s="73"/>
      <c r="C5249" s="73"/>
      <c r="D5249" s="73"/>
      <c r="E5249" s="73"/>
      <c r="F5249" s="73"/>
      <c r="G5249" s="73"/>
    </row>
    <row r="5250" spans="2:7" ht="32.25" customHeight="1" x14ac:dyDescent="0.35">
      <c r="B5250" s="73"/>
      <c r="C5250" s="73"/>
      <c r="D5250" s="73"/>
      <c r="E5250" s="73"/>
      <c r="F5250" s="73"/>
      <c r="G5250" s="73"/>
    </row>
    <row r="5251" spans="2:7" ht="32.25" customHeight="1" x14ac:dyDescent="0.35">
      <c r="B5251" s="73"/>
      <c r="C5251" s="73"/>
      <c r="D5251" s="73"/>
      <c r="E5251" s="73"/>
      <c r="F5251" s="73"/>
      <c r="G5251" s="73"/>
    </row>
    <row r="5252" spans="2:7" ht="32.25" customHeight="1" x14ac:dyDescent="0.35">
      <c r="B5252" s="73"/>
      <c r="C5252" s="73"/>
      <c r="D5252" s="73"/>
      <c r="E5252" s="73"/>
      <c r="F5252" s="73"/>
      <c r="G5252" s="73"/>
    </row>
    <row r="5253" spans="2:7" ht="32.25" customHeight="1" x14ac:dyDescent="0.35">
      <c r="B5253" s="73"/>
      <c r="C5253" s="73"/>
      <c r="D5253" s="73"/>
      <c r="E5253" s="73"/>
      <c r="F5253" s="73"/>
      <c r="G5253" s="73"/>
    </row>
    <row r="5254" spans="2:7" ht="32.25" customHeight="1" x14ac:dyDescent="0.35">
      <c r="B5254" s="73"/>
      <c r="C5254" s="73"/>
      <c r="D5254" s="73"/>
      <c r="E5254" s="73"/>
      <c r="F5254" s="73"/>
      <c r="G5254" s="73"/>
    </row>
    <row r="5255" spans="2:7" ht="32.25" customHeight="1" x14ac:dyDescent="0.35">
      <c r="B5255" s="73"/>
      <c r="C5255" s="73"/>
      <c r="D5255" s="73"/>
      <c r="E5255" s="73"/>
      <c r="F5255" s="73"/>
      <c r="G5255" s="73"/>
    </row>
    <row r="5256" spans="2:7" ht="32.25" customHeight="1" x14ac:dyDescent="0.35">
      <c r="B5256" s="73"/>
      <c r="C5256" s="73"/>
      <c r="D5256" s="73"/>
      <c r="E5256" s="73"/>
      <c r="F5256" s="73"/>
      <c r="G5256" s="73"/>
    </row>
    <row r="5257" spans="2:7" ht="32.25" customHeight="1" x14ac:dyDescent="0.35">
      <c r="B5257" s="73"/>
      <c r="C5257" s="73"/>
      <c r="D5257" s="73"/>
      <c r="E5257" s="73"/>
      <c r="F5257" s="73"/>
      <c r="G5257" s="73"/>
    </row>
    <row r="5258" spans="2:7" ht="32.25" customHeight="1" x14ac:dyDescent="0.35">
      <c r="B5258" s="73"/>
      <c r="C5258" s="73"/>
      <c r="D5258" s="73"/>
      <c r="E5258" s="73"/>
      <c r="F5258" s="73"/>
      <c r="G5258" s="73"/>
    </row>
    <row r="5259" spans="2:7" ht="32.25" customHeight="1" x14ac:dyDescent="0.35">
      <c r="B5259" s="73"/>
      <c r="C5259" s="73"/>
      <c r="D5259" s="73"/>
      <c r="E5259" s="73"/>
      <c r="F5259" s="73"/>
      <c r="G5259" s="73"/>
    </row>
    <row r="5260" spans="2:7" ht="32.25" customHeight="1" x14ac:dyDescent="0.35">
      <c r="B5260" s="73"/>
      <c r="C5260" s="73"/>
      <c r="D5260" s="73"/>
      <c r="E5260" s="73"/>
      <c r="F5260" s="73"/>
      <c r="G5260" s="73"/>
    </row>
    <row r="5261" spans="2:7" ht="32.25" customHeight="1" x14ac:dyDescent="0.35">
      <c r="B5261" s="73"/>
      <c r="C5261" s="73"/>
      <c r="D5261" s="73"/>
      <c r="E5261" s="73"/>
      <c r="F5261" s="73"/>
      <c r="G5261" s="73"/>
    </row>
    <row r="5262" spans="2:7" ht="32.25" customHeight="1" x14ac:dyDescent="0.35">
      <c r="B5262" s="73"/>
      <c r="C5262" s="73"/>
      <c r="D5262" s="73"/>
      <c r="E5262" s="73"/>
      <c r="F5262" s="73"/>
      <c r="G5262" s="73"/>
    </row>
    <row r="5263" spans="2:7" ht="32.25" customHeight="1" x14ac:dyDescent="0.35">
      <c r="B5263" s="73"/>
      <c r="C5263" s="73"/>
      <c r="D5263" s="73"/>
      <c r="E5263" s="73"/>
      <c r="F5263" s="73"/>
      <c r="G5263" s="73"/>
    </row>
    <row r="5264" spans="2:7" ht="32.25" customHeight="1" x14ac:dyDescent="0.35">
      <c r="B5264" s="73"/>
      <c r="C5264" s="73"/>
      <c r="D5264" s="73"/>
      <c r="E5264" s="73"/>
      <c r="F5264" s="73"/>
      <c r="G5264" s="73"/>
    </row>
    <row r="5265" spans="2:7" ht="32.25" customHeight="1" x14ac:dyDescent="0.35">
      <c r="B5265" s="73"/>
      <c r="C5265" s="73"/>
      <c r="D5265" s="73"/>
      <c r="E5265" s="73"/>
      <c r="F5265" s="73"/>
      <c r="G5265" s="73"/>
    </row>
    <row r="5266" spans="2:7" ht="32.25" customHeight="1" x14ac:dyDescent="0.35">
      <c r="B5266" s="73"/>
      <c r="C5266" s="73"/>
      <c r="D5266" s="73"/>
      <c r="E5266" s="73"/>
      <c r="F5266" s="73"/>
      <c r="G5266" s="73"/>
    </row>
    <row r="5267" spans="2:7" ht="32.25" customHeight="1" x14ac:dyDescent="0.35">
      <c r="B5267" s="73"/>
      <c r="C5267" s="73"/>
      <c r="D5267" s="73"/>
      <c r="E5267" s="73"/>
      <c r="F5267" s="73"/>
      <c r="G5267" s="73"/>
    </row>
    <row r="5268" spans="2:7" ht="32.25" customHeight="1" x14ac:dyDescent="0.35">
      <c r="B5268" s="73"/>
      <c r="C5268" s="73"/>
      <c r="D5268" s="73"/>
      <c r="E5268" s="73"/>
      <c r="F5268" s="73"/>
      <c r="G5268" s="73"/>
    </row>
    <row r="5269" spans="2:7" ht="32.25" customHeight="1" x14ac:dyDescent="0.35">
      <c r="B5269" s="73"/>
      <c r="C5269" s="73"/>
      <c r="D5269" s="73"/>
      <c r="E5269" s="73"/>
      <c r="F5269" s="73"/>
      <c r="G5269" s="73"/>
    </row>
    <row r="5270" spans="2:7" ht="32.25" customHeight="1" x14ac:dyDescent="0.35">
      <c r="B5270" s="73"/>
      <c r="C5270" s="73"/>
      <c r="D5270" s="73"/>
      <c r="E5270" s="73"/>
      <c r="F5270" s="73"/>
      <c r="G5270" s="73"/>
    </row>
    <row r="5271" spans="2:7" ht="32.25" customHeight="1" x14ac:dyDescent="0.35">
      <c r="B5271" s="73"/>
      <c r="C5271" s="73"/>
      <c r="D5271" s="73"/>
      <c r="E5271" s="73"/>
      <c r="F5271" s="73"/>
      <c r="G5271" s="73"/>
    </row>
    <row r="5272" spans="2:7" ht="32.25" customHeight="1" x14ac:dyDescent="0.35">
      <c r="B5272" s="73"/>
      <c r="C5272" s="73"/>
      <c r="D5272" s="73"/>
      <c r="E5272" s="73"/>
      <c r="F5272" s="73"/>
      <c r="G5272" s="73"/>
    </row>
    <row r="5273" spans="2:7" ht="32.25" customHeight="1" x14ac:dyDescent="0.35">
      <c r="B5273" s="73"/>
      <c r="C5273" s="73"/>
      <c r="D5273" s="73"/>
      <c r="E5273" s="73"/>
      <c r="F5273" s="73"/>
      <c r="G5273" s="73"/>
    </row>
    <row r="5274" spans="2:7" ht="32.25" customHeight="1" x14ac:dyDescent="0.35">
      <c r="B5274" s="73"/>
      <c r="C5274" s="73"/>
      <c r="D5274" s="73"/>
      <c r="E5274" s="73"/>
      <c r="F5274" s="73"/>
      <c r="G5274" s="73"/>
    </row>
    <row r="5275" spans="2:7" ht="32.25" customHeight="1" x14ac:dyDescent="0.35">
      <c r="B5275" s="73"/>
      <c r="C5275" s="73"/>
      <c r="D5275" s="73"/>
      <c r="E5275" s="73"/>
      <c r="F5275" s="73"/>
      <c r="G5275" s="73"/>
    </row>
    <row r="5276" spans="2:7" ht="32.25" customHeight="1" x14ac:dyDescent="0.35">
      <c r="B5276" s="73"/>
      <c r="C5276" s="73"/>
      <c r="D5276" s="73"/>
      <c r="E5276" s="73"/>
      <c r="F5276" s="73"/>
      <c r="G5276" s="73"/>
    </row>
    <row r="5277" spans="2:7" ht="32.25" customHeight="1" x14ac:dyDescent="0.35">
      <c r="B5277" s="73"/>
      <c r="C5277" s="73"/>
      <c r="D5277" s="73"/>
      <c r="E5277" s="73"/>
      <c r="F5277" s="73"/>
      <c r="G5277" s="73"/>
    </row>
    <row r="5278" spans="2:7" ht="32.25" customHeight="1" x14ac:dyDescent="0.35">
      <c r="B5278" s="73"/>
      <c r="C5278" s="73"/>
      <c r="D5278" s="73"/>
      <c r="E5278" s="73"/>
      <c r="F5278" s="73"/>
      <c r="G5278" s="73"/>
    </row>
    <row r="5279" spans="2:7" ht="32.25" customHeight="1" x14ac:dyDescent="0.35">
      <c r="B5279" s="73"/>
      <c r="C5279" s="73"/>
      <c r="D5279" s="73"/>
      <c r="E5279" s="73"/>
      <c r="F5279" s="73"/>
      <c r="G5279" s="73"/>
    </row>
    <row r="5280" spans="2:7" ht="32.25" customHeight="1" x14ac:dyDescent="0.35">
      <c r="B5280" s="73"/>
      <c r="C5280" s="73"/>
      <c r="D5280" s="73"/>
      <c r="E5280" s="73"/>
      <c r="F5280" s="73"/>
      <c r="G5280" s="73"/>
    </row>
    <row r="5281" spans="2:7" ht="32.25" customHeight="1" x14ac:dyDescent="0.35">
      <c r="B5281" s="73"/>
      <c r="C5281" s="73"/>
      <c r="D5281" s="73"/>
      <c r="E5281" s="73"/>
      <c r="F5281" s="73"/>
      <c r="G5281" s="73"/>
    </row>
    <row r="5282" spans="2:7" ht="32.25" customHeight="1" x14ac:dyDescent="0.35">
      <c r="B5282" s="73"/>
      <c r="C5282" s="73"/>
      <c r="D5282" s="73"/>
      <c r="E5282" s="73"/>
      <c r="F5282" s="73"/>
      <c r="G5282" s="73"/>
    </row>
    <row r="5283" spans="2:7" ht="32.25" customHeight="1" x14ac:dyDescent="0.35">
      <c r="B5283" s="73"/>
      <c r="C5283" s="73"/>
      <c r="D5283" s="73"/>
      <c r="E5283" s="73"/>
      <c r="F5283" s="73"/>
      <c r="G5283" s="73"/>
    </row>
    <row r="5284" spans="2:7" ht="32.25" customHeight="1" x14ac:dyDescent="0.35">
      <c r="B5284" s="73"/>
      <c r="C5284" s="73"/>
      <c r="D5284" s="73"/>
      <c r="E5284" s="73"/>
      <c r="F5284" s="73"/>
      <c r="G5284" s="73"/>
    </row>
    <row r="5285" spans="2:7" ht="32.25" customHeight="1" x14ac:dyDescent="0.35">
      <c r="B5285" s="73"/>
      <c r="C5285" s="73"/>
      <c r="D5285" s="73"/>
      <c r="E5285" s="73"/>
      <c r="F5285" s="73"/>
      <c r="G5285" s="73"/>
    </row>
    <row r="5286" spans="2:7" ht="32.25" customHeight="1" x14ac:dyDescent="0.35">
      <c r="B5286" s="73"/>
      <c r="C5286" s="73"/>
      <c r="D5286" s="73"/>
      <c r="E5286" s="73"/>
      <c r="F5286" s="73"/>
      <c r="G5286" s="73"/>
    </row>
    <row r="5287" spans="2:7" ht="32.25" customHeight="1" x14ac:dyDescent="0.35">
      <c r="B5287" s="73"/>
      <c r="C5287" s="73"/>
      <c r="D5287" s="73"/>
      <c r="E5287" s="73"/>
      <c r="F5287" s="73"/>
      <c r="G5287" s="73"/>
    </row>
    <row r="5288" spans="2:7" ht="32.25" customHeight="1" x14ac:dyDescent="0.35">
      <c r="B5288" s="73"/>
      <c r="C5288" s="73"/>
      <c r="D5288" s="73"/>
      <c r="E5288" s="73"/>
      <c r="F5288" s="73"/>
      <c r="G5288" s="73"/>
    </row>
    <row r="5289" spans="2:7" ht="32.25" customHeight="1" x14ac:dyDescent="0.35">
      <c r="B5289" s="73"/>
      <c r="C5289" s="73"/>
      <c r="D5289" s="73"/>
      <c r="E5289" s="73"/>
      <c r="F5289" s="73"/>
      <c r="G5289" s="73"/>
    </row>
    <row r="5290" spans="2:7" ht="32.25" customHeight="1" x14ac:dyDescent="0.35">
      <c r="B5290" s="73"/>
      <c r="C5290" s="73"/>
      <c r="D5290" s="73"/>
      <c r="E5290" s="73"/>
      <c r="F5290" s="73"/>
      <c r="G5290" s="73"/>
    </row>
    <row r="5291" spans="2:7" ht="32.25" customHeight="1" x14ac:dyDescent="0.35">
      <c r="B5291" s="73"/>
      <c r="C5291" s="73"/>
      <c r="D5291" s="73"/>
      <c r="E5291" s="73"/>
      <c r="F5291" s="73"/>
      <c r="G5291" s="73"/>
    </row>
    <row r="5292" spans="2:7" ht="32.25" customHeight="1" x14ac:dyDescent="0.35">
      <c r="B5292" s="73"/>
      <c r="C5292" s="73"/>
      <c r="D5292" s="73"/>
      <c r="E5292" s="73"/>
      <c r="F5292" s="73"/>
      <c r="G5292" s="73"/>
    </row>
    <row r="5293" spans="2:7" ht="32.25" customHeight="1" x14ac:dyDescent="0.35">
      <c r="B5293" s="73"/>
      <c r="C5293" s="73"/>
      <c r="D5293" s="73"/>
      <c r="E5293" s="73"/>
      <c r="F5293" s="73"/>
      <c r="G5293" s="73"/>
    </row>
    <row r="5294" spans="2:7" ht="32.25" customHeight="1" x14ac:dyDescent="0.35">
      <c r="B5294" s="73"/>
      <c r="C5294" s="73"/>
      <c r="D5294" s="73"/>
      <c r="E5294" s="73"/>
      <c r="F5294" s="73"/>
      <c r="G5294" s="73"/>
    </row>
    <row r="5295" spans="2:7" ht="32.25" customHeight="1" x14ac:dyDescent="0.35">
      <c r="B5295" s="73"/>
      <c r="C5295" s="73"/>
      <c r="D5295" s="73"/>
      <c r="E5295" s="73"/>
      <c r="F5295" s="73"/>
      <c r="G5295" s="73"/>
    </row>
    <row r="5296" spans="2:7" ht="32.25" customHeight="1" x14ac:dyDescent="0.35">
      <c r="B5296" s="73"/>
      <c r="C5296" s="73"/>
      <c r="D5296" s="73"/>
      <c r="E5296" s="73"/>
      <c r="F5296" s="73"/>
      <c r="G5296" s="73"/>
    </row>
    <row r="5297" spans="2:7" ht="32.25" customHeight="1" x14ac:dyDescent="0.35">
      <c r="B5297" s="73"/>
      <c r="C5297" s="73"/>
      <c r="D5297" s="73"/>
      <c r="E5297" s="73"/>
      <c r="F5297" s="73"/>
      <c r="G5297" s="73"/>
    </row>
    <row r="5298" spans="2:7" ht="32.25" customHeight="1" x14ac:dyDescent="0.35">
      <c r="B5298" s="73"/>
      <c r="C5298" s="73"/>
      <c r="D5298" s="73"/>
      <c r="E5298" s="73"/>
      <c r="F5298" s="73"/>
      <c r="G5298" s="73"/>
    </row>
    <row r="5299" spans="2:7" ht="32.25" customHeight="1" x14ac:dyDescent="0.35">
      <c r="B5299" s="73"/>
      <c r="C5299" s="73"/>
      <c r="D5299" s="73"/>
      <c r="E5299" s="73"/>
      <c r="F5299" s="73"/>
      <c r="G5299" s="73"/>
    </row>
    <row r="5300" spans="2:7" ht="32.25" customHeight="1" x14ac:dyDescent="0.35">
      <c r="B5300" s="73"/>
      <c r="C5300" s="73"/>
      <c r="D5300" s="73"/>
      <c r="E5300" s="73"/>
      <c r="F5300" s="73"/>
      <c r="G5300" s="73"/>
    </row>
    <row r="5301" spans="2:7" ht="32.25" customHeight="1" x14ac:dyDescent="0.35">
      <c r="B5301" s="73"/>
      <c r="C5301" s="73"/>
      <c r="D5301" s="73"/>
      <c r="E5301" s="73"/>
      <c r="F5301" s="73"/>
      <c r="G5301" s="73"/>
    </row>
    <row r="5302" spans="2:7" ht="32.25" customHeight="1" x14ac:dyDescent="0.35">
      <c r="B5302" s="73"/>
      <c r="C5302" s="73"/>
      <c r="D5302" s="73"/>
      <c r="E5302" s="73"/>
      <c r="F5302" s="73"/>
      <c r="G5302" s="73"/>
    </row>
    <row r="5303" spans="2:7" ht="32.25" customHeight="1" x14ac:dyDescent="0.35">
      <c r="B5303" s="73"/>
      <c r="C5303" s="73"/>
      <c r="D5303" s="73"/>
      <c r="E5303" s="73"/>
      <c r="F5303" s="73"/>
      <c r="G5303" s="73"/>
    </row>
    <row r="5304" spans="2:7" ht="32.25" customHeight="1" x14ac:dyDescent="0.35">
      <c r="B5304" s="73"/>
      <c r="C5304" s="73"/>
      <c r="D5304" s="73"/>
      <c r="E5304" s="73"/>
      <c r="F5304" s="73"/>
      <c r="G5304" s="73"/>
    </row>
    <row r="5305" spans="2:7" ht="32.25" customHeight="1" x14ac:dyDescent="0.35">
      <c r="B5305" s="73"/>
      <c r="C5305" s="73"/>
      <c r="D5305" s="73"/>
      <c r="E5305" s="73"/>
      <c r="F5305" s="73"/>
      <c r="G5305" s="73"/>
    </row>
    <row r="5306" spans="2:7" ht="32.25" customHeight="1" x14ac:dyDescent="0.35">
      <c r="B5306" s="73"/>
      <c r="C5306" s="73"/>
      <c r="D5306" s="73"/>
      <c r="E5306" s="73"/>
      <c r="F5306" s="73"/>
      <c r="G5306" s="73"/>
    </row>
    <row r="5307" spans="2:7" ht="32.25" customHeight="1" x14ac:dyDescent="0.35">
      <c r="B5307" s="73"/>
      <c r="C5307" s="73"/>
      <c r="D5307" s="73"/>
      <c r="E5307" s="73"/>
      <c r="F5307" s="73"/>
      <c r="G5307" s="73"/>
    </row>
    <row r="5308" spans="2:7" ht="32.25" customHeight="1" x14ac:dyDescent="0.35">
      <c r="B5308" s="73"/>
      <c r="C5308" s="73"/>
      <c r="D5308" s="73"/>
      <c r="E5308" s="73"/>
      <c r="F5308" s="73"/>
      <c r="G5308" s="73"/>
    </row>
    <row r="5309" spans="2:7" ht="32.25" customHeight="1" x14ac:dyDescent="0.35">
      <c r="B5309" s="73"/>
      <c r="C5309" s="73"/>
      <c r="D5309" s="73"/>
      <c r="E5309" s="73"/>
      <c r="F5309" s="73"/>
      <c r="G5309" s="73"/>
    </row>
    <row r="5310" spans="2:7" ht="32.25" customHeight="1" x14ac:dyDescent="0.35">
      <c r="B5310" s="73"/>
      <c r="C5310" s="73"/>
      <c r="D5310" s="73"/>
      <c r="E5310" s="73"/>
      <c r="F5310" s="73"/>
      <c r="G5310" s="73"/>
    </row>
    <row r="5311" spans="2:7" ht="32.25" customHeight="1" x14ac:dyDescent="0.35">
      <c r="B5311" s="73"/>
      <c r="C5311" s="73"/>
      <c r="D5311" s="73"/>
      <c r="E5311" s="73"/>
      <c r="F5311" s="73"/>
      <c r="G5311" s="73"/>
    </row>
    <row r="5312" spans="2:7" ht="32.25" customHeight="1" x14ac:dyDescent="0.35">
      <c r="B5312" s="73"/>
      <c r="C5312" s="73"/>
      <c r="D5312" s="73"/>
      <c r="E5312" s="73"/>
      <c r="F5312" s="73"/>
      <c r="G5312" s="73"/>
    </row>
    <row r="5313" spans="2:7" ht="32.25" customHeight="1" x14ac:dyDescent="0.35">
      <c r="B5313" s="73"/>
      <c r="C5313" s="73"/>
      <c r="D5313" s="73"/>
      <c r="E5313" s="73"/>
      <c r="F5313" s="73"/>
      <c r="G5313" s="73"/>
    </row>
    <row r="5314" spans="2:7" ht="32.25" customHeight="1" x14ac:dyDescent="0.35">
      <c r="B5314" s="73"/>
      <c r="C5314" s="73"/>
      <c r="D5314" s="73"/>
      <c r="E5314" s="73"/>
      <c r="F5314" s="73"/>
      <c r="G5314" s="73"/>
    </row>
    <row r="5315" spans="2:7" ht="32.25" customHeight="1" x14ac:dyDescent="0.35">
      <c r="B5315" s="73"/>
      <c r="C5315" s="73"/>
      <c r="D5315" s="73"/>
      <c r="E5315" s="73"/>
      <c r="F5315" s="73"/>
      <c r="G5315" s="73"/>
    </row>
    <row r="5316" spans="2:7" ht="32.25" customHeight="1" x14ac:dyDescent="0.35">
      <c r="B5316" s="73"/>
      <c r="C5316" s="73"/>
      <c r="D5316" s="73"/>
      <c r="E5316" s="73"/>
      <c r="F5316" s="73"/>
      <c r="G5316" s="73"/>
    </row>
    <row r="5317" spans="2:7" ht="32.25" customHeight="1" x14ac:dyDescent="0.35">
      <c r="B5317" s="73"/>
      <c r="C5317" s="73"/>
      <c r="D5317" s="73"/>
      <c r="E5317" s="73"/>
      <c r="F5317" s="73"/>
      <c r="G5317" s="73"/>
    </row>
    <row r="5318" spans="2:7" ht="32.25" customHeight="1" x14ac:dyDescent="0.35">
      <c r="B5318" s="73"/>
      <c r="C5318" s="73"/>
      <c r="D5318" s="73"/>
      <c r="E5318" s="73"/>
      <c r="F5318" s="73"/>
      <c r="G5318" s="73"/>
    </row>
    <row r="5319" spans="2:7" ht="32.25" customHeight="1" x14ac:dyDescent="0.35">
      <c r="B5319" s="73"/>
      <c r="C5319" s="73"/>
      <c r="D5319" s="73"/>
      <c r="E5319" s="73"/>
      <c r="F5319" s="73"/>
      <c r="G5319" s="73"/>
    </row>
    <row r="5320" spans="2:7" ht="32.25" customHeight="1" x14ac:dyDescent="0.35">
      <c r="B5320" s="73"/>
      <c r="C5320" s="73"/>
      <c r="D5320" s="73"/>
      <c r="E5320" s="73"/>
      <c r="F5320" s="73"/>
      <c r="G5320" s="73"/>
    </row>
    <row r="5321" spans="2:7" ht="32.25" customHeight="1" x14ac:dyDescent="0.35">
      <c r="B5321" s="73"/>
      <c r="C5321" s="73"/>
      <c r="D5321" s="73"/>
      <c r="E5321" s="73"/>
      <c r="F5321" s="73"/>
      <c r="G5321" s="73"/>
    </row>
    <row r="5322" spans="2:7" ht="32.25" customHeight="1" x14ac:dyDescent="0.35">
      <c r="B5322" s="73"/>
      <c r="C5322" s="73"/>
      <c r="D5322" s="73"/>
      <c r="E5322" s="73"/>
      <c r="F5322" s="73"/>
      <c r="G5322" s="73"/>
    </row>
    <row r="5323" spans="2:7" ht="32.25" customHeight="1" x14ac:dyDescent="0.35">
      <c r="B5323" s="73"/>
      <c r="C5323" s="73"/>
      <c r="D5323" s="73"/>
      <c r="E5323" s="73"/>
      <c r="F5323" s="73"/>
      <c r="G5323" s="73"/>
    </row>
    <row r="5324" spans="2:7" ht="32.25" customHeight="1" x14ac:dyDescent="0.35">
      <c r="B5324" s="73"/>
      <c r="C5324" s="73"/>
      <c r="D5324" s="73"/>
      <c r="E5324" s="73"/>
      <c r="F5324" s="73"/>
      <c r="G5324" s="73"/>
    </row>
    <row r="5325" spans="2:7" ht="32.25" customHeight="1" x14ac:dyDescent="0.35">
      <c r="B5325" s="73"/>
      <c r="C5325" s="73"/>
      <c r="D5325" s="73"/>
      <c r="E5325" s="73"/>
      <c r="F5325" s="73"/>
      <c r="G5325" s="73"/>
    </row>
    <row r="5326" spans="2:7" ht="32.25" customHeight="1" x14ac:dyDescent="0.35">
      <c r="B5326" s="73"/>
      <c r="C5326" s="73"/>
      <c r="D5326" s="73"/>
      <c r="E5326" s="73"/>
      <c r="F5326" s="73"/>
      <c r="G5326" s="73"/>
    </row>
    <row r="5327" spans="2:7" ht="32.25" customHeight="1" x14ac:dyDescent="0.35">
      <c r="B5327" s="73"/>
      <c r="C5327" s="73"/>
      <c r="D5327" s="73"/>
      <c r="E5327" s="73"/>
      <c r="F5327" s="73"/>
      <c r="G5327" s="73"/>
    </row>
    <row r="5328" spans="2:7" ht="32.25" customHeight="1" x14ac:dyDescent="0.35">
      <c r="B5328" s="73"/>
      <c r="C5328" s="73"/>
      <c r="D5328" s="73"/>
      <c r="E5328" s="73"/>
      <c r="F5328" s="73"/>
      <c r="G5328" s="73"/>
    </row>
    <row r="5329" spans="2:7" ht="32.25" customHeight="1" x14ac:dyDescent="0.35">
      <c r="B5329" s="73"/>
      <c r="C5329" s="73"/>
      <c r="D5329" s="73"/>
      <c r="E5329" s="73"/>
      <c r="F5329" s="73"/>
      <c r="G5329" s="73"/>
    </row>
    <row r="5330" spans="2:7" ht="32.25" customHeight="1" x14ac:dyDescent="0.35">
      <c r="B5330" s="73"/>
      <c r="C5330" s="73"/>
      <c r="D5330" s="73"/>
      <c r="E5330" s="73"/>
      <c r="F5330" s="73"/>
      <c r="G5330" s="73"/>
    </row>
    <row r="5331" spans="2:7" ht="32.25" customHeight="1" x14ac:dyDescent="0.35">
      <c r="B5331" s="73"/>
      <c r="C5331" s="73"/>
      <c r="D5331" s="73"/>
      <c r="E5331" s="73"/>
      <c r="F5331" s="73"/>
      <c r="G5331" s="73"/>
    </row>
    <row r="5332" spans="2:7" ht="32.25" customHeight="1" x14ac:dyDescent="0.35">
      <c r="B5332" s="73"/>
      <c r="C5332" s="73"/>
      <c r="D5332" s="73"/>
      <c r="E5332" s="73"/>
      <c r="F5332" s="73"/>
      <c r="G5332" s="73"/>
    </row>
    <row r="5333" spans="2:7" ht="32.25" customHeight="1" x14ac:dyDescent="0.35">
      <c r="B5333" s="73"/>
      <c r="C5333" s="73"/>
      <c r="D5333" s="73"/>
      <c r="E5333" s="73"/>
      <c r="F5333" s="73"/>
      <c r="G5333" s="73"/>
    </row>
    <row r="5334" spans="2:7" ht="32.25" customHeight="1" x14ac:dyDescent="0.35">
      <c r="B5334" s="73"/>
      <c r="C5334" s="73"/>
      <c r="D5334" s="73"/>
      <c r="E5334" s="73"/>
      <c r="F5334" s="73"/>
      <c r="G5334" s="73"/>
    </row>
    <row r="5335" spans="2:7" ht="32.25" customHeight="1" x14ac:dyDescent="0.35">
      <c r="B5335" s="73"/>
      <c r="C5335" s="73"/>
      <c r="D5335" s="73"/>
      <c r="E5335" s="73"/>
      <c r="F5335" s="73"/>
      <c r="G5335" s="73"/>
    </row>
    <row r="5336" spans="2:7" ht="32.25" customHeight="1" x14ac:dyDescent="0.35">
      <c r="B5336" s="73"/>
      <c r="C5336" s="73"/>
      <c r="D5336" s="73"/>
      <c r="E5336" s="73"/>
      <c r="F5336" s="73"/>
      <c r="G5336" s="73"/>
    </row>
    <row r="5337" spans="2:7" ht="32.25" customHeight="1" x14ac:dyDescent="0.35">
      <c r="B5337" s="73"/>
      <c r="C5337" s="73"/>
      <c r="D5337" s="73"/>
      <c r="E5337" s="73"/>
      <c r="F5337" s="73"/>
      <c r="G5337" s="73"/>
    </row>
    <row r="5338" spans="2:7" ht="32.25" customHeight="1" x14ac:dyDescent="0.35">
      <c r="B5338" s="73"/>
      <c r="C5338" s="73"/>
      <c r="D5338" s="73"/>
      <c r="E5338" s="73"/>
      <c r="F5338" s="73"/>
      <c r="G5338" s="73"/>
    </row>
    <row r="5339" spans="2:7" ht="32.25" customHeight="1" x14ac:dyDescent="0.35">
      <c r="B5339" s="73"/>
      <c r="C5339" s="73"/>
      <c r="D5339" s="73"/>
      <c r="E5339" s="73"/>
      <c r="F5339" s="73"/>
      <c r="G5339" s="73"/>
    </row>
    <row r="5340" spans="2:7" ht="32.25" customHeight="1" x14ac:dyDescent="0.35">
      <c r="B5340" s="73"/>
      <c r="C5340" s="73"/>
      <c r="D5340" s="73"/>
      <c r="E5340" s="73"/>
      <c r="F5340" s="73"/>
      <c r="G5340" s="73"/>
    </row>
    <row r="5341" spans="2:7" ht="32.25" customHeight="1" x14ac:dyDescent="0.35">
      <c r="B5341" s="73"/>
      <c r="C5341" s="73"/>
      <c r="D5341" s="73"/>
      <c r="E5341" s="73"/>
      <c r="F5341" s="73"/>
      <c r="G5341" s="73"/>
    </row>
    <row r="5342" spans="2:7" ht="32.25" customHeight="1" x14ac:dyDescent="0.35">
      <c r="B5342" s="73"/>
      <c r="C5342" s="73"/>
      <c r="D5342" s="73"/>
      <c r="E5342" s="73"/>
      <c r="F5342" s="73"/>
      <c r="G5342" s="73"/>
    </row>
    <row r="5343" spans="2:7" ht="32.25" customHeight="1" x14ac:dyDescent="0.35">
      <c r="B5343" s="73"/>
      <c r="C5343" s="73"/>
      <c r="D5343" s="73"/>
      <c r="E5343" s="73"/>
      <c r="F5343" s="73"/>
      <c r="G5343" s="73"/>
    </row>
    <row r="5344" spans="2:7" ht="32.25" customHeight="1" x14ac:dyDescent="0.35">
      <c r="B5344" s="73"/>
      <c r="C5344" s="73"/>
      <c r="D5344" s="73"/>
      <c r="E5344" s="73"/>
      <c r="F5344" s="73"/>
      <c r="G5344" s="73"/>
    </row>
    <row r="5345" spans="2:7" ht="32.25" customHeight="1" x14ac:dyDescent="0.35">
      <c r="B5345" s="73"/>
      <c r="C5345" s="73"/>
      <c r="D5345" s="73"/>
      <c r="E5345" s="73"/>
      <c r="F5345" s="73"/>
      <c r="G5345" s="73"/>
    </row>
    <row r="5346" spans="2:7" ht="32.25" customHeight="1" x14ac:dyDescent="0.35">
      <c r="B5346" s="73"/>
      <c r="C5346" s="73"/>
      <c r="D5346" s="73"/>
      <c r="E5346" s="73"/>
      <c r="F5346" s="73"/>
      <c r="G5346" s="73"/>
    </row>
    <row r="5347" spans="2:7" ht="32.25" customHeight="1" x14ac:dyDescent="0.35">
      <c r="B5347" s="73"/>
      <c r="C5347" s="73"/>
      <c r="D5347" s="73"/>
      <c r="E5347" s="73"/>
      <c r="F5347" s="73"/>
      <c r="G5347" s="73"/>
    </row>
    <row r="5348" spans="2:7" ht="32.25" customHeight="1" x14ac:dyDescent="0.35">
      <c r="B5348" s="73"/>
      <c r="C5348" s="73"/>
      <c r="D5348" s="73"/>
      <c r="E5348" s="73"/>
      <c r="F5348" s="73"/>
      <c r="G5348" s="73"/>
    </row>
    <row r="5349" spans="2:7" ht="32.25" customHeight="1" x14ac:dyDescent="0.35">
      <c r="B5349" s="73"/>
      <c r="C5349" s="73"/>
      <c r="D5349" s="73"/>
      <c r="E5349" s="73"/>
      <c r="F5349" s="73"/>
      <c r="G5349" s="73"/>
    </row>
    <row r="5350" spans="2:7" ht="32.25" customHeight="1" x14ac:dyDescent="0.35">
      <c r="B5350" s="73"/>
      <c r="C5350" s="73"/>
      <c r="D5350" s="73"/>
      <c r="E5350" s="73"/>
      <c r="F5350" s="73"/>
      <c r="G5350" s="73"/>
    </row>
    <row r="5351" spans="2:7" ht="32.25" customHeight="1" x14ac:dyDescent="0.35">
      <c r="B5351" s="73"/>
      <c r="C5351" s="73"/>
      <c r="D5351" s="73"/>
      <c r="E5351" s="73"/>
      <c r="F5351" s="73"/>
      <c r="G5351" s="73"/>
    </row>
    <row r="5352" spans="2:7" ht="32.25" customHeight="1" x14ac:dyDescent="0.35">
      <c r="B5352" s="73"/>
      <c r="C5352" s="73"/>
      <c r="D5352" s="73"/>
      <c r="E5352" s="73"/>
      <c r="F5352" s="73"/>
      <c r="G5352" s="73"/>
    </row>
    <row r="5353" spans="2:7" ht="32.25" customHeight="1" x14ac:dyDescent="0.35">
      <c r="B5353" s="73"/>
      <c r="C5353" s="73"/>
      <c r="D5353" s="73"/>
      <c r="E5353" s="73"/>
      <c r="F5353" s="73"/>
      <c r="G5353" s="73"/>
    </row>
    <row r="5354" spans="2:7" ht="32.25" customHeight="1" x14ac:dyDescent="0.35">
      <c r="B5354" s="73"/>
      <c r="C5354" s="73"/>
      <c r="D5354" s="73"/>
      <c r="E5354" s="73"/>
      <c r="F5354" s="73"/>
      <c r="G5354" s="73"/>
    </row>
    <row r="5355" spans="2:7" ht="32.25" customHeight="1" x14ac:dyDescent="0.35">
      <c r="B5355" s="73"/>
      <c r="C5355" s="73"/>
      <c r="D5355" s="73"/>
      <c r="E5355" s="73"/>
      <c r="F5355" s="73"/>
      <c r="G5355" s="73"/>
    </row>
    <row r="5356" spans="2:7" ht="32.25" customHeight="1" x14ac:dyDescent="0.35">
      <c r="B5356" s="73"/>
      <c r="C5356" s="73"/>
      <c r="D5356" s="73"/>
      <c r="E5356" s="73"/>
      <c r="F5356" s="73"/>
      <c r="G5356" s="73"/>
    </row>
    <row r="5357" spans="2:7" ht="32.25" customHeight="1" x14ac:dyDescent="0.35">
      <c r="B5357" s="73"/>
      <c r="C5357" s="73"/>
      <c r="D5357" s="73"/>
      <c r="E5357" s="73"/>
      <c r="F5357" s="73"/>
      <c r="G5357" s="73"/>
    </row>
    <row r="5358" spans="2:7" ht="32.25" customHeight="1" x14ac:dyDescent="0.35">
      <c r="B5358" s="73"/>
      <c r="C5358" s="73"/>
      <c r="D5358" s="73"/>
      <c r="E5358" s="73"/>
      <c r="F5358" s="73"/>
      <c r="G5358" s="73"/>
    </row>
    <row r="5359" spans="2:7" ht="32.25" customHeight="1" x14ac:dyDescent="0.35">
      <c r="B5359" s="73"/>
      <c r="C5359" s="73"/>
      <c r="D5359" s="73"/>
      <c r="E5359" s="73"/>
      <c r="F5359" s="73"/>
      <c r="G5359" s="73"/>
    </row>
    <row r="5360" spans="2:7" ht="32.25" customHeight="1" x14ac:dyDescent="0.35">
      <c r="B5360" s="73"/>
      <c r="C5360" s="73"/>
      <c r="D5360" s="73"/>
      <c r="E5360" s="73"/>
      <c r="F5360" s="73"/>
      <c r="G5360" s="73"/>
    </row>
    <row r="5361" spans="2:7" ht="32.25" customHeight="1" x14ac:dyDescent="0.35">
      <c r="B5361" s="73"/>
      <c r="C5361" s="73"/>
      <c r="D5361" s="73"/>
      <c r="E5361" s="73"/>
      <c r="F5361" s="73"/>
      <c r="G5361" s="73"/>
    </row>
    <row r="5362" spans="2:7" ht="32.25" customHeight="1" x14ac:dyDescent="0.35">
      <c r="B5362" s="73"/>
      <c r="C5362" s="73"/>
      <c r="D5362" s="73"/>
      <c r="E5362" s="73"/>
      <c r="F5362" s="73"/>
      <c r="G5362" s="73"/>
    </row>
    <row r="5363" spans="2:7" ht="32.25" customHeight="1" x14ac:dyDescent="0.35">
      <c r="B5363" s="73"/>
      <c r="C5363" s="73"/>
      <c r="D5363" s="73"/>
      <c r="E5363" s="73"/>
      <c r="F5363" s="73"/>
      <c r="G5363" s="73"/>
    </row>
    <row r="5364" spans="2:7" ht="32.25" customHeight="1" x14ac:dyDescent="0.35">
      <c r="B5364" s="73"/>
      <c r="C5364" s="73"/>
      <c r="D5364" s="73"/>
      <c r="E5364" s="73"/>
      <c r="F5364" s="73"/>
      <c r="G5364" s="73"/>
    </row>
    <row r="5365" spans="2:7" ht="32.25" customHeight="1" x14ac:dyDescent="0.35">
      <c r="B5365" s="73"/>
      <c r="C5365" s="73"/>
      <c r="D5365" s="73"/>
      <c r="E5365" s="73"/>
      <c r="F5365" s="73"/>
      <c r="G5365" s="73"/>
    </row>
    <row r="5366" spans="2:7" ht="32.25" customHeight="1" x14ac:dyDescent="0.35">
      <c r="B5366" s="73"/>
      <c r="C5366" s="73"/>
      <c r="D5366" s="73"/>
      <c r="E5366" s="73"/>
      <c r="F5366" s="73"/>
      <c r="G5366" s="73"/>
    </row>
    <row r="5367" spans="2:7" ht="32.25" customHeight="1" x14ac:dyDescent="0.35">
      <c r="B5367" s="73"/>
      <c r="C5367" s="73"/>
      <c r="D5367" s="73"/>
      <c r="E5367" s="73"/>
      <c r="F5367" s="73"/>
      <c r="G5367" s="73"/>
    </row>
    <row r="5368" spans="2:7" ht="32.25" customHeight="1" x14ac:dyDescent="0.35">
      <c r="B5368" s="73"/>
      <c r="C5368" s="73"/>
      <c r="D5368" s="73"/>
      <c r="E5368" s="73"/>
      <c r="F5368" s="73"/>
      <c r="G5368" s="73"/>
    </row>
    <row r="5369" spans="2:7" ht="32.25" customHeight="1" x14ac:dyDescent="0.35">
      <c r="B5369" s="73"/>
      <c r="C5369" s="73"/>
      <c r="D5369" s="73"/>
      <c r="E5369" s="73"/>
      <c r="F5369" s="73"/>
      <c r="G5369" s="73"/>
    </row>
    <row r="5370" spans="2:7" ht="32.25" customHeight="1" x14ac:dyDescent="0.35">
      <c r="B5370" s="73"/>
      <c r="C5370" s="73"/>
      <c r="D5370" s="73"/>
      <c r="E5370" s="73"/>
      <c r="F5370" s="73"/>
      <c r="G5370" s="73"/>
    </row>
    <row r="5371" spans="2:7" ht="32.25" customHeight="1" x14ac:dyDescent="0.35">
      <c r="B5371" s="73"/>
      <c r="C5371" s="73"/>
      <c r="D5371" s="73"/>
      <c r="E5371" s="73"/>
      <c r="F5371" s="73"/>
      <c r="G5371" s="73"/>
    </row>
    <row r="5372" spans="2:7" ht="32.25" customHeight="1" x14ac:dyDescent="0.35">
      <c r="B5372" s="73"/>
      <c r="C5372" s="73"/>
      <c r="D5372" s="73"/>
      <c r="E5372" s="73"/>
      <c r="F5372" s="73"/>
      <c r="G5372" s="73"/>
    </row>
    <row r="5373" spans="2:7" ht="32.25" customHeight="1" x14ac:dyDescent="0.35">
      <c r="B5373" s="73"/>
      <c r="C5373" s="73"/>
      <c r="D5373" s="73"/>
      <c r="E5373" s="73"/>
      <c r="F5373" s="73"/>
      <c r="G5373" s="73"/>
    </row>
    <row r="5374" spans="2:7" ht="32.25" customHeight="1" x14ac:dyDescent="0.35">
      <c r="B5374" s="73"/>
      <c r="C5374" s="73"/>
      <c r="D5374" s="73"/>
      <c r="E5374" s="73"/>
      <c r="F5374" s="73"/>
      <c r="G5374" s="73"/>
    </row>
    <row r="5375" spans="2:7" ht="32.25" customHeight="1" x14ac:dyDescent="0.35">
      <c r="B5375" s="73"/>
      <c r="C5375" s="73"/>
      <c r="D5375" s="73"/>
      <c r="E5375" s="73"/>
      <c r="F5375" s="73"/>
      <c r="G5375" s="73"/>
    </row>
    <row r="5376" spans="2:7" ht="32.25" customHeight="1" x14ac:dyDescent="0.35">
      <c r="B5376" s="73"/>
      <c r="C5376" s="73"/>
      <c r="D5376" s="73"/>
      <c r="E5376" s="73"/>
      <c r="F5376" s="73"/>
      <c r="G5376" s="73"/>
    </row>
    <row r="5377" spans="2:7" ht="32.25" customHeight="1" x14ac:dyDescent="0.35">
      <c r="B5377" s="73"/>
      <c r="C5377" s="73"/>
      <c r="D5377" s="73"/>
      <c r="E5377" s="73"/>
      <c r="F5377" s="73"/>
      <c r="G5377" s="73"/>
    </row>
    <row r="5378" spans="2:7" ht="32.25" customHeight="1" x14ac:dyDescent="0.35">
      <c r="B5378" s="73"/>
      <c r="C5378" s="73"/>
      <c r="D5378" s="73"/>
      <c r="E5378" s="73"/>
      <c r="F5378" s="73"/>
      <c r="G5378" s="73"/>
    </row>
    <row r="5379" spans="2:7" ht="32.25" customHeight="1" x14ac:dyDescent="0.35">
      <c r="B5379" s="73"/>
      <c r="C5379" s="73"/>
      <c r="D5379" s="73"/>
      <c r="E5379" s="73"/>
      <c r="F5379" s="73"/>
      <c r="G5379" s="73"/>
    </row>
    <row r="5380" spans="2:7" ht="32.25" customHeight="1" x14ac:dyDescent="0.35">
      <c r="B5380" s="73"/>
      <c r="C5380" s="73"/>
      <c r="D5380" s="73"/>
      <c r="E5380" s="73"/>
      <c r="F5380" s="73"/>
      <c r="G5380" s="73"/>
    </row>
    <row r="5381" spans="2:7" ht="32.25" customHeight="1" x14ac:dyDescent="0.35">
      <c r="B5381" s="73"/>
      <c r="C5381" s="73"/>
      <c r="D5381" s="73"/>
      <c r="E5381" s="73"/>
      <c r="F5381" s="73"/>
      <c r="G5381" s="73"/>
    </row>
    <row r="5382" spans="2:7" ht="32.25" customHeight="1" x14ac:dyDescent="0.35">
      <c r="B5382" s="73"/>
      <c r="C5382" s="73"/>
      <c r="D5382" s="73"/>
      <c r="E5382" s="73"/>
      <c r="F5382" s="73"/>
      <c r="G5382" s="73"/>
    </row>
    <row r="5383" spans="2:7" ht="32.25" customHeight="1" x14ac:dyDescent="0.35">
      <c r="B5383" s="73"/>
      <c r="C5383" s="73"/>
      <c r="D5383" s="73"/>
      <c r="E5383" s="73"/>
      <c r="F5383" s="73"/>
      <c r="G5383" s="73"/>
    </row>
    <row r="5384" spans="2:7" ht="32.25" customHeight="1" x14ac:dyDescent="0.35">
      <c r="B5384" s="73"/>
      <c r="C5384" s="73"/>
      <c r="D5384" s="73"/>
      <c r="E5384" s="73"/>
      <c r="F5384" s="73"/>
      <c r="G5384" s="73"/>
    </row>
    <row r="5385" spans="2:7" ht="32.25" customHeight="1" x14ac:dyDescent="0.35">
      <c r="B5385" s="73"/>
      <c r="C5385" s="73"/>
      <c r="D5385" s="73"/>
      <c r="E5385" s="73"/>
      <c r="F5385" s="73"/>
      <c r="G5385" s="73"/>
    </row>
    <row r="5386" spans="2:7" ht="32.25" customHeight="1" x14ac:dyDescent="0.35">
      <c r="B5386" s="73"/>
      <c r="C5386" s="73"/>
      <c r="D5386" s="73"/>
      <c r="E5386" s="73"/>
      <c r="F5386" s="73"/>
      <c r="G5386" s="73"/>
    </row>
    <row r="5387" spans="2:7" ht="32.25" customHeight="1" x14ac:dyDescent="0.35">
      <c r="B5387" s="73"/>
      <c r="C5387" s="73"/>
      <c r="D5387" s="73"/>
      <c r="E5387" s="73"/>
      <c r="F5387" s="73"/>
      <c r="G5387" s="73"/>
    </row>
    <row r="5388" spans="2:7" ht="32.25" customHeight="1" x14ac:dyDescent="0.35">
      <c r="B5388" s="73"/>
      <c r="C5388" s="73"/>
      <c r="D5388" s="73"/>
      <c r="E5388" s="73"/>
      <c r="F5388" s="73"/>
      <c r="G5388" s="73"/>
    </row>
    <row r="5389" spans="2:7" ht="32.25" customHeight="1" x14ac:dyDescent="0.35">
      <c r="B5389" s="73"/>
      <c r="C5389" s="73"/>
      <c r="D5389" s="73"/>
      <c r="E5389" s="73"/>
      <c r="F5389" s="73"/>
      <c r="G5389" s="73"/>
    </row>
    <row r="5390" spans="2:7" ht="32.25" customHeight="1" x14ac:dyDescent="0.35">
      <c r="B5390" s="73"/>
      <c r="C5390" s="73"/>
      <c r="D5390" s="73"/>
      <c r="E5390" s="73"/>
      <c r="F5390" s="73"/>
      <c r="G5390" s="73"/>
    </row>
    <row r="5391" spans="2:7" ht="32.25" customHeight="1" x14ac:dyDescent="0.35">
      <c r="B5391" s="73"/>
      <c r="C5391" s="73"/>
      <c r="D5391" s="73"/>
      <c r="E5391" s="73"/>
      <c r="F5391" s="73"/>
      <c r="G5391" s="73"/>
    </row>
    <row r="5392" spans="2:7" ht="32.25" customHeight="1" x14ac:dyDescent="0.35">
      <c r="B5392" s="73"/>
      <c r="C5392" s="73"/>
      <c r="D5392" s="73"/>
      <c r="E5392" s="73"/>
      <c r="F5392" s="73"/>
      <c r="G5392" s="73"/>
    </row>
    <row r="5393" spans="2:7" ht="32.25" customHeight="1" x14ac:dyDescent="0.35">
      <c r="B5393" s="73"/>
      <c r="C5393" s="73"/>
      <c r="D5393" s="73"/>
      <c r="E5393" s="73"/>
      <c r="F5393" s="73"/>
      <c r="G5393" s="73"/>
    </row>
    <row r="5394" spans="2:7" ht="32.25" customHeight="1" x14ac:dyDescent="0.35">
      <c r="B5394" s="73"/>
      <c r="C5394" s="73"/>
      <c r="D5394" s="73"/>
      <c r="E5394" s="73"/>
      <c r="F5394" s="73"/>
      <c r="G5394" s="73"/>
    </row>
    <row r="5395" spans="2:7" ht="32.25" customHeight="1" x14ac:dyDescent="0.35">
      <c r="B5395" s="73"/>
      <c r="C5395" s="73"/>
      <c r="D5395" s="73"/>
      <c r="E5395" s="73"/>
      <c r="F5395" s="73"/>
      <c r="G5395" s="73"/>
    </row>
    <row r="5396" spans="2:7" ht="32.25" customHeight="1" x14ac:dyDescent="0.35">
      <c r="B5396" s="73"/>
      <c r="C5396" s="73"/>
      <c r="D5396" s="73"/>
      <c r="E5396" s="73"/>
      <c r="F5396" s="73"/>
      <c r="G5396" s="73"/>
    </row>
    <row r="5397" spans="2:7" ht="32.25" customHeight="1" x14ac:dyDescent="0.35">
      <c r="B5397" s="73"/>
      <c r="C5397" s="73"/>
      <c r="D5397" s="73"/>
      <c r="E5397" s="73"/>
      <c r="F5397" s="73"/>
      <c r="G5397" s="73"/>
    </row>
    <row r="5398" spans="2:7" ht="32.25" customHeight="1" x14ac:dyDescent="0.35">
      <c r="B5398" s="73"/>
      <c r="C5398" s="73"/>
      <c r="D5398" s="73"/>
      <c r="E5398" s="73"/>
      <c r="F5398" s="73"/>
      <c r="G5398" s="73"/>
    </row>
    <row r="5399" spans="2:7" ht="32.25" customHeight="1" x14ac:dyDescent="0.35">
      <c r="B5399" s="73"/>
      <c r="C5399" s="73"/>
      <c r="D5399" s="73"/>
      <c r="E5399" s="73"/>
      <c r="F5399" s="73"/>
      <c r="G5399" s="73"/>
    </row>
    <row r="5400" spans="2:7" ht="32.25" customHeight="1" x14ac:dyDescent="0.35">
      <c r="B5400" s="73"/>
      <c r="C5400" s="73"/>
      <c r="D5400" s="73"/>
      <c r="E5400" s="73"/>
      <c r="F5400" s="73"/>
      <c r="G5400" s="73"/>
    </row>
    <row r="5401" spans="2:7" ht="32.25" customHeight="1" x14ac:dyDescent="0.35">
      <c r="B5401" s="73"/>
      <c r="C5401" s="73"/>
      <c r="D5401" s="73"/>
      <c r="E5401" s="73"/>
      <c r="F5401" s="73"/>
      <c r="G5401" s="73"/>
    </row>
    <row r="5402" spans="2:7" ht="32.25" customHeight="1" x14ac:dyDescent="0.35">
      <c r="B5402" s="73"/>
      <c r="C5402" s="73"/>
      <c r="D5402" s="73"/>
      <c r="E5402" s="73"/>
      <c r="F5402" s="73"/>
      <c r="G5402" s="73"/>
    </row>
    <row r="5403" spans="2:7" ht="32.25" customHeight="1" x14ac:dyDescent="0.35">
      <c r="B5403" s="73"/>
      <c r="C5403" s="73"/>
      <c r="D5403" s="73"/>
      <c r="E5403" s="73"/>
      <c r="F5403" s="73"/>
      <c r="G5403" s="73"/>
    </row>
    <row r="5404" spans="2:7" ht="32.25" customHeight="1" x14ac:dyDescent="0.35">
      <c r="B5404" s="73"/>
      <c r="C5404" s="73"/>
      <c r="D5404" s="73"/>
      <c r="E5404" s="73"/>
      <c r="F5404" s="73"/>
      <c r="G5404" s="73"/>
    </row>
    <row r="5405" spans="2:7" ht="32.25" customHeight="1" x14ac:dyDescent="0.35">
      <c r="B5405" s="73"/>
      <c r="C5405" s="73"/>
      <c r="D5405" s="73"/>
      <c r="E5405" s="73"/>
      <c r="F5405" s="73"/>
      <c r="G5405" s="73"/>
    </row>
    <row r="5406" spans="2:7" ht="32.25" customHeight="1" x14ac:dyDescent="0.35">
      <c r="B5406" s="73"/>
      <c r="C5406" s="73"/>
      <c r="D5406" s="73"/>
      <c r="E5406" s="73"/>
      <c r="F5406" s="73"/>
      <c r="G5406" s="73"/>
    </row>
    <row r="5407" spans="2:7" ht="32.25" customHeight="1" x14ac:dyDescent="0.35">
      <c r="B5407" s="73"/>
      <c r="C5407" s="73"/>
      <c r="D5407" s="73"/>
      <c r="E5407" s="73"/>
      <c r="F5407" s="73"/>
      <c r="G5407" s="73"/>
    </row>
    <row r="5408" spans="2:7" ht="32.25" customHeight="1" x14ac:dyDescent="0.35">
      <c r="B5408" s="73"/>
      <c r="C5408" s="73"/>
      <c r="D5408" s="73"/>
      <c r="E5408" s="73"/>
      <c r="F5408" s="73"/>
      <c r="G5408" s="73"/>
    </row>
    <row r="5409" spans="2:7" ht="32.25" customHeight="1" x14ac:dyDescent="0.35">
      <c r="B5409" s="73"/>
      <c r="C5409" s="73"/>
      <c r="D5409" s="73"/>
      <c r="E5409" s="73"/>
      <c r="F5409" s="73"/>
      <c r="G5409" s="73"/>
    </row>
    <row r="5410" spans="2:7" ht="32.25" customHeight="1" x14ac:dyDescent="0.35">
      <c r="B5410" s="73"/>
      <c r="C5410" s="73"/>
      <c r="D5410" s="73"/>
      <c r="E5410" s="73"/>
      <c r="F5410" s="73"/>
      <c r="G5410" s="73"/>
    </row>
    <row r="5411" spans="2:7" ht="32.25" customHeight="1" x14ac:dyDescent="0.35">
      <c r="B5411" s="73"/>
      <c r="C5411" s="73"/>
      <c r="D5411" s="73"/>
      <c r="E5411" s="73"/>
      <c r="F5411" s="73"/>
      <c r="G5411" s="73"/>
    </row>
    <row r="5412" spans="2:7" ht="32.25" customHeight="1" x14ac:dyDescent="0.35">
      <c r="B5412" s="73"/>
      <c r="C5412" s="73"/>
      <c r="D5412" s="73"/>
      <c r="E5412" s="73"/>
      <c r="F5412" s="73"/>
      <c r="G5412" s="73"/>
    </row>
    <row r="5413" spans="2:7" ht="32.25" customHeight="1" x14ac:dyDescent="0.35">
      <c r="B5413" s="73"/>
      <c r="C5413" s="73"/>
      <c r="D5413" s="73"/>
      <c r="E5413" s="73"/>
      <c r="F5413" s="73"/>
      <c r="G5413" s="73"/>
    </row>
    <row r="5414" spans="2:7" ht="32.25" customHeight="1" x14ac:dyDescent="0.35">
      <c r="B5414" s="73"/>
      <c r="C5414" s="73"/>
      <c r="D5414" s="73"/>
      <c r="E5414" s="73"/>
      <c r="F5414" s="73"/>
      <c r="G5414" s="73"/>
    </row>
    <row r="5415" spans="2:7" ht="32.25" customHeight="1" x14ac:dyDescent="0.35">
      <c r="B5415" s="73"/>
      <c r="C5415" s="73"/>
      <c r="D5415" s="73"/>
      <c r="E5415" s="73"/>
      <c r="F5415" s="73"/>
      <c r="G5415" s="73"/>
    </row>
    <row r="5416" spans="2:7" ht="32.25" customHeight="1" x14ac:dyDescent="0.35">
      <c r="B5416" s="73"/>
      <c r="C5416" s="73"/>
      <c r="D5416" s="73"/>
      <c r="E5416" s="73"/>
      <c r="F5416" s="73"/>
      <c r="G5416" s="73"/>
    </row>
    <row r="5417" spans="2:7" ht="32.25" customHeight="1" x14ac:dyDescent="0.35">
      <c r="B5417" s="73"/>
      <c r="C5417" s="73"/>
      <c r="D5417" s="73"/>
      <c r="E5417" s="73"/>
      <c r="F5417" s="73"/>
      <c r="G5417" s="73"/>
    </row>
    <row r="5418" spans="2:7" ht="32.25" customHeight="1" x14ac:dyDescent="0.35">
      <c r="B5418" s="73"/>
      <c r="C5418" s="73"/>
      <c r="D5418" s="73"/>
      <c r="E5418" s="73"/>
      <c r="F5418" s="73"/>
      <c r="G5418" s="73"/>
    </row>
    <row r="5419" spans="2:7" ht="32.25" customHeight="1" x14ac:dyDescent="0.35">
      <c r="B5419" s="73"/>
      <c r="C5419" s="73"/>
      <c r="D5419" s="73"/>
      <c r="E5419" s="73"/>
      <c r="F5419" s="73"/>
      <c r="G5419" s="73"/>
    </row>
    <row r="5420" spans="2:7" ht="32.25" customHeight="1" x14ac:dyDescent="0.35">
      <c r="B5420" s="73"/>
      <c r="C5420" s="73"/>
      <c r="D5420" s="73"/>
      <c r="E5420" s="73"/>
      <c r="F5420" s="73"/>
      <c r="G5420" s="73"/>
    </row>
    <row r="5421" spans="2:7" ht="32.25" customHeight="1" x14ac:dyDescent="0.35">
      <c r="B5421" s="73"/>
      <c r="C5421" s="73"/>
      <c r="D5421" s="73"/>
      <c r="E5421" s="73"/>
      <c r="F5421" s="73"/>
      <c r="G5421" s="73"/>
    </row>
    <row r="5422" spans="2:7" ht="32.25" customHeight="1" x14ac:dyDescent="0.35">
      <c r="B5422" s="73"/>
      <c r="C5422" s="73"/>
      <c r="D5422" s="73"/>
      <c r="E5422" s="73"/>
      <c r="F5422" s="73"/>
      <c r="G5422" s="73"/>
    </row>
    <row r="5423" spans="2:7" ht="32.25" customHeight="1" x14ac:dyDescent="0.35">
      <c r="B5423" s="73"/>
      <c r="C5423" s="73"/>
      <c r="D5423" s="73"/>
      <c r="E5423" s="73"/>
      <c r="F5423" s="73"/>
      <c r="G5423" s="73"/>
    </row>
    <row r="5424" spans="2:7" ht="32.25" customHeight="1" x14ac:dyDescent="0.35">
      <c r="B5424" s="73"/>
      <c r="C5424" s="73"/>
      <c r="D5424" s="73"/>
      <c r="E5424" s="73"/>
      <c r="F5424" s="73"/>
      <c r="G5424" s="73"/>
    </row>
    <row r="5425" spans="2:7" ht="32.25" customHeight="1" x14ac:dyDescent="0.35">
      <c r="B5425" s="73"/>
      <c r="C5425" s="73"/>
      <c r="D5425" s="73"/>
      <c r="E5425" s="73"/>
      <c r="F5425" s="73"/>
      <c r="G5425" s="73"/>
    </row>
    <row r="5426" spans="2:7" ht="32.25" customHeight="1" x14ac:dyDescent="0.35">
      <c r="B5426" s="73"/>
      <c r="C5426" s="73"/>
      <c r="D5426" s="73"/>
      <c r="E5426" s="73"/>
      <c r="F5426" s="73"/>
      <c r="G5426" s="73"/>
    </row>
    <row r="5427" spans="2:7" ht="32.25" customHeight="1" x14ac:dyDescent="0.35">
      <c r="B5427" s="73"/>
      <c r="C5427" s="73"/>
      <c r="D5427" s="73"/>
      <c r="E5427" s="73"/>
      <c r="F5427" s="73"/>
      <c r="G5427" s="73"/>
    </row>
    <row r="5428" spans="2:7" ht="32.25" customHeight="1" x14ac:dyDescent="0.35">
      <c r="B5428" s="73"/>
      <c r="C5428" s="73"/>
      <c r="D5428" s="73"/>
      <c r="E5428" s="73"/>
      <c r="F5428" s="73"/>
      <c r="G5428" s="73"/>
    </row>
    <row r="5429" spans="2:7" ht="32.25" customHeight="1" x14ac:dyDescent="0.35">
      <c r="B5429" s="73"/>
      <c r="C5429" s="73"/>
      <c r="D5429" s="73"/>
      <c r="E5429" s="73"/>
      <c r="F5429" s="73"/>
      <c r="G5429" s="73"/>
    </row>
    <row r="5430" spans="2:7" ht="32.25" customHeight="1" x14ac:dyDescent="0.35">
      <c r="B5430" s="73"/>
      <c r="C5430" s="73"/>
      <c r="D5430" s="73"/>
      <c r="E5430" s="73"/>
      <c r="F5430" s="73"/>
      <c r="G5430" s="73"/>
    </row>
    <row r="5431" spans="2:7" ht="32.25" customHeight="1" x14ac:dyDescent="0.35">
      <c r="B5431" s="73"/>
      <c r="C5431" s="73"/>
      <c r="D5431" s="73"/>
      <c r="E5431" s="73"/>
      <c r="F5431" s="73"/>
      <c r="G5431" s="73"/>
    </row>
    <row r="5432" spans="2:7" ht="32.25" customHeight="1" x14ac:dyDescent="0.35">
      <c r="B5432" s="73"/>
      <c r="C5432" s="73"/>
      <c r="D5432" s="73"/>
      <c r="E5432" s="73"/>
      <c r="F5432" s="73"/>
      <c r="G5432" s="73"/>
    </row>
    <row r="5433" spans="2:7" ht="32.25" customHeight="1" x14ac:dyDescent="0.35">
      <c r="B5433" s="73"/>
      <c r="C5433" s="73"/>
      <c r="D5433" s="73"/>
      <c r="E5433" s="73"/>
      <c r="F5433" s="73"/>
      <c r="G5433" s="73"/>
    </row>
    <row r="5434" spans="2:7" ht="32.25" customHeight="1" x14ac:dyDescent="0.35">
      <c r="B5434" s="73"/>
      <c r="C5434" s="73"/>
      <c r="D5434" s="73"/>
      <c r="E5434" s="73"/>
      <c r="F5434" s="73"/>
      <c r="G5434" s="73"/>
    </row>
    <row r="5435" spans="2:7" ht="32.25" customHeight="1" x14ac:dyDescent="0.35">
      <c r="B5435" s="73"/>
      <c r="C5435" s="73"/>
      <c r="D5435" s="73"/>
      <c r="E5435" s="73"/>
      <c r="F5435" s="73"/>
      <c r="G5435" s="73"/>
    </row>
    <row r="5436" spans="2:7" ht="32.25" customHeight="1" x14ac:dyDescent="0.35">
      <c r="B5436" s="73"/>
      <c r="C5436" s="73"/>
      <c r="D5436" s="73"/>
      <c r="E5436" s="73"/>
      <c r="F5436" s="73"/>
      <c r="G5436" s="73"/>
    </row>
    <row r="5437" spans="2:7" ht="32.25" customHeight="1" x14ac:dyDescent="0.35">
      <c r="B5437" s="73"/>
      <c r="C5437" s="73"/>
      <c r="D5437" s="73"/>
      <c r="E5437" s="73"/>
      <c r="F5437" s="73"/>
      <c r="G5437" s="73"/>
    </row>
    <row r="5438" spans="2:7" ht="32.25" customHeight="1" x14ac:dyDescent="0.35">
      <c r="B5438" s="73"/>
      <c r="C5438" s="73"/>
      <c r="D5438" s="73"/>
      <c r="E5438" s="73"/>
      <c r="F5438" s="73"/>
      <c r="G5438" s="73"/>
    </row>
    <row r="5439" spans="2:7" ht="32.25" customHeight="1" x14ac:dyDescent="0.35">
      <c r="B5439" s="73"/>
      <c r="C5439" s="73"/>
      <c r="D5439" s="73"/>
      <c r="E5439" s="73"/>
      <c r="F5439" s="73"/>
      <c r="G5439" s="73"/>
    </row>
    <row r="5440" spans="2:7" ht="32.25" customHeight="1" x14ac:dyDescent="0.35">
      <c r="B5440" s="73"/>
      <c r="C5440" s="73"/>
      <c r="D5440" s="73"/>
      <c r="E5440" s="73"/>
      <c r="F5440" s="73"/>
      <c r="G5440" s="73"/>
    </row>
    <row r="5441" spans="2:7" ht="32.25" customHeight="1" x14ac:dyDescent="0.35">
      <c r="B5441" s="73"/>
      <c r="C5441" s="73"/>
      <c r="D5441" s="73"/>
      <c r="E5441" s="73"/>
      <c r="F5441" s="73"/>
      <c r="G5441" s="73"/>
    </row>
    <row r="5442" spans="2:7" ht="32.25" customHeight="1" x14ac:dyDescent="0.35">
      <c r="B5442" s="73"/>
      <c r="C5442" s="73"/>
      <c r="D5442" s="73"/>
      <c r="E5442" s="73"/>
      <c r="F5442" s="73"/>
      <c r="G5442" s="73"/>
    </row>
    <row r="5443" spans="2:7" ht="32.25" customHeight="1" x14ac:dyDescent="0.35">
      <c r="B5443" s="73"/>
      <c r="C5443" s="73"/>
      <c r="D5443" s="73"/>
      <c r="E5443" s="73"/>
      <c r="F5443" s="73"/>
      <c r="G5443" s="73"/>
    </row>
    <row r="5444" spans="2:7" ht="32.25" customHeight="1" x14ac:dyDescent="0.35">
      <c r="B5444" s="73"/>
      <c r="C5444" s="73"/>
      <c r="D5444" s="73"/>
      <c r="E5444" s="73"/>
      <c r="F5444" s="73"/>
      <c r="G5444" s="73"/>
    </row>
    <row r="5445" spans="2:7" ht="32.25" customHeight="1" x14ac:dyDescent="0.35">
      <c r="B5445" s="73"/>
      <c r="C5445" s="73"/>
      <c r="D5445" s="73"/>
      <c r="E5445" s="73"/>
      <c r="F5445" s="73"/>
      <c r="G5445" s="73"/>
    </row>
    <row r="5446" spans="2:7" ht="32.25" customHeight="1" x14ac:dyDescent="0.35">
      <c r="B5446" s="73"/>
      <c r="C5446" s="73"/>
      <c r="D5446" s="73"/>
      <c r="E5446" s="73"/>
      <c r="F5446" s="73"/>
      <c r="G5446" s="73"/>
    </row>
    <row r="5447" spans="2:7" ht="32.25" customHeight="1" x14ac:dyDescent="0.35">
      <c r="B5447" s="73"/>
      <c r="C5447" s="73"/>
      <c r="D5447" s="73"/>
      <c r="E5447" s="73"/>
      <c r="F5447" s="73"/>
      <c r="G5447" s="73"/>
    </row>
    <row r="5448" spans="2:7" ht="32.25" customHeight="1" x14ac:dyDescent="0.35">
      <c r="B5448" s="73"/>
      <c r="C5448" s="73"/>
      <c r="D5448" s="73"/>
      <c r="E5448" s="73"/>
      <c r="F5448" s="73"/>
      <c r="G5448" s="73"/>
    </row>
    <row r="5449" spans="2:7" ht="32.25" customHeight="1" x14ac:dyDescent="0.35">
      <c r="B5449" s="73"/>
      <c r="C5449" s="73"/>
      <c r="D5449" s="73"/>
      <c r="E5449" s="73"/>
      <c r="F5449" s="73"/>
      <c r="G5449" s="73"/>
    </row>
    <row r="5450" spans="2:7" ht="32.25" customHeight="1" x14ac:dyDescent="0.35">
      <c r="B5450" s="73"/>
      <c r="C5450" s="73"/>
      <c r="D5450" s="73"/>
      <c r="E5450" s="73"/>
      <c r="F5450" s="73"/>
      <c r="G5450" s="73"/>
    </row>
    <row r="5451" spans="2:7" ht="32.25" customHeight="1" x14ac:dyDescent="0.35">
      <c r="B5451" s="73"/>
      <c r="C5451" s="73"/>
      <c r="D5451" s="73"/>
      <c r="E5451" s="73"/>
      <c r="F5451" s="73"/>
      <c r="G5451" s="73"/>
    </row>
    <row r="5452" spans="2:7" ht="32.25" customHeight="1" x14ac:dyDescent="0.35">
      <c r="B5452" s="73"/>
      <c r="C5452" s="73"/>
      <c r="D5452" s="73"/>
      <c r="E5452" s="73"/>
      <c r="F5452" s="73"/>
      <c r="G5452" s="73"/>
    </row>
    <row r="5453" spans="2:7" ht="32.25" customHeight="1" x14ac:dyDescent="0.35">
      <c r="B5453" s="73"/>
      <c r="C5453" s="73"/>
      <c r="D5453" s="73"/>
      <c r="E5453" s="73"/>
      <c r="F5453" s="73"/>
      <c r="G5453" s="73"/>
    </row>
    <row r="5454" spans="2:7" ht="32.25" customHeight="1" x14ac:dyDescent="0.35">
      <c r="B5454" s="73"/>
      <c r="C5454" s="73"/>
      <c r="D5454" s="73"/>
      <c r="E5454" s="73"/>
      <c r="F5454" s="73"/>
      <c r="G5454" s="73"/>
    </row>
    <row r="5455" spans="2:7" ht="32.25" customHeight="1" x14ac:dyDescent="0.35">
      <c r="B5455" s="73"/>
      <c r="C5455" s="73"/>
      <c r="D5455" s="73"/>
      <c r="E5455" s="73"/>
      <c r="F5455" s="73"/>
      <c r="G5455" s="73"/>
    </row>
    <row r="5456" spans="2:7" ht="32.25" customHeight="1" x14ac:dyDescent="0.35">
      <c r="B5456" s="73"/>
      <c r="C5456" s="73"/>
      <c r="D5456" s="73"/>
      <c r="E5456" s="73"/>
      <c r="F5456" s="73"/>
      <c r="G5456" s="73"/>
    </row>
    <row r="5457" spans="2:7" ht="32.25" customHeight="1" x14ac:dyDescent="0.35">
      <c r="B5457" s="73"/>
      <c r="C5457" s="73"/>
      <c r="D5457" s="73"/>
      <c r="E5457" s="73"/>
      <c r="F5457" s="73"/>
      <c r="G5457" s="73"/>
    </row>
    <row r="5458" spans="2:7" ht="32.25" customHeight="1" x14ac:dyDescent="0.35">
      <c r="B5458" s="73"/>
      <c r="C5458" s="73"/>
      <c r="D5458" s="73"/>
      <c r="E5458" s="73"/>
      <c r="F5458" s="73"/>
      <c r="G5458" s="73"/>
    </row>
    <row r="5459" spans="2:7" ht="32.25" customHeight="1" x14ac:dyDescent="0.35">
      <c r="B5459" s="73"/>
      <c r="C5459" s="73"/>
      <c r="D5459" s="73"/>
      <c r="E5459" s="73"/>
      <c r="F5459" s="73"/>
      <c r="G5459" s="73"/>
    </row>
    <row r="5460" spans="2:7" ht="32.25" customHeight="1" x14ac:dyDescent="0.35">
      <c r="B5460" s="73"/>
      <c r="C5460" s="73"/>
      <c r="D5460" s="73"/>
      <c r="E5460" s="73"/>
      <c r="F5460" s="73"/>
      <c r="G5460" s="73"/>
    </row>
    <row r="5461" spans="2:7" ht="32.25" customHeight="1" x14ac:dyDescent="0.35">
      <c r="B5461" s="73"/>
      <c r="C5461" s="73"/>
      <c r="D5461" s="73"/>
      <c r="E5461" s="73"/>
      <c r="F5461" s="73"/>
      <c r="G5461" s="73"/>
    </row>
    <row r="5462" spans="2:7" ht="32.25" customHeight="1" x14ac:dyDescent="0.35">
      <c r="B5462" s="73"/>
      <c r="C5462" s="73"/>
      <c r="D5462" s="73"/>
      <c r="E5462" s="73"/>
      <c r="F5462" s="73"/>
      <c r="G5462" s="73"/>
    </row>
    <row r="5463" spans="2:7" ht="32.25" customHeight="1" x14ac:dyDescent="0.35">
      <c r="B5463" s="73"/>
      <c r="C5463" s="73"/>
      <c r="D5463" s="73"/>
      <c r="E5463" s="73"/>
      <c r="F5463" s="73"/>
      <c r="G5463" s="73"/>
    </row>
    <row r="5464" spans="2:7" ht="32.25" customHeight="1" x14ac:dyDescent="0.35">
      <c r="B5464" s="73"/>
      <c r="C5464" s="73"/>
      <c r="D5464" s="73"/>
      <c r="E5464" s="73"/>
      <c r="F5464" s="73"/>
      <c r="G5464" s="73"/>
    </row>
    <row r="5465" spans="2:7" ht="32.25" customHeight="1" x14ac:dyDescent="0.35">
      <c r="B5465" s="73"/>
      <c r="C5465" s="73"/>
      <c r="D5465" s="73"/>
      <c r="E5465" s="73"/>
      <c r="F5465" s="73"/>
      <c r="G5465" s="73"/>
    </row>
    <row r="5466" spans="2:7" ht="32.25" customHeight="1" x14ac:dyDescent="0.35">
      <c r="B5466" s="73"/>
      <c r="C5466" s="73"/>
      <c r="D5466" s="73"/>
      <c r="E5466" s="73"/>
      <c r="F5466" s="73"/>
      <c r="G5466" s="73"/>
    </row>
    <row r="5467" spans="2:7" ht="32.25" customHeight="1" x14ac:dyDescent="0.35">
      <c r="B5467" s="73"/>
      <c r="C5467" s="73"/>
      <c r="D5467" s="73"/>
      <c r="E5467" s="73"/>
      <c r="F5467" s="73"/>
      <c r="G5467" s="73"/>
    </row>
    <row r="5468" spans="2:7" ht="32.25" customHeight="1" x14ac:dyDescent="0.35">
      <c r="B5468" s="73"/>
      <c r="C5468" s="73"/>
      <c r="D5468" s="73"/>
      <c r="E5468" s="73"/>
      <c r="F5468" s="73"/>
      <c r="G5468" s="73"/>
    </row>
    <row r="5469" spans="2:7" ht="32.25" customHeight="1" x14ac:dyDescent="0.35">
      <c r="B5469" s="73"/>
      <c r="C5469" s="73"/>
      <c r="D5469" s="73"/>
      <c r="E5469" s="73"/>
      <c r="F5469" s="73"/>
      <c r="G5469" s="73"/>
    </row>
    <row r="5470" spans="2:7" ht="32.25" customHeight="1" x14ac:dyDescent="0.35">
      <c r="B5470" s="73"/>
      <c r="C5470" s="73"/>
      <c r="D5470" s="73"/>
      <c r="E5470" s="73"/>
      <c r="F5470" s="73"/>
      <c r="G5470" s="73"/>
    </row>
    <row r="5471" spans="2:7" ht="32.25" customHeight="1" x14ac:dyDescent="0.35">
      <c r="B5471" s="73"/>
      <c r="C5471" s="73"/>
      <c r="D5471" s="73"/>
      <c r="E5471" s="73"/>
      <c r="F5471" s="73"/>
      <c r="G5471" s="73"/>
    </row>
    <row r="5472" spans="2:7" ht="32.25" customHeight="1" x14ac:dyDescent="0.35">
      <c r="B5472" s="73"/>
      <c r="C5472" s="73"/>
      <c r="D5472" s="73"/>
      <c r="E5472" s="73"/>
      <c r="F5472" s="73"/>
      <c r="G5472" s="73"/>
    </row>
    <row r="5473" spans="2:7" ht="32.25" customHeight="1" x14ac:dyDescent="0.35">
      <c r="B5473" s="73"/>
      <c r="C5473" s="73"/>
      <c r="D5473" s="73"/>
      <c r="E5473" s="73"/>
      <c r="F5473" s="73"/>
      <c r="G5473" s="73"/>
    </row>
    <row r="5474" spans="2:7" ht="32.25" customHeight="1" x14ac:dyDescent="0.35">
      <c r="B5474" s="73"/>
      <c r="C5474" s="73"/>
      <c r="D5474" s="73"/>
      <c r="E5474" s="73"/>
      <c r="F5474" s="73"/>
      <c r="G5474" s="73"/>
    </row>
    <row r="5475" spans="2:7" ht="32.25" customHeight="1" x14ac:dyDescent="0.35">
      <c r="B5475" s="73"/>
      <c r="C5475" s="73"/>
      <c r="D5475" s="73"/>
      <c r="E5475" s="73"/>
      <c r="F5475" s="73"/>
      <c r="G5475" s="73"/>
    </row>
    <row r="5476" spans="2:7" ht="32.25" customHeight="1" x14ac:dyDescent="0.35">
      <c r="B5476" s="73"/>
      <c r="C5476" s="73"/>
      <c r="D5476" s="73"/>
      <c r="E5476" s="73"/>
      <c r="F5476" s="73"/>
      <c r="G5476" s="73"/>
    </row>
    <row r="5477" spans="2:7" ht="32.25" customHeight="1" x14ac:dyDescent="0.35">
      <c r="B5477" s="73"/>
      <c r="C5477" s="73"/>
      <c r="D5477" s="73"/>
      <c r="E5477" s="73"/>
      <c r="F5477" s="73"/>
      <c r="G5477" s="73"/>
    </row>
    <row r="5478" spans="2:7" ht="32.25" customHeight="1" x14ac:dyDescent="0.35">
      <c r="B5478" s="73"/>
      <c r="C5478" s="73"/>
      <c r="D5478" s="73"/>
      <c r="E5478" s="73"/>
      <c r="F5478" s="73"/>
      <c r="G5478" s="73"/>
    </row>
    <row r="5479" spans="2:7" ht="32.25" customHeight="1" x14ac:dyDescent="0.35">
      <c r="B5479" s="73"/>
      <c r="C5479" s="73"/>
      <c r="D5479" s="73"/>
      <c r="E5479" s="73"/>
      <c r="F5479" s="73"/>
      <c r="G5479" s="73"/>
    </row>
    <row r="5480" spans="2:7" ht="32.25" customHeight="1" x14ac:dyDescent="0.35">
      <c r="B5480" s="73"/>
      <c r="C5480" s="73"/>
      <c r="D5480" s="73"/>
      <c r="E5480" s="73"/>
      <c r="F5480" s="73"/>
      <c r="G5480" s="73"/>
    </row>
    <row r="5481" spans="2:7" ht="32.25" customHeight="1" x14ac:dyDescent="0.35">
      <c r="B5481" s="73"/>
      <c r="C5481" s="73"/>
      <c r="D5481" s="73"/>
      <c r="E5481" s="73"/>
      <c r="F5481" s="73"/>
      <c r="G5481" s="73"/>
    </row>
    <row r="5482" spans="2:7" ht="32.25" customHeight="1" x14ac:dyDescent="0.35">
      <c r="B5482" s="73"/>
      <c r="C5482" s="73"/>
      <c r="D5482" s="73"/>
      <c r="E5482" s="73"/>
      <c r="F5482" s="73"/>
      <c r="G5482" s="73"/>
    </row>
    <row r="5483" spans="2:7" ht="32.25" customHeight="1" x14ac:dyDescent="0.35">
      <c r="B5483" s="73"/>
      <c r="C5483" s="73"/>
      <c r="D5483" s="73"/>
      <c r="E5483" s="73"/>
      <c r="F5483" s="73"/>
      <c r="G5483" s="73"/>
    </row>
    <row r="5484" spans="2:7" ht="32.25" customHeight="1" x14ac:dyDescent="0.35">
      <c r="B5484" s="73"/>
      <c r="C5484" s="73"/>
      <c r="D5484" s="73"/>
      <c r="E5484" s="73"/>
      <c r="F5484" s="73"/>
      <c r="G5484" s="73"/>
    </row>
    <row r="5485" spans="2:7" ht="32.25" customHeight="1" x14ac:dyDescent="0.35">
      <c r="B5485" s="73"/>
      <c r="C5485" s="73"/>
      <c r="D5485" s="73"/>
      <c r="E5485" s="73"/>
      <c r="F5485" s="73"/>
      <c r="G5485" s="73"/>
    </row>
    <row r="5486" spans="2:7" ht="32.25" customHeight="1" x14ac:dyDescent="0.35">
      <c r="B5486" s="73"/>
      <c r="C5486" s="73"/>
      <c r="D5486" s="73"/>
      <c r="E5486" s="73"/>
      <c r="F5486" s="73"/>
      <c r="G5486" s="73"/>
    </row>
    <row r="5487" spans="2:7" ht="32.25" customHeight="1" x14ac:dyDescent="0.35">
      <c r="B5487" s="73"/>
      <c r="C5487" s="73"/>
      <c r="D5487" s="73"/>
      <c r="E5487" s="73"/>
      <c r="F5487" s="73"/>
      <c r="G5487" s="73"/>
    </row>
    <row r="5488" spans="2:7" ht="32.25" customHeight="1" x14ac:dyDescent="0.35">
      <c r="B5488" s="73"/>
      <c r="C5488" s="73"/>
      <c r="D5488" s="73"/>
      <c r="E5488" s="73"/>
      <c r="F5488" s="73"/>
      <c r="G5488" s="73"/>
    </row>
    <row r="5489" spans="2:7" ht="32.25" customHeight="1" x14ac:dyDescent="0.35">
      <c r="B5489" s="73"/>
      <c r="C5489" s="73"/>
      <c r="D5489" s="73"/>
      <c r="E5489" s="73"/>
      <c r="F5489" s="73"/>
      <c r="G5489" s="73"/>
    </row>
    <row r="5490" spans="2:7" ht="32.25" customHeight="1" x14ac:dyDescent="0.35">
      <c r="B5490" s="73"/>
      <c r="C5490" s="73"/>
      <c r="D5490" s="73"/>
      <c r="E5490" s="73"/>
      <c r="F5490" s="73"/>
      <c r="G5490" s="73"/>
    </row>
    <row r="5491" spans="2:7" ht="32.25" customHeight="1" x14ac:dyDescent="0.35">
      <c r="B5491" s="73"/>
      <c r="C5491" s="73"/>
      <c r="D5491" s="73"/>
      <c r="E5491" s="73"/>
      <c r="F5491" s="73"/>
      <c r="G5491" s="73"/>
    </row>
    <row r="5492" spans="2:7" ht="32.25" customHeight="1" x14ac:dyDescent="0.35">
      <c r="B5492" s="73"/>
      <c r="C5492" s="73"/>
      <c r="D5492" s="73"/>
      <c r="E5492" s="73"/>
      <c r="F5492" s="73"/>
      <c r="G5492" s="73"/>
    </row>
    <row r="5493" spans="2:7" ht="32.25" customHeight="1" x14ac:dyDescent="0.35">
      <c r="B5493" s="73"/>
      <c r="C5493" s="73"/>
      <c r="D5493" s="73"/>
      <c r="E5493" s="73"/>
      <c r="F5493" s="73"/>
      <c r="G5493" s="73"/>
    </row>
    <row r="5494" spans="2:7" ht="32.25" customHeight="1" x14ac:dyDescent="0.35">
      <c r="B5494" s="73"/>
      <c r="C5494" s="73"/>
      <c r="D5494" s="73"/>
      <c r="E5494" s="73"/>
      <c r="F5494" s="73"/>
      <c r="G5494" s="73"/>
    </row>
    <row r="5495" spans="2:7" ht="32.25" customHeight="1" x14ac:dyDescent="0.35">
      <c r="B5495" s="73"/>
      <c r="C5495" s="73"/>
      <c r="D5495" s="73"/>
      <c r="E5495" s="73"/>
      <c r="F5495" s="73"/>
      <c r="G5495" s="73"/>
    </row>
    <row r="5496" spans="2:7" ht="32.25" customHeight="1" x14ac:dyDescent="0.35">
      <c r="B5496" s="73"/>
      <c r="C5496" s="73"/>
      <c r="D5496" s="73"/>
      <c r="E5496" s="73"/>
      <c r="F5496" s="73"/>
      <c r="G5496" s="73"/>
    </row>
    <row r="5497" spans="2:7" ht="32.25" customHeight="1" x14ac:dyDescent="0.35">
      <c r="B5497" s="73"/>
      <c r="C5497" s="73"/>
      <c r="D5497" s="73"/>
      <c r="E5497" s="73"/>
      <c r="F5497" s="73"/>
      <c r="G5497" s="73"/>
    </row>
    <row r="5498" spans="2:7" ht="32.25" customHeight="1" x14ac:dyDescent="0.35">
      <c r="B5498" s="73"/>
      <c r="C5498" s="73"/>
      <c r="D5498" s="73"/>
      <c r="E5498" s="73"/>
      <c r="F5498" s="73"/>
      <c r="G5498" s="73"/>
    </row>
    <row r="5499" spans="2:7" ht="32.25" customHeight="1" x14ac:dyDescent="0.35">
      <c r="B5499" s="73"/>
      <c r="C5499" s="73"/>
      <c r="D5499" s="73"/>
      <c r="E5499" s="73"/>
      <c r="F5499" s="73"/>
      <c r="G5499" s="73"/>
    </row>
    <row r="5500" spans="2:7" ht="32.25" customHeight="1" x14ac:dyDescent="0.35">
      <c r="B5500" s="73"/>
      <c r="C5500" s="73"/>
      <c r="D5500" s="73"/>
      <c r="E5500" s="73"/>
      <c r="F5500" s="73"/>
      <c r="G5500" s="73"/>
    </row>
    <row r="5501" spans="2:7" ht="32.25" customHeight="1" x14ac:dyDescent="0.35">
      <c r="B5501" s="73"/>
      <c r="C5501" s="73"/>
      <c r="D5501" s="73"/>
      <c r="E5501" s="73"/>
      <c r="F5501" s="73"/>
      <c r="G5501" s="73"/>
    </row>
    <row r="5502" spans="2:7" ht="32.25" customHeight="1" x14ac:dyDescent="0.35">
      <c r="B5502" s="73"/>
      <c r="C5502" s="73"/>
      <c r="D5502" s="73"/>
      <c r="E5502" s="73"/>
      <c r="F5502" s="73"/>
      <c r="G5502" s="73"/>
    </row>
    <row r="5503" spans="2:7" ht="32.25" customHeight="1" x14ac:dyDescent="0.35">
      <c r="B5503" s="73"/>
      <c r="C5503" s="73"/>
      <c r="D5503" s="73"/>
      <c r="E5503" s="73"/>
      <c r="F5503" s="73"/>
      <c r="G5503" s="73"/>
    </row>
    <row r="5504" spans="2:7" ht="32.25" customHeight="1" x14ac:dyDescent="0.35">
      <c r="B5504" s="73"/>
      <c r="C5504" s="73"/>
      <c r="D5504" s="73"/>
      <c r="E5504" s="73"/>
      <c r="F5504" s="73"/>
      <c r="G5504" s="73"/>
    </row>
    <row r="5505" spans="2:7" ht="32.25" customHeight="1" x14ac:dyDescent="0.35">
      <c r="B5505" s="73"/>
      <c r="C5505" s="73"/>
      <c r="D5505" s="73"/>
      <c r="E5505" s="73"/>
      <c r="F5505" s="73"/>
      <c r="G5505" s="73"/>
    </row>
    <row r="5506" spans="2:7" ht="32.25" customHeight="1" x14ac:dyDescent="0.35">
      <c r="B5506" s="73"/>
      <c r="C5506" s="73"/>
      <c r="D5506" s="73"/>
      <c r="E5506" s="73"/>
      <c r="F5506" s="73"/>
      <c r="G5506" s="73"/>
    </row>
    <row r="5507" spans="2:7" ht="32.25" customHeight="1" x14ac:dyDescent="0.35">
      <c r="B5507" s="73"/>
      <c r="C5507" s="73"/>
      <c r="D5507" s="73"/>
      <c r="E5507" s="73"/>
      <c r="F5507" s="73"/>
      <c r="G5507" s="73"/>
    </row>
    <row r="5508" spans="2:7" ht="32.25" customHeight="1" x14ac:dyDescent="0.35">
      <c r="B5508" s="73"/>
      <c r="C5508" s="73"/>
      <c r="D5508" s="73"/>
      <c r="E5508" s="73"/>
      <c r="F5508" s="73"/>
      <c r="G5508" s="73"/>
    </row>
    <row r="5509" spans="2:7" ht="32.25" customHeight="1" x14ac:dyDescent="0.35">
      <c r="B5509" s="73"/>
      <c r="C5509" s="73"/>
      <c r="D5509" s="73"/>
      <c r="E5509" s="73"/>
      <c r="F5509" s="73"/>
      <c r="G5509" s="73"/>
    </row>
    <row r="5510" spans="2:7" ht="32.25" customHeight="1" x14ac:dyDescent="0.35">
      <c r="B5510" s="73"/>
      <c r="C5510" s="73"/>
      <c r="D5510" s="73"/>
      <c r="E5510" s="73"/>
      <c r="F5510" s="73"/>
      <c r="G5510" s="73"/>
    </row>
    <row r="5511" spans="2:7" ht="32.25" customHeight="1" x14ac:dyDescent="0.35">
      <c r="B5511" s="73"/>
      <c r="C5511" s="73"/>
      <c r="D5511" s="73"/>
      <c r="E5511" s="73"/>
      <c r="F5511" s="73"/>
      <c r="G5511" s="73"/>
    </row>
    <row r="5512" spans="2:7" ht="32.25" customHeight="1" x14ac:dyDescent="0.35">
      <c r="B5512" s="73"/>
      <c r="C5512" s="73"/>
      <c r="D5512" s="73"/>
      <c r="E5512" s="73"/>
      <c r="F5512" s="73"/>
      <c r="G5512" s="73"/>
    </row>
    <row r="5513" spans="2:7" ht="32.25" customHeight="1" x14ac:dyDescent="0.35">
      <c r="B5513" s="73"/>
      <c r="C5513" s="73"/>
      <c r="D5513" s="73"/>
      <c r="E5513" s="73"/>
      <c r="F5513" s="73"/>
      <c r="G5513" s="73"/>
    </row>
    <row r="5514" spans="2:7" ht="32.25" customHeight="1" x14ac:dyDescent="0.35">
      <c r="B5514" s="73"/>
      <c r="C5514" s="73"/>
      <c r="D5514" s="73"/>
      <c r="E5514" s="73"/>
      <c r="F5514" s="73"/>
      <c r="G5514" s="73"/>
    </row>
    <row r="5515" spans="2:7" ht="32.25" customHeight="1" x14ac:dyDescent="0.35">
      <c r="B5515" s="73"/>
      <c r="C5515" s="73"/>
      <c r="D5515" s="73"/>
      <c r="E5515" s="73"/>
      <c r="F5515" s="73"/>
      <c r="G5515" s="73"/>
    </row>
    <row r="5516" spans="2:7" ht="32.25" customHeight="1" x14ac:dyDescent="0.35">
      <c r="B5516" s="73"/>
      <c r="C5516" s="73"/>
      <c r="D5516" s="73"/>
      <c r="E5516" s="73"/>
      <c r="F5516" s="73"/>
      <c r="G5516" s="73"/>
    </row>
    <row r="5517" spans="2:7" ht="32.25" customHeight="1" x14ac:dyDescent="0.35">
      <c r="B5517" s="73"/>
      <c r="C5517" s="73"/>
      <c r="D5517" s="73"/>
      <c r="E5517" s="73"/>
      <c r="F5517" s="73"/>
      <c r="G5517" s="73"/>
    </row>
    <row r="5518" spans="2:7" ht="32.25" customHeight="1" x14ac:dyDescent="0.35">
      <c r="B5518" s="73"/>
      <c r="C5518" s="73"/>
      <c r="D5518" s="73"/>
      <c r="E5518" s="73"/>
      <c r="F5518" s="73"/>
      <c r="G5518" s="73"/>
    </row>
    <row r="5519" spans="2:7" ht="32.25" customHeight="1" x14ac:dyDescent="0.35">
      <c r="B5519" s="73"/>
      <c r="C5519" s="73"/>
      <c r="D5519" s="73"/>
      <c r="E5519" s="73"/>
      <c r="F5519" s="73"/>
      <c r="G5519" s="73"/>
    </row>
    <row r="5520" spans="2:7" ht="32.25" customHeight="1" x14ac:dyDescent="0.35">
      <c r="B5520" s="73"/>
      <c r="C5520" s="73"/>
      <c r="D5520" s="73"/>
      <c r="E5520" s="73"/>
      <c r="F5520" s="73"/>
      <c r="G5520" s="73"/>
    </row>
    <row r="5521" spans="2:7" ht="32.25" customHeight="1" x14ac:dyDescent="0.35">
      <c r="B5521" s="73"/>
      <c r="C5521" s="73"/>
      <c r="D5521" s="73"/>
      <c r="E5521" s="73"/>
      <c r="F5521" s="73"/>
      <c r="G5521" s="73"/>
    </row>
    <row r="5522" spans="2:7" ht="32.25" customHeight="1" x14ac:dyDescent="0.35">
      <c r="B5522" s="73"/>
      <c r="C5522" s="73"/>
      <c r="D5522" s="73"/>
      <c r="E5522" s="73"/>
      <c r="F5522" s="73"/>
      <c r="G5522" s="73"/>
    </row>
    <row r="5523" spans="2:7" ht="32.25" customHeight="1" x14ac:dyDescent="0.35">
      <c r="B5523" s="73"/>
      <c r="C5523" s="73"/>
      <c r="D5523" s="73"/>
      <c r="E5523" s="73"/>
      <c r="F5523" s="73"/>
      <c r="G5523" s="73"/>
    </row>
    <row r="5524" spans="2:7" ht="32.25" customHeight="1" x14ac:dyDescent="0.35">
      <c r="B5524" s="73"/>
      <c r="C5524" s="73"/>
      <c r="D5524" s="73"/>
      <c r="E5524" s="73"/>
      <c r="F5524" s="73"/>
      <c r="G5524" s="73"/>
    </row>
    <row r="5525" spans="2:7" ht="32.25" customHeight="1" x14ac:dyDescent="0.35">
      <c r="B5525" s="73"/>
      <c r="C5525" s="73"/>
      <c r="D5525" s="73"/>
      <c r="E5525" s="73"/>
      <c r="F5525" s="73"/>
      <c r="G5525" s="73"/>
    </row>
    <row r="5526" spans="2:7" ht="32.25" customHeight="1" x14ac:dyDescent="0.35">
      <c r="B5526" s="73"/>
      <c r="C5526" s="73"/>
      <c r="D5526" s="73"/>
      <c r="E5526" s="73"/>
      <c r="F5526" s="73"/>
      <c r="G5526" s="73"/>
    </row>
    <row r="5527" spans="2:7" ht="32.25" customHeight="1" x14ac:dyDescent="0.35">
      <c r="B5527" s="73"/>
      <c r="C5527" s="73"/>
      <c r="D5527" s="73"/>
      <c r="E5527" s="73"/>
      <c r="F5527" s="73"/>
      <c r="G5527" s="73"/>
    </row>
    <row r="5528" spans="2:7" ht="32.25" customHeight="1" x14ac:dyDescent="0.35">
      <c r="B5528" s="73"/>
      <c r="C5528" s="73"/>
      <c r="D5528" s="73"/>
      <c r="E5528" s="73"/>
      <c r="F5528" s="73"/>
      <c r="G5528" s="73"/>
    </row>
    <row r="5529" spans="2:7" ht="32.25" customHeight="1" x14ac:dyDescent="0.35">
      <c r="B5529" s="73"/>
      <c r="C5529" s="73"/>
      <c r="D5529" s="73"/>
      <c r="E5529" s="73"/>
      <c r="F5529" s="73"/>
      <c r="G5529" s="73"/>
    </row>
    <row r="5530" spans="2:7" ht="32.25" customHeight="1" x14ac:dyDescent="0.35">
      <c r="B5530" s="73"/>
      <c r="C5530" s="73"/>
      <c r="D5530" s="73"/>
      <c r="E5530" s="73"/>
      <c r="F5530" s="73"/>
      <c r="G5530" s="73"/>
    </row>
    <row r="5531" spans="2:7" ht="32.25" customHeight="1" x14ac:dyDescent="0.35">
      <c r="B5531" s="73"/>
      <c r="C5531" s="73"/>
      <c r="D5531" s="73"/>
      <c r="E5531" s="73"/>
      <c r="F5531" s="73"/>
      <c r="G5531" s="73"/>
    </row>
    <row r="5532" spans="2:7" ht="32.25" customHeight="1" x14ac:dyDescent="0.35">
      <c r="B5532" s="73"/>
      <c r="C5532" s="73"/>
      <c r="D5532" s="73"/>
      <c r="E5532" s="73"/>
      <c r="F5532" s="73"/>
      <c r="G5532" s="73"/>
    </row>
    <row r="5533" spans="2:7" ht="32.25" customHeight="1" x14ac:dyDescent="0.35">
      <c r="B5533" s="73"/>
      <c r="C5533" s="73"/>
      <c r="D5533" s="73"/>
      <c r="E5533" s="73"/>
      <c r="F5533" s="73"/>
      <c r="G5533" s="73"/>
    </row>
    <row r="5534" spans="2:7" ht="32.25" customHeight="1" x14ac:dyDescent="0.35">
      <c r="B5534" s="73"/>
      <c r="C5534" s="73"/>
      <c r="D5534" s="73"/>
      <c r="E5534" s="73"/>
      <c r="F5534" s="73"/>
      <c r="G5534" s="73"/>
    </row>
    <row r="5535" spans="2:7" ht="32.25" customHeight="1" x14ac:dyDescent="0.35">
      <c r="B5535" s="73"/>
      <c r="C5535" s="73"/>
      <c r="D5535" s="73"/>
      <c r="E5535" s="73"/>
      <c r="F5535" s="73"/>
      <c r="G5535" s="73"/>
    </row>
    <row r="5536" spans="2:7" ht="32.25" customHeight="1" x14ac:dyDescent="0.35">
      <c r="B5536" s="73"/>
      <c r="C5536" s="73"/>
      <c r="D5536" s="73"/>
      <c r="E5536" s="73"/>
      <c r="F5536" s="73"/>
      <c r="G5536" s="73"/>
    </row>
    <row r="5537" spans="2:7" ht="32.25" customHeight="1" x14ac:dyDescent="0.35">
      <c r="B5537" s="73"/>
      <c r="C5537" s="73"/>
      <c r="D5537" s="73"/>
      <c r="E5537" s="73"/>
      <c r="F5537" s="73"/>
      <c r="G5537" s="73"/>
    </row>
    <row r="5538" spans="2:7" ht="32.25" customHeight="1" x14ac:dyDescent="0.35">
      <c r="B5538" s="73"/>
      <c r="C5538" s="73"/>
      <c r="D5538" s="73"/>
      <c r="E5538" s="73"/>
      <c r="F5538" s="73"/>
      <c r="G5538" s="73"/>
    </row>
    <row r="5539" spans="2:7" ht="32.25" customHeight="1" x14ac:dyDescent="0.35">
      <c r="B5539" s="73"/>
      <c r="C5539" s="73"/>
      <c r="D5539" s="73"/>
      <c r="E5539" s="73"/>
      <c r="F5539" s="73"/>
      <c r="G5539" s="73"/>
    </row>
    <row r="5540" spans="2:7" ht="32.25" customHeight="1" x14ac:dyDescent="0.35">
      <c r="B5540" s="73"/>
      <c r="C5540" s="73"/>
      <c r="D5540" s="73"/>
      <c r="E5540" s="73"/>
      <c r="F5540" s="73"/>
      <c r="G5540" s="73"/>
    </row>
    <row r="5541" spans="2:7" ht="32.25" customHeight="1" x14ac:dyDescent="0.35">
      <c r="B5541" s="73"/>
      <c r="C5541" s="73"/>
      <c r="D5541" s="73"/>
      <c r="E5541" s="73"/>
      <c r="F5541" s="73"/>
      <c r="G5541" s="73"/>
    </row>
    <row r="5542" spans="2:7" ht="32.25" customHeight="1" x14ac:dyDescent="0.35">
      <c r="B5542" s="73"/>
      <c r="C5542" s="73"/>
      <c r="D5542" s="73"/>
      <c r="E5542" s="73"/>
      <c r="F5542" s="73"/>
      <c r="G5542" s="73"/>
    </row>
    <row r="5543" spans="2:7" ht="32.25" customHeight="1" x14ac:dyDescent="0.35">
      <c r="B5543" s="73"/>
      <c r="C5543" s="73"/>
      <c r="D5543" s="73"/>
      <c r="E5543" s="73"/>
      <c r="F5543" s="73"/>
      <c r="G5543" s="73"/>
    </row>
    <row r="5544" spans="2:7" ht="32.25" customHeight="1" x14ac:dyDescent="0.35">
      <c r="B5544" s="73"/>
      <c r="C5544" s="73"/>
      <c r="D5544" s="73"/>
      <c r="E5544" s="73"/>
      <c r="F5544" s="73"/>
      <c r="G5544" s="73"/>
    </row>
    <row r="5545" spans="2:7" ht="32.25" customHeight="1" x14ac:dyDescent="0.35">
      <c r="B5545" s="73"/>
      <c r="C5545" s="73"/>
      <c r="D5545" s="73"/>
      <c r="E5545" s="73"/>
      <c r="F5545" s="73"/>
      <c r="G5545" s="73"/>
    </row>
    <row r="5546" spans="2:7" ht="32.25" customHeight="1" x14ac:dyDescent="0.35">
      <c r="B5546" s="73"/>
      <c r="C5546" s="73"/>
      <c r="D5546" s="73"/>
      <c r="E5546" s="73"/>
      <c r="F5546" s="73"/>
      <c r="G5546" s="73"/>
    </row>
    <row r="5547" spans="2:7" ht="32.25" customHeight="1" x14ac:dyDescent="0.35">
      <c r="B5547" s="73"/>
      <c r="C5547" s="73"/>
      <c r="D5547" s="73"/>
      <c r="E5547" s="73"/>
      <c r="F5547" s="73"/>
      <c r="G5547" s="73"/>
    </row>
    <row r="5548" spans="2:7" ht="32.25" customHeight="1" x14ac:dyDescent="0.35">
      <c r="B5548" s="73"/>
      <c r="C5548" s="73"/>
      <c r="D5548" s="73"/>
      <c r="E5548" s="73"/>
      <c r="F5548" s="73"/>
      <c r="G5548" s="73"/>
    </row>
    <row r="5549" spans="2:7" ht="32.25" customHeight="1" x14ac:dyDescent="0.35">
      <c r="B5549" s="73"/>
      <c r="C5549" s="73"/>
      <c r="D5549" s="73"/>
      <c r="E5549" s="73"/>
      <c r="F5549" s="73"/>
      <c r="G5549" s="73"/>
    </row>
    <row r="5550" spans="2:7" ht="32.25" customHeight="1" x14ac:dyDescent="0.35">
      <c r="B5550" s="73"/>
      <c r="C5550" s="73"/>
      <c r="D5550" s="73"/>
      <c r="E5550" s="73"/>
      <c r="F5550" s="73"/>
      <c r="G5550" s="73"/>
    </row>
    <row r="5551" spans="2:7" ht="32.25" customHeight="1" x14ac:dyDescent="0.35">
      <c r="B5551" s="73"/>
      <c r="C5551" s="73"/>
      <c r="D5551" s="73"/>
      <c r="E5551" s="73"/>
      <c r="F5551" s="73"/>
      <c r="G5551" s="73"/>
    </row>
    <row r="5552" spans="2:7" ht="32.25" customHeight="1" x14ac:dyDescent="0.35">
      <c r="B5552" s="73"/>
      <c r="C5552" s="73"/>
      <c r="D5552" s="73"/>
      <c r="E5552" s="73"/>
      <c r="F5552" s="73"/>
      <c r="G5552" s="73"/>
    </row>
    <row r="5553" spans="2:7" ht="32.25" customHeight="1" x14ac:dyDescent="0.35">
      <c r="B5553" s="73"/>
      <c r="C5553" s="73"/>
      <c r="D5553" s="73"/>
      <c r="E5553" s="73"/>
      <c r="F5553" s="73"/>
      <c r="G5553" s="73"/>
    </row>
    <row r="5554" spans="2:7" ht="32.25" customHeight="1" x14ac:dyDescent="0.35">
      <c r="B5554" s="73"/>
      <c r="C5554" s="73"/>
      <c r="D5554" s="73"/>
      <c r="E5554" s="73"/>
      <c r="F5554" s="73"/>
      <c r="G5554" s="73"/>
    </row>
    <row r="5555" spans="2:7" ht="32.25" customHeight="1" x14ac:dyDescent="0.35">
      <c r="B5555" s="73"/>
      <c r="C5555" s="73"/>
      <c r="D5555" s="73"/>
      <c r="E5555" s="73"/>
      <c r="F5555" s="73"/>
      <c r="G5555" s="73"/>
    </row>
    <row r="5556" spans="2:7" ht="32.25" customHeight="1" x14ac:dyDescent="0.35">
      <c r="B5556" s="73"/>
      <c r="C5556" s="73"/>
      <c r="D5556" s="73"/>
      <c r="E5556" s="73"/>
      <c r="F5556" s="73"/>
      <c r="G5556" s="73"/>
    </row>
    <row r="5557" spans="2:7" ht="32.25" customHeight="1" x14ac:dyDescent="0.35">
      <c r="B5557" s="73"/>
      <c r="C5557" s="73"/>
      <c r="D5557" s="73"/>
      <c r="E5557" s="73"/>
      <c r="F5557" s="73"/>
      <c r="G5557" s="73"/>
    </row>
    <row r="5558" spans="2:7" ht="32.25" customHeight="1" x14ac:dyDescent="0.35">
      <c r="B5558" s="73"/>
      <c r="C5558" s="73"/>
      <c r="D5558" s="73"/>
      <c r="E5558" s="73"/>
      <c r="F5558" s="73"/>
      <c r="G5558" s="73"/>
    </row>
    <row r="5559" spans="2:7" ht="32.25" customHeight="1" x14ac:dyDescent="0.35">
      <c r="B5559" s="73"/>
      <c r="C5559" s="73"/>
      <c r="D5559" s="73"/>
      <c r="E5559" s="73"/>
      <c r="F5559" s="73"/>
      <c r="G5559" s="73"/>
    </row>
    <row r="5560" spans="2:7" ht="32.25" customHeight="1" x14ac:dyDescent="0.35">
      <c r="B5560" s="73"/>
      <c r="C5560" s="73"/>
      <c r="D5560" s="73"/>
      <c r="E5560" s="73"/>
      <c r="F5560" s="73"/>
      <c r="G5560" s="73"/>
    </row>
    <row r="5561" spans="2:7" ht="32.25" customHeight="1" x14ac:dyDescent="0.35">
      <c r="B5561" s="73"/>
      <c r="C5561" s="73"/>
      <c r="D5561" s="73"/>
      <c r="E5561" s="73"/>
      <c r="F5561" s="73"/>
      <c r="G5561" s="73"/>
    </row>
    <row r="5562" spans="2:7" ht="32.25" customHeight="1" x14ac:dyDescent="0.35">
      <c r="B5562" s="73"/>
      <c r="C5562" s="73"/>
      <c r="D5562" s="73"/>
      <c r="E5562" s="73"/>
      <c r="F5562" s="73"/>
      <c r="G5562" s="73"/>
    </row>
    <row r="5563" spans="2:7" ht="32.25" customHeight="1" x14ac:dyDescent="0.35">
      <c r="B5563" s="73"/>
      <c r="C5563" s="73"/>
      <c r="D5563" s="73"/>
      <c r="E5563" s="73"/>
      <c r="F5563" s="73"/>
      <c r="G5563" s="73"/>
    </row>
    <row r="5564" spans="2:7" ht="32.25" customHeight="1" x14ac:dyDescent="0.35">
      <c r="B5564" s="73"/>
      <c r="C5564" s="73"/>
      <c r="D5564" s="73"/>
      <c r="E5564" s="73"/>
      <c r="F5564" s="73"/>
      <c r="G5564" s="73"/>
    </row>
    <row r="5565" spans="2:7" ht="32.25" customHeight="1" x14ac:dyDescent="0.35">
      <c r="B5565" s="73"/>
      <c r="C5565" s="73"/>
      <c r="D5565" s="73"/>
      <c r="E5565" s="73"/>
      <c r="F5565" s="73"/>
      <c r="G5565" s="73"/>
    </row>
    <row r="5566" spans="2:7" ht="32.25" customHeight="1" x14ac:dyDescent="0.35">
      <c r="B5566" s="73"/>
      <c r="C5566" s="73"/>
      <c r="D5566" s="73"/>
      <c r="E5566" s="73"/>
      <c r="F5566" s="73"/>
      <c r="G5566" s="73"/>
    </row>
    <row r="5567" spans="2:7" ht="32.25" customHeight="1" x14ac:dyDescent="0.35">
      <c r="B5567" s="73"/>
      <c r="C5567" s="73"/>
      <c r="D5567" s="73"/>
      <c r="E5567" s="73"/>
      <c r="F5567" s="73"/>
      <c r="G5567" s="73"/>
    </row>
    <row r="5568" spans="2:7" ht="32.25" customHeight="1" x14ac:dyDescent="0.35">
      <c r="B5568" s="73"/>
      <c r="C5568" s="73"/>
      <c r="D5568" s="73"/>
      <c r="E5568" s="73"/>
      <c r="F5568" s="73"/>
      <c r="G5568" s="73"/>
    </row>
    <row r="5569" spans="2:7" ht="32.25" customHeight="1" x14ac:dyDescent="0.35">
      <c r="B5569" s="73"/>
      <c r="C5569" s="73"/>
      <c r="D5569" s="73"/>
      <c r="E5569" s="73"/>
      <c r="F5569" s="73"/>
      <c r="G5569" s="73"/>
    </row>
    <row r="5570" spans="2:7" ht="32.25" customHeight="1" x14ac:dyDescent="0.35">
      <c r="B5570" s="73"/>
      <c r="C5570" s="73"/>
      <c r="D5570" s="73"/>
      <c r="E5570" s="73"/>
      <c r="F5570" s="73"/>
      <c r="G5570" s="73"/>
    </row>
    <row r="5571" spans="2:7" ht="32.25" customHeight="1" x14ac:dyDescent="0.35">
      <c r="B5571" s="73"/>
      <c r="C5571" s="73"/>
      <c r="D5571" s="73"/>
      <c r="E5571" s="73"/>
      <c r="F5571" s="73"/>
      <c r="G5571" s="73"/>
    </row>
    <row r="5572" spans="2:7" ht="32.25" customHeight="1" x14ac:dyDescent="0.35">
      <c r="B5572" s="73"/>
      <c r="C5572" s="73"/>
      <c r="D5572" s="73"/>
      <c r="E5572" s="73"/>
      <c r="F5572" s="73"/>
      <c r="G5572" s="73"/>
    </row>
    <row r="5573" spans="2:7" ht="32.25" customHeight="1" x14ac:dyDescent="0.35">
      <c r="B5573" s="73"/>
      <c r="C5573" s="73"/>
      <c r="D5573" s="73"/>
      <c r="E5573" s="73"/>
      <c r="F5573" s="73"/>
      <c r="G5573" s="73"/>
    </row>
    <row r="5574" spans="2:7" ht="32.25" customHeight="1" x14ac:dyDescent="0.35">
      <c r="B5574" s="73"/>
      <c r="C5574" s="73"/>
      <c r="D5574" s="73"/>
      <c r="E5574" s="73"/>
      <c r="F5574" s="73"/>
      <c r="G5574" s="73"/>
    </row>
    <row r="5575" spans="2:7" ht="32.25" customHeight="1" x14ac:dyDescent="0.35">
      <c r="B5575" s="73"/>
      <c r="C5575" s="73"/>
      <c r="D5575" s="73"/>
      <c r="E5575" s="73"/>
      <c r="F5575" s="73"/>
      <c r="G5575" s="73"/>
    </row>
    <row r="5576" spans="2:7" ht="32.25" customHeight="1" x14ac:dyDescent="0.35">
      <c r="B5576" s="73"/>
      <c r="C5576" s="73"/>
      <c r="D5576" s="73"/>
      <c r="E5576" s="73"/>
      <c r="F5576" s="73"/>
      <c r="G5576" s="73"/>
    </row>
    <row r="5577" spans="2:7" ht="32.25" customHeight="1" x14ac:dyDescent="0.35">
      <c r="B5577" s="73"/>
      <c r="C5577" s="73"/>
      <c r="D5577" s="73"/>
      <c r="E5577" s="73"/>
      <c r="F5577" s="73"/>
      <c r="G5577" s="73"/>
    </row>
    <row r="5578" spans="2:7" ht="32.25" customHeight="1" x14ac:dyDescent="0.35">
      <c r="B5578" s="73"/>
      <c r="C5578" s="73"/>
      <c r="D5578" s="73"/>
      <c r="E5578" s="73"/>
      <c r="F5578" s="73"/>
      <c r="G5578" s="73"/>
    </row>
    <row r="5579" spans="2:7" ht="32.25" customHeight="1" x14ac:dyDescent="0.35">
      <c r="B5579" s="73"/>
      <c r="C5579" s="73"/>
      <c r="D5579" s="73"/>
      <c r="E5579" s="73"/>
      <c r="F5579" s="73"/>
      <c r="G5579" s="73"/>
    </row>
    <row r="5580" spans="2:7" ht="32.25" customHeight="1" x14ac:dyDescent="0.35">
      <c r="B5580" s="73"/>
      <c r="C5580" s="73"/>
      <c r="D5580" s="73"/>
      <c r="E5580" s="73"/>
      <c r="F5580" s="73"/>
      <c r="G5580" s="73"/>
    </row>
    <row r="5581" spans="2:7" ht="32.25" customHeight="1" x14ac:dyDescent="0.35">
      <c r="B5581" s="73"/>
      <c r="C5581" s="73"/>
      <c r="D5581" s="73"/>
      <c r="E5581" s="73"/>
      <c r="F5581" s="73"/>
      <c r="G5581" s="73"/>
    </row>
    <row r="5582" spans="2:7" ht="32.25" customHeight="1" x14ac:dyDescent="0.35">
      <c r="B5582" s="73"/>
      <c r="C5582" s="73"/>
      <c r="D5582" s="73"/>
      <c r="E5582" s="73"/>
      <c r="F5582" s="73"/>
      <c r="G5582" s="73"/>
    </row>
    <row r="5583" spans="2:7" ht="32.25" customHeight="1" x14ac:dyDescent="0.35">
      <c r="B5583" s="73"/>
      <c r="C5583" s="73"/>
      <c r="D5583" s="73"/>
      <c r="E5583" s="73"/>
      <c r="F5583" s="73"/>
      <c r="G5583" s="73"/>
    </row>
    <row r="5584" spans="2:7" ht="32.25" customHeight="1" x14ac:dyDescent="0.35">
      <c r="B5584" s="73"/>
      <c r="C5584" s="73"/>
      <c r="D5584" s="73"/>
      <c r="E5584" s="73"/>
      <c r="F5584" s="73"/>
      <c r="G5584" s="73"/>
    </row>
    <row r="5585" spans="2:7" ht="32.25" customHeight="1" x14ac:dyDescent="0.35">
      <c r="B5585" s="73"/>
      <c r="C5585" s="73"/>
      <c r="D5585" s="73"/>
      <c r="E5585" s="73"/>
      <c r="F5585" s="73"/>
      <c r="G5585" s="73"/>
    </row>
    <row r="5586" spans="2:7" ht="32.25" customHeight="1" x14ac:dyDescent="0.35">
      <c r="B5586" s="73"/>
      <c r="C5586" s="73"/>
      <c r="D5586" s="73"/>
      <c r="E5586" s="73"/>
      <c r="F5586" s="73"/>
      <c r="G5586" s="73"/>
    </row>
    <row r="5587" spans="2:7" ht="32.25" customHeight="1" x14ac:dyDescent="0.35">
      <c r="B5587" s="73"/>
      <c r="C5587" s="73"/>
      <c r="D5587" s="73"/>
      <c r="E5587" s="73"/>
      <c r="F5587" s="73"/>
      <c r="G5587" s="73"/>
    </row>
    <row r="5588" spans="2:7" ht="32.25" customHeight="1" x14ac:dyDescent="0.35">
      <c r="B5588" s="73"/>
      <c r="C5588" s="73"/>
      <c r="D5588" s="73"/>
      <c r="E5588" s="73"/>
      <c r="F5588" s="73"/>
      <c r="G5588" s="73"/>
    </row>
    <row r="5589" spans="2:7" ht="32.25" customHeight="1" x14ac:dyDescent="0.35">
      <c r="B5589" s="73"/>
      <c r="C5589" s="73"/>
      <c r="D5589" s="73"/>
      <c r="E5589" s="73"/>
      <c r="F5589" s="73"/>
      <c r="G5589" s="73"/>
    </row>
    <row r="5590" spans="2:7" ht="32.25" customHeight="1" x14ac:dyDescent="0.35">
      <c r="B5590" s="73"/>
      <c r="C5590" s="73"/>
      <c r="D5590" s="73"/>
      <c r="E5590" s="73"/>
      <c r="F5590" s="73"/>
      <c r="G5590" s="73"/>
    </row>
    <row r="5591" spans="2:7" ht="32.25" customHeight="1" x14ac:dyDescent="0.35">
      <c r="B5591" s="73"/>
      <c r="C5591" s="73"/>
      <c r="D5591" s="73"/>
      <c r="E5591" s="73"/>
      <c r="F5591" s="73"/>
      <c r="G5591" s="73"/>
    </row>
    <row r="5592" spans="2:7" ht="32.25" customHeight="1" x14ac:dyDescent="0.35">
      <c r="B5592" s="73"/>
      <c r="C5592" s="73"/>
      <c r="D5592" s="73"/>
      <c r="E5592" s="73"/>
      <c r="F5592" s="73"/>
      <c r="G5592" s="73"/>
    </row>
    <row r="5593" spans="2:7" ht="32.25" customHeight="1" x14ac:dyDescent="0.35">
      <c r="B5593" s="73"/>
      <c r="C5593" s="73"/>
      <c r="D5593" s="73"/>
      <c r="E5593" s="73"/>
      <c r="F5593" s="73"/>
      <c r="G5593" s="73"/>
    </row>
    <row r="5594" spans="2:7" ht="32.25" customHeight="1" x14ac:dyDescent="0.35">
      <c r="B5594" s="73"/>
      <c r="C5594" s="73"/>
      <c r="D5594" s="73"/>
      <c r="E5594" s="73"/>
      <c r="F5594" s="73"/>
      <c r="G5594" s="73"/>
    </row>
    <row r="5595" spans="2:7" ht="32.25" customHeight="1" x14ac:dyDescent="0.35">
      <c r="B5595" s="73"/>
      <c r="C5595" s="73"/>
      <c r="D5595" s="73"/>
      <c r="E5595" s="73"/>
      <c r="F5595" s="73"/>
      <c r="G5595" s="73"/>
    </row>
    <row r="5596" spans="2:7" ht="32.25" customHeight="1" x14ac:dyDescent="0.35">
      <c r="B5596" s="73"/>
      <c r="C5596" s="73"/>
      <c r="D5596" s="73"/>
      <c r="E5596" s="73"/>
      <c r="F5596" s="73"/>
      <c r="G5596" s="73"/>
    </row>
    <row r="5597" spans="2:7" ht="32.25" customHeight="1" x14ac:dyDescent="0.35">
      <c r="B5597" s="73"/>
      <c r="C5597" s="73"/>
      <c r="D5597" s="73"/>
      <c r="E5597" s="73"/>
      <c r="F5597" s="73"/>
      <c r="G5597" s="73"/>
    </row>
    <row r="5598" spans="2:7" ht="32.25" customHeight="1" x14ac:dyDescent="0.35">
      <c r="B5598" s="73"/>
      <c r="C5598" s="73"/>
      <c r="D5598" s="73"/>
      <c r="E5598" s="73"/>
      <c r="F5598" s="73"/>
      <c r="G5598" s="73"/>
    </row>
    <row r="5599" spans="2:7" ht="32.25" customHeight="1" x14ac:dyDescent="0.35">
      <c r="B5599" s="73"/>
      <c r="C5599" s="73"/>
      <c r="D5599" s="73"/>
      <c r="E5599" s="73"/>
      <c r="F5599" s="73"/>
      <c r="G5599" s="73"/>
    </row>
    <row r="5600" spans="2:7" ht="32.25" customHeight="1" x14ac:dyDescent="0.35">
      <c r="B5600" s="73"/>
      <c r="C5600" s="73"/>
      <c r="D5600" s="73"/>
      <c r="E5600" s="73"/>
      <c r="F5600" s="73"/>
      <c r="G5600" s="73"/>
    </row>
    <row r="5601" spans="2:7" ht="32.25" customHeight="1" x14ac:dyDescent="0.35">
      <c r="B5601" s="73"/>
      <c r="C5601" s="73"/>
      <c r="D5601" s="73"/>
      <c r="E5601" s="73"/>
      <c r="F5601" s="73"/>
      <c r="G5601" s="73"/>
    </row>
    <row r="5602" spans="2:7" ht="32.25" customHeight="1" x14ac:dyDescent="0.35">
      <c r="B5602" s="73"/>
      <c r="C5602" s="73"/>
      <c r="D5602" s="73"/>
      <c r="E5602" s="73"/>
      <c r="F5602" s="73"/>
      <c r="G5602" s="73"/>
    </row>
    <row r="5603" spans="2:7" ht="32.25" customHeight="1" x14ac:dyDescent="0.35">
      <c r="B5603" s="73"/>
      <c r="C5603" s="73"/>
      <c r="D5603" s="73"/>
      <c r="E5603" s="73"/>
      <c r="F5603" s="73"/>
      <c r="G5603" s="73"/>
    </row>
    <row r="5604" spans="2:7" ht="32.25" customHeight="1" x14ac:dyDescent="0.35">
      <c r="B5604" s="73"/>
      <c r="C5604" s="73"/>
      <c r="D5604" s="73"/>
      <c r="E5604" s="73"/>
      <c r="F5604" s="73"/>
      <c r="G5604" s="73"/>
    </row>
    <row r="5605" spans="2:7" ht="32.25" customHeight="1" x14ac:dyDescent="0.35">
      <c r="B5605" s="73"/>
      <c r="C5605" s="73"/>
      <c r="D5605" s="73"/>
      <c r="E5605" s="73"/>
      <c r="F5605" s="73"/>
      <c r="G5605" s="73"/>
    </row>
    <row r="5606" spans="2:7" ht="32.25" customHeight="1" x14ac:dyDescent="0.35">
      <c r="B5606" s="73"/>
      <c r="C5606" s="73"/>
      <c r="D5606" s="73"/>
      <c r="E5606" s="73"/>
      <c r="F5606" s="73"/>
      <c r="G5606" s="73"/>
    </row>
    <row r="5607" spans="2:7" ht="32.25" customHeight="1" x14ac:dyDescent="0.35">
      <c r="B5607" s="73"/>
      <c r="C5607" s="73"/>
      <c r="D5607" s="73"/>
      <c r="E5607" s="73"/>
      <c r="F5607" s="73"/>
      <c r="G5607" s="73"/>
    </row>
    <row r="5608" spans="2:7" ht="32.25" customHeight="1" x14ac:dyDescent="0.35">
      <c r="B5608" s="73"/>
      <c r="C5608" s="73"/>
      <c r="D5608" s="73"/>
      <c r="E5608" s="73"/>
      <c r="F5608" s="73"/>
      <c r="G5608" s="73"/>
    </row>
    <row r="5609" spans="2:7" ht="32.25" customHeight="1" x14ac:dyDescent="0.35">
      <c r="B5609" s="73"/>
      <c r="C5609" s="73"/>
      <c r="D5609" s="73"/>
      <c r="E5609" s="73"/>
      <c r="F5609" s="73"/>
      <c r="G5609" s="73"/>
    </row>
    <row r="5610" spans="2:7" ht="32.25" customHeight="1" x14ac:dyDescent="0.35">
      <c r="B5610" s="73"/>
      <c r="C5610" s="73"/>
      <c r="D5610" s="73"/>
      <c r="E5610" s="73"/>
      <c r="F5610" s="73"/>
      <c r="G5610" s="73"/>
    </row>
    <row r="5611" spans="2:7" ht="32.25" customHeight="1" x14ac:dyDescent="0.35">
      <c r="B5611" s="73"/>
      <c r="C5611" s="73"/>
      <c r="D5611" s="73"/>
      <c r="E5611" s="73"/>
      <c r="F5611" s="73"/>
      <c r="G5611" s="73"/>
    </row>
    <row r="5612" spans="2:7" ht="32.25" customHeight="1" x14ac:dyDescent="0.35">
      <c r="B5612" s="73"/>
      <c r="C5612" s="73"/>
      <c r="D5612" s="73"/>
      <c r="E5612" s="73"/>
      <c r="F5612" s="73"/>
      <c r="G5612" s="73"/>
    </row>
    <row r="5613" spans="2:7" ht="32.25" customHeight="1" x14ac:dyDescent="0.35">
      <c r="B5613" s="73"/>
      <c r="C5613" s="73"/>
      <c r="D5613" s="73"/>
      <c r="E5613" s="73"/>
      <c r="F5613" s="73"/>
      <c r="G5613" s="73"/>
    </row>
    <row r="5614" spans="2:7" ht="32.25" customHeight="1" x14ac:dyDescent="0.35">
      <c r="B5614" s="73"/>
      <c r="C5614" s="73"/>
      <c r="D5614" s="73"/>
      <c r="E5614" s="73"/>
      <c r="F5614" s="73"/>
      <c r="G5614" s="73"/>
    </row>
    <row r="5615" spans="2:7" ht="32.25" customHeight="1" x14ac:dyDescent="0.35">
      <c r="B5615" s="73"/>
      <c r="C5615" s="73"/>
      <c r="D5615" s="73"/>
      <c r="E5615" s="73"/>
      <c r="F5615" s="73"/>
      <c r="G5615" s="73"/>
    </row>
    <row r="5616" spans="2:7" ht="32.25" customHeight="1" x14ac:dyDescent="0.35">
      <c r="B5616" s="73"/>
      <c r="C5616" s="73"/>
      <c r="D5616" s="73"/>
      <c r="E5616" s="73"/>
      <c r="F5616" s="73"/>
      <c r="G5616" s="73"/>
    </row>
    <row r="5617" spans="2:7" ht="32.25" customHeight="1" x14ac:dyDescent="0.35">
      <c r="B5617" s="73"/>
      <c r="C5617" s="73"/>
      <c r="D5617" s="73"/>
      <c r="E5617" s="73"/>
      <c r="F5617" s="73"/>
      <c r="G5617" s="73"/>
    </row>
    <row r="5618" spans="2:7" ht="32.25" customHeight="1" x14ac:dyDescent="0.35">
      <c r="B5618" s="73"/>
      <c r="C5618" s="73"/>
      <c r="D5618" s="73"/>
      <c r="E5618" s="73"/>
      <c r="F5618" s="73"/>
      <c r="G5618" s="73"/>
    </row>
    <row r="5619" spans="2:7" ht="32.25" customHeight="1" x14ac:dyDescent="0.35">
      <c r="B5619" s="73"/>
      <c r="C5619" s="73"/>
      <c r="D5619" s="73"/>
      <c r="E5619" s="73"/>
      <c r="F5619" s="73"/>
      <c r="G5619" s="73"/>
    </row>
    <row r="5620" spans="2:7" ht="32.25" customHeight="1" x14ac:dyDescent="0.35">
      <c r="B5620" s="73"/>
      <c r="C5620" s="73"/>
      <c r="D5620" s="73"/>
      <c r="E5620" s="73"/>
      <c r="F5620" s="73"/>
      <c r="G5620" s="73"/>
    </row>
    <row r="5621" spans="2:7" ht="32.25" customHeight="1" x14ac:dyDescent="0.35">
      <c r="B5621" s="73"/>
      <c r="C5621" s="73"/>
      <c r="D5621" s="73"/>
      <c r="E5621" s="73"/>
      <c r="F5621" s="73"/>
      <c r="G5621" s="73"/>
    </row>
    <row r="5622" spans="2:7" ht="32.25" customHeight="1" x14ac:dyDescent="0.35">
      <c r="B5622" s="73"/>
      <c r="C5622" s="73"/>
      <c r="D5622" s="73"/>
      <c r="E5622" s="73"/>
      <c r="F5622" s="73"/>
      <c r="G5622" s="73"/>
    </row>
    <row r="5623" spans="2:7" ht="32.25" customHeight="1" x14ac:dyDescent="0.35">
      <c r="B5623" s="73"/>
      <c r="C5623" s="73"/>
      <c r="D5623" s="73"/>
      <c r="E5623" s="73"/>
      <c r="F5623" s="73"/>
      <c r="G5623" s="73"/>
    </row>
    <row r="5624" spans="2:7" ht="32.25" customHeight="1" x14ac:dyDescent="0.35">
      <c r="B5624" s="73"/>
      <c r="C5624" s="73"/>
      <c r="D5624" s="73"/>
      <c r="E5624" s="73"/>
      <c r="F5624" s="73"/>
      <c r="G5624" s="73"/>
    </row>
    <row r="5625" spans="2:7" ht="32.25" customHeight="1" x14ac:dyDescent="0.35">
      <c r="B5625" s="73"/>
      <c r="C5625" s="73"/>
      <c r="D5625" s="73"/>
      <c r="E5625" s="73"/>
      <c r="F5625" s="73"/>
      <c r="G5625" s="73"/>
    </row>
    <row r="5626" spans="2:7" ht="32.25" customHeight="1" x14ac:dyDescent="0.35">
      <c r="B5626" s="73"/>
      <c r="C5626" s="73"/>
      <c r="D5626" s="73"/>
      <c r="E5626" s="73"/>
      <c r="F5626" s="73"/>
      <c r="G5626" s="73"/>
    </row>
    <row r="5627" spans="2:7" ht="32.25" customHeight="1" x14ac:dyDescent="0.35">
      <c r="B5627" s="73"/>
      <c r="C5627" s="73"/>
      <c r="D5627" s="73"/>
      <c r="E5627" s="73"/>
      <c r="F5627" s="73"/>
      <c r="G5627" s="73"/>
    </row>
    <row r="5628" spans="2:7" ht="32.25" customHeight="1" x14ac:dyDescent="0.35">
      <c r="B5628" s="73"/>
      <c r="C5628" s="73"/>
      <c r="D5628" s="73"/>
      <c r="E5628" s="73"/>
      <c r="F5628" s="73"/>
      <c r="G5628" s="73"/>
    </row>
    <row r="5629" spans="2:7" ht="32.25" customHeight="1" x14ac:dyDescent="0.35">
      <c r="B5629" s="73"/>
      <c r="C5629" s="73"/>
      <c r="D5629" s="73"/>
      <c r="E5629" s="73"/>
      <c r="F5629" s="73"/>
      <c r="G5629" s="73"/>
    </row>
    <row r="5630" spans="2:7" ht="32.25" customHeight="1" x14ac:dyDescent="0.35">
      <c r="B5630" s="73"/>
      <c r="C5630" s="73"/>
      <c r="D5630" s="73"/>
      <c r="E5630" s="73"/>
      <c r="F5630" s="73"/>
      <c r="G5630" s="73"/>
    </row>
    <row r="5631" spans="2:7" ht="32.25" customHeight="1" x14ac:dyDescent="0.35">
      <c r="B5631" s="73"/>
      <c r="C5631" s="73"/>
      <c r="D5631" s="73"/>
      <c r="E5631" s="73"/>
      <c r="F5631" s="73"/>
      <c r="G5631" s="73"/>
    </row>
    <row r="5632" spans="2:7" ht="32.25" customHeight="1" x14ac:dyDescent="0.35">
      <c r="B5632" s="73"/>
      <c r="C5632" s="73"/>
      <c r="D5632" s="73"/>
      <c r="E5632" s="73"/>
      <c r="F5632" s="73"/>
      <c r="G5632" s="73"/>
    </row>
    <row r="5633" spans="2:7" ht="32.25" customHeight="1" x14ac:dyDescent="0.35">
      <c r="B5633" s="73"/>
      <c r="C5633" s="73"/>
      <c r="D5633" s="73"/>
      <c r="E5633" s="73"/>
      <c r="F5633" s="73"/>
      <c r="G5633" s="73"/>
    </row>
    <row r="5634" spans="2:7" ht="32.25" customHeight="1" x14ac:dyDescent="0.35">
      <c r="B5634" s="73"/>
      <c r="C5634" s="73"/>
      <c r="D5634" s="73"/>
      <c r="E5634" s="73"/>
      <c r="F5634" s="73"/>
      <c r="G5634" s="73"/>
    </row>
    <row r="5635" spans="2:7" ht="32.25" customHeight="1" x14ac:dyDescent="0.35">
      <c r="B5635" s="73"/>
      <c r="C5635" s="73"/>
      <c r="D5635" s="73"/>
      <c r="E5635" s="73"/>
      <c r="F5635" s="73"/>
      <c r="G5635" s="73"/>
    </row>
    <row r="5636" spans="2:7" ht="32.25" customHeight="1" x14ac:dyDescent="0.35">
      <c r="B5636" s="73"/>
      <c r="C5636" s="73"/>
      <c r="D5636" s="73"/>
      <c r="E5636" s="73"/>
      <c r="F5636" s="73"/>
      <c r="G5636" s="73"/>
    </row>
    <row r="5637" spans="2:7" ht="32.25" customHeight="1" x14ac:dyDescent="0.35">
      <c r="B5637" s="73"/>
      <c r="C5637" s="73"/>
      <c r="D5637" s="73"/>
      <c r="E5637" s="73"/>
      <c r="F5637" s="73"/>
      <c r="G5637" s="73"/>
    </row>
    <row r="5638" spans="2:7" ht="32.25" customHeight="1" x14ac:dyDescent="0.35">
      <c r="B5638" s="73"/>
      <c r="C5638" s="73"/>
      <c r="D5638" s="73"/>
      <c r="E5638" s="73"/>
      <c r="F5638" s="73"/>
      <c r="G5638" s="73"/>
    </row>
    <row r="5639" spans="2:7" ht="32.25" customHeight="1" x14ac:dyDescent="0.35">
      <c r="B5639" s="73"/>
      <c r="C5639" s="73"/>
      <c r="D5639" s="73"/>
      <c r="E5639" s="73"/>
      <c r="F5639" s="73"/>
      <c r="G5639" s="73"/>
    </row>
    <row r="5640" spans="2:7" ht="32.25" customHeight="1" x14ac:dyDescent="0.35">
      <c r="B5640" s="73"/>
      <c r="C5640" s="73"/>
      <c r="D5640" s="73"/>
      <c r="E5640" s="73"/>
      <c r="F5640" s="73"/>
      <c r="G5640" s="73"/>
    </row>
    <row r="5641" spans="2:7" ht="32.25" customHeight="1" x14ac:dyDescent="0.35">
      <c r="B5641" s="73"/>
      <c r="C5641" s="73"/>
      <c r="D5641" s="73"/>
      <c r="E5641" s="73"/>
      <c r="F5641" s="73"/>
      <c r="G5641" s="73"/>
    </row>
    <row r="5642" spans="2:7" ht="32.25" customHeight="1" x14ac:dyDescent="0.35">
      <c r="B5642" s="73"/>
      <c r="C5642" s="73"/>
      <c r="D5642" s="73"/>
      <c r="E5642" s="73"/>
      <c r="F5642" s="73"/>
      <c r="G5642" s="73"/>
    </row>
    <row r="5643" spans="2:7" ht="32.25" customHeight="1" x14ac:dyDescent="0.35">
      <c r="B5643" s="73"/>
      <c r="C5643" s="73"/>
      <c r="D5643" s="73"/>
      <c r="E5643" s="73"/>
      <c r="F5643" s="73"/>
      <c r="G5643" s="73"/>
    </row>
    <row r="5644" spans="2:7" ht="32.25" customHeight="1" x14ac:dyDescent="0.35">
      <c r="B5644" s="73"/>
      <c r="C5644" s="73"/>
      <c r="D5644" s="73"/>
      <c r="E5644" s="73"/>
      <c r="F5644" s="73"/>
      <c r="G5644" s="73"/>
    </row>
    <row r="5645" spans="2:7" ht="32.25" customHeight="1" x14ac:dyDescent="0.35">
      <c r="B5645" s="73"/>
      <c r="C5645" s="73"/>
      <c r="D5645" s="73"/>
      <c r="E5645" s="73"/>
      <c r="F5645" s="73"/>
      <c r="G5645" s="73"/>
    </row>
    <row r="5646" spans="2:7" ht="32.25" customHeight="1" x14ac:dyDescent="0.35">
      <c r="B5646" s="73"/>
      <c r="C5646" s="73"/>
      <c r="D5646" s="73"/>
      <c r="E5646" s="73"/>
      <c r="F5646" s="73"/>
      <c r="G5646" s="73"/>
    </row>
    <row r="5647" spans="2:7" ht="32.25" customHeight="1" x14ac:dyDescent="0.35">
      <c r="B5647" s="73"/>
      <c r="C5647" s="73"/>
      <c r="D5647" s="73"/>
      <c r="E5647" s="73"/>
      <c r="F5647" s="73"/>
      <c r="G5647" s="73"/>
    </row>
    <row r="5648" spans="2:7" ht="32.25" customHeight="1" x14ac:dyDescent="0.35">
      <c r="B5648" s="73"/>
      <c r="C5648" s="73"/>
      <c r="D5648" s="73"/>
      <c r="E5648" s="73"/>
      <c r="F5648" s="73"/>
      <c r="G5648" s="73"/>
    </row>
    <row r="5649" spans="2:7" ht="32.25" customHeight="1" x14ac:dyDescent="0.35">
      <c r="B5649" s="73"/>
      <c r="C5649" s="73"/>
      <c r="D5649" s="73"/>
      <c r="E5649" s="73"/>
      <c r="F5649" s="73"/>
      <c r="G5649" s="73"/>
    </row>
    <row r="5650" spans="2:7" ht="32.25" customHeight="1" x14ac:dyDescent="0.35">
      <c r="B5650" s="73"/>
      <c r="C5650" s="73"/>
      <c r="D5650" s="73"/>
      <c r="E5650" s="73"/>
      <c r="F5650" s="73"/>
      <c r="G5650" s="73"/>
    </row>
    <row r="5651" spans="2:7" ht="32.25" customHeight="1" x14ac:dyDescent="0.35">
      <c r="B5651" s="73"/>
      <c r="C5651" s="73"/>
      <c r="D5651" s="73"/>
      <c r="E5651" s="73"/>
      <c r="F5651" s="73"/>
      <c r="G5651" s="73"/>
    </row>
    <row r="5652" spans="2:7" ht="32.25" customHeight="1" x14ac:dyDescent="0.35">
      <c r="B5652" s="73"/>
      <c r="C5652" s="73"/>
      <c r="D5652" s="73"/>
      <c r="E5652" s="73"/>
      <c r="F5652" s="73"/>
      <c r="G5652" s="73"/>
    </row>
    <row r="5653" spans="2:7" ht="32.25" customHeight="1" x14ac:dyDescent="0.35">
      <c r="B5653" s="73"/>
      <c r="C5653" s="73"/>
      <c r="D5653" s="73"/>
      <c r="E5653" s="73"/>
      <c r="F5653" s="73"/>
      <c r="G5653" s="73"/>
    </row>
    <row r="5654" spans="2:7" ht="32.25" customHeight="1" x14ac:dyDescent="0.35">
      <c r="B5654" s="73"/>
      <c r="C5654" s="73"/>
      <c r="D5654" s="73"/>
      <c r="E5654" s="73"/>
      <c r="F5654" s="73"/>
      <c r="G5654" s="73"/>
    </row>
    <row r="5655" spans="2:7" ht="32.25" customHeight="1" x14ac:dyDescent="0.35">
      <c r="B5655" s="73"/>
      <c r="C5655" s="73"/>
      <c r="D5655" s="73"/>
      <c r="E5655" s="73"/>
      <c r="F5655" s="73"/>
      <c r="G5655" s="73"/>
    </row>
    <row r="5656" spans="2:7" ht="32.25" customHeight="1" x14ac:dyDescent="0.35">
      <c r="B5656" s="73"/>
      <c r="C5656" s="73"/>
      <c r="D5656" s="73"/>
      <c r="E5656" s="73"/>
      <c r="F5656" s="73"/>
      <c r="G5656" s="73"/>
    </row>
    <row r="5657" spans="2:7" ht="32.25" customHeight="1" x14ac:dyDescent="0.35">
      <c r="B5657" s="73"/>
      <c r="C5657" s="73"/>
      <c r="D5657" s="73"/>
      <c r="E5657" s="73"/>
      <c r="F5657" s="73"/>
      <c r="G5657" s="73"/>
    </row>
    <row r="5658" spans="2:7" ht="32.25" customHeight="1" x14ac:dyDescent="0.35">
      <c r="B5658" s="73"/>
      <c r="C5658" s="73"/>
      <c r="D5658" s="73"/>
      <c r="E5658" s="73"/>
      <c r="F5658" s="73"/>
      <c r="G5658" s="73"/>
    </row>
    <row r="5659" spans="2:7" ht="32.25" customHeight="1" x14ac:dyDescent="0.35">
      <c r="B5659" s="73"/>
      <c r="C5659" s="73"/>
      <c r="D5659" s="73"/>
      <c r="E5659" s="73"/>
      <c r="F5659" s="73"/>
      <c r="G5659" s="73"/>
    </row>
    <row r="5660" spans="2:7" ht="32.25" customHeight="1" x14ac:dyDescent="0.35">
      <c r="B5660" s="73"/>
      <c r="C5660" s="73"/>
      <c r="D5660" s="73"/>
      <c r="E5660" s="73"/>
      <c r="F5660" s="73"/>
      <c r="G5660" s="73"/>
    </row>
    <row r="5661" spans="2:7" ht="32.25" customHeight="1" x14ac:dyDescent="0.35">
      <c r="B5661" s="73"/>
      <c r="C5661" s="73"/>
      <c r="D5661" s="73"/>
      <c r="E5661" s="73"/>
      <c r="F5661" s="73"/>
      <c r="G5661" s="73"/>
    </row>
    <row r="5662" spans="2:7" ht="32.25" customHeight="1" x14ac:dyDescent="0.35">
      <c r="B5662" s="73"/>
      <c r="C5662" s="73"/>
      <c r="D5662" s="73"/>
      <c r="E5662" s="73"/>
      <c r="F5662" s="73"/>
      <c r="G5662" s="73"/>
    </row>
    <row r="5663" spans="2:7" ht="32.25" customHeight="1" x14ac:dyDescent="0.35">
      <c r="B5663" s="73"/>
      <c r="C5663" s="73"/>
      <c r="D5663" s="73"/>
      <c r="E5663" s="73"/>
      <c r="F5663" s="73"/>
      <c r="G5663" s="73"/>
    </row>
    <row r="5664" spans="2:7" ht="32.25" customHeight="1" x14ac:dyDescent="0.35">
      <c r="B5664" s="73"/>
      <c r="C5664" s="73"/>
      <c r="D5664" s="73"/>
      <c r="E5664" s="73"/>
      <c r="F5664" s="73"/>
      <c r="G5664" s="73"/>
    </row>
    <row r="5665" spans="2:7" ht="32.25" customHeight="1" x14ac:dyDescent="0.35">
      <c r="B5665" s="73"/>
      <c r="C5665" s="73"/>
      <c r="D5665" s="73"/>
      <c r="E5665" s="73"/>
      <c r="F5665" s="73"/>
      <c r="G5665" s="73"/>
    </row>
    <row r="5666" spans="2:7" ht="32.25" customHeight="1" x14ac:dyDescent="0.35">
      <c r="B5666" s="73"/>
      <c r="C5666" s="73"/>
      <c r="D5666" s="73"/>
      <c r="E5666" s="73"/>
      <c r="F5666" s="73"/>
      <c r="G5666" s="73"/>
    </row>
    <row r="5667" spans="2:7" ht="32.25" customHeight="1" x14ac:dyDescent="0.35">
      <c r="B5667" s="73"/>
      <c r="C5667" s="73"/>
      <c r="D5667" s="73"/>
      <c r="E5667" s="73"/>
      <c r="F5667" s="73"/>
      <c r="G5667" s="73"/>
    </row>
    <row r="5668" spans="2:7" ht="32.25" customHeight="1" x14ac:dyDescent="0.35">
      <c r="B5668" s="73"/>
      <c r="C5668" s="73"/>
      <c r="D5668" s="73"/>
      <c r="E5668" s="73"/>
      <c r="F5668" s="73"/>
      <c r="G5668" s="73"/>
    </row>
    <row r="5669" spans="2:7" ht="32.25" customHeight="1" x14ac:dyDescent="0.35">
      <c r="B5669" s="73"/>
      <c r="C5669" s="73"/>
      <c r="D5669" s="73"/>
      <c r="E5669" s="73"/>
      <c r="F5669" s="73"/>
      <c r="G5669" s="73"/>
    </row>
    <row r="5670" spans="2:7" ht="32.25" customHeight="1" x14ac:dyDescent="0.35">
      <c r="B5670" s="73"/>
      <c r="C5670" s="73"/>
      <c r="D5670" s="73"/>
      <c r="E5670" s="73"/>
      <c r="F5670" s="73"/>
      <c r="G5670" s="73"/>
    </row>
    <row r="5671" spans="2:7" ht="32.25" customHeight="1" x14ac:dyDescent="0.35">
      <c r="B5671" s="73"/>
      <c r="C5671" s="73"/>
      <c r="D5671" s="73"/>
      <c r="E5671" s="73"/>
      <c r="F5671" s="73"/>
      <c r="G5671" s="73"/>
    </row>
    <row r="5672" spans="2:7" ht="32.25" customHeight="1" x14ac:dyDescent="0.35">
      <c r="B5672" s="73"/>
      <c r="C5672" s="73"/>
      <c r="D5672" s="73"/>
      <c r="E5672" s="73"/>
      <c r="F5672" s="73"/>
      <c r="G5672" s="73"/>
    </row>
    <row r="5673" spans="2:7" ht="32.25" customHeight="1" x14ac:dyDescent="0.35">
      <c r="B5673" s="73"/>
      <c r="C5673" s="73"/>
      <c r="D5673" s="73"/>
      <c r="E5673" s="73"/>
      <c r="F5673" s="73"/>
      <c r="G5673" s="73"/>
    </row>
    <row r="5674" spans="2:7" ht="32.25" customHeight="1" x14ac:dyDescent="0.35">
      <c r="B5674" s="73"/>
      <c r="C5674" s="73"/>
      <c r="D5674" s="73"/>
      <c r="E5674" s="73"/>
      <c r="F5674" s="73"/>
      <c r="G5674" s="73"/>
    </row>
    <row r="5675" spans="2:7" ht="32.25" customHeight="1" x14ac:dyDescent="0.35">
      <c r="B5675" s="73"/>
      <c r="C5675" s="73"/>
      <c r="D5675" s="73"/>
      <c r="E5675" s="73"/>
      <c r="F5675" s="73"/>
      <c r="G5675" s="73"/>
    </row>
    <row r="5676" spans="2:7" ht="32.25" customHeight="1" x14ac:dyDescent="0.35">
      <c r="B5676" s="73"/>
      <c r="C5676" s="73"/>
      <c r="D5676" s="73"/>
      <c r="E5676" s="73"/>
      <c r="F5676" s="73"/>
      <c r="G5676" s="73"/>
    </row>
    <row r="5677" spans="2:7" ht="32.25" customHeight="1" x14ac:dyDescent="0.35">
      <c r="B5677" s="73"/>
      <c r="C5677" s="73"/>
      <c r="D5677" s="73"/>
      <c r="E5677" s="73"/>
      <c r="F5677" s="73"/>
      <c r="G5677" s="73"/>
    </row>
    <row r="5678" spans="2:7" ht="32.25" customHeight="1" x14ac:dyDescent="0.35">
      <c r="B5678" s="73"/>
      <c r="C5678" s="73"/>
      <c r="D5678" s="73"/>
      <c r="E5678" s="73"/>
      <c r="F5678" s="73"/>
      <c r="G5678" s="73"/>
    </row>
    <row r="5679" spans="2:7" ht="32.25" customHeight="1" x14ac:dyDescent="0.35">
      <c r="B5679" s="73"/>
      <c r="C5679" s="73"/>
      <c r="D5679" s="73"/>
      <c r="E5679" s="73"/>
      <c r="F5679" s="73"/>
      <c r="G5679" s="73"/>
    </row>
    <row r="5680" spans="2:7" ht="32.25" customHeight="1" x14ac:dyDescent="0.35">
      <c r="B5680" s="73"/>
      <c r="C5680" s="73"/>
      <c r="D5680" s="73"/>
      <c r="E5680" s="73"/>
      <c r="F5680" s="73"/>
      <c r="G5680" s="73"/>
    </row>
    <row r="5681" spans="2:7" ht="32.25" customHeight="1" x14ac:dyDescent="0.35">
      <c r="B5681" s="73"/>
      <c r="C5681" s="73"/>
      <c r="D5681" s="73"/>
      <c r="E5681" s="73"/>
      <c r="F5681" s="73"/>
      <c r="G5681" s="73"/>
    </row>
    <row r="5682" spans="2:7" ht="32.25" customHeight="1" x14ac:dyDescent="0.35">
      <c r="B5682" s="73"/>
      <c r="C5682" s="73"/>
      <c r="D5682" s="73"/>
      <c r="E5682" s="73"/>
      <c r="F5682" s="73"/>
      <c r="G5682" s="73"/>
    </row>
    <row r="5683" spans="2:7" ht="32.25" customHeight="1" x14ac:dyDescent="0.35">
      <c r="B5683" s="73"/>
      <c r="C5683" s="73"/>
      <c r="D5683" s="73"/>
      <c r="E5683" s="73"/>
      <c r="F5683" s="73"/>
      <c r="G5683" s="73"/>
    </row>
    <row r="5684" spans="2:7" ht="32.25" customHeight="1" x14ac:dyDescent="0.35">
      <c r="B5684" s="73"/>
      <c r="C5684" s="73"/>
      <c r="D5684" s="73"/>
      <c r="E5684" s="73"/>
      <c r="F5684" s="73"/>
      <c r="G5684" s="73"/>
    </row>
    <row r="5685" spans="2:7" ht="32.25" customHeight="1" x14ac:dyDescent="0.35">
      <c r="B5685" s="73"/>
      <c r="C5685" s="73"/>
      <c r="D5685" s="73"/>
      <c r="E5685" s="73"/>
      <c r="F5685" s="73"/>
      <c r="G5685" s="73"/>
    </row>
    <row r="5686" spans="2:7" ht="32.25" customHeight="1" x14ac:dyDescent="0.35">
      <c r="B5686" s="73"/>
      <c r="C5686" s="73"/>
      <c r="D5686" s="73"/>
      <c r="E5686" s="73"/>
      <c r="F5686" s="73"/>
      <c r="G5686" s="73"/>
    </row>
    <row r="5687" spans="2:7" ht="32.25" customHeight="1" x14ac:dyDescent="0.35">
      <c r="B5687" s="73"/>
      <c r="C5687" s="73"/>
      <c r="D5687" s="73"/>
      <c r="E5687" s="73"/>
      <c r="F5687" s="73"/>
      <c r="G5687" s="73"/>
    </row>
    <row r="5688" spans="2:7" ht="32.25" customHeight="1" x14ac:dyDescent="0.35">
      <c r="B5688" s="73"/>
      <c r="C5688" s="73"/>
      <c r="D5688" s="73"/>
      <c r="E5688" s="73"/>
      <c r="F5688" s="73"/>
      <c r="G5688" s="73"/>
    </row>
    <row r="5689" spans="2:7" ht="32.25" customHeight="1" x14ac:dyDescent="0.35">
      <c r="B5689" s="73"/>
      <c r="C5689" s="73"/>
      <c r="D5689" s="73"/>
      <c r="E5689" s="73"/>
      <c r="F5689" s="73"/>
      <c r="G5689" s="73"/>
    </row>
    <row r="5690" spans="2:7" ht="32.25" customHeight="1" x14ac:dyDescent="0.35">
      <c r="B5690" s="73"/>
      <c r="C5690" s="73"/>
      <c r="D5690" s="73"/>
      <c r="E5690" s="73"/>
      <c r="F5690" s="73"/>
      <c r="G5690" s="73"/>
    </row>
    <row r="5691" spans="2:7" ht="32.25" customHeight="1" x14ac:dyDescent="0.35">
      <c r="B5691" s="73"/>
      <c r="C5691" s="73"/>
      <c r="D5691" s="73"/>
      <c r="E5691" s="73"/>
      <c r="F5691" s="73"/>
      <c r="G5691" s="73"/>
    </row>
    <row r="5692" spans="2:7" ht="32.25" customHeight="1" x14ac:dyDescent="0.35">
      <c r="B5692" s="73"/>
      <c r="C5692" s="73"/>
      <c r="D5692" s="73"/>
      <c r="E5692" s="73"/>
      <c r="F5692" s="73"/>
      <c r="G5692" s="73"/>
    </row>
    <row r="5693" spans="2:7" ht="32.25" customHeight="1" x14ac:dyDescent="0.35">
      <c r="B5693" s="73"/>
      <c r="C5693" s="73"/>
      <c r="D5693" s="73"/>
      <c r="E5693" s="73"/>
      <c r="F5693" s="73"/>
      <c r="G5693" s="73"/>
    </row>
    <row r="5694" spans="2:7" ht="32.25" customHeight="1" x14ac:dyDescent="0.35">
      <c r="B5694" s="73"/>
      <c r="C5694" s="73"/>
      <c r="D5694" s="73"/>
      <c r="E5694" s="73"/>
      <c r="F5694" s="73"/>
      <c r="G5694" s="73"/>
    </row>
    <row r="5695" spans="2:7" ht="32.25" customHeight="1" x14ac:dyDescent="0.35">
      <c r="B5695" s="73"/>
      <c r="C5695" s="73"/>
      <c r="D5695" s="73"/>
      <c r="E5695" s="73"/>
      <c r="F5695" s="73"/>
      <c r="G5695" s="73"/>
    </row>
    <row r="5696" spans="2:7" ht="32.25" customHeight="1" x14ac:dyDescent="0.35">
      <c r="B5696" s="73"/>
      <c r="C5696" s="73"/>
      <c r="D5696" s="73"/>
      <c r="E5696" s="73"/>
      <c r="F5696" s="73"/>
      <c r="G5696" s="73"/>
    </row>
    <row r="5697" spans="2:7" ht="32.25" customHeight="1" x14ac:dyDescent="0.35">
      <c r="B5697" s="73"/>
      <c r="C5697" s="73"/>
      <c r="D5697" s="73"/>
      <c r="E5697" s="73"/>
      <c r="F5697" s="73"/>
      <c r="G5697" s="73"/>
    </row>
    <row r="5698" spans="2:7" ht="32.25" customHeight="1" x14ac:dyDescent="0.35">
      <c r="B5698" s="73"/>
      <c r="C5698" s="73"/>
      <c r="D5698" s="73"/>
      <c r="E5698" s="73"/>
      <c r="F5698" s="73"/>
      <c r="G5698" s="73"/>
    </row>
    <row r="5699" spans="2:7" ht="32.25" customHeight="1" x14ac:dyDescent="0.35">
      <c r="B5699" s="73"/>
      <c r="C5699" s="73"/>
      <c r="D5699" s="73"/>
      <c r="E5699" s="73"/>
      <c r="F5699" s="73"/>
      <c r="G5699" s="73"/>
    </row>
    <row r="5700" spans="2:7" ht="32.25" customHeight="1" x14ac:dyDescent="0.35">
      <c r="B5700" s="73"/>
      <c r="C5700" s="73"/>
      <c r="D5700" s="73"/>
      <c r="E5700" s="73"/>
      <c r="F5700" s="73"/>
      <c r="G5700" s="73"/>
    </row>
    <row r="5701" spans="2:7" ht="32.25" customHeight="1" x14ac:dyDescent="0.35">
      <c r="B5701" s="73"/>
      <c r="C5701" s="73"/>
      <c r="D5701" s="73"/>
      <c r="E5701" s="73"/>
      <c r="F5701" s="73"/>
      <c r="G5701" s="73"/>
    </row>
    <row r="5702" spans="2:7" ht="32.25" customHeight="1" x14ac:dyDescent="0.35">
      <c r="B5702" s="73"/>
      <c r="C5702" s="73"/>
      <c r="D5702" s="73"/>
      <c r="E5702" s="73"/>
      <c r="F5702" s="73"/>
      <c r="G5702" s="73"/>
    </row>
    <row r="5703" spans="2:7" ht="32.25" customHeight="1" x14ac:dyDescent="0.35">
      <c r="B5703" s="73"/>
      <c r="C5703" s="73"/>
      <c r="D5703" s="73"/>
      <c r="E5703" s="73"/>
      <c r="F5703" s="73"/>
      <c r="G5703" s="73"/>
    </row>
    <row r="5704" spans="2:7" ht="32.25" customHeight="1" x14ac:dyDescent="0.35">
      <c r="B5704" s="73"/>
      <c r="C5704" s="73"/>
      <c r="D5704" s="73"/>
      <c r="E5704" s="73"/>
      <c r="F5704" s="73"/>
      <c r="G5704" s="73"/>
    </row>
    <row r="5705" spans="2:7" ht="32.25" customHeight="1" x14ac:dyDescent="0.35">
      <c r="B5705" s="73"/>
      <c r="C5705" s="73"/>
      <c r="D5705" s="73"/>
      <c r="E5705" s="73"/>
      <c r="F5705" s="73"/>
      <c r="G5705" s="73"/>
    </row>
    <row r="5706" spans="2:7" ht="32.25" customHeight="1" x14ac:dyDescent="0.35">
      <c r="B5706" s="73"/>
      <c r="C5706" s="73"/>
      <c r="D5706" s="73"/>
      <c r="E5706" s="73"/>
      <c r="F5706" s="73"/>
      <c r="G5706" s="73"/>
    </row>
    <row r="5707" spans="2:7" ht="32.25" customHeight="1" x14ac:dyDescent="0.35">
      <c r="B5707" s="73"/>
      <c r="C5707" s="73"/>
      <c r="D5707" s="73"/>
      <c r="E5707" s="73"/>
      <c r="F5707" s="73"/>
      <c r="G5707" s="73"/>
    </row>
    <row r="5708" spans="2:7" ht="32.25" customHeight="1" x14ac:dyDescent="0.35">
      <c r="B5708" s="73"/>
      <c r="C5708" s="73"/>
      <c r="D5708" s="73"/>
      <c r="E5708" s="73"/>
      <c r="F5708" s="73"/>
      <c r="G5708" s="73"/>
    </row>
    <row r="5709" spans="2:7" ht="32.25" customHeight="1" x14ac:dyDescent="0.35">
      <c r="B5709" s="73"/>
      <c r="C5709" s="73"/>
      <c r="D5709" s="73"/>
      <c r="E5709" s="73"/>
      <c r="F5709" s="73"/>
      <c r="G5709" s="73"/>
    </row>
    <row r="5710" spans="2:7" ht="32.25" customHeight="1" x14ac:dyDescent="0.35">
      <c r="B5710" s="73"/>
      <c r="C5710" s="73"/>
      <c r="D5710" s="73"/>
      <c r="E5710" s="73"/>
      <c r="F5710" s="73"/>
      <c r="G5710" s="73"/>
    </row>
    <row r="5711" spans="2:7" ht="32.25" customHeight="1" x14ac:dyDescent="0.35">
      <c r="B5711" s="73"/>
      <c r="C5711" s="73"/>
      <c r="D5711" s="73"/>
      <c r="E5711" s="73"/>
      <c r="F5711" s="73"/>
      <c r="G5711" s="73"/>
    </row>
    <row r="5712" spans="2:7" ht="32.25" customHeight="1" x14ac:dyDescent="0.35">
      <c r="B5712" s="73"/>
      <c r="C5712" s="73"/>
      <c r="D5712" s="73"/>
      <c r="E5712" s="73"/>
      <c r="F5712" s="73"/>
      <c r="G5712" s="73"/>
    </row>
    <row r="5713" spans="2:7" ht="32.25" customHeight="1" x14ac:dyDescent="0.35">
      <c r="B5713" s="73"/>
      <c r="C5713" s="73"/>
      <c r="D5713" s="73"/>
      <c r="E5713" s="73"/>
      <c r="F5713" s="73"/>
      <c r="G5713" s="73"/>
    </row>
    <row r="5714" spans="2:7" ht="32.25" customHeight="1" x14ac:dyDescent="0.35">
      <c r="B5714" s="73"/>
      <c r="C5714" s="73"/>
      <c r="D5714" s="73"/>
      <c r="E5714" s="73"/>
      <c r="F5714" s="73"/>
      <c r="G5714" s="73"/>
    </row>
    <row r="5715" spans="2:7" ht="32.25" customHeight="1" x14ac:dyDescent="0.35">
      <c r="B5715" s="73"/>
      <c r="C5715" s="73"/>
      <c r="D5715" s="73"/>
      <c r="E5715" s="73"/>
      <c r="F5715" s="73"/>
      <c r="G5715" s="73"/>
    </row>
    <row r="5716" spans="2:7" ht="32.25" customHeight="1" x14ac:dyDescent="0.35">
      <c r="B5716" s="73"/>
      <c r="C5716" s="73"/>
      <c r="D5716" s="73"/>
      <c r="E5716" s="73"/>
      <c r="F5716" s="73"/>
      <c r="G5716" s="73"/>
    </row>
    <row r="5717" spans="2:7" ht="32.25" customHeight="1" x14ac:dyDescent="0.35">
      <c r="B5717" s="73"/>
      <c r="C5717" s="73"/>
      <c r="D5717" s="73"/>
      <c r="E5717" s="73"/>
      <c r="F5717" s="73"/>
      <c r="G5717" s="73"/>
    </row>
    <row r="5718" spans="2:7" ht="32.25" customHeight="1" x14ac:dyDescent="0.35">
      <c r="B5718" s="73"/>
      <c r="C5718" s="73"/>
      <c r="D5718" s="73"/>
      <c r="E5718" s="73"/>
      <c r="F5718" s="73"/>
      <c r="G5718" s="73"/>
    </row>
    <row r="5719" spans="2:7" ht="32.25" customHeight="1" x14ac:dyDescent="0.35">
      <c r="B5719" s="73"/>
      <c r="C5719" s="73"/>
      <c r="D5719" s="73"/>
      <c r="E5719" s="73"/>
      <c r="F5719" s="73"/>
      <c r="G5719" s="73"/>
    </row>
    <row r="5720" spans="2:7" ht="32.25" customHeight="1" x14ac:dyDescent="0.35">
      <c r="B5720" s="73"/>
      <c r="C5720" s="73"/>
      <c r="D5720" s="73"/>
      <c r="E5720" s="73"/>
      <c r="F5720" s="73"/>
      <c r="G5720" s="73"/>
    </row>
    <row r="5721" spans="2:7" ht="32.25" customHeight="1" x14ac:dyDescent="0.35">
      <c r="B5721" s="73"/>
      <c r="C5721" s="73"/>
      <c r="D5721" s="73"/>
      <c r="E5721" s="73"/>
      <c r="F5721" s="73"/>
      <c r="G5721" s="73"/>
    </row>
    <row r="5722" spans="2:7" ht="32.25" customHeight="1" x14ac:dyDescent="0.35">
      <c r="B5722" s="73"/>
      <c r="C5722" s="73"/>
      <c r="D5722" s="73"/>
      <c r="E5722" s="73"/>
      <c r="F5722" s="73"/>
      <c r="G5722" s="73"/>
    </row>
    <row r="5723" spans="2:7" ht="32.25" customHeight="1" x14ac:dyDescent="0.35">
      <c r="B5723" s="73"/>
      <c r="C5723" s="73"/>
      <c r="D5723" s="73"/>
      <c r="E5723" s="73"/>
      <c r="F5723" s="73"/>
      <c r="G5723" s="73"/>
    </row>
    <row r="5724" spans="2:7" ht="32.25" customHeight="1" x14ac:dyDescent="0.35">
      <c r="B5724" s="73"/>
      <c r="C5724" s="73"/>
      <c r="D5724" s="73"/>
      <c r="E5724" s="73"/>
      <c r="F5724" s="73"/>
      <c r="G5724" s="73"/>
    </row>
    <row r="5725" spans="2:7" ht="32.25" customHeight="1" x14ac:dyDescent="0.35">
      <c r="B5725" s="73"/>
      <c r="C5725" s="73"/>
      <c r="D5725" s="73"/>
      <c r="E5725" s="73"/>
      <c r="F5725" s="73"/>
      <c r="G5725" s="73"/>
    </row>
    <row r="5726" spans="2:7" ht="32.25" customHeight="1" x14ac:dyDescent="0.35">
      <c r="B5726" s="73"/>
      <c r="C5726" s="73"/>
      <c r="D5726" s="73"/>
      <c r="E5726" s="73"/>
      <c r="F5726" s="73"/>
      <c r="G5726" s="73"/>
    </row>
    <row r="5727" spans="2:7" ht="32.25" customHeight="1" x14ac:dyDescent="0.35">
      <c r="B5727" s="73"/>
      <c r="C5727" s="73"/>
      <c r="D5727" s="73"/>
      <c r="E5727" s="73"/>
      <c r="F5727" s="73"/>
      <c r="G5727" s="73"/>
    </row>
    <row r="5728" spans="2:7" ht="32.25" customHeight="1" x14ac:dyDescent="0.35">
      <c r="B5728" s="73"/>
      <c r="C5728" s="73"/>
      <c r="D5728" s="73"/>
      <c r="E5728" s="73"/>
      <c r="F5728" s="73"/>
      <c r="G5728" s="73"/>
    </row>
    <row r="5729" spans="2:7" ht="32.25" customHeight="1" x14ac:dyDescent="0.35">
      <c r="B5729" s="73"/>
      <c r="C5729" s="73"/>
      <c r="D5729" s="73"/>
      <c r="E5729" s="73"/>
      <c r="F5729" s="73"/>
      <c r="G5729" s="73"/>
    </row>
    <row r="5730" spans="2:7" ht="32.25" customHeight="1" x14ac:dyDescent="0.35">
      <c r="B5730" s="73"/>
      <c r="C5730" s="73"/>
      <c r="D5730" s="73"/>
      <c r="E5730" s="73"/>
      <c r="F5730" s="73"/>
      <c r="G5730" s="73"/>
    </row>
    <row r="5731" spans="2:7" ht="32.25" customHeight="1" x14ac:dyDescent="0.35">
      <c r="B5731" s="73"/>
      <c r="C5731" s="73"/>
      <c r="D5731" s="73"/>
      <c r="E5731" s="73"/>
      <c r="F5731" s="73"/>
      <c r="G5731" s="73"/>
    </row>
    <row r="5732" spans="2:7" ht="32.25" customHeight="1" x14ac:dyDescent="0.35">
      <c r="B5732" s="73"/>
      <c r="C5732" s="73"/>
      <c r="D5732" s="73"/>
      <c r="E5732" s="73"/>
      <c r="F5732" s="73"/>
      <c r="G5732" s="73"/>
    </row>
    <row r="5733" spans="2:7" ht="32.25" customHeight="1" x14ac:dyDescent="0.35">
      <c r="B5733" s="73"/>
      <c r="C5733" s="73"/>
      <c r="D5733" s="73"/>
      <c r="E5733" s="73"/>
      <c r="F5733" s="73"/>
      <c r="G5733" s="73"/>
    </row>
    <row r="5734" spans="2:7" ht="32.25" customHeight="1" x14ac:dyDescent="0.35">
      <c r="B5734" s="73"/>
      <c r="C5734" s="73"/>
      <c r="D5734" s="73"/>
      <c r="E5734" s="73"/>
      <c r="F5734" s="73"/>
      <c r="G5734" s="73"/>
    </row>
    <row r="5735" spans="2:7" ht="32.25" customHeight="1" x14ac:dyDescent="0.35">
      <c r="B5735" s="73"/>
      <c r="C5735" s="73"/>
      <c r="D5735" s="73"/>
      <c r="E5735" s="73"/>
      <c r="F5735" s="73"/>
      <c r="G5735" s="73"/>
    </row>
    <row r="5736" spans="2:7" ht="32.25" customHeight="1" x14ac:dyDescent="0.35">
      <c r="B5736" s="73"/>
      <c r="C5736" s="73"/>
      <c r="D5736" s="73"/>
      <c r="E5736" s="73"/>
      <c r="F5736" s="73"/>
      <c r="G5736" s="73"/>
    </row>
    <row r="5737" spans="2:7" ht="32.25" customHeight="1" x14ac:dyDescent="0.35">
      <c r="B5737" s="73"/>
      <c r="C5737" s="73"/>
      <c r="D5737" s="73"/>
      <c r="E5737" s="73"/>
      <c r="F5737" s="73"/>
      <c r="G5737" s="73"/>
    </row>
    <row r="5738" spans="2:7" ht="32.25" customHeight="1" x14ac:dyDescent="0.35">
      <c r="B5738" s="73"/>
      <c r="C5738" s="73"/>
      <c r="D5738" s="73"/>
      <c r="E5738" s="73"/>
      <c r="F5738" s="73"/>
      <c r="G5738" s="73"/>
    </row>
    <row r="5739" spans="2:7" ht="32.25" customHeight="1" x14ac:dyDescent="0.35">
      <c r="B5739" s="73"/>
      <c r="C5739" s="73"/>
      <c r="D5739" s="73"/>
      <c r="E5739" s="73"/>
      <c r="F5739" s="73"/>
      <c r="G5739" s="73"/>
    </row>
    <row r="5740" spans="2:7" ht="32.25" customHeight="1" x14ac:dyDescent="0.35">
      <c r="B5740" s="73"/>
      <c r="C5740" s="73"/>
      <c r="D5740" s="73"/>
      <c r="E5740" s="73"/>
      <c r="F5740" s="73"/>
      <c r="G5740" s="73"/>
    </row>
    <row r="5741" spans="2:7" ht="32.25" customHeight="1" x14ac:dyDescent="0.35">
      <c r="B5741" s="73"/>
      <c r="C5741" s="73"/>
      <c r="D5741" s="73"/>
      <c r="E5741" s="73"/>
      <c r="F5741" s="73"/>
      <c r="G5741" s="73"/>
    </row>
    <row r="5742" spans="2:7" ht="32.25" customHeight="1" x14ac:dyDescent="0.35">
      <c r="B5742" s="73"/>
      <c r="C5742" s="73"/>
      <c r="D5742" s="73"/>
      <c r="E5742" s="73"/>
      <c r="F5742" s="73"/>
      <c r="G5742" s="73"/>
    </row>
    <row r="5743" spans="2:7" ht="32.25" customHeight="1" x14ac:dyDescent="0.35">
      <c r="B5743" s="73"/>
      <c r="C5743" s="73"/>
      <c r="D5743" s="73"/>
      <c r="E5743" s="73"/>
      <c r="F5743" s="73"/>
      <c r="G5743" s="73"/>
    </row>
    <row r="5744" spans="2:7" ht="32.25" customHeight="1" x14ac:dyDescent="0.35">
      <c r="B5744" s="73"/>
      <c r="C5744" s="73"/>
      <c r="D5744" s="73"/>
      <c r="E5744" s="73"/>
      <c r="F5744" s="73"/>
      <c r="G5744" s="73"/>
    </row>
    <row r="5745" spans="2:7" ht="32.25" customHeight="1" x14ac:dyDescent="0.35">
      <c r="B5745" s="73"/>
      <c r="C5745" s="73"/>
      <c r="D5745" s="73"/>
      <c r="E5745" s="73"/>
      <c r="F5745" s="73"/>
      <c r="G5745" s="73"/>
    </row>
    <row r="5746" spans="2:7" ht="32.25" customHeight="1" x14ac:dyDescent="0.35">
      <c r="B5746" s="73"/>
      <c r="C5746" s="73"/>
      <c r="D5746" s="73"/>
      <c r="E5746" s="73"/>
      <c r="F5746" s="73"/>
      <c r="G5746" s="73"/>
    </row>
    <row r="5747" spans="2:7" ht="32.25" customHeight="1" x14ac:dyDescent="0.35">
      <c r="B5747" s="73"/>
      <c r="C5747" s="73"/>
      <c r="D5747" s="73"/>
      <c r="E5747" s="73"/>
      <c r="F5747" s="73"/>
      <c r="G5747" s="73"/>
    </row>
    <row r="5748" spans="2:7" ht="32.25" customHeight="1" x14ac:dyDescent="0.35">
      <c r="B5748" s="73"/>
      <c r="C5748" s="73"/>
      <c r="D5748" s="73"/>
      <c r="E5748" s="73"/>
      <c r="F5748" s="73"/>
      <c r="G5748" s="73"/>
    </row>
    <row r="5749" spans="2:7" ht="32.25" customHeight="1" x14ac:dyDescent="0.35">
      <c r="B5749" s="73"/>
      <c r="C5749" s="73"/>
      <c r="D5749" s="73"/>
      <c r="E5749" s="73"/>
      <c r="F5749" s="73"/>
      <c r="G5749" s="73"/>
    </row>
    <row r="5750" spans="2:7" ht="32.25" customHeight="1" x14ac:dyDescent="0.35">
      <c r="B5750" s="73"/>
      <c r="C5750" s="73"/>
      <c r="D5750" s="73"/>
      <c r="E5750" s="73"/>
      <c r="F5750" s="73"/>
      <c r="G5750" s="73"/>
    </row>
    <row r="5751" spans="2:7" ht="32.25" customHeight="1" x14ac:dyDescent="0.35">
      <c r="B5751" s="73"/>
      <c r="C5751" s="73"/>
      <c r="D5751" s="73"/>
      <c r="E5751" s="73"/>
      <c r="F5751" s="73"/>
      <c r="G5751" s="73"/>
    </row>
    <row r="5752" spans="2:7" ht="32.25" customHeight="1" x14ac:dyDescent="0.35">
      <c r="B5752" s="73"/>
      <c r="C5752" s="73"/>
      <c r="D5752" s="73"/>
      <c r="E5752" s="73"/>
      <c r="F5752" s="73"/>
      <c r="G5752" s="73"/>
    </row>
    <row r="5753" spans="2:7" ht="32.25" customHeight="1" x14ac:dyDescent="0.35">
      <c r="B5753" s="73"/>
      <c r="C5753" s="73"/>
      <c r="D5753" s="73"/>
      <c r="E5753" s="73"/>
      <c r="F5753" s="73"/>
      <c r="G5753" s="73"/>
    </row>
    <row r="5754" spans="2:7" ht="32.25" customHeight="1" x14ac:dyDescent="0.35">
      <c r="B5754" s="73"/>
      <c r="C5754" s="73"/>
      <c r="D5754" s="73"/>
      <c r="E5754" s="73"/>
      <c r="F5754" s="73"/>
      <c r="G5754" s="73"/>
    </row>
    <row r="5755" spans="2:7" ht="32.25" customHeight="1" x14ac:dyDescent="0.35">
      <c r="B5755" s="73"/>
      <c r="C5755" s="73"/>
      <c r="D5755" s="73"/>
      <c r="E5755" s="73"/>
      <c r="F5755" s="73"/>
      <c r="G5755" s="73"/>
    </row>
    <row r="5756" spans="2:7" ht="32.25" customHeight="1" x14ac:dyDescent="0.35">
      <c r="B5756" s="73"/>
      <c r="C5756" s="73"/>
      <c r="D5756" s="73"/>
      <c r="E5756" s="73"/>
      <c r="F5756" s="73"/>
      <c r="G5756" s="73"/>
    </row>
    <row r="5757" spans="2:7" ht="32.25" customHeight="1" x14ac:dyDescent="0.35">
      <c r="B5757" s="73"/>
      <c r="C5757" s="73"/>
      <c r="D5757" s="73"/>
      <c r="E5757" s="73"/>
      <c r="F5757" s="73"/>
      <c r="G5757" s="73"/>
    </row>
    <row r="5758" spans="2:7" ht="32.25" customHeight="1" x14ac:dyDescent="0.35">
      <c r="B5758" s="73"/>
      <c r="C5758" s="73"/>
      <c r="D5758" s="73"/>
      <c r="E5758" s="73"/>
      <c r="F5758" s="73"/>
      <c r="G5758" s="73"/>
    </row>
    <row r="5759" spans="2:7" ht="32.25" customHeight="1" x14ac:dyDescent="0.35">
      <c r="B5759" s="73"/>
      <c r="C5759" s="73"/>
      <c r="D5759" s="73"/>
      <c r="E5759" s="73"/>
      <c r="F5759" s="73"/>
      <c r="G5759" s="73"/>
    </row>
    <row r="5760" spans="2:7" ht="32.25" customHeight="1" x14ac:dyDescent="0.35">
      <c r="B5760" s="73"/>
      <c r="C5760" s="73"/>
      <c r="D5760" s="73"/>
      <c r="E5760" s="73"/>
      <c r="F5760" s="73"/>
      <c r="G5760" s="73"/>
    </row>
    <row r="5761" spans="2:7" ht="32.25" customHeight="1" x14ac:dyDescent="0.35">
      <c r="B5761" s="73"/>
      <c r="C5761" s="73"/>
      <c r="D5761" s="73"/>
      <c r="E5761" s="73"/>
      <c r="F5761" s="73"/>
      <c r="G5761" s="73"/>
    </row>
    <row r="5762" spans="2:7" ht="32.25" customHeight="1" x14ac:dyDescent="0.35">
      <c r="B5762" s="73"/>
      <c r="C5762" s="73"/>
      <c r="D5762" s="73"/>
      <c r="E5762" s="73"/>
      <c r="F5762" s="73"/>
      <c r="G5762" s="73"/>
    </row>
    <row r="5763" spans="2:7" ht="32.25" customHeight="1" x14ac:dyDescent="0.35">
      <c r="B5763" s="73"/>
      <c r="C5763" s="73"/>
      <c r="D5763" s="73"/>
      <c r="E5763" s="73"/>
      <c r="F5763" s="73"/>
      <c r="G5763" s="73"/>
    </row>
    <row r="5764" spans="2:7" ht="32.25" customHeight="1" x14ac:dyDescent="0.35">
      <c r="B5764" s="73"/>
      <c r="C5764" s="73"/>
      <c r="D5764" s="73"/>
      <c r="E5764" s="73"/>
      <c r="F5764" s="73"/>
      <c r="G5764" s="73"/>
    </row>
    <row r="5765" spans="2:7" ht="32.25" customHeight="1" x14ac:dyDescent="0.35">
      <c r="B5765" s="73"/>
      <c r="C5765" s="73"/>
      <c r="D5765" s="73"/>
      <c r="E5765" s="73"/>
      <c r="F5765" s="73"/>
      <c r="G5765" s="73"/>
    </row>
    <row r="5766" spans="2:7" ht="32.25" customHeight="1" x14ac:dyDescent="0.35">
      <c r="B5766" s="73"/>
      <c r="C5766" s="73"/>
      <c r="D5766" s="73"/>
      <c r="E5766" s="73"/>
      <c r="F5766" s="73"/>
      <c r="G5766" s="73"/>
    </row>
    <row r="5767" spans="2:7" ht="32.25" customHeight="1" x14ac:dyDescent="0.35">
      <c r="B5767" s="73"/>
      <c r="C5767" s="73"/>
      <c r="D5767" s="73"/>
      <c r="E5767" s="73"/>
      <c r="F5767" s="73"/>
      <c r="G5767" s="73"/>
    </row>
    <row r="5768" spans="2:7" ht="32.25" customHeight="1" x14ac:dyDescent="0.35">
      <c r="B5768" s="73"/>
      <c r="C5768" s="73"/>
      <c r="D5768" s="73"/>
      <c r="E5768" s="73"/>
      <c r="F5768" s="73"/>
      <c r="G5768" s="73"/>
    </row>
    <row r="5769" spans="2:7" ht="32.25" customHeight="1" x14ac:dyDescent="0.35">
      <c r="B5769" s="73"/>
      <c r="C5769" s="73"/>
      <c r="D5769" s="73"/>
      <c r="E5769" s="73"/>
      <c r="F5769" s="73"/>
      <c r="G5769" s="73"/>
    </row>
    <row r="5770" spans="2:7" ht="32.25" customHeight="1" x14ac:dyDescent="0.35">
      <c r="B5770" s="73"/>
      <c r="C5770" s="73"/>
      <c r="D5770" s="73"/>
      <c r="E5770" s="73"/>
      <c r="F5770" s="73"/>
      <c r="G5770" s="73"/>
    </row>
    <row r="5771" spans="2:7" ht="32.25" customHeight="1" x14ac:dyDescent="0.35">
      <c r="B5771" s="73"/>
      <c r="C5771" s="73"/>
      <c r="D5771" s="73"/>
      <c r="E5771" s="73"/>
      <c r="F5771" s="73"/>
      <c r="G5771" s="73"/>
    </row>
    <row r="5772" spans="2:7" ht="32.25" customHeight="1" x14ac:dyDescent="0.35">
      <c r="B5772" s="73"/>
      <c r="C5772" s="73"/>
      <c r="D5772" s="73"/>
      <c r="E5772" s="73"/>
      <c r="F5772" s="73"/>
      <c r="G5772" s="73"/>
    </row>
    <row r="5773" spans="2:7" ht="32.25" customHeight="1" x14ac:dyDescent="0.35">
      <c r="B5773" s="73"/>
      <c r="C5773" s="73"/>
      <c r="D5773" s="73"/>
      <c r="E5773" s="73"/>
      <c r="F5773" s="73"/>
      <c r="G5773" s="73"/>
    </row>
    <row r="5774" spans="2:7" ht="32.25" customHeight="1" x14ac:dyDescent="0.35">
      <c r="B5774" s="73"/>
      <c r="C5774" s="73"/>
      <c r="D5774" s="73"/>
      <c r="E5774" s="73"/>
      <c r="F5774" s="73"/>
      <c r="G5774" s="73"/>
    </row>
    <row r="5775" spans="2:7" ht="32.25" customHeight="1" x14ac:dyDescent="0.35">
      <c r="B5775" s="73"/>
      <c r="C5775" s="73"/>
      <c r="D5775" s="73"/>
      <c r="E5775" s="73"/>
      <c r="F5775" s="73"/>
      <c r="G5775" s="73"/>
    </row>
    <row r="5776" spans="2:7" ht="32.25" customHeight="1" x14ac:dyDescent="0.35">
      <c r="B5776" s="73"/>
      <c r="C5776" s="73"/>
      <c r="D5776" s="73"/>
      <c r="E5776" s="73"/>
      <c r="F5776" s="73"/>
      <c r="G5776" s="73"/>
    </row>
    <row r="5777" spans="2:7" ht="32.25" customHeight="1" x14ac:dyDescent="0.35">
      <c r="B5777" s="73"/>
      <c r="C5777" s="73"/>
      <c r="D5777" s="73"/>
      <c r="E5777" s="73"/>
      <c r="F5777" s="73"/>
      <c r="G5777" s="73"/>
    </row>
    <row r="5778" spans="2:7" ht="32.25" customHeight="1" x14ac:dyDescent="0.35">
      <c r="B5778" s="73"/>
      <c r="C5778" s="73"/>
      <c r="D5778" s="73"/>
      <c r="E5778" s="73"/>
      <c r="F5778" s="73"/>
      <c r="G5778" s="73"/>
    </row>
    <row r="5779" spans="2:7" ht="32.25" customHeight="1" x14ac:dyDescent="0.35">
      <c r="B5779" s="73"/>
      <c r="C5779" s="73"/>
      <c r="D5779" s="73"/>
      <c r="E5779" s="73"/>
      <c r="F5779" s="73"/>
      <c r="G5779" s="73"/>
    </row>
    <row r="5780" spans="2:7" ht="32.25" customHeight="1" x14ac:dyDescent="0.35">
      <c r="B5780" s="73"/>
      <c r="C5780" s="73"/>
      <c r="D5780" s="73"/>
      <c r="E5780" s="73"/>
      <c r="F5780" s="73"/>
      <c r="G5780" s="73"/>
    </row>
    <row r="5781" spans="2:7" ht="32.25" customHeight="1" x14ac:dyDescent="0.35">
      <c r="B5781" s="73"/>
      <c r="C5781" s="73"/>
      <c r="D5781" s="73"/>
      <c r="E5781" s="73"/>
      <c r="F5781" s="73"/>
      <c r="G5781" s="73"/>
    </row>
    <row r="5782" spans="2:7" ht="32.25" customHeight="1" x14ac:dyDescent="0.35">
      <c r="B5782" s="73"/>
      <c r="C5782" s="73"/>
      <c r="D5782" s="73"/>
      <c r="E5782" s="73"/>
      <c r="F5782" s="73"/>
      <c r="G5782" s="73"/>
    </row>
    <row r="5783" spans="2:7" ht="32.25" customHeight="1" x14ac:dyDescent="0.35">
      <c r="B5783" s="73"/>
      <c r="C5783" s="73"/>
      <c r="D5783" s="73"/>
      <c r="E5783" s="73"/>
      <c r="F5783" s="73"/>
      <c r="G5783" s="73"/>
    </row>
    <row r="5784" spans="2:7" ht="32.25" customHeight="1" x14ac:dyDescent="0.35">
      <c r="B5784" s="73"/>
      <c r="C5784" s="73"/>
      <c r="D5784" s="73"/>
      <c r="E5784" s="73"/>
      <c r="F5784" s="73"/>
      <c r="G5784" s="73"/>
    </row>
    <row r="5785" spans="2:7" ht="32.25" customHeight="1" x14ac:dyDescent="0.35">
      <c r="B5785" s="73"/>
      <c r="C5785" s="73"/>
      <c r="D5785" s="73"/>
      <c r="E5785" s="73"/>
      <c r="F5785" s="73"/>
      <c r="G5785" s="73"/>
    </row>
    <row r="5786" spans="2:7" ht="32.25" customHeight="1" x14ac:dyDescent="0.35">
      <c r="B5786" s="73"/>
      <c r="C5786" s="73"/>
      <c r="D5786" s="73"/>
      <c r="E5786" s="73"/>
      <c r="F5786" s="73"/>
      <c r="G5786" s="73"/>
    </row>
    <row r="5787" spans="2:7" ht="32.25" customHeight="1" x14ac:dyDescent="0.35">
      <c r="B5787" s="73"/>
      <c r="C5787" s="73"/>
      <c r="D5787" s="73"/>
      <c r="E5787" s="73"/>
      <c r="F5787" s="73"/>
      <c r="G5787" s="73"/>
    </row>
    <row r="5788" spans="2:7" ht="32.25" customHeight="1" x14ac:dyDescent="0.35">
      <c r="B5788" s="73"/>
      <c r="C5788" s="73"/>
      <c r="D5788" s="73"/>
      <c r="E5788" s="73"/>
      <c r="F5788" s="73"/>
      <c r="G5788" s="73"/>
    </row>
    <row r="5789" spans="2:7" ht="32.25" customHeight="1" x14ac:dyDescent="0.35">
      <c r="B5789" s="73"/>
      <c r="C5789" s="73"/>
      <c r="D5789" s="73"/>
      <c r="E5789" s="73"/>
      <c r="F5789" s="73"/>
      <c r="G5789" s="73"/>
    </row>
    <row r="5790" spans="2:7" ht="32.25" customHeight="1" x14ac:dyDescent="0.35">
      <c r="B5790" s="73"/>
      <c r="C5790" s="73"/>
      <c r="D5790" s="73"/>
      <c r="E5790" s="73"/>
      <c r="F5790" s="73"/>
      <c r="G5790" s="73"/>
    </row>
    <row r="5791" spans="2:7" ht="32.25" customHeight="1" x14ac:dyDescent="0.35">
      <c r="B5791" s="73"/>
      <c r="C5791" s="73"/>
      <c r="D5791" s="73"/>
      <c r="E5791" s="73"/>
      <c r="F5791" s="73"/>
      <c r="G5791" s="73"/>
    </row>
    <row r="5792" spans="2:7" ht="32.25" customHeight="1" x14ac:dyDescent="0.35">
      <c r="B5792" s="73"/>
      <c r="C5792" s="73"/>
      <c r="D5792" s="73"/>
      <c r="E5792" s="73"/>
      <c r="F5792" s="73"/>
      <c r="G5792" s="73"/>
    </row>
    <row r="5793" spans="2:7" ht="32.25" customHeight="1" x14ac:dyDescent="0.35">
      <c r="B5793" s="73"/>
      <c r="C5793" s="73"/>
      <c r="D5793" s="73"/>
      <c r="E5793" s="73"/>
      <c r="F5793" s="73"/>
      <c r="G5793" s="73"/>
    </row>
    <row r="5794" spans="2:7" ht="32.25" customHeight="1" x14ac:dyDescent="0.35">
      <c r="B5794" s="73"/>
      <c r="C5794" s="73"/>
      <c r="D5794" s="73"/>
      <c r="E5794" s="73"/>
      <c r="F5794" s="73"/>
      <c r="G5794" s="73"/>
    </row>
    <row r="5795" spans="2:7" ht="32.25" customHeight="1" x14ac:dyDescent="0.35">
      <c r="B5795" s="73"/>
      <c r="C5795" s="73"/>
      <c r="D5795" s="73"/>
      <c r="E5795" s="73"/>
      <c r="F5795" s="73"/>
      <c r="G5795" s="73"/>
    </row>
    <row r="5796" spans="2:7" ht="32.25" customHeight="1" x14ac:dyDescent="0.35">
      <c r="B5796" s="73"/>
      <c r="C5796" s="73"/>
      <c r="D5796" s="73"/>
      <c r="E5796" s="73"/>
      <c r="F5796" s="73"/>
      <c r="G5796" s="73"/>
    </row>
    <row r="5797" spans="2:7" ht="32.25" customHeight="1" x14ac:dyDescent="0.35">
      <c r="B5797" s="73"/>
      <c r="C5797" s="73"/>
      <c r="D5797" s="73"/>
      <c r="E5797" s="73"/>
      <c r="F5797" s="73"/>
      <c r="G5797" s="73"/>
    </row>
    <row r="5798" spans="2:7" ht="32.25" customHeight="1" x14ac:dyDescent="0.35">
      <c r="B5798" s="73"/>
      <c r="C5798" s="73"/>
      <c r="D5798" s="73"/>
      <c r="E5798" s="73"/>
      <c r="F5798" s="73"/>
      <c r="G5798" s="73"/>
    </row>
    <row r="5799" spans="2:7" ht="32.25" customHeight="1" x14ac:dyDescent="0.35">
      <c r="B5799" s="73"/>
      <c r="C5799" s="73"/>
      <c r="D5799" s="73"/>
      <c r="E5799" s="73"/>
      <c r="F5799" s="73"/>
      <c r="G5799" s="73"/>
    </row>
    <row r="5800" spans="2:7" ht="32.25" customHeight="1" x14ac:dyDescent="0.35">
      <c r="B5800" s="73"/>
      <c r="C5800" s="73"/>
      <c r="D5800" s="73"/>
      <c r="E5800" s="73"/>
      <c r="F5800" s="73"/>
      <c r="G5800" s="73"/>
    </row>
    <row r="5801" spans="2:7" ht="32.25" customHeight="1" x14ac:dyDescent="0.35">
      <c r="B5801" s="73"/>
      <c r="C5801" s="73"/>
      <c r="D5801" s="73"/>
      <c r="E5801" s="73"/>
      <c r="F5801" s="73"/>
      <c r="G5801" s="73"/>
    </row>
    <row r="5802" spans="2:7" ht="32.25" customHeight="1" x14ac:dyDescent="0.35">
      <c r="B5802" s="73"/>
      <c r="C5802" s="73"/>
      <c r="D5802" s="73"/>
      <c r="E5802" s="73"/>
      <c r="F5802" s="73"/>
      <c r="G5802" s="73"/>
    </row>
    <row r="5803" spans="2:7" ht="32.25" customHeight="1" x14ac:dyDescent="0.35">
      <c r="B5803" s="73"/>
      <c r="C5803" s="73"/>
      <c r="D5803" s="73"/>
      <c r="E5803" s="73"/>
      <c r="F5803" s="73"/>
      <c r="G5803" s="73"/>
    </row>
    <row r="5804" spans="2:7" ht="32.25" customHeight="1" x14ac:dyDescent="0.35">
      <c r="B5804" s="73"/>
      <c r="C5804" s="73"/>
      <c r="D5804" s="73"/>
      <c r="E5804" s="73"/>
      <c r="F5804" s="73"/>
      <c r="G5804" s="73"/>
    </row>
    <row r="5805" spans="2:7" ht="32.25" customHeight="1" x14ac:dyDescent="0.35">
      <c r="B5805" s="73"/>
      <c r="C5805" s="73"/>
      <c r="D5805" s="73"/>
      <c r="E5805" s="73"/>
      <c r="F5805" s="73"/>
      <c r="G5805" s="73"/>
    </row>
    <row r="5806" spans="2:7" ht="32.25" customHeight="1" x14ac:dyDescent="0.35">
      <c r="B5806" s="73"/>
      <c r="C5806" s="73"/>
      <c r="D5806" s="73"/>
      <c r="E5806" s="73"/>
      <c r="F5806" s="73"/>
      <c r="G5806" s="73"/>
    </row>
    <row r="5807" spans="2:7" ht="32.25" customHeight="1" x14ac:dyDescent="0.35">
      <c r="B5807" s="73"/>
      <c r="C5807" s="73"/>
      <c r="D5807" s="73"/>
      <c r="E5807" s="73"/>
      <c r="F5807" s="73"/>
      <c r="G5807" s="73"/>
    </row>
    <row r="5808" spans="2:7" ht="32.25" customHeight="1" x14ac:dyDescent="0.35">
      <c r="B5808" s="73"/>
      <c r="C5808" s="73"/>
      <c r="D5808" s="73"/>
      <c r="E5808" s="73"/>
      <c r="F5808" s="73"/>
      <c r="G5808" s="73"/>
    </row>
    <row r="5809" spans="2:7" ht="32.25" customHeight="1" x14ac:dyDescent="0.35">
      <c r="B5809" s="73"/>
      <c r="C5809" s="73"/>
      <c r="D5809" s="73"/>
      <c r="E5809" s="73"/>
      <c r="F5809" s="73"/>
      <c r="G5809" s="73"/>
    </row>
    <row r="5810" spans="2:7" ht="32.25" customHeight="1" x14ac:dyDescent="0.35">
      <c r="B5810" s="73"/>
      <c r="C5810" s="73"/>
      <c r="D5810" s="73"/>
      <c r="E5810" s="73"/>
      <c r="F5810" s="73"/>
      <c r="G5810" s="73"/>
    </row>
    <row r="5811" spans="2:7" ht="32.25" customHeight="1" x14ac:dyDescent="0.35">
      <c r="B5811" s="73"/>
      <c r="C5811" s="73"/>
      <c r="D5811" s="73"/>
      <c r="E5811" s="73"/>
      <c r="F5811" s="73"/>
      <c r="G5811" s="73"/>
    </row>
    <row r="5812" spans="2:7" ht="32.25" customHeight="1" x14ac:dyDescent="0.35">
      <c r="B5812" s="73"/>
      <c r="C5812" s="73"/>
      <c r="D5812" s="73"/>
      <c r="E5812" s="73"/>
      <c r="F5812" s="73"/>
      <c r="G5812" s="73"/>
    </row>
    <row r="5813" spans="2:7" ht="32.25" customHeight="1" x14ac:dyDescent="0.35">
      <c r="B5813" s="73"/>
      <c r="C5813" s="73"/>
      <c r="D5813" s="73"/>
      <c r="E5813" s="73"/>
      <c r="F5813" s="73"/>
      <c r="G5813" s="73"/>
    </row>
    <row r="5814" spans="2:7" ht="32.25" customHeight="1" x14ac:dyDescent="0.35">
      <c r="B5814" s="73"/>
      <c r="C5814" s="73"/>
      <c r="D5814" s="73"/>
      <c r="E5814" s="73"/>
      <c r="F5814" s="73"/>
      <c r="G5814" s="73"/>
    </row>
    <row r="5815" spans="2:7" ht="32.25" customHeight="1" x14ac:dyDescent="0.35">
      <c r="B5815" s="73"/>
      <c r="C5815" s="73"/>
      <c r="D5815" s="73"/>
      <c r="E5815" s="73"/>
      <c r="F5815" s="73"/>
      <c r="G5815" s="73"/>
    </row>
    <row r="5816" spans="2:7" ht="32.25" customHeight="1" x14ac:dyDescent="0.35">
      <c r="B5816" s="73"/>
      <c r="C5816" s="73"/>
      <c r="D5816" s="73"/>
      <c r="E5816" s="73"/>
      <c r="F5816" s="73"/>
      <c r="G5816" s="73"/>
    </row>
    <row r="5817" spans="2:7" ht="32.25" customHeight="1" x14ac:dyDescent="0.35">
      <c r="B5817" s="73"/>
      <c r="C5817" s="73"/>
      <c r="D5817" s="73"/>
      <c r="E5817" s="73"/>
      <c r="F5817" s="73"/>
      <c r="G5817" s="73"/>
    </row>
    <row r="5818" spans="2:7" ht="32.25" customHeight="1" x14ac:dyDescent="0.35">
      <c r="B5818" s="73"/>
      <c r="C5818" s="73"/>
      <c r="D5818" s="73"/>
      <c r="E5818" s="73"/>
      <c r="F5818" s="73"/>
      <c r="G5818" s="73"/>
    </row>
    <row r="5819" spans="2:7" ht="32.25" customHeight="1" x14ac:dyDescent="0.35">
      <c r="B5819" s="73"/>
      <c r="C5819" s="73"/>
      <c r="D5819" s="73"/>
      <c r="E5819" s="73"/>
      <c r="F5819" s="73"/>
      <c r="G5819" s="73"/>
    </row>
    <row r="5820" spans="2:7" ht="32.25" customHeight="1" x14ac:dyDescent="0.35">
      <c r="B5820" s="73"/>
      <c r="C5820" s="73"/>
      <c r="D5820" s="73"/>
      <c r="E5820" s="73"/>
      <c r="F5820" s="73"/>
      <c r="G5820" s="73"/>
    </row>
    <row r="5821" spans="2:7" ht="32.25" customHeight="1" x14ac:dyDescent="0.35">
      <c r="B5821" s="73"/>
      <c r="C5821" s="73"/>
      <c r="D5821" s="73"/>
      <c r="E5821" s="73"/>
      <c r="F5821" s="73"/>
      <c r="G5821" s="73"/>
    </row>
    <row r="5822" spans="2:7" ht="32.25" customHeight="1" x14ac:dyDescent="0.35">
      <c r="B5822" s="73"/>
      <c r="C5822" s="73"/>
      <c r="D5822" s="73"/>
      <c r="E5822" s="73"/>
      <c r="F5822" s="73"/>
      <c r="G5822" s="73"/>
    </row>
    <row r="5823" spans="2:7" ht="32.25" customHeight="1" x14ac:dyDescent="0.35">
      <c r="B5823" s="73"/>
      <c r="C5823" s="73"/>
      <c r="D5823" s="73"/>
      <c r="E5823" s="73"/>
      <c r="F5823" s="73"/>
      <c r="G5823" s="73"/>
    </row>
    <row r="5824" spans="2:7" ht="32.25" customHeight="1" x14ac:dyDescent="0.35">
      <c r="B5824" s="73"/>
      <c r="C5824" s="73"/>
      <c r="D5824" s="73"/>
      <c r="E5824" s="73"/>
      <c r="F5824" s="73"/>
      <c r="G5824" s="73"/>
    </row>
    <row r="5825" spans="2:7" ht="32.25" customHeight="1" x14ac:dyDescent="0.35">
      <c r="B5825" s="73"/>
      <c r="C5825" s="73"/>
      <c r="D5825" s="73"/>
      <c r="E5825" s="73"/>
      <c r="F5825" s="73"/>
      <c r="G5825" s="73"/>
    </row>
    <row r="5826" spans="2:7" ht="32.25" customHeight="1" x14ac:dyDescent="0.35">
      <c r="B5826" s="73"/>
      <c r="C5826" s="73"/>
      <c r="D5826" s="73"/>
      <c r="E5826" s="73"/>
      <c r="F5826" s="73"/>
      <c r="G5826" s="73"/>
    </row>
    <row r="5827" spans="2:7" ht="32.25" customHeight="1" x14ac:dyDescent="0.35">
      <c r="B5827" s="73"/>
      <c r="C5827" s="73"/>
      <c r="D5827" s="73"/>
      <c r="E5827" s="73"/>
      <c r="F5827" s="73"/>
      <c r="G5827" s="73"/>
    </row>
    <row r="5828" spans="2:7" ht="32.25" customHeight="1" x14ac:dyDescent="0.35">
      <c r="B5828" s="73"/>
      <c r="C5828" s="73"/>
      <c r="D5828" s="73"/>
      <c r="E5828" s="73"/>
      <c r="F5828" s="73"/>
      <c r="G5828" s="73"/>
    </row>
    <row r="5829" spans="2:7" ht="32.25" customHeight="1" x14ac:dyDescent="0.35">
      <c r="B5829" s="73"/>
      <c r="C5829" s="73"/>
      <c r="D5829" s="73"/>
      <c r="E5829" s="73"/>
      <c r="F5829" s="73"/>
      <c r="G5829" s="73"/>
    </row>
    <row r="5830" spans="2:7" ht="32.25" customHeight="1" x14ac:dyDescent="0.35">
      <c r="B5830" s="73"/>
      <c r="C5830" s="73"/>
      <c r="D5830" s="73"/>
      <c r="E5830" s="73"/>
      <c r="F5830" s="73"/>
      <c r="G5830" s="73"/>
    </row>
    <row r="5831" spans="2:7" ht="32.25" customHeight="1" x14ac:dyDescent="0.35">
      <c r="B5831" s="73"/>
      <c r="C5831" s="73"/>
      <c r="D5831" s="73"/>
      <c r="E5831" s="73"/>
      <c r="F5831" s="73"/>
      <c r="G5831" s="73"/>
    </row>
    <row r="5832" spans="2:7" ht="32.25" customHeight="1" x14ac:dyDescent="0.35">
      <c r="B5832" s="73"/>
      <c r="C5832" s="73"/>
      <c r="D5832" s="73"/>
      <c r="E5832" s="73"/>
      <c r="F5832" s="73"/>
      <c r="G5832" s="73"/>
    </row>
    <row r="5833" spans="2:7" ht="32.25" customHeight="1" x14ac:dyDescent="0.35">
      <c r="B5833" s="73"/>
      <c r="C5833" s="73"/>
      <c r="D5833" s="73"/>
      <c r="E5833" s="73"/>
      <c r="F5833" s="73"/>
      <c r="G5833" s="73"/>
    </row>
    <row r="5834" spans="2:7" ht="32.25" customHeight="1" x14ac:dyDescent="0.35">
      <c r="B5834" s="73"/>
      <c r="C5834" s="73"/>
      <c r="D5834" s="73"/>
      <c r="E5834" s="73"/>
      <c r="F5834" s="73"/>
      <c r="G5834" s="73"/>
    </row>
    <row r="5835" spans="2:7" ht="32.25" customHeight="1" x14ac:dyDescent="0.35">
      <c r="B5835" s="73"/>
      <c r="C5835" s="73"/>
      <c r="D5835" s="73"/>
      <c r="E5835" s="73"/>
      <c r="F5835" s="73"/>
      <c r="G5835" s="73"/>
    </row>
    <row r="5836" spans="2:7" ht="32.25" customHeight="1" x14ac:dyDescent="0.35">
      <c r="B5836" s="73"/>
      <c r="C5836" s="73"/>
      <c r="D5836" s="73"/>
      <c r="E5836" s="73"/>
      <c r="F5836" s="73"/>
      <c r="G5836" s="73"/>
    </row>
    <row r="5837" spans="2:7" ht="32.25" customHeight="1" x14ac:dyDescent="0.35">
      <c r="B5837" s="73"/>
      <c r="C5837" s="73"/>
      <c r="D5837" s="73"/>
      <c r="E5837" s="73"/>
      <c r="F5837" s="73"/>
      <c r="G5837" s="73"/>
    </row>
    <row r="5838" spans="2:7" ht="32.25" customHeight="1" x14ac:dyDescent="0.35">
      <c r="B5838" s="73"/>
      <c r="C5838" s="73"/>
      <c r="D5838" s="73"/>
      <c r="E5838" s="73"/>
      <c r="F5838" s="73"/>
      <c r="G5838" s="73"/>
    </row>
    <row r="5839" spans="2:7" ht="32.25" customHeight="1" x14ac:dyDescent="0.35">
      <c r="B5839" s="73"/>
      <c r="C5839" s="73"/>
      <c r="D5839" s="73"/>
      <c r="E5839" s="73"/>
      <c r="F5839" s="73"/>
      <c r="G5839" s="73"/>
    </row>
    <row r="5840" spans="2:7" ht="32.25" customHeight="1" x14ac:dyDescent="0.35">
      <c r="B5840" s="73"/>
      <c r="C5840" s="73"/>
      <c r="D5840" s="73"/>
      <c r="E5840" s="73"/>
      <c r="F5840" s="73"/>
      <c r="G5840" s="73"/>
    </row>
    <row r="5841" spans="2:7" ht="32.25" customHeight="1" x14ac:dyDescent="0.35">
      <c r="B5841" s="73"/>
      <c r="C5841" s="73"/>
      <c r="D5841" s="73"/>
      <c r="E5841" s="73"/>
      <c r="F5841" s="73"/>
      <c r="G5841" s="73"/>
    </row>
    <row r="5842" spans="2:7" ht="32.25" customHeight="1" x14ac:dyDescent="0.35">
      <c r="B5842" s="73"/>
      <c r="C5842" s="73"/>
      <c r="D5842" s="73"/>
      <c r="E5842" s="73"/>
      <c r="F5842" s="73"/>
      <c r="G5842" s="73"/>
    </row>
    <row r="5843" spans="2:7" ht="32.25" customHeight="1" x14ac:dyDescent="0.35">
      <c r="B5843" s="73"/>
      <c r="C5843" s="73"/>
      <c r="D5843" s="73"/>
      <c r="E5843" s="73"/>
      <c r="F5843" s="73"/>
      <c r="G5843" s="73"/>
    </row>
    <row r="5844" spans="2:7" ht="32.25" customHeight="1" x14ac:dyDescent="0.35">
      <c r="B5844" s="73"/>
      <c r="C5844" s="73"/>
      <c r="D5844" s="73"/>
      <c r="E5844" s="73"/>
      <c r="F5844" s="73"/>
      <c r="G5844" s="73"/>
    </row>
    <row r="5845" spans="2:7" ht="32.25" customHeight="1" x14ac:dyDescent="0.35">
      <c r="B5845" s="73"/>
      <c r="C5845" s="73"/>
      <c r="D5845" s="73"/>
      <c r="E5845" s="73"/>
      <c r="F5845" s="73"/>
      <c r="G5845" s="73"/>
    </row>
    <row r="5846" spans="2:7" ht="32.25" customHeight="1" x14ac:dyDescent="0.35">
      <c r="B5846" s="73"/>
      <c r="C5846" s="73"/>
      <c r="D5846" s="73"/>
      <c r="E5846" s="73"/>
      <c r="F5846" s="73"/>
      <c r="G5846" s="73"/>
    </row>
    <row r="5847" spans="2:7" ht="32.25" customHeight="1" x14ac:dyDescent="0.35">
      <c r="B5847" s="73"/>
      <c r="C5847" s="73"/>
      <c r="D5847" s="73"/>
      <c r="E5847" s="73"/>
      <c r="F5847" s="73"/>
      <c r="G5847" s="73"/>
    </row>
    <row r="5848" spans="2:7" ht="32.25" customHeight="1" x14ac:dyDescent="0.35">
      <c r="B5848" s="73"/>
      <c r="C5848" s="73"/>
      <c r="D5848" s="73"/>
      <c r="E5848" s="73"/>
      <c r="F5848" s="73"/>
      <c r="G5848" s="73"/>
    </row>
    <row r="5849" spans="2:7" ht="32.25" customHeight="1" x14ac:dyDescent="0.35">
      <c r="B5849" s="73"/>
      <c r="C5849" s="73"/>
      <c r="D5849" s="73"/>
      <c r="E5849" s="73"/>
      <c r="F5849" s="73"/>
      <c r="G5849" s="73"/>
    </row>
    <row r="5850" spans="2:7" ht="32.25" customHeight="1" x14ac:dyDescent="0.35">
      <c r="B5850" s="73"/>
      <c r="C5850" s="73"/>
      <c r="D5850" s="73"/>
      <c r="E5850" s="73"/>
      <c r="F5850" s="73"/>
      <c r="G5850" s="73"/>
    </row>
    <row r="5851" spans="2:7" ht="32.25" customHeight="1" x14ac:dyDescent="0.35">
      <c r="B5851" s="73"/>
      <c r="C5851" s="73"/>
      <c r="D5851" s="73"/>
      <c r="E5851" s="73"/>
      <c r="F5851" s="73"/>
      <c r="G5851" s="73"/>
    </row>
    <row r="5852" spans="2:7" ht="32.25" customHeight="1" x14ac:dyDescent="0.35">
      <c r="B5852" s="73"/>
      <c r="C5852" s="73"/>
      <c r="D5852" s="73"/>
      <c r="E5852" s="73"/>
      <c r="F5852" s="73"/>
      <c r="G5852" s="73"/>
    </row>
    <row r="5853" spans="2:7" ht="32.25" customHeight="1" x14ac:dyDescent="0.35">
      <c r="B5853" s="73"/>
      <c r="C5853" s="73"/>
      <c r="D5853" s="73"/>
      <c r="E5853" s="73"/>
      <c r="F5853" s="73"/>
      <c r="G5853" s="73"/>
    </row>
    <row r="5854" spans="2:7" ht="32.25" customHeight="1" x14ac:dyDescent="0.35">
      <c r="B5854" s="73"/>
      <c r="C5854" s="73"/>
      <c r="D5854" s="73"/>
      <c r="E5854" s="73"/>
      <c r="F5854" s="73"/>
      <c r="G5854" s="73"/>
    </row>
    <row r="5855" spans="2:7" ht="32.25" customHeight="1" x14ac:dyDescent="0.35">
      <c r="B5855" s="73"/>
      <c r="C5855" s="73"/>
      <c r="D5855" s="73"/>
      <c r="E5855" s="73"/>
      <c r="F5855" s="73"/>
      <c r="G5855" s="73"/>
    </row>
    <row r="5856" spans="2:7" ht="32.25" customHeight="1" x14ac:dyDescent="0.35">
      <c r="B5856" s="73"/>
      <c r="C5856" s="73"/>
      <c r="D5856" s="73"/>
      <c r="E5856" s="73"/>
      <c r="F5856" s="73"/>
      <c r="G5856" s="73"/>
    </row>
    <row r="5857" spans="2:7" ht="32.25" customHeight="1" x14ac:dyDescent="0.35">
      <c r="B5857" s="73"/>
      <c r="C5857" s="73"/>
      <c r="D5857" s="73"/>
      <c r="E5857" s="73"/>
      <c r="F5857" s="73"/>
      <c r="G5857" s="73"/>
    </row>
    <row r="5858" spans="2:7" ht="32.25" customHeight="1" x14ac:dyDescent="0.35">
      <c r="B5858" s="73"/>
      <c r="C5858" s="73"/>
      <c r="D5858" s="73"/>
      <c r="E5858" s="73"/>
      <c r="F5858" s="73"/>
      <c r="G5858" s="73"/>
    </row>
    <row r="5859" spans="2:7" ht="32.25" customHeight="1" x14ac:dyDescent="0.35">
      <c r="B5859" s="73"/>
      <c r="C5859" s="73"/>
      <c r="D5859" s="73"/>
      <c r="E5859" s="73"/>
      <c r="F5859" s="73"/>
      <c r="G5859" s="73"/>
    </row>
    <row r="5860" spans="2:7" ht="32.25" customHeight="1" x14ac:dyDescent="0.35">
      <c r="B5860" s="73"/>
      <c r="C5860" s="73"/>
      <c r="D5860" s="73"/>
      <c r="E5860" s="73"/>
      <c r="F5860" s="73"/>
      <c r="G5860" s="73"/>
    </row>
    <row r="5861" spans="2:7" ht="32.25" customHeight="1" x14ac:dyDescent="0.35">
      <c r="B5861" s="73"/>
      <c r="C5861" s="73"/>
      <c r="D5861" s="73"/>
      <c r="E5861" s="73"/>
      <c r="F5861" s="73"/>
      <c r="G5861" s="73"/>
    </row>
    <row r="5862" spans="2:7" ht="32.25" customHeight="1" x14ac:dyDescent="0.35">
      <c r="B5862" s="73"/>
      <c r="C5862" s="73"/>
      <c r="D5862" s="73"/>
      <c r="E5862" s="73"/>
      <c r="F5862" s="73"/>
      <c r="G5862" s="73"/>
    </row>
    <row r="5863" spans="2:7" ht="32.25" customHeight="1" x14ac:dyDescent="0.35">
      <c r="B5863" s="73"/>
      <c r="C5863" s="73"/>
      <c r="D5863" s="73"/>
      <c r="E5863" s="73"/>
      <c r="F5863" s="73"/>
      <c r="G5863" s="73"/>
    </row>
    <row r="5864" spans="2:7" ht="32.25" customHeight="1" x14ac:dyDescent="0.35">
      <c r="B5864" s="73"/>
      <c r="C5864" s="73"/>
      <c r="D5864" s="73"/>
      <c r="E5864" s="73"/>
      <c r="F5864" s="73"/>
      <c r="G5864" s="73"/>
    </row>
    <row r="5865" spans="2:7" ht="32.25" customHeight="1" x14ac:dyDescent="0.35">
      <c r="B5865" s="73"/>
      <c r="C5865" s="73"/>
      <c r="D5865" s="73"/>
      <c r="E5865" s="73"/>
      <c r="F5865" s="73"/>
      <c r="G5865" s="73"/>
    </row>
    <row r="5866" spans="2:7" ht="32.25" customHeight="1" x14ac:dyDescent="0.35">
      <c r="B5866" s="73"/>
      <c r="C5866" s="73"/>
      <c r="D5866" s="73"/>
      <c r="E5866" s="73"/>
      <c r="F5866" s="73"/>
      <c r="G5866" s="73"/>
    </row>
    <row r="5867" spans="2:7" ht="32.25" customHeight="1" x14ac:dyDescent="0.35">
      <c r="B5867" s="73"/>
      <c r="C5867" s="73"/>
      <c r="D5867" s="73"/>
      <c r="E5867" s="73"/>
      <c r="F5867" s="73"/>
      <c r="G5867" s="73"/>
    </row>
    <row r="5868" spans="2:7" ht="32.25" customHeight="1" x14ac:dyDescent="0.35">
      <c r="B5868" s="73"/>
      <c r="C5868" s="73"/>
      <c r="D5868" s="73"/>
      <c r="E5868" s="73"/>
      <c r="F5868" s="73"/>
      <c r="G5868" s="73"/>
    </row>
    <row r="5869" spans="2:7" ht="32.25" customHeight="1" x14ac:dyDescent="0.35">
      <c r="B5869" s="73"/>
      <c r="C5869" s="73"/>
      <c r="D5869" s="73"/>
      <c r="E5869" s="73"/>
      <c r="F5869" s="73"/>
      <c r="G5869" s="73"/>
    </row>
    <row r="5870" spans="2:7" ht="32.25" customHeight="1" x14ac:dyDescent="0.35">
      <c r="B5870" s="73"/>
      <c r="C5870" s="73"/>
      <c r="D5870" s="73"/>
      <c r="E5870" s="73"/>
      <c r="F5870" s="73"/>
      <c r="G5870" s="73"/>
    </row>
    <row r="5871" spans="2:7" ht="32.25" customHeight="1" x14ac:dyDescent="0.35">
      <c r="B5871" s="73"/>
      <c r="C5871" s="73"/>
      <c r="D5871" s="73"/>
      <c r="E5871" s="73"/>
      <c r="F5871" s="73"/>
      <c r="G5871" s="73"/>
    </row>
    <row r="5872" spans="2:7" ht="32.25" customHeight="1" x14ac:dyDescent="0.35">
      <c r="B5872" s="73"/>
      <c r="C5872" s="73"/>
      <c r="D5872" s="73"/>
      <c r="E5872" s="73"/>
      <c r="F5872" s="73"/>
      <c r="G5872" s="73"/>
    </row>
    <row r="5873" spans="2:7" ht="32.25" customHeight="1" x14ac:dyDescent="0.35">
      <c r="B5873" s="73"/>
      <c r="C5873" s="73"/>
      <c r="D5873" s="73"/>
      <c r="E5873" s="73"/>
      <c r="F5873" s="73"/>
      <c r="G5873" s="73"/>
    </row>
    <row r="5874" spans="2:7" ht="32.25" customHeight="1" x14ac:dyDescent="0.35">
      <c r="B5874" s="73"/>
      <c r="C5874" s="73"/>
      <c r="D5874" s="73"/>
      <c r="E5874" s="73"/>
      <c r="F5874" s="73"/>
      <c r="G5874" s="73"/>
    </row>
    <row r="5875" spans="2:7" ht="32.25" customHeight="1" x14ac:dyDescent="0.35">
      <c r="B5875" s="73"/>
      <c r="C5875" s="73"/>
      <c r="D5875" s="73"/>
      <c r="E5875" s="73"/>
      <c r="F5875" s="73"/>
      <c r="G5875" s="73"/>
    </row>
    <row r="5876" spans="2:7" ht="32.25" customHeight="1" x14ac:dyDescent="0.35">
      <c r="B5876" s="73"/>
      <c r="C5876" s="73"/>
      <c r="D5876" s="73"/>
      <c r="E5876" s="73"/>
      <c r="F5876" s="73"/>
      <c r="G5876" s="73"/>
    </row>
    <row r="5877" spans="2:7" ht="32.25" customHeight="1" x14ac:dyDescent="0.35">
      <c r="B5877" s="73"/>
      <c r="C5877" s="73"/>
      <c r="D5877" s="73"/>
      <c r="E5877" s="73"/>
      <c r="F5877" s="73"/>
      <c r="G5877" s="73"/>
    </row>
    <row r="5878" spans="2:7" ht="32.25" customHeight="1" x14ac:dyDescent="0.35">
      <c r="B5878" s="73"/>
      <c r="C5878" s="73"/>
      <c r="D5878" s="73"/>
      <c r="E5878" s="73"/>
      <c r="F5878" s="73"/>
      <c r="G5878" s="73"/>
    </row>
    <row r="5879" spans="2:7" ht="32.25" customHeight="1" x14ac:dyDescent="0.35">
      <c r="B5879" s="73"/>
      <c r="C5879" s="73"/>
      <c r="D5879" s="73"/>
      <c r="E5879" s="73"/>
      <c r="F5879" s="73"/>
      <c r="G5879" s="73"/>
    </row>
    <row r="5880" spans="2:7" ht="32.25" customHeight="1" x14ac:dyDescent="0.35">
      <c r="B5880" s="73"/>
      <c r="C5880" s="73"/>
      <c r="D5880" s="73"/>
      <c r="E5880" s="73"/>
      <c r="F5880" s="73"/>
      <c r="G5880" s="73"/>
    </row>
    <row r="5881" spans="2:7" ht="32.25" customHeight="1" x14ac:dyDescent="0.35">
      <c r="B5881" s="73"/>
      <c r="C5881" s="73"/>
      <c r="D5881" s="73"/>
      <c r="E5881" s="73"/>
      <c r="F5881" s="73"/>
      <c r="G5881" s="73"/>
    </row>
    <row r="5882" spans="2:7" ht="32.25" customHeight="1" x14ac:dyDescent="0.35">
      <c r="B5882" s="73"/>
      <c r="C5882" s="73"/>
      <c r="D5882" s="73"/>
      <c r="E5882" s="73"/>
      <c r="F5882" s="73"/>
      <c r="G5882" s="73"/>
    </row>
    <row r="5883" spans="2:7" ht="32.25" customHeight="1" x14ac:dyDescent="0.35">
      <c r="B5883" s="73"/>
      <c r="C5883" s="73"/>
      <c r="D5883" s="73"/>
      <c r="E5883" s="73"/>
      <c r="F5883" s="73"/>
      <c r="G5883" s="73"/>
    </row>
    <row r="5884" spans="2:7" ht="32.25" customHeight="1" x14ac:dyDescent="0.35">
      <c r="B5884" s="73"/>
      <c r="C5884" s="73"/>
      <c r="D5884" s="73"/>
      <c r="E5884" s="73"/>
      <c r="F5884" s="73"/>
      <c r="G5884" s="73"/>
    </row>
    <row r="5885" spans="2:7" ht="32.25" customHeight="1" x14ac:dyDescent="0.35">
      <c r="B5885" s="73"/>
      <c r="C5885" s="73"/>
      <c r="D5885" s="73"/>
      <c r="E5885" s="73"/>
      <c r="F5885" s="73"/>
      <c r="G5885" s="73"/>
    </row>
    <row r="5886" spans="2:7" ht="32.25" customHeight="1" x14ac:dyDescent="0.35">
      <c r="B5886" s="73"/>
      <c r="C5886" s="73"/>
      <c r="D5886" s="73"/>
      <c r="E5886" s="73"/>
      <c r="F5886" s="73"/>
      <c r="G5886" s="73"/>
    </row>
    <row r="5887" spans="2:7" ht="32.25" customHeight="1" x14ac:dyDescent="0.35">
      <c r="B5887" s="73"/>
      <c r="C5887" s="73"/>
      <c r="D5887" s="73"/>
      <c r="E5887" s="73"/>
      <c r="F5887" s="73"/>
      <c r="G5887" s="73"/>
    </row>
    <row r="5888" spans="2:7" ht="32.25" customHeight="1" x14ac:dyDescent="0.35">
      <c r="B5888" s="73"/>
      <c r="C5888" s="73"/>
      <c r="D5888" s="73"/>
      <c r="E5888" s="73"/>
      <c r="F5888" s="73"/>
      <c r="G5888" s="73"/>
    </row>
    <row r="5889" spans="2:7" ht="32.25" customHeight="1" x14ac:dyDescent="0.35">
      <c r="B5889" s="73"/>
      <c r="C5889" s="73"/>
      <c r="D5889" s="73"/>
      <c r="E5889" s="73"/>
      <c r="F5889" s="73"/>
      <c r="G5889" s="73"/>
    </row>
    <row r="5890" spans="2:7" ht="32.25" customHeight="1" x14ac:dyDescent="0.35">
      <c r="B5890" s="73"/>
      <c r="C5890" s="73"/>
      <c r="D5890" s="73"/>
      <c r="E5890" s="73"/>
      <c r="F5890" s="73"/>
      <c r="G5890" s="73"/>
    </row>
    <row r="5891" spans="2:7" ht="32.25" customHeight="1" x14ac:dyDescent="0.35">
      <c r="B5891" s="73"/>
      <c r="C5891" s="73"/>
      <c r="D5891" s="73"/>
      <c r="E5891" s="73"/>
      <c r="F5891" s="73"/>
      <c r="G5891" s="73"/>
    </row>
    <row r="5892" spans="2:7" ht="32.25" customHeight="1" x14ac:dyDescent="0.35">
      <c r="B5892" s="73"/>
      <c r="C5892" s="73"/>
      <c r="D5892" s="73"/>
      <c r="E5892" s="73"/>
      <c r="F5892" s="73"/>
      <c r="G5892" s="73"/>
    </row>
    <row r="5893" spans="2:7" ht="32.25" customHeight="1" x14ac:dyDescent="0.35">
      <c r="B5893" s="73"/>
      <c r="C5893" s="73"/>
      <c r="D5893" s="73"/>
      <c r="E5893" s="73"/>
      <c r="F5893" s="73"/>
      <c r="G5893" s="73"/>
    </row>
    <row r="5894" spans="2:7" ht="32.25" customHeight="1" x14ac:dyDescent="0.35">
      <c r="B5894" s="73"/>
      <c r="C5894" s="73"/>
      <c r="D5894" s="73"/>
      <c r="E5894" s="73"/>
      <c r="F5894" s="73"/>
      <c r="G5894" s="73"/>
    </row>
    <row r="5895" spans="2:7" ht="32.25" customHeight="1" x14ac:dyDescent="0.35">
      <c r="B5895" s="73"/>
      <c r="C5895" s="73"/>
      <c r="D5895" s="73"/>
      <c r="E5895" s="73"/>
      <c r="F5895" s="73"/>
      <c r="G5895" s="73"/>
    </row>
    <row r="5896" spans="2:7" ht="32.25" customHeight="1" x14ac:dyDescent="0.35">
      <c r="B5896" s="73"/>
      <c r="C5896" s="73"/>
      <c r="D5896" s="73"/>
      <c r="E5896" s="73"/>
      <c r="F5896" s="73"/>
      <c r="G5896" s="73"/>
    </row>
    <row r="5897" spans="2:7" ht="32.25" customHeight="1" x14ac:dyDescent="0.35">
      <c r="B5897" s="73"/>
      <c r="C5897" s="73"/>
      <c r="D5897" s="73"/>
      <c r="E5897" s="73"/>
      <c r="F5897" s="73"/>
      <c r="G5897" s="73"/>
    </row>
    <row r="5898" spans="2:7" ht="32.25" customHeight="1" x14ac:dyDescent="0.35">
      <c r="B5898" s="73"/>
      <c r="C5898" s="73"/>
      <c r="D5898" s="73"/>
      <c r="E5898" s="73"/>
      <c r="F5898" s="73"/>
      <c r="G5898" s="73"/>
    </row>
    <row r="5899" spans="2:7" ht="32.25" customHeight="1" x14ac:dyDescent="0.35">
      <c r="B5899" s="73"/>
      <c r="C5899" s="73"/>
      <c r="D5899" s="73"/>
      <c r="E5899" s="73"/>
      <c r="F5899" s="73"/>
      <c r="G5899" s="73"/>
    </row>
    <row r="5900" spans="2:7" ht="32.25" customHeight="1" x14ac:dyDescent="0.35">
      <c r="B5900" s="73"/>
      <c r="C5900" s="73"/>
      <c r="D5900" s="73"/>
      <c r="E5900" s="73"/>
      <c r="F5900" s="73"/>
      <c r="G5900" s="73"/>
    </row>
    <row r="5901" spans="2:7" ht="32.25" customHeight="1" x14ac:dyDescent="0.35">
      <c r="B5901" s="73"/>
      <c r="C5901" s="73"/>
      <c r="D5901" s="73"/>
      <c r="E5901" s="73"/>
      <c r="F5901" s="73"/>
      <c r="G5901" s="73"/>
    </row>
    <row r="5902" spans="2:7" ht="32.25" customHeight="1" x14ac:dyDescent="0.35">
      <c r="B5902" s="73"/>
      <c r="C5902" s="73"/>
      <c r="D5902" s="73"/>
      <c r="E5902" s="73"/>
      <c r="F5902" s="73"/>
      <c r="G5902" s="73"/>
    </row>
    <row r="5903" spans="2:7" ht="32.25" customHeight="1" x14ac:dyDescent="0.35">
      <c r="B5903" s="73"/>
      <c r="C5903" s="73"/>
      <c r="D5903" s="73"/>
      <c r="E5903" s="73"/>
      <c r="F5903" s="73"/>
      <c r="G5903" s="73"/>
    </row>
    <row r="5904" spans="2:7" ht="32.25" customHeight="1" x14ac:dyDescent="0.35">
      <c r="B5904" s="73"/>
      <c r="C5904" s="73"/>
      <c r="D5904" s="73"/>
      <c r="E5904" s="73"/>
      <c r="F5904" s="73"/>
      <c r="G5904" s="73"/>
    </row>
    <row r="5905" spans="2:7" ht="32.25" customHeight="1" x14ac:dyDescent="0.35">
      <c r="B5905" s="73"/>
      <c r="C5905" s="73"/>
      <c r="D5905" s="73"/>
      <c r="E5905" s="73"/>
      <c r="F5905" s="73"/>
      <c r="G5905" s="73"/>
    </row>
    <row r="5906" spans="2:7" ht="32.25" customHeight="1" x14ac:dyDescent="0.35">
      <c r="B5906" s="73"/>
      <c r="C5906" s="73"/>
      <c r="D5906" s="73"/>
      <c r="E5906" s="73"/>
      <c r="F5906" s="73"/>
      <c r="G5906" s="73"/>
    </row>
    <row r="5907" spans="2:7" ht="32.25" customHeight="1" x14ac:dyDescent="0.35">
      <c r="B5907" s="73"/>
      <c r="C5907" s="73"/>
      <c r="D5907" s="73"/>
      <c r="E5907" s="73"/>
      <c r="F5907" s="73"/>
      <c r="G5907" s="73"/>
    </row>
    <row r="5908" spans="2:7" ht="32.25" customHeight="1" x14ac:dyDescent="0.35">
      <c r="B5908" s="73"/>
      <c r="C5908" s="73"/>
      <c r="D5908" s="73"/>
      <c r="E5908" s="73"/>
      <c r="F5908" s="73"/>
      <c r="G5908" s="73"/>
    </row>
    <row r="5909" spans="2:7" ht="32.25" customHeight="1" x14ac:dyDescent="0.35">
      <c r="B5909" s="73"/>
      <c r="C5909" s="73"/>
      <c r="D5909" s="73"/>
      <c r="E5909" s="73"/>
      <c r="F5909" s="73"/>
      <c r="G5909" s="73"/>
    </row>
    <row r="5910" spans="2:7" ht="32.25" customHeight="1" x14ac:dyDescent="0.35">
      <c r="B5910" s="73"/>
      <c r="C5910" s="73"/>
      <c r="D5910" s="73"/>
      <c r="E5910" s="73"/>
      <c r="F5910" s="73"/>
      <c r="G5910" s="73"/>
    </row>
    <row r="5911" spans="2:7" ht="32.25" customHeight="1" x14ac:dyDescent="0.35">
      <c r="B5911" s="73"/>
      <c r="C5911" s="73"/>
      <c r="D5911" s="73"/>
      <c r="E5911" s="73"/>
      <c r="F5911" s="73"/>
      <c r="G5911" s="73"/>
    </row>
    <row r="5912" spans="2:7" ht="32.25" customHeight="1" x14ac:dyDescent="0.35">
      <c r="B5912" s="73"/>
      <c r="C5912" s="73"/>
      <c r="D5912" s="73"/>
      <c r="E5912" s="73"/>
      <c r="F5912" s="73"/>
      <c r="G5912" s="73"/>
    </row>
    <row r="5913" spans="2:7" ht="32.25" customHeight="1" x14ac:dyDescent="0.35">
      <c r="B5913" s="73"/>
      <c r="C5913" s="73"/>
      <c r="D5913" s="73"/>
      <c r="E5913" s="73"/>
      <c r="F5913" s="73"/>
      <c r="G5913" s="73"/>
    </row>
    <row r="5914" spans="2:7" ht="32.25" customHeight="1" x14ac:dyDescent="0.35">
      <c r="B5914" s="73"/>
      <c r="C5914" s="73"/>
      <c r="D5914" s="73"/>
      <c r="E5914" s="73"/>
      <c r="F5914" s="73"/>
      <c r="G5914" s="73"/>
    </row>
    <row r="5915" spans="2:7" ht="32.25" customHeight="1" x14ac:dyDescent="0.35">
      <c r="B5915" s="73"/>
      <c r="C5915" s="73"/>
      <c r="D5915" s="73"/>
      <c r="E5915" s="73"/>
      <c r="F5915" s="73"/>
      <c r="G5915" s="73"/>
    </row>
    <row r="5916" spans="2:7" ht="32.25" customHeight="1" x14ac:dyDescent="0.35">
      <c r="B5916" s="73"/>
      <c r="C5916" s="73"/>
      <c r="D5916" s="73"/>
      <c r="E5916" s="73"/>
      <c r="F5916" s="73"/>
      <c r="G5916" s="73"/>
    </row>
    <row r="5917" spans="2:7" ht="32.25" customHeight="1" x14ac:dyDescent="0.35">
      <c r="B5917" s="73"/>
      <c r="C5917" s="73"/>
      <c r="D5917" s="73"/>
      <c r="E5917" s="73"/>
      <c r="F5917" s="73"/>
      <c r="G5917" s="73"/>
    </row>
    <row r="5918" spans="2:7" ht="32.25" customHeight="1" x14ac:dyDescent="0.35">
      <c r="B5918" s="73"/>
      <c r="C5918" s="73"/>
      <c r="D5918" s="73"/>
      <c r="E5918" s="73"/>
      <c r="F5918" s="73"/>
      <c r="G5918" s="73"/>
    </row>
    <row r="5919" spans="2:7" ht="32.25" customHeight="1" x14ac:dyDescent="0.35">
      <c r="B5919" s="73"/>
      <c r="C5919" s="73"/>
      <c r="D5919" s="73"/>
      <c r="E5919" s="73"/>
      <c r="F5919" s="73"/>
      <c r="G5919" s="73"/>
    </row>
    <row r="5920" spans="2:7" ht="32.25" customHeight="1" x14ac:dyDescent="0.35">
      <c r="B5920" s="73"/>
      <c r="C5920" s="73"/>
      <c r="D5920" s="73"/>
      <c r="E5920" s="73"/>
      <c r="F5920" s="73"/>
      <c r="G5920" s="73"/>
    </row>
    <row r="5921" spans="2:7" ht="32.25" customHeight="1" x14ac:dyDescent="0.35">
      <c r="B5921" s="73"/>
      <c r="C5921" s="73"/>
      <c r="D5921" s="73"/>
      <c r="E5921" s="73"/>
      <c r="F5921" s="73"/>
      <c r="G5921" s="73"/>
    </row>
    <row r="5922" spans="2:7" ht="32.25" customHeight="1" x14ac:dyDescent="0.35">
      <c r="B5922" s="73"/>
      <c r="C5922" s="73"/>
      <c r="D5922" s="73"/>
      <c r="E5922" s="73"/>
      <c r="F5922" s="73"/>
      <c r="G5922" s="73"/>
    </row>
    <row r="5923" spans="2:7" ht="32.25" customHeight="1" x14ac:dyDescent="0.35">
      <c r="B5923" s="73"/>
      <c r="C5923" s="73"/>
      <c r="D5923" s="73"/>
      <c r="E5923" s="73"/>
      <c r="F5923" s="73"/>
      <c r="G5923" s="73"/>
    </row>
    <row r="5924" spans="2:7" ht="32.25" customHeight="1" x14ac:dyDescent="0.35">
      <c r="B5924" s="73"/>
      <c r="C5924" s="73"/>
      <c r="D5924" s="73"/>
      <c r="E5924" s="73"/>
      <c r="F5924" s="73"/>
      <c r="G5924" s="73"/>
    </row>
    <row r="5925" spans="2:7" ht="32.25" customHeight="1" x14ac:dyDescent="0.35">
      <c r="B5925" s="73"/>
      <c r="C5925" s="73"/>
      <c r="D5925" s="73"/>
      <c r="E5925" s="73"/>
      <c r="F5925" s="73"/>
      <c r="G5925" s="73"/>
    </row>
    <row r="5926" spans="2:7" ht="32.25" customHeight="1" x14ac:dyDescent="0.35">
      <c r="B5926" s="73"/>
      <c r="C5926" s="73"/>
      <c r="D5926" s="73"/>
      <c r="E5926" s="73"/>
      <c r="F5926" s="73"/>
      <c r="G5926" s="73"/>
    </row>
    <row r="5927" spans="2:7" ht="32.25" customHeight="1" x14ac:dyDescent="0.35">
      <c r="B5927" s="73"/>
      <c r="C5927" s="73"/>
      <c r="D5927" s="73"/>
      <c r="E5927" s="73"/>
      <c r="F5927" s="73"/>
      <c r="G5927" s="73"/>
    </row>
    <row r="5928" spans="2:7" ht="32.25" customHeight="1" x14ac:dyDescent="0.35">
      <c r="B5928" s="73"/>
      <c r="C5928" s="73"/>
      <c r="D5928" s="73"/>
      <c r="E5928" s="73"/>
      <c r="F5928" s="73"/>
      <c r="G5928" s="73"/>
    </row>
    <row r="5929" spans="2:7" ht="32.25" customHeight="1" x14ac:dyDescent="0.35">
      <c r="B5929" s="73"/>
      <c r="C5929" s="73"/>
      <c r="D5929" s="73"/>
      <c r="E5929" s="73"/>
      <c r="F5929" s="73"/>
      <c r="G5929" s="73"/>
    </row>
    <row r="5930" spans="2:7" ht="32.25" customHeight="1" x14ac:dyDescent="0.35">
      <c r="B5930" s="73"/>
      <c r="C5930" s="73"/>
      <c r="D5930" s="73"/>
      <c r="E5930" s="73"/>
      <c r="F5930" s="73"/>
      <c r="G5930" s="73"/>
    </row>
    <row r="5931" spans="2:7" ht="32.25" customHeight="1" x14ac:dyDescent="0.35">
      <c r="B5931" s="73"/>
      <c r="C5931" s="73"/>
      <c r="D5931" s="73"/>
      <c r="E5931" s="73"/>
      <c r="F5931" s="73"/>
      <c r="G5931" s="73"/>
    </row>
    <row r="5932" spans="2:7" ht="32.25" customHeight="1" x14ac:dyDescent="0.35">
      <c r="B5932" s="73"/>
      <c r="C5932" s="73"/>
      <c r="D5932" s="73"/>
      <c r="E5932" s="73"/>
      <c r="F5932" s="73"/>
      <c r="G5932" s="73"/>
    </row>
    <row r="5933" spans="2:7" ht="32.25" customHeight="1" x14ac:dyDescent="0.35">
      <c r="B5933" s="73"/>
      <c r="C5933" s="73"/>
      <c r="D5933" s="73"/>
      <c r="E5933" s="73"/>
      <c r="F5933" s="73"/>
      <c r="G5933" s="73"/>
    </row>
    <row r="5934" spans="2:7" ht="32.25" customHeight="1" x14ac:dyDescent="0.35">
      <c r="B5934" s="73"/>
      <c r="C5934" s="73"/>
      <c r="D5934" s="73"/>
      <c r="E5934" s="73"/>
      <c r="F5934" s="73"/>
      <c r="G5934" s="73"/>
    </row>
    <row r="5935" spans="2:7" ht="32.25" customHeight="1" x14ac:dyDescent="0.35">
      <c r="B5935" s="73"/>
      <c r="C5935" s="73"/>
      <c r="D5935" s="73"/>
      <c r="E5935" s="73"/>
      <c r="F5935" s="73"/>
      <c r="G5935" s="73"/>
    </row>
    <row r="5936" spans="2:7" ht="32.25" customHeight="1" x14ac:dyDescent="0.35">
      <c r="B5936" s="73"/>
      <c r="C5936" s="73"/>
      <c r="D5936" s="73"/>
      <c r="E5936" s="73"/>
      <c r="F5936" s="73"/>
      <c r="G5936" s="73"/>
    </row>
    <row r="5937" spans="2:7" ht="32.25" customHeight="1" x14ac:dyDescent="0.35">
      <c r="B5937" s="73"/>
      <c r="C5937" s="73"/>
      <c r="D5937" s="73"/>
      <c r="E5937" s="73"/>
      <c r="F5937" s="73"/>
      <c r="G5937" s="73"/>
    </row>
    <row r="5938" spans="2:7" ht="32.25" customHeight="1" x14ac:dyDescent="0.35">
      <c r="B5938" s="73"/>
      <c r="C5938" s="73"/>
      <c r="D5938" s="73"/>
      <c r="E5938" s="73"/>
      <c r="F5938" s="73"/>
      <c r="G5938" s="73"/>
    </row>
    <row r="5939" spans="2:7" ht="32.25" customHeight="1" x14ac:dyDescent="0.35">
      <c r="B5939" s="73"/>
      <c r="C5939" s="73"/>
      <c r="D5939" s="73"/>
      <c r="E5939" s="73"/>
      <c r="F5939" s="73"/>
      <c r="G5939" s="73"/>
    </row>
    <row r="5940" spans="2:7" ht="32.25" customHeight="1" x14ac:dyDescent="0.35">
      <c r="B5940" s="73"/>
      <c r="C5940" s="73"/>
      <c r="D5940" s="73"/>
      <c r="E5940" s="73"/>
      <c r="F5940" s="73"/>
      <c r="G5940" s="73"/>
    </row>
    <row r="5941" spans="2:7" ht="32.25" customHeight="1" x14ac:dyDescent="0.35">
      <c r="B5941" s="73"/>
      <c r="C5941" s="73"/>
      <c r="D5941" s="73"/>
      <c r="E5941" s="73"/>
      <c r="F5941" s="73"/>
      <c r="G5941" s="73"/>
    </row>
    <row r="5942" spans="2:7" ht="32.25" customHeight="1" x14ac:dyDescent="0.35">
      <c r="B5942" s="73"/>
      <c r="C5942" s="73"/>
      <c r="D5942" s="73"/>
      <c r="E5942" s="73"/>
      <c r="F5942" s="73"/>
      <c r="G5942" s="73"/>
    </row>
    <row r="5943" spans="2:7" ht="32.25" customHeight="1" x14ac:dyDescent="0.35">
      <c r="B5943" s="73"/>
      <c r="C5943" s="73"/>
      <c r="D5943" s="73"/>
      <c r="E5943" s="73"/>
      <c r="F5943" s="73"/>
      <c r="G5943" s="73"/>
    </row>
    <row r="5944" spans="2:7" ht="32.25" customHeight="1" x14ac:dyDescent="0.35">
      <c r="B5944" s="73"/>
      <c r="C5944" s="73"/>
      <c r="D5944" s="73"/>
      <c r="E5944" s="73"/>
      <c r="F5944" s="73"/>
      <c r="G5944" s="73"/>
    </row>
    <row r="5945" spans="2:7" ht="32.25" customHeight="1" x14ac:dyDescent="0.35">
      <c r="B5945" s="73"/>
      <c r="C5945" s="73"/>
      <c r="D5945" s="73"/>
      <c r="E5945" s="73"/>
      <c r="F5945" s="73"/>
      <c r="G5945" s="73"/>
    </row>
    <row r="5946" spans="2:7" ht="32.25" customHeight="1" x14ac:dyDescent="0.35">
      <c r="B5946" s="73"/>
      <c r="C5946" s="73"/>
      <c r="D5946" s="73"/>
      <c r="E5946" s="73"/>
      <c r="F5946" s="73"/>
      <c r="G5946" s="73"/>
    </row>
    <row r="5947" spans="2:7" ht="32.25" customHeight="1" x14ac:dyDescent="0.35">
      <c r="B5947" s="73"/>
      <c r="C5947" s="73"/>
      <c r="D5947" s="73"/>
      <c r="E5947" s="73"/>
      <c r="F5947" s="73"/>
      <c r="G5947" s="73"/>
    </row>
    <row r="5948" spans="2:7" ht="32.25" customHeight="1" x14ac:dyDescent="0.35">
      <c r="B5948" s="73"/>
      <c r="C5948" s="73"/>
      <c r="D5948" s="73"/>
      <c r="E5948" s="73"/>
      <c r="F5948" s="73"/>
      <c r="G5948" s="73"/>
    </row>
    <row r="5949" spans="2:7" ht="32.25" customHeight="1" x14ac:dyDescent="0.35">
      <c r="B5949" s="73"/>
      <c r="C5949" s="73"/>
      <c r="D5949" s="73"/>
      <c r="E5949" s="73"/>
      <c r="F5949" s="73"/>
      <c r="G5949" s="73"/>
    </row>
    <row r="5950" spans="2:7" ht="32.25" customHeight="1" x14ac:dyDescent="0.35">
      <c r="B5950" s="73"/>
      <c r="C5950" s="73"/>
      <c r="D5950" s="73"/>
      <c r="E5950" s="73"/>
      <c r="F5950" s="73"/>
      <c r="G5950" s="73"/>
    </row>
    <row r="5951" spans="2:7" ht="32.25" customHeight="1" x14ac:dyDescent="0.35">
      <c r="B5951" s="73"/>
      <c r="C5951" s="73"/>
      <c r="D5951" s="73"/>
      <c r="E5951" s="73"/>
      <c r="F5951" s="73"/>
      <c r="G5951" s="73"/>
    </row>
    <row r="5952" spans="2:7" ht="32.25" customHeight="1" x14ac:dyDescent="0.35">
      <c r="B5952" s="73"/>
      <c r="C5952" s="73"/>
      <c r="D5952" s="73"/>
      <c r="E5952" s="73"/>
      <c r="F5952" s="73"/>
      <c r="G5952" s="73"/>
    </row>
    <row r="5953" spans="2:7" ht="32.25" customHeight="1" x14ac:dyDescent="0.35">
      <c r="B5953" s="73"/>
      <c r="C5953" s="73"/>
      <c r="D5953" s="73"/>
      <c r="E5953" s="73"/>
      <c r="F5953" s="73"/>
      <c r="G5953" s="73"/>
    </row>
    <row r="5954" spans="2:7" ht="32.25" customHeight="1" x14ac:dyDescent="0.35">
      <c r="B5954" s="73"/>
      <c r="C5954" s="73"/>
      <c r="D5954" s="73"/>
      <c r="E5954" s="73"/>
      <c r="F5954" s="73"/>
      <c r="G5954" s="73"/>
    </row>
    <row r="5955" spans="2:7" ht="32.25" customHeight="1" x14ac:dyDescent="0.35">
      <c r="B5955" s="73"/>
      <c r="C5955" s="73"/>
      <c r="D5955" s="73"/>
      <c r="E5955" s="73"/>
      <c r="F5955" s="73"/>
      <c r="G5955" s="73"/>
    </row>
    <row r="5956" spans="2:7" ht="32.25" customHeight="1" x14ac:dyDescent="0.35">
      <c r="B5956" s="73"/>
      <c r="C5956" s="73"/>
      <c r="D5956" s="73"/>
      <c r="E5956" s="73"/>
      <c r="F5956" s="73"/>
      <c r="G5956" s="73"/>
    </row>
    <row r="5957" spans="2:7" ht="32.25" customHeight="1" x14ac:dyDescent="0.35">
      <c r="B5957" s="73"/>
      <c r="C5957" s="73"/>
      <c r="D5957" s="73"/>
      <c r="E5957" s="73"/>
      <c r="F5957" s="73"/>
      <c r="G5957" s="73"/>
    </row>
    <row r="5958" spans="2:7" ht="32.25" customHeight="1" x14ac:dyDescent="0.35">
      <c r="B5958" s="73"/>
      <c r="C5958" s="73"/>
      <c r="D5958" s="73"/>
      <c r="E5958" s="73"/>
      <c r="F5958" s="73"/>
      <c r="G5958" s="73"/>
    </row>
    <row r="5959" spans="2:7" ht="32.25" customHeight="1" x14ac:dyDescent="0.35">
      <c r="B5959" s="73"/>
      <c r="C5959" s="73"/>
      <c r="D5959" s="73"/>
      <c r="E5959" s="73"/>
      <c r="F5959" s="73"/>
      <c r="G5959" s="73"/>
    </row>
    <row r="5960" spans="2:7" ht="32.25" customHeight="1" x14ac:dyDescent="0.35">
      <c r="B5960" s="73"/>
      <c r="C5960" s="73"/>
      <c r="D5960" s="73"/>
      <c r="E5960" s="73"/>
      <c r="F5960" s="73"/>
      <c r="G5960" s="73"/>
    </row>
    <row r="5961" spans="2:7" ht="32.25" customHeight="1" x14ac:dyDescent="0.35">
      <c r="B5961" s="73"/>
      <c r="C5961" s="73"/>
      <c r="D5961" s="73"/>
      <c r="E5961" s="73"/>
      <c r="F5961" s="73"/>
      <c r="G5961" s="73"/>
    </row>
    <row r="5962" spans="2:7" ht="32.25" customHeight="1" x14ac:dyDescent="0.35">
      <c r="B5962" s="73"/>
      <c r="C5962" s="73"/>
      <c r="D5962" s="73"/>
      <c r="E5962" s="73"/>
      <c r="F5962" s="73"/>
      <c r="G5962" s="73"/>
    </row>
    <row r="5963" spans="2:7" ht="32.25" customHeight="1" x14ac:dyDescent="0.35">
      <c r="B5963" s="73"/>
      <c r="C5963" s="73"/>
      <c r="D5963" s="73"/>
      <c r="E5963" s="73"/>
      <c r="F5963" s="73"/>
      <c r="G5963" s="73"/>
    </row>
    <row r="5964" spans="2:7" ht="32.25" customHeight="1" x14ac:dyDescent="0.35">
      <c r="B5964" s="73"/>
      <c r="C5964" s="73"/>
      <c r="D5964" s="73"/>
      <c r="E5964" s="73"/>
      <c r="F5964" s="73"/>
      <c r="G5964" s="73"/>
    </row>
    <row r="5965" spans="2:7" ht="32.25" customHeight="1" x14ac:dyDescent="0.35">
      <c r="B5965" s="73"/>
      <c r="C5965" s="73"/>
      <c r="D5965" s="73"/>
      <c r="E5965" s="73"/>
      <c r="F5965" s="73"/>
      <c r="G5965" s="73"/>
    </row>
    <row r="5966" spans="2:7" ht="32.25" customHeight="1" x14ac:dyDescent="0.35">
      <c r="B5966" s="73"/>
      <c r="C5966" s="73"/>
      <c r="D5966" s="73"/>
      <c r="E5966" s="73"/>
      <c r="F5966" s="73"/>
      <c r="G5966" s="73"/>
    </row>
    <row r="5967" spans="2:7" ht="32.25" customHeight="1" x14ac:dyDescent="0.35">
      <c r="B5967" s="73"/>
      <c r="C5967" s="73"/>
      <c r="D5967" s="73"/>
      <c r="E5967" s="73"/>
      <c r="F5967" s="73"/>
      <c r="G5967" s="73"/>
    </row>
    <row r="5968" spans="2:7" ht="32.25" customHeight="1" x14ac:dyDescent="0.35">
      <c r="B5968" s="73"/>
      <c r="C5968" s="73"/>
      <c r="D5968" s="73"/>
      <c r="E5968" s="73"/>
      <c r="F5968" s="73"/>
      <c r="G5968" s="73"/>
    </row>
    <row r="5969" spans="2:7" ht="32.25" customHeight="1" x14ac:dyDescent="0.35">
      <c r="B5969" s="73"/>
      <c r="C5969" s="73"/>
      <c r="D5969" s="73"/>
      <c r="E5969" s="73"/>
      <c r="F5969" s="73"/>
      <c r="G5969" s="73"/>
    </row>
    <row r="5970" spans="2:7" ht="32.25" customHeight="1" x14ac:dyDescent="0.35">
      <c r="B5970" s="73"/>
      <c r="C5970" s="73"/>
      <c r="D5970" s="73"/>
      <c r="E5970" s="73"/>
      <c r="F5970" s="73"/>
      <c r="G5970" s="73"/>
    </row>
    <row r="5971" spans="2:7" ht="32.25" customHeight="1" x14ac:dyDescent="0.35">
      <c r="B5971" s="73"/>
      <c r="C5971" s="73"/>
      <c r="D5971" s="73"/>
      <c r="E5971" s="73"/>
      <c r="F5971" s="73"/>
      <c r="G5971" s="73"/>
    </row>
    <row r="5972" spans="2:7" ht="32.25" customHeight="1" x14ac:dyDescent="0.35">
      <c r="B5972" s="73"/>
      <c r="C5972" s="73"/>
      <c r="D5972" s="73"/>
      <c r="E5972" s="73"/>
      <c r="F5972" s="73"/>
      <c r="G5972" s="73"/>
    </row>
    <row r="5973" spans="2:7" ht="32.25" customHeight="1" x14ac:dyDescent="0.35">
      <c r="B5973" s="73"/>
      <c r="C5973" s="73"/>
      <c r="D5973" s="73"/>
      <c r="E5973" s="73"/>
      <c r="F5973" s="73"/>
      <c r="G5973" s="73"/>
    </row>
    <row r="5974" spans="2:7" ht="32.25" customHeight="1" x14ac:dyDescent="0.35">
      <c r="B5974" s="73"/>
      <c r="C5974" s="73"/>
      <c r="D5974" s="73"/>
      <c r="E5974" s="73"/>
      <c r="F5974" s="73"/>
      <c r="G5974" s="73"/>
    </row>
    <row r="5975" spans="2:7" ht="32.25" customHeight="1" x14ac:dyDescent="0.35">
      <c r="B5975" s="73"/>
      <c r="C5975" s="73"/>
      <c r="D5975" s="73"/>
      <c r="E5975" s="73"/>
      <c r="F5975" s="73"/>
      <c r="G5975" s="73"/>
    </row>
    <row r="5976" spans="2:7" ht="32.25" customHeight="1" x14ac:dyDescent="0.35">
      <c r="B5976" s="73"/>
      <c r="C5976" s="73"/>
      <c r="D5976" s="73"/>
      <c r="E5976" s="73"/>
      <c r="F5976" s="73"/>
      <c r="G5976" s="73"/>
    </row>
    <row r="5977" spans="2:7" ht="32.25" customHeight="1" x14ac:dyDescent="0.35">
      <c r="B5977" s="73"/>
      <c r="C5977" s="73"/>
      <c r="D5977" s="73"/>
      <c r="E5977" s="73"/>
      <c r="F5977" s="73"/>
      <c r="G5977" s="73"/>
    </row>
    <row r="5978" spans="2:7" ht="32.25" customHeight="1" x14ac:dyDescent="0.35">
      <c r="B5978" s="73"/>
      <c r="C5978" s="73"/>
      <c r="D5978" s="73"/>
      <c r="E5978" s="73"/>
      <c r="F5978" s="73"/>
      <c r="G5978" s="73"/>
    </row>
    <row r="5979" spans="2:7" ht="32.25" customHeight="1" x14ac:dyDescent="0.35">
      <c r="B5979" s="73"/>
      <c r="C5979" s="73"/>
      <c r="D5979" s="73"/>
      <c r="E5979" s="73"/>
      <c r="F5979" s="73"/>
      <c r="G5979" s="73"/>
    </row>
    <row r="5980" spans="2:7" ht="32.25" customHeight="1" x14ac:dyDescent="0.35">
      <c r="B5980" s="73"/>
      <c r="C5980" s="73"/>
      <c r="D5980" s="73"/>
      <c r="E5980" s="73"/>
      <c r="F5980" s="73"/>
      <c r="G5980" s="73"/>
    </row>
    <row r="5981" spans="2:7" ht="32.25" customHeight="1" x14ac:dyDescent="0.35">
      <c r="B5981" s="73"/>
      <c r="C5981" s="73"/>
      <c r="D5981" s="73"/>
      <c r="E5981" s="73"/>
      <c r="F5981" s="73"/>
      <c r="G5981" s="73"/>
    </row>
    <row r="5982" spans="2:7" ht="32.25" customHeight="1" x14ac:dyDescent="0.35">
      <c r="B5982" s="73"/>
      <c r="C5982" s="73"/>
      <c r="D5982" s="73"/>
      <c r="E5982" s="73"/>
      <c r="F5982" s="73"/>
      <c r="G5982" s="73"/>
    </row>
    <row r="5983" spans="2:7" ht="32.25" customHeight="1" x14ac:dyDescent="0.35">
      <c r="B5983" s="73"/>
      <c r="C5983" s="73"/>
      <c r="D5983" s="73"/>
      <c r="E5983" s="73"/>
      <c r="F5983" s="73"/>
      <c r="G5983" s="73"/>
    </row>
    <row r="5984" spans="2:7" ht="32.25" customHeight="1" x14ac:dyDescent="0.35">
      <c r="B5984" s="73"/>
      <c r="C5984" s="73"/>
      <c r="D5984" s="73"/>
      <c r="E5984" s="73"/>
      <c r="F5984" s="73"/>
      <c r="G5984" s="73"/>
    </row>
    <row r="5985" spans="2:7" ht="32.25" customHeight="1" x14ac:dyDescent="0.35">
      <c r="B5985" s="73"/>
      <c r="C5985" s="73"/>
      <c r="D5985" s="73"/>
      <c r="E5985" s="73"/>
      <c r="F5985" s="73"/>
      <c r="G5985" s="73"/>
    </row>
    <row r="5986" spans="2:7" ht="32.25" customHeight="1" x14ac:dyDescent="0.35">
      <c r="B5986" s="73"/>
      <c r="C5986" s="73"/>
      <c r="D5986" s="73"/>
      <c r="E5986" s="73"/>
      <c r="F5986" s="73"/>
      <c r="G5986" s="73"/>
    </row>
    <row r="5987" spans="2:7" ht="32.25" customHeight="1" x14ac:dyDescent="0.35">
      <c r="B5987" s="73"/>
      <c r="C5987" s="73"/>
      <c r="D5987" s="73"/>
      <c r="E5987" s="73"/>
      <c r="F5987" s="73"/>
      <c r="G5987" s="73"/>
    </row>
    <row r="5988" spans="2:7" ht="32.25" customHeight="1" x14ac:dyDescent="0.35">
      <c r="B5988" s="73"/>
      <c r="C5988" s="73"/>
      <c r="D5988" s="73"/>
      <c r="E5988" s="73"/>
      <c r="F5988" s="73"/>
      <c r="G5988" s="73"/>
    </row>
    <row r="5989" spans="2:7" ht="32.25" customHeight="1" x14ac:dyDescent="0.35">
      <c r="B5989" s="73"/>
      <c r="C5989" s="73"/>
      <c r="D5989" s="73"/>
      <c r="E5989" s="73"/>
      <c r="F5989" s="73"/>
      <c r="G5989" s="73"/>
    </row>
    <row r="5990" spans="2:7" ht="32.25" customHeight="1" x14ac:dyDescent="0.35">
      <c r="B5990" s="73"/>
      <c r="C5990" s="73"/>
      <c r="D5990" s="73"/>
      <c r="E5990" s="73"/>
      <c r="F5990" s="73"/>
      <c r="G5990" s="73"/>
    </row>
    <row r="5991" spans="2:7" ht="32.25" customHeight="1" x14ac:dyDescent="0.35">
      <c r="B5991" s="73"/>
      <c r="C5991" s="73"/>
      <c r="D5991" s="73"/>
      <c r="E5991" s="73"/>
      <c r="F5991" s="73"/>
      <c r="G5991" s="73"/>
    </row>
    <row r="5992" spans="2:7" ht="32.25" customHeight="1" x14ac:dyDescent="0.35">
      <c r="B5992" s="73"/>
      <c r="C5992" s="73"/>
      <c r="D5992" s="73"/>
      <c r="E5992" s="73"/>
      <c r="F5992" s="73"/>
      <c r="G5992" s="73"/>
    </row>
    <row r="5993" spans="2:7" ht="32.25" customHeight="1" x14ac:dyDescent="0.35">
      <c r="B5993" s="73"/>
      <c r="C5993" s="73"/>
      <c r="D5993" s="73"/>
      <c r="E5993" s="73"/>
      <c r="F5993" s="73"/>
      <c r="G5993" s="73"/>
    </row>
    <row r="5994" spans="2:7" ht="32.25" customHeight="1" x14ac:dyDescent="0.35">
      <c r="B5994" s="73"/>
      <c r="C5994" s="73"/>
      <c r="D5994" s="73"/>
      <c r="E5994" s="73"/>
      <c r="F5994" s="73"/>
      <c r="G5994" s="73"/>
    </row>
    <row r="5995" spans="2:7" ht="32.25" customHeight="1" x14ac:dyDescent="0.35">
      <c r="B5995" s="73"/>
      <c r="C5995" s="73"/>
      <c r="D5995" s="73"/>
      <c r="E5995" s="73"/>
      <c r="F5995" s="73"/>
      <c r="G5995" s="73"/>
    </row>
    <row r="5996" spans="2:7" ht="32.25" customHeight="1" x14ac:dyDescent="0.35">
      <c r="B5996" s="73"/>
      <c r="C5996" s="73"/>
      <c r="D5996" s="73"/>
      <c r="E5996" s="73"/>
      <c r="F5996" s="73"/>
      <c r="G5996" s="73"/>
    </row>
    <row r="5997" spans="2:7" ht="32.25" customHeight="1" x14ac:dyDescent="0.35">
      <c r="B5997" s="73"/>
      <c r="C5997" s="73"/>
      <c r="D5997" s="73"/>
      <c r="E5997" s="73"/>
      <c r="F5997" s="73"/>
      <c r="G5997" s="73"/>
    </row>
    <row r="5998" spans="2:7" ht="32.25" customHeight="1" x14ac:dyDescent="0.35">
      <c r="B5998" s="73"/>
      <c r="C5998" s="73"/>
      <c r="D5998" s="73"/>
      <c r="E5998" s="73"/>
      <c r="F5998" s="73"/>
      <c r="G5998" s="73"/>
    </row>
    <row r="5999" spans="2:7" ht="32.25" customHeight="1" x14ac:dyDescent="0.35">
      <c r="B5999" s="73"/>
      <c r="C5999" s="73"/>
      <c r="D5999" s="73"/>
      <c r="E5999" s="73"/>
      <c r="F5999" s="73"/>
      <c r="G5999" s="73"/>
    </row>
    <row r="6000" spans="2:7" ht="32.25" customHeight="1" x14ac:dyDescent="0.35">
      <c r="B6000" s="73"/>
      <c r="C6000" s="73"/>
      <c r="D6000" s="73"/>
      <c r="E6000" s="73"/>
      <c r="F6000" s="73"/>
      <c r="G6000" s="73"/>
    </row>
    <row r="6001" spans="2:7" ht="32.25" customHeight="1" x14ac:dyDescent="0.35">
      <c r="B6001" s="73"/>
      <c r="C6001" s="73"/>
      <c r="D6001" s="73"/>
      <c r="E6001" s="73"/>
      <c r="F6001" s="73"/>
      <c r="G6001" s="73"/>
    </row>
    <row r="6002" spans="2:7" ht="32.25" customHeight="1" x14ac:dyDescent="0.35">
      <c r="B6002" s="73"/>
      <c r="C6002" s="73"/>
      <c r="D6002" s="73"/>
      <c r="E6002" s="73"/>
      <c r="F6002" s="73"/>
      <c r="G6002" s="73"/>
    </row>
    <row r="6003" spans="2:7" ht="32.25" customHeight="1" x14ac:dyDescent="0.35">
      <c r="B6003" s="73"/>
      <c r="C6003" s="73"/>
      <c r="D6003" s="73"/>
      <c r="E6003" s="73"/>
      <c r="F6003" s="73"/>
      <c r="G6003" s="73"/>
    </row>
    <row r="6004" spans="2:7" ht="32.25" customHeight="1" x14ac:dyDescent="0.35">
      <c r="B6004" s="73"/>
      <c r="C6004" s="73"/>
      <c r="D6004" s="73"/>
      <c r="E6004" s="73"/>
      <c r="F6004" s="73"/>
      <c r="G6004" s="73"/>
    </row>
    <row r="6005" spans="2:7" ht="32.25" customHeight="1" x14ac:dyDescent="0.35">
      <c r="B6005" s="73"/>
      <c r="C6005" s="73"/>
      <c r="D6005" s="73"/>
      <c r="E6005" s="73"/>
      <c r="F6005" s="73"/>
      <c r="G6005" s="73"/>
    </row>
    <row r="6006" spans="2:7" ht="32.25" customHeight="1" x14ac:dyDescent="0.35">
      <c r="B6006" s="73"/>
      <c r="C6006" s="73"/>
      <c r="D6006" s="73"/>
      <c r="E6006" s="73"/>
      <c r="F6006" s="73"/>
      <c r="G6006" s="73"/>
    </row>
    <row r="6007" spans="2:7" ht="32.25" customHeight="1" x14ac:dyDescent="0.35">
      <c r="B6007" s="73"/>
      <c r="C6007" s="73"/>
      <c r="D6007" s="73"/>
      <c r="E6007" s="73"/>
      <c r="F6007" s="73"/>
      <c r="G6007" s="73"/>
    </row>
    <row r="6008" spans="2:7" ht="32.25" customHeight="1" x14ac:dyDescent="0.35">
      <c r="B6008" s="73"/>
      <c r="C6008" s="73"/>
      <c r="D6008" s="73"/>
      <c r="E6008" s="73"/>
      <c r="F6008" s="73"/>
      <c r="G6008" s="73"/>
    </row>
    <row r="6009" spans="2:7" ht="32.25" customHeight="1" x14ac:dyDescent="0.35">
      <c r="B6009" s="73"/>
      <c r="C6009" s="73"/>
      <c r="D6009" s="73"/>
      <c r="E6009" s="73"/>
      <c r="F6009" s="73"/>
      <c r="G6009" s="73"/>
    </row>
    <row r="6010" spans="2:7" ht="32.25" customHeight="1" x14ac:dyDescent="0.35">
      <c r="B6010" s="73"/>
      <c r="C6010" s="73"/>
      <c r="D6010" s="73"/>
      <c r="E6010" s="73"/>
      <c r="F6010" s="73"/>
      <c r="G6010" s="73"/>
    </row>
    <row r="6011" spans="2:7" ht="32.25" customHeight="1" x14ac:dyDescent="0.35">
      <c r="B6011" s="73"/>
      <c r="C6011" s="73"/>
      <c r="D6011" s="73"/>
      <c r="E6011" s="73"/>
      <c r="F6011" s="73"/>
      <c r="G6011" s="73"/>
    </row>
    <row r="6012" spans="2:7" ht="32.25" customHeight="1" x14ac:dyDescent="0.35">
      <c r="B6012" s="73"/>
      <c r="C6012" s="73"/>
      <c r="D6012" s="73"/>
      <c r="E6012" s="73"/>
      <c r="F6012" s="73"/>
      <c r="G6012" s="73"/>
    </row>
    <row r="6013" spans="2:7" ht="32.25" customHeight="1" x14ac:dyDescent="0.35">
      <c r="B6013" s="73"/>
      <c r="C6013" s="73"/>
      <c r="D6013" s="73"/>
      <c r="E6013" s="73"/>
      <c r="F6013" s="73"/>
      <c r="G6013" s="73"/>
    </row>
    <row r="6014" spans="2:7" ht="32.25" customHeight="1" x14ac:dyDescent="0.35">
      <c r="B6014" s="73"/>
      <c r="C6014" s="73"/>
      <c r="D6014" s="73"/>
      <c r="E6014" s="73"/>
      <c r="F6014" s="73"/>
      <c r="G6014" s="73"/>
    </row>
    <row r="6015" spans="2:7" ht="32.25" customHeight="1" x14ac:dyDescent="0.35">
      <c r="B6015" s="73"/>
      <c r="C6015" s="73"/>
      <c r="D6015" s="73"/>
      <c r="E6015" s="73"/>
      <c r="F6015" s="73"/>
      <c r="G6015" s="73"/>
    </row>
    <row r="6016" spans="2:7" ht="32.25" customHeight="1" x14ac:dyDescent="0.35">
      <c r="B6016" s="73"/>
      <c r="C6016" s="73"/>
      <c r="D6016" s="73"/>
      <c r="E6016" s="73"/>
      <c r="F6016" s="73"/>
      <c r="G6016" s="73"/>
    </row>
    <row r="6017" spans="2:7" ht="32.25" customHeight="1" x14ac:dyDescent="0.35">
      <c r="B6017" s="73"/>
      <c r="C6017" s="73"/>
      <c r="D6017" s="73"/>
      <c r="E6017" s="73"/>
      <c r="F6017" s="73"/>
      <c r="G6017" s="73"/>
    </row>
    <row r="6018" spans="2:7" ht="32.25" customHeight="1" x14ac:dyDescent="0.35">
      <c r="B6018" s="73"/>
      <c r="C6018" s="73"/>
      <c r="D6018" s="73"/>
      <c r="E6018" s="73"/>
      <c r="F6018" s="73"/>
      <c r="G6018" s="73"/>
    </row>
    <row r="6019" spans="2:7" ht="32.25" customHeight="1" x14ac:dyDescent="0.35">
      <c r="B6019" s="73"/>
      <c r="C6019" s="73"/>
      <c r="D6019" s="73"/>
      <c r="E6019" s="73"/>
      <c r="F6019" s="73"/>
      <c r="G6019" s="73"/>
    </row>
    <row r="6020" spans="2:7" ht="32.25" customHeight="1" x14ac:dyDescent="0.35">
      <c r="B6020" s="73"/>
      <c r="C6020" s="73"/>
      <c r="D6020" s="73"/>
      <c r="E6020" s="73"/>
      <c r="F6020" s="73"/>
      <c r="G6020" s="73"/>
    </row>
    <row r="6021" spans="2:7" ht="32.25" customHeight="1" x14ac:dyDescent="0.35">
      <c r="B6021" s="73"/>
      <c r="C6021" s="73"/>
      <c r="D6021" s="73"/>
      <c r="E6021" s="73"/>
      <c r="F6021" s="73"/>
      <c r="G6021" s="73"/>
    </row>
    <row r="6022" spans="2:7" ht="32.25" customHeight="1" x14ac:dyDescent="0.35">
      <c r="B6022" s="73"/>
      <c r="C6022" s="73"/>
      <c r="D6022" s="73"/>
      <c r="E6022" s="73"/>
      <c r="F6022" s="73"/>
      <c r="G6022" s="73"/>
    </row>
    <row r="6023" spans="2:7" ht="32.25" customHeight="1" x14ac:dyDescent="0.35">
      <c r="B6023" s="73"/>
      <c r="C6023" s="73"/>
      <c r="D6023" s="73"/>
      <c r="E6023" s="73"/>
      <c r="F6023" s="73"/>
      <c r="G6023" s="73"/>
    </row>
    <row r="6024" spans="2:7" ht="32.25" customHeight="1" x14ac:dyDescent="0.35">
      <c r="B6024" s="73"/>
      <c r="C6024" s="73"/>
      <c r="D6024" s="73"/>
      <c r="E6024" s="73"/>
      <c r="F6024" s="73"/>
      <c r="G6024" s="73"/>
    </row>
    <row r="6025" spans="2:7" ht="32.25" customHeight="1" x14ac:dyDescent="0.35">
      <c r="B6025" s="73"/>
      <c r="C6025" s="73"/>
      <c r="D6025" s="73"/>
      <c r="E6025" s="73"/>
      <c r="F6025" s="73"/>
      <c r="G6025" s="73"/>
    </row>
    <row r="6026" spans="2:7" ht="32.25" customHeight="1" x14ac:dyDescent="0.35">
      <c r="B6026" s="73"/>
      <c r="C6026" s="73"/>
      <c r="D6026" s="73"/>
      <c r="E6026" s="73"/>
      <c r="F6026" s="73"/>
      <c r="G6026" s="73"/>
    </row>
    <row r="6027" spans="2:7" ht="32.25" customHeight="1" x14ac:dyDescent="0.35">
      <c r="B6027" s="73"/>
      <c r="C6027" s="73"/>
      <c r="D6027" s="73"/>
      <c r="E6027" s="73"/>
      <c r="F6027" s="73"/>
      <c r="G6027" s="73"/>
    </row>
    <row r="6028" spans="2:7" ht="32.25" customHeight="1" x14ac:dyDescent="0.35">
      <c r="B6028" s="73"/>
      <c r="C6028" s="73"/>
      <c r="D6028" s="73"/>
      <c r="E6028" s="73"/>
      <c r="F6028" s="73"/>
      <c r="G6028" s="73"/>
    </row>
    <row r="6029" spans="2:7" ht="32.25" customHeight="1" x14ac:dyDescent="0.35">
      <c r="B6029" s="73"/>
      <c r="C6029" s="73"/>
      <c r="D6029" s="73"/>
      <c r="E6029" s="73"/>
      <c r="F6029" s="73"/>
      <c r="G6029" s="73"/>
    </row>
    <row r="6030" spans="2:7" ht="32.25" customHeight="1" x14ac:dyDescent="0.35">
      <c r="B6030" s="73"/>
      <c r="C6030" s="73"/>
      <c r="D6030" s="73"/>
      <c r="E6030" s="73"/>
      <c r="F6030" s="73"/>
      <c r="G6030" s="73"/>
    </row>
    <row r="6031" spans="2:7" ht="32.25" customHeight="1" x14ac:dyDescent="0.35">
      <c r="B6031" s="73"/>
      <c r="C6031" s="73"/>
      <c r="D6031" s="73"/>
      <c r="E6031" s="73"/>
      <c r="F6031" s="73"/>
      <c r="G6031" s="73"/>
    </row>
    <row r="6032" spans="2:7" ht="32.25" customHeight="1" x14ac:dyDescent="0.35">
      <c r="B6032" s="73"/>
      <c r="C6032" s="73"/>
      <c r="D6032" s="73"/>
      <c r="E6032" s="73"/>
      <c r="F6032" s="73"/>
      <c r="G6032" s="73"/>
    </row>
    <row r="6033" spans="2:7" ht="32.25" customHeight="1" x14ac:dyDescent="0.35">
      <c r="B6033" s="73"/>
      <c r="C6033" s="73"/>
      <c r="D6033" s="73"/>
      <c r="E6033" s="73"/>
      <c r="F6033" s="73"/>
      <c r="G6033" s="73"/>
    </row>
    <row r="6034" spans="2:7" ht="32.25" customHeight="1" x14ac:dyDescent="0.35">
      <c r="B6034" s="73"/>
      <c r="C6034" s="73"/>
      <c r="D6034" s="73"/>
      <c r="E6034" s="73"/>
      <c r="F6034" s="73"/>
      <c r="G6034" s="73"/>
    </row>
    <row r="6035" spans="2:7" ht="32.25" customHeight="1" x14ac:dyDescent="0.35">
      <c r="B6035" s="73"/>
      <c r="C6035" s="73"/>
      <c r="D6035" s="73"/>
      <c r="E6035" s="73"/>
      <c r="F6035" s="73"/>
      <c r="G6035" s="73"/>
    </row>
    <row r="6036" spans="2:7" ht="32.25" customHeight="1" x14ac:dyDescent="0.35">
      <c r="B6036" s="73"/>
      <c r="C6036" s="73"/>
      <c r="D6036" s="73"/>
      <c r="E6036" s="73"/>
      <c r="F6036" s="73"/>
      <c r="G6036" s="73"/>
    </row>
    <row r="6037" spans="2:7" ht="32.25" customHeight="1" x14ac:dyDescent="0.35">
      <c r="B6037" s="73"/>
      <c r="C6037" s="73"/>
      <c r="D6037" s="73"/>
      <c r="E6037" s="73"/>
      <c r="F6037" s="73"/>
      <c r="G6037" s="73"/>
    </row>
    <row r="6038" spans="2:7" ht="32.25" customHeight="1" x14ac:dyDescent="0.35">
      <c r="B6038" s="73"/>
      <c r="C6038" s="73"/>
      <c r="D6038" s="73"/>
      <c r="E6038" s="73"/>
      <c r="F6038" s="73"/>
      <c r="G6038" s="73"/>
    </row>
    <row r="6039" spans="2:7" ht="32.25" customHeight="1" x14ac:dyDescent="0.35">
      <c r="B6039" s="73"/>
      <c r="C6039" s="73"/>
      <c r="D6039" s="73"/>
      <c r="E6039" s="73"/>
      <c r="F6039" s="73"/>
      <c r="G6039" s="73"/>
    </row>
    <row r="6040" spans="2:7" ht="32.25" customHeight="1" x14ac:dyDescent="0.35">
      <c r="B6040" s="73"/>
      <c r="C6040" s="73"/>
      <c r="D6040" s="73"/>
      <c r="E6040" s="73"/>
      <c r="F6040" s="73"/>
      <c r="G6040" s="73"/>
    </row>
    <row r="6041" spans="2:7" ht="32.25" customHeight="1" x14ac:dyDescent="0.35">
      <c r="B6041" s="73"/>
      <c r="C6041" s="73"/>
      <c r="D6041" s="73"/>
      <c r="E6041" s="73"/>
      <c r="F6041" s="73"/>
      <c r="G6041" s="73"/>
    </row>
    <row r="6042" spans="2:7" ht="32.25" customHeight="1" x14ac:dyDescent="0.35">
      <c r="B6042" s="73"/>
      <c r="C6042" s="73"/>
      <c r="D6042" s="73"/>
      <c r="E6042" s="73"/>
      <c r="F6042" s="73"/>
      <c r="G6042" s="73"/>
    </row>
    <row r="6043" spans="2:7" ht="32.25" customHeight="1" x14ac:dyDescent="0.35">
      <c r="B6043" s="73"/>
      <c r="C6043" s="73"/>
      <c r="D6043" s="73"/>
      <c r="E6043" s="73"/>
      <c r="F6043" s="73"/>
      <c r="G6043" s="73"/>
    </row>
    <row r="6044" spans="2:7" ht="32.25" customHeight="1" x14ac:dyDescent="0.35">
      <c r="B6044" s="73"/>
      <c r="C6044" s="73"/>
      <c r="D6044" s="73"/>
      <c r="E6044" s="73"/>
      <c r="F6044" s="73"/>
      <c r="G6044" s="73"/>
    </row>
    <row r="6045" spans="2:7" ht="32.25" customHeight="1" x14ac:dyDescent="0.35">
      <c r="B6045" s="73"/>
      <c r="C6045" s="73"/>
      <c r="D6045" s="73"/>
      <c r="E6045" s="73"/>
      <c r="F6045" s="73"/>
      <c r="G6045" s="73"/>
    </row>
    <row r="6046" spans="2:7" ht="32.25" customHeight="1" x14ac:dyDescent="0.35">
      <c r="B6046" s="73"/>
      <c r="C6046" s="73"/>
      <c r="D6046" s="73"/>
      <c r="E6046" s="73"/>
      <c r="F6046" s="73"/>
      <c r="G6046" s="73"/>
    </row>
    <row r="6047" spans="2:7" ht="32.25" customHeight="1" x14ac:dyDescent="0.35">
      <c r="B6047" s="73"/>
      <c r="C6047" s="73"/>
      <c r="D6047" s="73"/>
      <c r="E6047" s="73"/>
      <c r="F6047" s="73"/>
      <c r="G6047" s="73"/>
    </row>
    <row r="6048" spans="2:7" ht="32.25" customHeight="1" x14ac:dyDescent="0.35">
      <c r="B6048" s="73"/>
      <c r="C6048" s="73"/>
      <c r="D6048" s="73"/>
      <c r="E6048" s="73"/>
      <c r="F6048" s="73"/>
      <c r="G6048" s="73"/>
    </row>
    <row r="6049" spans="2:7" ht="32.25" customHeight="1" x14ac:dyDescent="0.35">
      <c r="B6049" s="73"/>
      <c r="C6049" s="73"/>
      <c r="D6049" s="73"/>
      <c r="E6049" s="73"/>
      <c r="F6049" s="73"/>
      <c r="G6049" s="73"/>
    </row>
    <row r="6050" spans="2:7" ht="32.25" customHeight="1" x14ac:dyDescent="0.35">
      <c r="B6050" s="73"/>
      <c r="C6050" s="73"/>
      <c r="D6050" s="73"/>
      <c r="E6050" s="73"/>
      <c r="F6050" s="73"/>
      <c r="G6050" s="73"/>
    </row>
    <row r="6051" spans="2:7" ht="32.25" customHeight="1" x14ac:dyDescent="0.35">
      <c r="B6051" s="73"/>
      <c r="C6051" s="73"/>
      <c r="D6051" s="73"/>
      <c r="E6051" s="73"/>
      <c r="F6051" s="73"/>
      <c r="G6051" s="73"/>
    </row>
    <row r="6052" spans="2:7" ht="32.25" customHeight="1" x14ac:dyDescent="0.35">
      <c r="B6052" s="73"/>
      <c r="C6052" s="73"/>
      <c r="D6052" s="73"/>
      <c r="E6052" s="73"/>
      <c r="F6052" s="73"/>
      <c r="G6052" s="73"/>
    </row>
    <row r="6053" spans="2:7" ht="32.25" customHeight="1" x14ac:dyDescent="0.35">
      <c r="B6053" s="73"/>
      <c r="C6053" s="73"/>
      <c r="D6053" s="73"/>
      <c r="E6053" s="73"/>
      <c r="F6053" s="73"/>
      <c r="G6053" s="73"/>
    </row>
    <row r="6054" spans="2:7" ht="32.25" customHeight="1" x14ac:dyDescent="0.35">
      <c r="B6054" s="73"/>
      <c r="C6054" s="73"/>
      <c r="D6054" s="73"/>
      <c r="E6054" s="73"/>
      <c r="F6054" s="73"/>
      <c r="G6054" s="73"/>
    </row>
    <row r="6055" spans="2:7" ht="32.25" customHeight="1" x14ac:dyDescent="0.35">
      <c r="B6055" s="73"/>
      <c r="C6055" s="73"/>
      <c r="D6055" s="73"/>
      <c r="E6055" s="73"/>
      <c r="F6055" s="73"/>
      <c r="G6055" s="73"/>
    </row>
  </sheetData>
  <autoFilter ref="B1:G10" xr:uid="{00000000-0009-0000-0000-000002000000}"/>
  <pageMargins left="0.75" right="0.75" top="1" bottom="1" header="0.511811023622047" footer="0.511811023622047"/>
  <pageSetup fitToHeight="0"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392B"/>
    <pageSetUpPr fitToPage="1"/>
  </sheetPr>
  <dimension ref="B1:H6055"/>
  <sheetViews>
    <sheetView showGridLines="0" zoomScale="80" zoomScaleNormal="80" workbookViewId="0">
      <pane xSplit="1" ySplit="1" topLeftCell="B2" activePane="bottomRight" state="frozen"/>
      <selection pane="topRight" activeCell="B1" sqref="B1"/>
      <selection pane="bottomLeft" activeCell="A12" sqref="A12"/>
      <selection pane="bottomRight" activeCell="D2" sqref="D2"/>
    </sheetView>
  </sheetViews>
  <sheetFormatPr defaultColWidth="8.54296875" defaultRowHeight="14.5" x14ac:dyDescent="0.35"/>
  <cols>
    <col min="1" max="1" width="2.453125" style="76" customWidth="1"/>
    <col min="2" max="2" width="4" style="76" customWidth="1"/>
    <col min="3" max="3" width="26" style="76" customWidth="1"/>
    <col min="4" max="4" width="57.81640625" style="76" customWidth="1"/>
    <col min="5" max="5" width="13.54296875" style="76" customWidth="1"/>
    <col min="6" max="6" width="48" style="76" customWidth="1"/>
    <col min="7" max="7" width="26" style="76" customWidth="1"/>
    <col min="8" max="8" width="12.453125" style="80" customWidth="1"/>
    <col min="9" max="16384" width="8.54296875" style="76"/>
  </cols>
  <sheetData>
    <row r="1" spans="2:8" s="41" customFormat="1" ht="21.75" customHeight="1" thickBot="1" x14ac:dyDescent="0.4">
      <c r="B1" s="38" t="s">
        <v>139</v>
      </c>
      <c r="C1" s="38" t="s">
        <v>140</v>
      </c>
      <c r="D1" s="38" t="s">
        <v>141</v>
      </c>
      <c r="E1" s="38" t="s">
        <v>142</v>
      </c>
      <c r="F1" s="38" t="s">
        <v>143</v>
      </c>
      <c r="G1" s="39" t="s">
        <v>144</v>
      </c>
      <c r="H1" s="44" t="s">
        <v>1170</v>
      </c>
    </row>
    <row r="2" spans="2:8" ht="101.25" customHeight="1" thickBot="1" x14ac:dyDescent="0.4">
      <c r="B2" s="45">
        <v>1</v>
      </c>
      <c r="C2" s="49" t="s">
        <v>563</v>
      </c>
      <c r="D2" s="50" t="s">
        <v>564</v>
      </c>
      <c r="E2" s="74" t="s">
        <v>565</v>
      </c>
      <c r="F2" s="50" t="s">
        <v>566</v>
      </c>
      <c r="G2" s="52" t="s">
        <v>567</v>
      </c>
      <c r="H2" s="75" t="s">
        <v>1171</v>
      </c>
    </row>
    <row r="3" spans="2:8" ht="87.5" customHeight="1" thickBot="1" x14ac:dyDescent="0.4">
      <c r="B3" s="45">
        <v>2</v>
      </c>
      <c r="C3" s="54" t="s">
        <v>568</v>
      </c>
      <c r="D3" s="55" t="s">
        <v>569</v>
      </c>
      <c r="E3" s="74" t="s">
        <v>565</v>
      </c>
      <c r="F3" s="55" t="s">
        <v>570</v>
      </c>
      <c r="G3" s="56" t="s">
        <v>571</v>
      </c>
      <c r="H3" s="75" t="s">
        <v>1171</v>
      </c>
    </row>
    <row r="4" spans="2:8" ht="95.25" customHeight="1" thickBot="1" x14ac:dyDescent="0.4">
      <c r="B4" s="45">
        <v>3</v>
      </c>
      <c r="C4" s="54" t="s">
        <v>572</v>
      </c>
      <c r="D4" s="55" t="s">
        <v>573</v>
      </c>
      <c r="E4" s="74" t="s">
        <v>565</v>
      </c>
      <c r="F4" s="55" t="s">
        <v>574</v>
      </c>
      <c r="G4" s="56" t="s">
        <v>575</v>
      </c>
      <c r="H4" s="75" t="s">
        <v>1171</v>
      </c>
    </row>
    <row r="5" spans="2:8" ht="95.25" customHeight="1" thickBot="1" x14ac:dyDescent="0.4">
      <c r="B5" s="45">
        <v>4</v>
      </c>
      <c r="C5" s="54" t="s">
        <v>576</v>
      </c>
      <c r="D5" s="55" t="s">
        <v>577</v>
      </c>
      <c r="E5" s="74" t="s">
        <v>565</v>
      </c>
      <c r="F5" s="55" t="s">
        <v>578</v>
      </c>
      <c r="G5" s="56" t="s">
        <v>579</v>
      </c>
      <c r="H5" s="75" t="s">
        <v>1171</v>
      </c>
    </row>
    <row r="6" spans="2:8" ht="95.25" customHeight="1" thickBot="1" x14ac:dyDescent="0.4">
      <c r="B6" s="45">
        <v>5</v>
      </c>
      <c r="C6" s="54" t="s">
        <v>580</v>
      </c>
      <c r="D6" s="55" t="s">
        <v>581</v>
      </c>
      <c r="E6" s="74" t="s">
        <v>565</v>
      </c>
      <c r="F6" s="55" t="s">
        <v>582</v>
      </c>
      <c r="G6" s="56" t="s">
        <v>583</v>
      </c>
      <c r="H6" s="75" t="s">
        <v>1171</v>
      </c>
    </row>
    <row r="7" spans="2:8" ht="95.25" customHeight="1" thickBot="1" x14ac:dyDescent="0.4">
      <c r="B7" s="45">
        <v>6</v>
      </c>
      <c r="C7" s="54" t="s">
        <v>584</v>
      </c>
      <c r="D7" s="55" t="s">
        <v>585</v>
      </c>
      <c r="E7" s="74" t="s">
        <v>565</v>
      </c>
      <c r="F7" s="55" t="s">
        <v>586</v>
      </c>
      <c r="G7" s="56" t="s">
        <v>587</v>
      </c>
      <c r="H7" s="75" t="s">
        <v>1171</v>
      </c>
    </row>
    <row r="8" spans="2:8" ht="95.25" customHeight="1" thickBot="1" x14ac:dyDescent="0.4">
      <c r="B8" s="45">
        <v>7</v>
      </c>
      <c r="C8" s="54" t="s">
        <v>588</v>
      </c>
      <c r="D8" s="55" t="s">
        <v>589</v>
      </c>
      <c r="E8" s="74" t="s">
        <v>565</v>
      </c>
      <c r="F8" s="55" t="s">
        <v>590</v>
      </c>
      <c r="G8" s="56" t="s">
        <v>591</v>
      </c>
      <c r="H8" s="75" t="s">
        <v>1171</v>
      </c>
    </row>
    <row r="9" spans="2:8" ht="95.25" customHeight="1" thickBot="1" x14ac:dyDescent="0.4">
      <c r="B9" s="45">
        <v>8</v>
      </c>
      <c r="C9" s="54" t="s">
        <v>592</v>
      </c>
      <c r="D9" s="55" t="s">
        <v>593</v>
      </c>
      <c r="E9" s="74" t="s">
        <v>565</v>
      </c>
      <c r="F9" s="55" t="s">
        <v>594</v>
      </c>
      <c r="G9" s="56" t="s">
        <v>595</v>
      </c>
      <c r="H9" s="75" t="s">
        <v>1171</v>
      </c>
    </row>
    <row r="10" spans="2:8" ht="95.25" customHeight="1" thickBot="1" x14ac:dyDescent="0.4">
      <c r="B10" s="45">
        <v>9</v>
      </c>
      <c r="C10" s="54" t="s">
        <v>596</v>
      </c>
      <c r="D10" s="55" t="s">
        <v>597</v>
      </c>
      <c r="E10" s="74" t="s">
        <v>565</v>
      </c>
      <c r="F10" s="55" t="s">
        <v>598</v>
      </c>
      <c r="G10" s="56" t="s">
        <v>599</v>
      </c>
      <c r="H10" s="75" t="s">
        <v>1171</v>
      </c>
    </row>
    <row r="11" spans="2:8" ht="95.25" customHeight="1" thickBot="1" x14ac:dyDescent="0.4">
      <c r="B11" s="46"/>
      <c r="C11" s="54" t="s">
        <v>600</v>
      </c>
      <c r="D11" s="55" t="s">
        <v>601</v>
      </c>
      <c r="E11" s="74" t="s">
        <v>565</v>
      </c>
      <c r="F11" s="55" t="s">
        <v>602</v>
      </c>
      <c r="G11" s="56" t="s">
        <v>603</v>
      </c>
      <c r="H11" s="75" t="s">
        <v>1171</v>
      </c>
    </row>
    <row r="12" spans="2:8" ht="95.25" customHeight="1" thickBot="1" x14ac:dyDescent="0.4">
      <c r="B12" s="46"/>
      <c r="C12" s="54" t="s">
        <v>604</v>
      </c>
      <c r="D12" s="55" t="s">
        <v>605</v>
      </c>
      <c r="E12" s="74" t="s">
        <v>565</v>
      </c>
      <c r="F12" s="55" t="s">
        <v>606</v>
      </c>
      <c r="G12" s="56" t="s">
        <v>607</v>
      </c>
      <c r="H12" s="75" t="s">
        <v>1171</v>
      </c>
    </row>
    <row r="13" spans="2:8" ht="95.25" customHeight="1" thickBot="1" x14ac:dyDescent="0.4">
      <c r="B13" s="46"/>
      <c r="C13" s="54" t="s">
        <v>608</v>
      </c>
      <c r="D13" s="55" t="s">
        <v>609</v>
      </c>
      <c r="E13" s="74" t="s">
        <v>565</v>
      </c>
      <c r="F13" s="55" t="s">
        <v>610</v>
      </c>
      <c r="G13" s="56" t="s">
        <v>611</v>
      </c>
      <c r="H13" s="75" t="s">
        <v>1171</v>
      </c>
    </row>
    <row r="14" spans="2:8" ht="95.25" customHeight="1" thickBot="1" x14ac:dyDescent="0.4">
      <c r="B14" s="46"/>
      <c r="C14" s="54" t="s">
        <v>612</v>
      </c>
      <c r="D14" s="55" t="s">
        <v>613</v>
      </c>
      <c r="E14" s="74" t="s">
        <v>565</v>
      </c>
      <c r="F14" s="55" t="s">
        <v>614</v>
      </c>
      <c r="G14" s="56" t="s">
        <v>615</v>
      </c>
      <c r="H14" s="75" t="s">
        <v>1171</v>
      </c>
    </row>
    <row r="15" spans="2:8" ht="95.25" customHeight="1" thickBot="1" x14ac:dyDescent="0.4">
      <c r="B15" s="46"/>
      <c r="C15" s="54" t="s">
        <v>616</v>
      </c>
      <c r="D15" s="55" t="s">
        <v>617</v>
      </c>
      <c r="E15" s="74" t="s">
        <v>565</v>
      </c>
      <c r="F15" s="55" t="s">
        <v>618</v>
      </c>
      <c r="G15" s="56" t="s">
        <v>619</v>
      </c>
      <c r="H15" s="75" t="s">
        <v>1171</v>
      </c>
    </row>
    <row r="16" spans="2:8" ht="95.25" customHeight="1" thickBot="1" x14ac:dyDescent="0.4">
      <c r="B16" s="46"/>
      <c r="C16" s="54" t="s">
        <v>620</v>
      </c>
      <c r="D16" s="55" t="s">
        <v>621</v>
      </c>
      <c r="E16" s="74" t="s">
        <v>565</v>
      </c>
      <c r="F16" s="55" t="s">
        <v>622</v>
      </c>
      <c r="G16" s="56" t="s">
        <v>623</v>
      </c>
      <c r="H16" s="75" t="s">
        <v>1171</v>
      </c>
    </row>
    <row r="17" spans="2:8" ht="111" customHeight="1" thickBot="1" x14ac:dyDescent="0.4">
      <c r="B17" s="46"/>
      <c r="C17" s="54" t="s">
        <v>624</v>
      </c>
      <c r="D17" s="55" t="s">
        <v>625</v>
      </c>
      <c r="E17" s="74" t="s">
        <v>565</v>
      </c>
      <c r="F17" s="55" t="s">
        <v>626</v>
      </c>
      <c r="G17" s="56" t="s">
        <v>627</v>
      </c>
      <c r="H17" s="75" t="s">
        <v>1171</v>
      </c>
    </row>
    <row r="18" spans="2:8" ht="95.25" customHeight="1" thickBot="1" x14ac:dyDescent="0.4">
      <c r="B18" s="46"/>
      <c r="C18" s="54" t="s">
        <v>628</v>
      </c>
      <c r="D18" s="55" t="s">
        <v>629</v>
      </c>
      <c r="E18" s="74" t="s">
        <v>565</v>
      </c>
      <c r="F18" s="55" t="s">
        <v>630</v>
      </c>
      <c r="G18" s="56" t="s">
        <v>631</v>
      </c>
      <c r="H18" s="75" t="s">
        <v>1171</v>
      </c>
    </row>
    <row r="19" spans="2:8" ht="95.25" customHeight="1" thickBot="1" x14ac:dyDescent="0.4">
      <c r="B19" s="46"/>
      <c r="C19" s="54" t="s">
        <v>632</v>
      </c>
      <c r="D19" s="55" t="s">
        <v>633</v>
      </c>
      <c r="E19" s="74" t="s">
        <v>565</v>
      </c>
      <c r="F19" s="55" t="s">
        <v>634</v>
      </c>
      <c r="G19" s="56" t="s">
        <v>635</v>
      </c>
      <c r="H19" s="75" t="s">
        <v>1171</v>
      </c>
    </row>
    <row r="20" spans="2:8" ht="95.25" customHeight="1" thickBot="1" x14ac:dyDescent="0.4">
      <c r="B20" s="46"/>
      <c r="C20" s="54" t="s">
        <v>636</v>
      </c>
      <c r="D20" s="55" t="s">
        <v>637</v>
      </c>
      <c r="E20" s="74" t="s">
        <v>565</v>
      </c>
      <c r="F20" s="55" t="s">
        <v>638</v>
      </c>
      <c r="G20" s="56" t="s">
        <v>639</v>
      </c>
      <c r="H20" s="75" t="s">
        <v>1171</v>
      </c>
    </row>
    <row r="21" spans="2:8" ht="95.25" customHeight="1" thickBot="1" x14ac:dyDescent="0.4">
      <c r="B21" s="46"/>
      <c r="C21" s="54" t="s">
        <v>640</v>
      </c>
      <c r="D21" s="55" t="s">
        <v>641</v>
      </c>
      <c r="E21" s="74" t="s">
        <v>565</v>
      </c>
      <c r="F21" s="55" t="s">
        <v>642</v>
      </c>
      <c r="G21" s="56" t="s">
        <v>643</v>
      </c>
      <c r="H21" s="75" t="s">
        <v>1171</v>
      </c>
    </row>
    <row r="22" spans="2:8" ht="95.25" customHeight="1" thickBot="1" x14ac:dyDescent="0.4">
      <c r="B22" s="46"/>
      <c r="C22" s="54" t="s">
        <v>644</v>
      </c>
      <c r="D22" s="55" t="s">
        <v>645</v>
      </c>
      <c r="E22" s="74" t="s">
        <v>565</v>
      </c>
      <c r="F22" s="55" t="s">
        <v>646</v>
      </c>
      <c r="G22" s="56" t="s">
        <v>647</v>
      </c>
      <c r="H22" s="75" t="s">
        <v>1171</v>
      </c>
    </row>
    <row r="23" spans="2:8" ht="95.25" customHeight="1" thickBot="1" x14ac:dyDescent="0.4">
      <c r="B23" s="46"/>
      <c r="C23" s="54" t="s">
        <v>648</v>
      </c>
      <c r="D23" s="55" t="s">
        <v>649</v>
      </c>
      <c r="E23" s="74" t="s">
        <v>565</v>
      </c>
      <c r="F23" s="55" t="s">
        <v>650</v>
      </c>
      <c r="G23" s="56" t="s">
        <v>651</v>
      </c>
      <c r="H23" s="75" t="s">
        <v>1171</v>
      </c>
    </row>
    <row r="24" spans="2:8" ht="95.25" customHeight="1" thickBot="1" x14ac:dyDescent="0.4">
      <c r="B24" s="46"/>
      <c r="C24" s="54" t="s">
        <v>652</v>
      </c>
      <c r="D24" s="55" t="s">
        <v>653</v>
      </c>
      <c r="E24" s="74" t="s">
        <v>565</v>
      </c>
      <c r="F24" s="55" t="s">
        <v>650</v>
      </c>
      <c r="G24" s="56" t="s">
        <v>654</v>
      </c>
      <c r="H24" s="75" t="s">
        <v>1171</v>
      </c>
    </row>
    <row r="25" spans="2:8" ht="95.25" customHeight="1" thickBot="1" x14ac:dyDescent="0.4">
      <c r="B25" s="46"/>
      <c r="C25" s="54" t="s">
        <v>655</v>
      </c>
      <c r="D25" s="55" t="s">
        <v>656</v>
      </c>
      <c r="E25" s="74" t="s">
        <v>565</v>
      </c>
      <c r="F25" s="55" t="s">
        <v>657</v>
      </c>
      <c r="G25" s="56" t="s">
        <v>658</v>
      </c>
      <c r="H25" s="75" t="s">
        <v>1171</v>
      </c>
    </row>
    <row r="26" spans="2:8" ht="95.25" customHeight="1" thickBot="1" x14ac:dyDescent="0.4">
      <c r="B26" s="46"/>
      <c r="C26" s="54" t="s">
        <v>659</v>
      </c>
      <c r="D26" s="55" t="s">
        <v>660</v>
      </c>
      <c r="E26" s="74" t="s">
        <v>565</v>
      </c>
      <c r="F26" s="55" t="s">
        <v>661</v>
      </c>
      <c r="G26" s="56" t="s">
        <v>662</v>
      </c>
      <c r="H26" s="75" t="s">
        <v>1171</v>
      </c>
    </row>
    <row r="27" spans="2:8" ht="111" customHeight="1" thickBot="1" x14ac:dyDescent="0.4">
      <c r="B27" s="46"/>
      <c r="C27" s="54" t="s">
        <v>663</v>
      </c>
      <c r="D27" s="55" t="s">
        <v>664</v>
      </c>
      <c r="E27" s="74" t="s">
        <v>565</v>
      </c>
      <c r="F27" s="55" t="s">
        <v>665</v>
      </c>
      <c r="G27" s="56" t="s">
        <v>666</v>
      </c>
      <c r="H27" s="75" t="s">
        <v>1171</v>
      </c>
    </row>
    <row r="28" spans="2:8" ht="95.25" customHeight="1" thickBot="1" x14ac:dyDescent="0.4">
      <c r="B28" s="46"/>
      <c r="C28" s="54" t="s">
        <v>667</v>
      </c>
      <c r="D28" s="55" t="s">
        <v>668</v>
      </c>
      <c r="E28" s="74" t="s">
        <v>565</v>
      </c>
      <c r="F28" s="55" t="s">
        <v>669</v>
      </c>
      <c r="G28" s="56" t="s">
        <v>670</v>
      </c>
      <c r="H28" s="75" t="s">
        <v>1171</v>
      </c>
    </row>
    <row r="29" spans="2:8" ht="111" customHeight="1" thickBot="1" x14ac:dyDescent="0.4">
      <c r="B29" s="46"/>
      <c r="C29" s="54" t="s">
        <v>671</v>
      </c>
      <c r="D29" s="55" t="s">
        <v>672</v>
      </c>
      <c r="E29" s="74" t="s">
        <v>565</v>
      </c>
      <c r="F29" s="55" t="s">
        <v>673</v>
      </c>
      <c r="G29" s="56" t="s">
        <v>674</v>
      </c>
      <c r="H29" s="75" t="s">
        <v>1171</v>
      </c>
    </row>
    <row r="30" spans="2:8" ht="95.25" customHeight="1" thickBot="1" x14ac:dyDescent="0.4">
      <c r="B30" s="46"/>
      <c r="C30" s="54" t="s">
        <v>675</v>
      </c>
      <c r="D30" s="55" t="s">
        <v>676</v>
      </c>
      <c r="E30" s="74" t="s">
        <v>565</v>
      </c>
      <c r="F30" s="55" t="s">
        <v>677</v>
      </c>
      <c r="G30" s="56" t="s">
        <v>678</v>
      </c>
      <c r="H30" s="75" t="s">
        <v>1171</v>
      </c>
    </row>
    <row r="31" spans="2:8" ht="95.25" customHeight="1" thickBot="1" x14ac:dyDescent="0.4">
      <c r="B31" s="46"/>
      <c r="C31" s="54" t="s">
        <v>679</v>
      </c>
      <c r="D31" s="55" t="s">
        <v>680</v>
      </c>
      <c r="E31" s="74" t="s">
        <v>565</v>
      </c>
      <c r="F31" s="55" t="s">
        <v>681</v>
      </c>
      <c r="G31" s="56" t="s">
        <v>682</v>
      </c>
      <c r="H31" s="75" t="s">
        <v>1171</v>
      </c>
    </row>
    <row r="32" spans="2:8" ht="111" customHeight="1" thickBot="1" x14ac:dyDescent="0.4">
      <c r="B32" s="46"/>
      <c r="C32" s="54" t="s">
        <v>683</v>
      </c>
      <c r="D32" s="55" t="s">
        <v>684</v>
      </c>
      <c r="E32" s="74" t="s">
        <v>565</v>
      </c>
      <c r="F32" s="55" t="s">
        <v>685</v>
      </c>
      <c r="G32" s="56" t="s">
        <v>686</v>
      </c>
      <c r="H32" s="75" t="s">
        <v>1171</v>
      </c>
    </row>
    <row r="33" spans="2:8" ht="95.25" customHeight="1" thickBot="1" x14ac:dyDescent="0.4">
      <c r="B33" s="46"/>
      <c r="C33" s="54" t="s">
        <v>687</v>
      </c>
      <c r="D33" s="55" t="s">
        <v>688</v>
      </c>
      <c r="E33" s="74" t="s">
        <v>565</v>
      </c>
      <c r="F33" s="55" t="s">
        <v>689</v>
      </c>
      <c r="G33" s="56" t="s">
        <v>690</v>
      </c>
      <c r="H33" s="75" t="s">
        <v>1171</v>
      </c>
    </row>
    <row r="34" spans="2:8" ht="111" customHeight="1" thickBot="1" x14ac:dyDescent="0.4">
      <c r="B34" s="46"/>
      <c r="C34" s="54" t="s">
        <v>691</v>
      </c>
      <c r="D34" s="55" t="s">
        <v>692</v>
      </c>
      <c r="E34" s="74" t="s">
        <v>565</v>
      </c>
      <c r="F34" s="55" t="s">
        <v>693</v>
      </c>
      <c r="G34" s="56" t="s">
        <v>694</v>
      </c>
      <c r="H34" s="75" t="s">
        <v>1171</v>
      </c>
    </row>
    <row r="35" spans="2:8" ht="95.25" customHeight="1" thickBot="1" x14ac:dyDescent="0.4">
      <c r="B35" s="46"/>
      <c r="C35" s="54" t="s">
        <v>695</v>
      </c>
      <c r="D35" s="55" t="s">
        <v>696</v>
      </c>
      <c r="E35" s="74" t="s">
        <v>565</v>
      </c>
      <c r="F35" s="55" t="s">
        <v>697</v>
      </c>
      <c r="G35" s="56" t="s">
        <v>698</v>
      </c>
      <c r="H35" s="75" t="s">
        <v>1171</v>
      </c>
    </row>
    <row r="36" spans="2:8" ht="111" customHeight="1" thickBot="1" x14ac:dyDescent="0.4">
      <c r="B36" s="46"/>
      <c r="C36" s="54" t="s">
        <v>699</v>
      </c>
      <c r="D36" s="55" t="s">
        <v>700</v>
      </c>
      <c r="E36" s="74" t="s">
        <v>565</v>
      </c>
      <c r="F36" s="55" t="s">
        <v>701</v>
      </c>
      <c r="G36" s="56" t="s">
        <v>702</v>
      </c>
      <c r="H36" s="75" t="s">
        <v>1171</v>
      </c>
    </row>
    <row r="37" spans="2:8" ht="95.25" customHeight="1" thickBot="1" x14ac:dyDescent="0.4">
      <c r="B37" s="46"/>
      <c r="C37" s="54" t="s">
        <v>703</v>
      </c>
      <c r="D37" s="55" t="s">
        <v>704</v>
      </c>
      <c r="E37" s="74" t="s">
        <v>565</v>
      </c>
      <c r="F37" s="55" t="s">
        <v>705</v>
      </c>
      <c r="G37" s="56" t="s">
        <v>706</v>
      </c>
      <c r="H37" s="75" t="s">
        <v>1171</v>
      </c>
    </row>
    <row r="38" spans="2:8" ht="95.25" customHeight="1" thickBot="1" x14ac:dyDescent="0.4">
      <c r="B38" s="46"/>
      <c r="C38" s="54" t="s">
        <v>707</v>
      </c>
      <c r="D38" s="55" t="s">
        <v>708</v>
      </c>
      <c r="E38" s="74" t="s">
        <v>565</v>
      </c>
      <c r="F38" s="55" t="s">
        <v>709</v>
      </c>
      <c r="G38" s="56" t="s">
        <v>710</v>
      </c>
      <c r="H38" s="75" t="s">
        <v>1171</v>
      </c>
    </row>
    <row r="39" spans="2:8" ht="95.25" customHeight="1" thickBot="1" x14ac:dyDescent="0.4">
      <c r="B39" s="46"/>
      <c r="C39" s="54" t="s">
        <v>711</v>
      </c>
      <c r="D39" s="55" t="s">
        <v>712</v>
      </c>
      <c r="E39" s="74" t="s">
        <v>565</v>
      </c>
      <c r="F39" s="55" t="s">
        <v>713</v>
      </c>
      <c r="G39" s="56" t="s">
        <v>714</v>
      </c>
      <c r="H39" s="75" t="s">
        <v>1171</v>
      </c>
    </row>
    <row r="40" spans="2:8" ht="126.75" customHeight="1" thickBot="1" x14ac:dyDescent="0.4">
      <c r="B40" s="46"/>
      <c r="C40" s="54" t="s">
        <v>715</v>
      </c>
      <c r="D40" s="55" t="s">
        <v>716</v>
      </c>
      <c r="E40" s="74" t="s">
        <v>565</v>
      </c>
      <c r="F40" s="55" t="s">
        <v>717</v>
      </c>
      <c r="G40" s="56" t="s">
        <v>718</v>
      </c>
      <c r="H40" s="75" t="s">
        <v>1171</v>
      </c>
    </row>
    <row r="41" spans="2:8" ht="95.25" customHeight="1" thickBot="1" x14ac:dyDescent="0.4">
      <c r="B41" s="46"/>
      <c r="C41" s="54" t="s">
        <v>719</v>
      </c>
      <c r="D41" s="55" t="s">
        <v>720</v>
      </c>
      <c r="E41" s="74" t="s">
        <v>565</v>
      </c>
      <c r="F41" s="55" t="s">
        <v>721</v>
      </c>
      <c r="G41" s="56" t="s">
        <v>722</v>
      </c>
      <c r="H41" s="75" t="s">
        <v>1171</v>
      </c>
    </row>
    <row r="42" spans="2:8" ht="95.25" customHeight="1" thickBot="1" x14ac:dyDescent="0.4">
      <c r="B42" s="46"/>
      <c r="C42" s="54" t="s">
        <v>723</v>
      </c>
      <c r="D42" s="55" t="s">
        <v>724</v>
      </c>
      <c r="E42" s="74" t="s">
        <v>565</v>
      </c>
      <c r="F42" s="55" t="s">
        <v>725</v>
      </c>
      <c r="G42" s="56" t="s">
        <v>726</v>
      </c>
      <c r="H42" s="75" t="s">
        <v>1171</v>
      </c>
    </row>
    <row r="43" spans="2:8" ht="95.25" customHeight="1" thickBot="1" x14ac:dyDescent="0.4">
      <c r="B43" s="46"/>
      <c r="C43" s="54" t="s">
        <v>727</v>
      </c>
      <c r="D43" s="55" t="s">
        <v>728</v>
      </c>
      <c r="E43" s="74" t="s">
        <v>565</v>
      </c>
      <c r="F43" s="55" t="s">
        <v>729</v>
      </c>
      <c r="G43" s="56" t="s">
        <v>730</v>
      </c>
      <c r="H43" s="75" t="s">
        <v>1171</v>
      </c>
    </row>
    <row r="44" spans="2:8" ht="111" customHeight="1" thickBot="1" x14ac:dyDescent="0.4">
      <c r="B44" s="46"/>
      <c r="C44" s="54" t="s">
        <v>731</v>
      </c>
      <c r="D44" s="55" t="s">
        <v>732</v>
      </c>
      <c r="E44" s="74" t="s">
        <v>565</v>
      </c>
      <c r="F44" s="55" t="s">
        <v>733</v>
      </c>
      <c r="G44" s="56" t="s">
        <v>734</v>
      </c>
      <c r="H44" s="75" t="s">
        <v>1171</v>
      </c>
    </row>
    <row r="45" spans="2:8" ht="95.25" customHeight="1" thickBot="1" x14ac:dyDescent="0.4">
      <c r="B45" s="46"/>
      <c r="C45" s="54" t="s">
        <v>735</v>
      </c>
      <c r="D45" s="55" t="s">
        <v>736</v>
      </c>
      <c r="E45" s="74" t="s">
        <v>565</v>
      </c>
      <c r="F45" s="55" t="s">
        <v>737</v>
      </c>
      <c r="G45" s="56" t="s">
        <v>738</v>
      </c>
      <c r="H45" s="75" t="s">
        <v>1171</v>
      </c>
    </row>
    <row r="46" spans="2:8" ht="95.25" customHeight="1" thickBot="1" x14ac:dyDescent="0.4">
      <c r="B46" s="46"/>
      <c r="C46" s="54" t="s">
        <v>739</v>
      </c>
      <c r="D46" s="55" t="s">
        <v>740</v>
      </c>
      <c r="E46" s="74" t="s">
        <v>565</v>
      </c>
      <c r="F46" s="55" t="s">
        <v>741</v>
      </c>
      <c r="G46" s="56" t="s">
        <v>742</v>
      </c>
      <c r="H46" s="75" t="s">
        <v>1171</v>
      </c>
    </row>
    <row r="47" spans="2:8" ht="79.5" customHeight="1" thickBot="1" x14ac:dyDescent="0.4">
      <c r="B47" s="46"/>
      <c r="C47" s="54" t="s">
        <v>743</v>
      </c>
      <c r="D47" s="55" t="s">
        <v>744</v>
      </c>
      <c r="E47" s="74" t="s">
        <v>565</v>
      </c>
      <c r="F47" s="55" t="s">
        <v>745</v>
      </c>
      <c r="G47" s="56" t="s">
        <v>746</v>
      </c>
      <c r="H47" s="75" t="s">
        <v>1171</v>
      </c>
    </row>
    <row r="48" spans="2:8" ht="95.25" customHeight="1" thickBot="1" x14ac:dyDescent="0.4">
      <c r="B48" s="46"/>
      <c r="C48" s="54" t="s">
        <v>747</v>
      </c>
      <c r="D48" s="55" t="s">
        <v>748</v>
      </c>
      <c r="E48" s="74" t="s">
        <v>565</v>
      </c>
      <c r="F48" s="55" t="s">
        <v>749</v>
      </c>
      <c r="G48" s="56" t="s">
        <v>750</v>
      </c>
      <c r="H48" s="75" t="s">
        <v>1171</v>
      </c>
    </row>
    <row r="49" spans="2:8" ht="79.5" customHeight="1" thickBot="1" x14ac:dyDescent="0.4">
      <c r="B49" s="46"/>
      <c r="C49" s="54" t="s">
        <v>751</v>
      </c>
      <c r="D49" s="55" t="s">
        <v>752</v>
      </c>
      <c r="E49" s="74" t="s">
        <v>565</v>
      </c>
      <c r="F49" s="55" t="s">
        <v>753</v>
      </c>
      <c r="G49" s="56" t="s">
        <v>754</v>
      </c>
      <c r="H49" s="75" t="s">
        <v>1171</v>
      </c>
    </row>
    <row r="50" spans="2:8" ht="79.5" customHeight="1" thickBot="1" x14ac:dyDescent="0.4">
      <c r="B50" s="46"/>
      <c r="C50" s="54" t="s">
        <v>755</v>
      </c>
      <c r="D50" s="55" t="s">
        <v>756</v>
      </c>
      <c r="E50" s="74" t="s">
        <v>565</v>
      </c>
      <c r="F50" s="55" t="s">
        <v>757</v>
      </c>
      <c r="G50" s="56" t="s">
        <v>758</v>
      </c>
      <c r="H50" s="75" t="s">
        <v>1171</v>
      </c>
    </row>
    <row r="51" spans="2:8" ht="95.25" customHeight="1" thickBot="1" x14ac:dyDescent="0.4">
      <c r="B51" s="46"/>
      <c r="C51" s="54" t="s">
        <v>759</v>
      </c>
      <c r="D51" s="55" t="s">
        <v>760</v>
      </c>
      <c r="E51" s="74" t="s">
        <v>565</v>
      </c>
      <c r="F51" s="55" t="s">
        <v>761</v>
      </c>
      <c r="G51" s="56" t="s">
        <v>762</v>
      </c>
      <c r="H51" s="75" t="s">
        <v>1171</v>
      </c>
    </row>
    <row r="52" spans="2:8" ht="79.5" customHeight="1" thickBot="1" x14ac:dyDescent="0.4">
      <c r="B52" s="46"/>
      <c r="C52" s="54" t="s">
        <v>763</v>
      </c>
      <c r="D52" s="55" t="s">
        <v>764</v>
      </c>
      <c r="E52" s="74" t="s">
        <v>565</v>
      </c>
      <c r="F52" s="55" t="s">
        <v>765</v>
      </c>
      <c r="G52" s="56" t="s">
        <v>766</v>
      </c>
      <c r="H52" s="75" t="s">
        <v>1171</v>
      </c>
    </row>
    <row r="53" spans="2:8" ht="95.25" customHeight="1" thickBot="1" x14ac:dyDescent="0.4">
      <c r="B53" s="46"/>
      <c r="C53" s="54" t="s">
        <v>767</v>
      </c>
      <c r="D53" s="55" t="s">
        <v>768</v>
      </c>
      <c r="E53" s="74" t="s">
        <v>565</v>
      </c>
      <c r="F53" s="55" t="s">
        <v>769</v>
      </c>
      <c r="G53" s="56" t="s">
        <v>770</v>
      </c>
      <c r="H53" s="75" t="s">
        <v>1171</v>
      </c>
    </row>
    <row r="54" spans="2:8" ht="95.25" customHeight="1" thickBot="1" x14ac:dyDescent="0.4">
      <c r="B54" s="46"/>
      <c r="C54" s="54" t="s">
        <v>771</v>
      </c>
      <c r="D54" s="55" t="s">
        <v>772</v>
      </c>
      <c r="E54" s="74" t="s">
        <v>565</v>
      </c>
      <c r="F54" s="55" t="s">
        <v>773</v>
      </c>
      <c r="G54" s="56" t="s">
        <v>774</v>
      </c>
      <c r="H54" s="75" t="s">
        <v>1171</v>
      </c>
    </row>
    <row r="55" spans="2:8" ht="79.5" customHeight="1" thickBot="1" x14ac:dyDescent="0.4">
      <c r="B55" s="46"/>
      <c r="C55" s="54" t="s">
        <v>775</v>
      </c>
      <c r="D55" s="55" t="s">
        <v>776</v>
      </c>
      <c r="E55" s="74" t="s">
        <v>565</v>
      </c>
      <c r="F55" s="55" t="s">
        <v>777</v>
      </c>
      <c r="G55" s="56" t="s">
        <v>778</v>
      </c>
      <c r="H55" s="75" t="s">
        <v>1171</v>
      </c>
    </row>
    <row r="56" spans="2:8" ht="79.5" customHeight="1" thickBot="1" x14ac:dyDescent="0.4">
      <c r="B56" s="46"/>
      <c r="C56" s="54" t="s">
        <v>779</v>
      </c>
      <c r="D56" s="55" t="s">
        <v>764</v>
      </c>
      <c r="E56" s="74" t="s">
        <v>565</v>
      </c>
      <c r="F56" s="55" t="s">
        <v>780</v>
      </c>
      <c r="G56" s="56" t="s">
        <v>781</v>
      </c>
      <c r="H56" s="75" t="s">
        <v>1171</v>
      </c>
    </row>
    <row r="57" spans="2:8" ht="95.25" customHeight="1" thickBot="1" x14ac:dyDescent="0.4">
      <c r="B57" s="46"/>
      <c r="C57" s="54" t="s">
        <v>782</v>
      </c>
      <c r="D57" s="55" t="s">
        <v>783</v>
      </c>
      <c r="E57" s="74" t="s">
        <v>565</v>
      </c>
      <c r="F57" s="55" t="s">
        <v>784</v>
      </c>
      <c r="G57" s="56" t="s">
        <v>785</v>
      </c>
      <c r="H57" s="75" t="s">
        <v>1171</v>
      </c>
    </row>
    <row r="58" spans="2:8" ht="95.25" customHeight="1" thickBot="1" x14ac:dyDescent="0.4">
      <c r="B58" s="46"/>
      <c r="C58" s="54" t="s">
        <v>786</v>
      </c>
      <c r="D58" s="55" t="s">
        <v>787</v>
      </c>
      <c r="E58" s="74" t="s">
        <v>565</v>
      </c>
      <c r="F58" s="55" t="s">
        <v>788</v>
      </c>
      <c r="G58" s="56" t="s">
        <v>789</v>
      </c>
      <c r="H58" s="75" t="s">
        <v>1171</v>
      </c>
    </row>
    <row r="59" spans="2:8" ht="79.5" customHeight="1" thickBot="1" x14ac:dyDescent="0.4">
      <c r="B59" s="46"/>
      <c r="C59" s="54" t="s">
        <v>790</v>
      </c>
      <c r="D59" s="55" t="s">
        <v>791</v>
      </c>
      <c r="E59" s="74" t="s">
        <v>565</v>
      </c>
      <c r="F59" s="55" t="s">
        <v>792</v>
      </c>
      <c r="G59" s="56" t="s">
        <v>793</v>
      </c>
      <c r="H59" s="75" t="s">
        <v>1171</v>
      </c>
    </row>
    <row r="60" spans="2:8" ht="95.25" customHeight="1" thickBot="1" x14ac:dyDescent="0.4">
      <c r="B60" s="46"/>
      <c r="C60" s="54" t="s">
        <v>794</v>
      </c>
      <c r="D60" s="55" t="s">
        <v>795</v>
      </c>
      <c r="E60" s="74" t="s">
        <v>565</v>
      </c>
      <c r="F60" s="55" t="s">
        <v>796</v>
      </c>
      <c r="G60" s="56" t="s">
        <v>797</v>
      </c>
      <c r="H60" s="75" t="s">
        <v>1171</v>
      </c>
    </row>
    <row r="61" spans="2:8" ht="79.5" customHeight="1" thickBot="1" x14ac:dyDescent="0.4">
      <c r="B61" s="46"/>
      <c r="C61" s="54" t="s">
        <v>798</v>
      </c>
      <c r="D61" s="55" t="s">
        <v>799</v>
      </c>
      <c r="E61" s="74" t="s">
        <v>565</v>
      </c>
      <c r="F61" s="55" t="s">
        <v>800</v>
      </c>
      <c r="G61" s="56" t="s">
        <v>801</v>
      </c>
      <c r="H61" s="75" t="s">
        <v>1171</v>
      </c>
    </row>
    <row r="62" spans="2:8" ht="111" customHeight="1" thickBot="1" x14ac:dyDescent="0.4">
      <c r="B62" s="46"/>
      <c r="C62" s="54" t="s">
        <v>802</v>
      </c>
      <c r="D62" s="55" t="s">
        <v>803</v>
      </c>
      <c r="E62" s="74" t="s">
        <v>565</v>
      </c>
      <c r="F62" s="55" t="s">
        <v>804</v>
      </c>
      <c r="G62" s="56" t="s">
        <v>805</v>
      </c>
      <c r="H62" s="75" t="s">
        <v>1171</v>
      </c>
    </row>
    <row r="63" spans="2:8" ht="95.25" customHeight="1" thickBot="1" x14ac:dyDescent="0.4">
      <c r="B63" s="46"/>
      <c r="C63" s="54" t="s">
        <v>806</v>
      </c>
      <c r="D63" s="55" t="s">
        <v>807</v>
      </c>
      <c r="E63" s="74" t="s">
        <v>565</v>
      </c>
      <c r="F63" s="55" t="s">
        <v>808</v>
      </c>
      <c r="G63" s="56" t="s">
        <v>809</v>
      </c>
      <c r="H63" s="75" t="s">
        <v>1171</v>
      </c>
    </row>
    <row r="64" spans="2:8" ht="111" customHeight="1" thickBot="1" x14ac:dyDescent="0.4">
      <c r="B64" s="46"/>
      <c r="C64" s="54" t="s">
        <v>810</v>
      </c>
      <c r="D64" s="55" t="s">
        <v>811</v>
      </c>
      <c r="E64" s="74" t="s">
        <v>565</v>
      </c>
      <c r="F64" s="55" t="s">
        <v>812</v>
      </c>
      <c r="G64" s="56" t="s">
        <v>813</v>
      </c>
      <c r="H64" s="75" t="s">
        <v>1171</v>
      </c>
    </row>
    <row r="65" spans="2:8" ht="111" customHeight="1" thickBot="1" x14ac:dyDescent="0.4">
      <c r="B65" s="46"/>
      <c r="C65" s="54" t="s">
        <v>814</v>
      </c>
      <c r="D65" s="55" t="s">
        <v>815</v>
      </c>
      <c r="E65" s="74" t="s">
        <v>565</v>
      </c>
      <c r="F65" s="55" t="s">
        <v>816</v>
      </c>
      <c r="G65" s="56" t="s">
        <v>817</v>
      </c>
      <c r="H65" s="75" t="s">
        <v>1171</v>
      </c>
    </row>
    <row r="66" spans="2:8" ht="111" customHeight="1" thickBot="1" x14ac:dyDescent="0.4">
      <c r="B66" s="46"/>
      <c r="C66" s="54" t="s">
        <v>818</v>
      </c>
      <c r="D66" s="55" t="s">
        <v>819</v>
      </c>
      <c r="E66" s="74" t="s">
        <v>565</v>
      </c>
      <c r="F66" s="55" t="s">
        <v>820</v>
      </c>
      <c r="G66" s="56" t="s">
        <v>821</v>
      </c>
      <c r="H66" s="75" t="s">
        <v>1171</v>
      </c>
    </row>
    <row r="67" spans="2:8" ht="95.25" customHeight="1" thickBot="1" x14ac:dyDescent="0.4">
      <c r="B67" s="46"/>
      <c r="C67" s="54" t="s">
        <v>822</v>
      </c>
      <c r="D67" s="55" t="s">
        <v>823</v>
      </c>
      <c r="E67" s="74" t="s">
        <v>565</v>
      </c>
      <c r="F67" s="55" t="s">
        <v>824</v>
      </c>
      <c r="G67" s="56" t="s">
        <v>825</v>
      </c>
      <c r="H67" s="75" t="s">
        <v>1171</v>
      </c>
    </row>
    <row r="68" spans="2:8" ht="95.25" customHeight="1" thickBot="1" x14ac:dyDescent="0.4">
      <c r="B68" s="46"/>
      <c r="C68" s="54" t="s">
        <v>826</v>
      </c>
      <c r="D68" s="55" t="s">
        <v>827</v>
      </c>
      <c r="E68" s="74" t="s">
        <v>565</v>
      </c>
      <c r="F68" s="55" t="s">
        <v>828</v>
      </c>
      <c r="G68" s="56" t="s">
        <v>829</v>
      </c>
      <c r="H68" s="75" t="s">
        <v>1171</v>
      </c>
    </row>
    <row r="69" spans="2:8" ht="79.5" customHeight="1" thickBot="1" x14ac:dyDescent="0.4">
      <c r="B69" s="46"/>
      <c r="C69" s="54" t="s">
        <v>830</v>
      </c>
      <c r="D69" s="55" t="s">
        <v>831</v>
      </c>
      <c r="E69" s="74" t="s">
        <v>565</v>
      </c>
      <c r="F69" s="55" t="s">
        <v>832</v>
      </c>
      <c r="G69" s="56" t="s">
        <v>833</v>
      </c>
      <c r="H69" s="75" t="s">
        <v>1171</v>
      </c>
    </row>
    <row r="70" spans="2:8" ht="79.5" customHeight="1" thickBot="1" x14ac:dyDescent="0.4">
      <c r="B70" s="46"/>
      <c r="C70" s="54" t="s">
        <v>834</v>
      </c>
      <c r="D70" s="55" t="s">
        <v>835</v>
      </c>
      <c r="E70" s="74" t="s">
        <v>565</v>
      </c>
      <c r="F70" s="55" t="s">
        <v>836</v>
      </c>
      <c r="G70" s="56" t="s">
        <v>837</v>
      </c>
      <c r="H70" s="75" t="s">
        <v>1171</v>
      </c>
    </row>
    <row r="71" spans="2:8" ht="95.25" customHeight="1" thickBot="1" x14ac:dyDescent="0.4">
      <c r="B71" s="46"/>
      <c r="C71" s="54" t="s">
        <v>838</v>
      </c>
      <c r="D71" s="55" t="s">
        <v>839</v>
      </c>
      <c r="E71" s="74" t="s">
        <v>565</v>
      </c>
      <c r="F71" s="55" t="s">
        <v>840</v>
      </c>
      <c r="G71" s="56" t="s">
        <v>841</v>
      </c>
      <c r="H71" s="75" t="s">
        <v>1171</v>
      </c>
    </row>
    <row r="72" spans="2:8" ht="95.25" customHeight="1" thickBot="1" x14ac:dyDescent="0.4">
      <c r="B72" s="46"/>
      <c r="C72" s="54" t="s">
        <v>842</v>
      </c>
      <c r="D72" s="55" t="s">
        <v>843</v>
      </c>
      <c r="E72" s="74" t="s">
        <v>565</v>
      </c>
      <c r="F72" s="55" t="s">
        <v>844</v>
      </c>
      <c r="G72" s="56" t="s">
        <v>845</v>
      </c>
      <c r="H72" s="75" t="s">
        <v>1171</v>
      </c>
    </row>
    <row r="73" spans="2:8" ht="95.25" customHeight="1" thickBot="1" x14ac:dyDescent="0.4">
      <c r="B73" s="46"/>
      <c r="C73" s="54" t="s">
        <v>846</v>
      </c>
      <c r="D73" s="55" t="s">
        <v>847</v>
      </c>
      <c r="E73" s="74" t="s">
        <v>565</v>
      </c>
      <c r="F73" s="55" t="s">
        <v>848</v>
      </c>
      <c r="G73" s="56" t="s">
        <v>849</v>
      </c>
      <c r="H73" s="75" t="s">
        <v>1171</v>
      </c>
    </row>
    <row r="74" spans="2:8" ht="95.25" customHeight="1" thickBot="1" x14ac:dyDescent="0.4">
      <c r="B74" s="46"/>
      <c r="C74" s="54" t="s">
        <v>850</v>
      </c>
      <c r="D74" s="55" t="s">
        <v>851</v>
      </c>
      <c r="E74" s="74" t="s">
        <v>565</v>
      </c>
      <c r="F74" s="55" t="s">
        <v>852</v>
      </c>
      <c r="G74" s="56" t="s">
        <v>853</v>
      </c>
      <c r="H74" s="75" t="s">
        <v>1171</v>
      </c>
    </row>
    <row r="75" spans="2:8" ht="79.5" customHeight="1" thickBot="1" x14ac:dyDescent="0.4">
      <c r="B75" s="46"/>
      <c r="C75" s="54" t="s">
        <v>854</v>
      </c>
      <c r="D75" s="55" t="s">
        <v>855</v>
      </c>
      <c r="E75" s="74" t="s">
        <v>565</v>
      </c>
      <c r="F75" s="55" t="s">
        <v>856</v>
      </c>
      <c r="G75" s="56" t="s">
        <v>857</v>
      </c>
      <c r="H75" s="75" t="s">
        <v>1171</v>
      </c>
    </row>
    <row r="76" spans="2:8" ht="95.25" customHeight="1" thickBot="1" x14ac:dyDescent="0.4">
      <c r="B76" s="46"/>
      <c r="C76" s="54" t="s">
        <v>858</v>
      </c>
      <c r="D76" s="55" t="s">
        <v>859</v>
      </c>
      <c r="E76" s="74" t="s">
        <v>565</v>
      </c>
      <c r="F76" s="55" t="s">
        <v>860</v>
      </c>
      <c r="G76" s="56" t="s">
        <v>861</v>
      </c>
      <c r="H76" s="75" t="s">
        <v>1171</v>
      </c>
    </row>
    <row r="77" spans="2:8" ht="63.75" customHeight="1" thickBot="1" x14ac:dyDescent="0.4">
      <c r="B77" s="46"/>
      <c r="C77" s="54" t="s">
        <v>862</v>
      </c>
      <c r="D77" s="55" t="s">
        <v>863</v>
      </c>
      <c r="E77" s="74" t="s">
        <v>565</v>
      </c>
      <c r="F77" s="55" t="s">
        <v>864</v>
      </c>
      <c r="G77" s="56" t="s">
        <v>865</v>
      </c>
      <c r="H77" s="75" t="s">
        <v>1171</v>
      </c>
    </row>
    <row r="78" spans="2:8" ht="63.75" customHeight="1" thickBot="1" x14ac:dyDescent="0.4">
      <c r="B78" s="46"/>
      <c r="C78" s="54" t="s">
        <v>866</v>
      </c>
      <c r="D78" s="55" t="s">
        <v>867</v>
      </c>
      <c r="E78" s="74" t="s">
        <v>565</v>
      </c>
      <c r="F78" s="55" t="s">
        <v>868</v>
      </c>
      <c r="G78" s="56" t="s">
        <v>869</v>
      </c>
      <c r="H78" s="75" t="s">
        <v>1171</v>
      </c>
    </row>
    <row r="79" spans="2:8" ht="95.25" customHeight="1" thickBot="1" x14ac:dyDescent="0.4">
      <c r="B79" s="46"/>
      <c r="C79" s="54" t="s">
        <v>870</v>
      </c>
      <c r="D79" s="55" t="s">
        <v>871</v>
      </c>
      <c r="E79" s="74" t="s">
        <v>565</v>
      </c>
      <c r="F79" s="55" t="s">
        <v>872</v>
      </c>
      <c r="G79" s="56" t="s">
        <v>873</v>
      </c>
      <c r="H79" s="75" t="s">
        <v>1171</v>
      </c>
    </row>
    <row r="80" spans="2:8" ht="95.25" customHeight="1" thickBot="1" x14ac:dyDescent="0.4">
      <c r="B80" s="46"/>
      <c r="C80" s="54" t="s">
        <v>874</v>
      </c>
      <c r="D80" s="55" t="s">
        <v>875</v>
      </c>
      <c r="E80" s="74" t="s">
        <v>565</v>
      </c>
      <c r="F80" s="55" t="s">
        <v>876</v>
      </c>
      <c r="G80" s="56" t="s">
        <v>877</v>
      </c>
      <c r="H80" s="75" t="s">
        <v>1171</v>
      </c>
    </row>
    <row r="81" spans="2:8" ht="111" customHeight="1" thickBot="1" x14ac:dyDescent="0.4">
      <c r="B81" s="46"/>
      <c r="C81" s="54" t="s">
        <v>878</v>
      </c>
      <c r="D81" s="55" t="s">
        <v>879</v>
      </c>
      <c r="E81" s="74" t="s">
        <v>565</v>
      </c>
      <c r="F81" s="55" t="s">
        <v>880</v>
      </c>
      <c r="G81" s="56" t="s">
        <v>881</v>
      </c>
      <c r="H81" s="75" t="s">
        <v>1171</v>
      </c>
    </row>
    <row r="82" spans="2:8" ht="79.5" customHeight="1" thickBot="1" x14ac:dyDescent="0.4">
      <c r="B82" s="46"/>
      <c r="C82" s="54" t="s">
        <v>882</v>
      </c>
      <c r="D82" s="55" t="s">
        <v>883</v>
      </c>
      <c r="E82" s="74" t="s">
        <v>565</v>
      </c>
      <c r="F82" s="55" t="s">
        <v>884</v>
      </c>
      <c r="G82" s="56" t="s">
        <v>885</v>
      </c>
      <c r="H82" s="75" t="s">
        <v>1171</v>
      </c>
    </row>
    <row r="83" spans="2:8" ht="63.75" customHeight="1" thickBot="1" x14ac:dyDescent="0.4">
      <c r="B83" s="46"/>
      <c r="C83" s="54" t="s">
        <v>886</v>
      </c>
      <c r="D83" s="55" t="s">
        <v>887</v>
      </c>
      <c r="E83" s="74" t="s">
        <v>565</v>
      </c>
      <c r="F83" s="55" t="s">
        <v>888</v>
      </c>
      <c r="G83" s="56" t="s">
        <v>889</v>
      </c>
      <c r="H83" s="75" t="s">
        <v>1171</v>
      </c>
    </row>
    <row r="84" spans="2:8" ht="79.5" customHeight="1" thickBot="1" x14ac:dyDescent="0.4">
      <c r="B84" s="46"/>
      <c r="C84" s="54" t="s">
        <v>890</v>
      </c>
      <c r="D84" s="55" t="s">
        <v>891</v>
      </c>
      <c r="E84" s="74" t="s">
        <v>565</v>
      </c>
      <c r="F84" s="55" t="s">
        <v>892</v>
      </c>
      <c r="G84" s="56" t="s">
        <v>893</v>
      </c>
      <c r="H84" s="75" t="s">
        <v>1171</v>
      </c>
    </row>
    <row r="85" spans="2:8" ht="95.25" customHeight="1" thickBot="1" x14ac:dyDescent="0.4">
      <c r="B85" s="46"/>
      <c r="C85" s="54" t="s">
        <v>894</v>
      </c>
      <c r="D85" s="55" t="s">
        <v>895</v>
      </c>
      <c r="E85" s="74" t="s">
        <v>565</v>
      </c>
      <c r="F85" s="55" t="s">
        <v>896</v>
      </c>
      <c r="G85" s="56" t="s">
        <v>897</v>
      </c>
      <c r="H85" s="75" t="s">
        <v>1171</v>
      </c>
    </row>
    <row r="86" spans="2:8" ht="95.25" customHeight="1" thickBot="1" x14ac:dyDescent="0.4">
      <c r="B86" s="46"/>
      <c r="C86" s="54" t="s">
        <v>898</v>
      </c>
      <c r="D86" s="55" t="s">
        <v>899</v>
      </c>
      <c r="E86" s="74" t="s">
        <v>565</v>
      </c>
      <c r="F86" s="55" t="s">
        <v>900</v>
      </c>
      <c r="G86" s="56" t="s">
        <v>901</v>
      </c>
      <c r="H86" s="75" t="s">
        <v>1171</v>
      </c>
    </row>
    <row r="87" spans="2:8" ht="95.25" customHeight="1" thickBot="1" x14ac:dyDescent="0.4">
      <c r="B87" s="46"/>
      <c r="C87" s="54" t="s">
        <v>902</v>
      </c>
      <c r="D87" s="55" t="s">
        <v>903</v>
      </c>
      <c r="E87" s="74" t="s">
        <v>565</v>
      </c>
      <c r="F87" s="55" t="s">
        <v>904</v>
      </c>
      <c r="G87" s="56" t="s">
        <v>905</v>
      </c>
      <c r="H87" s="75" t="s">
        <v>1171</v>
      </c>
    </row>
    <row r="88" spans="2:8" ht="95.25" customHeight="1" thickBot="1" x14ac:dyDescent="0.4">
      <c r="B88" s="46"/>
      <c r="C88" s="54" t="s">
        <v>906</v>
      </c>
      <c r="D88" s="55" t="s">
        <v>907</v>
      </c>
      <c r="E88" s="74" t="s">
        <v>565</v>
      </c>
      <c r="F88" s="55" t="s">
        <v>908</v>
      </c>
      <c r="G88" s="56" t="s">
        <v>909</v>
      </c>
      <c r="H88" s="75" t="s">
        <v>1171</v>
      </c>
    </row>
    <row r="89" spans="2:8" ht="111" customHeight="1" thickBot="1" x14ac:dyDescent="0.4">
      <c r="B89" s="46"/>
      <c r="C89" s="54" t="s">
        <v>910</v>
      </c>
      <c r="D89" s="55" t="s">
        <v>911</v>
      </c>
      <c r="E89" s="74" t="s">
        <v>565</v>
      </c>
      <c r="F89" s="55" t="s">
        <v>912</v>
      </c>
      <c r="G89" s="56" t="s">
        <v>913</v>
      </c>
      <c r="H89" s="75" t="s">
        <v>1171</v>
      </c>
    </row>
    <row r="90" spans="2:8" ht="111" customHeight="1" thickBot="1" x14ac:dyDescent="0.4">
      <c r="B90" s="46"/>
      <c r="C90" s="54" t="s">
        <v>914</v>
      </c>
      <c r="D90" s="55" t="s">
        <v>915</v>
      </c>
      <c r="E90" s="74" t="s">
        <v>565</v>
      </c>
      <c r="F90" s="55" t="s">
        <v>916</v>
      </c>
      <c r="G90" s="56" t="s">
        <v>917</v>
      </c>
      <c r="H90" s="75" t="s">
        <v>1171</v>
      </c>
    </row>
    <row r="91" spans="2:8" ht="79.5" customHeight="1" thickBot="1" x14ac:dyDescent="0.4">
      <c r="B91" s="46"/>
      <c r="C91" s="54" t="s">
        <v>918</v>
      </c>
      <c r="D91" s="55" t="s">
        <v>919</v>
      </c>
      <c r="E91" s="74" t="s">
        <v>565</v>
      </c>
      <c r="F91" s="55" t="s">
        <v>920</v>
      </c>
      <c r="G91" s="56" t="s">
        <v>921</v>
      </c>
      <c r="H91" s="75" t="s">
        <v>1171</v>
      </c>
    </row>
    <row r="92" spans="2:8" ht="95.25" customHeight="1" thickBot="1" x14ac:dyDescent="0.4">
      <c r="B92" s="46"/>
      <c r="C92" s="54" t="s">
        <v>922</v>
      </c>
      <c r="D92" s="55" t="s">
        <v>923</v>
      </c>
      <c r="E92" s="74" t="s">
        <v>565</v>
      </c>
      <c r="F92" s="55" t="s">
        <v>924</v>
      </c>
      <c r="G92" s="56" t="s">
        <v>925</v>
      </c>
      <c r="H92" s="75" t="s">
        <v>1171</v>
      </c>
    </row>
    <row r="93" spans="2:8" ht="79.5" customHeight="1" thickBot="1" x14ac:dyDescent="0.4">
      <c r="B93" s="46"/>
      <c r="C93" s="54" t="s">
        <v>926</v>
      </c>
      <c r="D93" s="55" t="s">
        <v>927</v>
      </c>
      <c r="E93" s="74" t="s">
        <v>565</v>
      </c>
      <c r="F93" s="55" t="s">
        <v>928</v>
      </c>
      <c r="G93" s="56" t="s">
        <v>929</v>
      </c>
      <c r="H93" s="75" t="s">
        <v>1171</v>
      </c>
    </row>
    <row r="94" spans="2:8" ht="79.5" customHeight="1" thickBot="1" x14ac:dyDescent="0.4">
      <c r="B94" s="46"/>
      <c r="C94" s="54" t="s">
        <v>930</v>
      </c>
      <c r="D94" s="55" t="s">
        <v>931</v>
      </c>
      <c r="E94" s="74" t="s">
        <v>565</v>
      </c>
      <c r="F94" s="55" t="s">
        <v>932</v>
      </c>
      <c r="G94" s="56" t="s">
        <v>933</v>
      </c>
      <c r="H94" s="75" t="s">
        <v>1171</v>
      </c>
    </row>
    <row r="95" spans="2:8" ht="95.25" customHeight="1" thickBot="1" x14ac:dyDescent="0.4">
      <c r="B95" s="46"/>
      <c r="C95" s="54" t="s">
        <v>934</v>
      </c>
      <c r="D95" s="55" t="s">
        <v>935</v>
      </c>
      <c r="E95" s="74" t="s">
        <v>565</v>
      </c>
      <c r="F95" s="55" t="s">
        <v>936</v>
      </c>
      <c r="G95" s="56" t="s">
        <v>937</v>
      </c>
      <c r="H95" s="75" t="s">
        <v>1171</v>
      </c>
    </row>
    <row r="96" spans="2:8" ht="79.5" customHeight="1" thickBot="1" x14ac:dyDescent="0.4">
      <c r="B96" s="46"/>
      <c r="C96" s="54" t="s">
        <v>938</v>
      </c>
      <c r="D96" s="55" t="s">
        <v>939</v>
      </c>
      <c r="E96" s="74" t="s">
        <v>565</v>
      </c>
      <c r="F96" s="55" t="s">
        <v>940</v>
      </c>
      <c r="G96" s="56" t="s">
        <v>941</v>
      </c>
      <c r="H96" s="75" t="s">
        <v>1171</v>
      </c>
    </row>
    <row r="97" spans="2:8" ht="79.5" customHeight="1" thickBot="1" x14ac:dyDescent="0.4">
      <c r="B97" s="46"/>
      <c r="C97" s="54" t="s">
        <v>942</v>
      </c>
      <c r="D97" s="55" t="s">
        <v>943</v>
      </c>
      <c r="E97" s="74" t="s">
        <v>565</v>
      </c>
      <c r="F97" s="55" t="s">
        <v>944</v>
      </c>
      <c r="G97" s="56" t="s">
        <v>945</v>
      </c>
      <c r="H97" s="75" t="s">
        <v>1171</v>
      </c>
    </row>
    <row r="98" spans="2:8" ht="95.25" customHeight="1" thickBot="1" x14ac:dyDescent="0.4">
      <c r="B98" s="46"/>
      <c r="C98" s="54" t="s">
        <v>946</v>
      </c>
      <c r="D98" s="55" t="s">
        <v>947</v>
      </c>
      <c r="E98" s="74" t="s">
        <v>565</v>
      </c>
      <c r="F98" s="55" t="s">
        <v>948</v>
      </c>
      <c r="G98" s="56" t="s">
        <v>949</v>
      </c>
      <c r="H98" s="75" t="s">
        <v>1171</v>
      </c>
    </row>
    <row r="99" spans="2:8" ht="95.25" customHeight="1" thickBot="1" x14ac:dyDescent="0.4">
      <c r="B99" s="46"/>
      <c r="C99" s="49" t="s">
        <v>950</v>
      </c>
      <c r="D99" s="50" t="s">
        <v>951</v>
      </c>
      <c r="E99" s="77" t="s">
        <v>67</v>
      </c>
      <c r="F99" s="50" t="s">
        <v>952</v>
      </c>
      <c r="G99" s="52" t="s">
        <v>953</v>
      </c>
      <c r="H99" s="75" t="s">
        <v>1171</v>
      </c>
    </row>
    <row r="100" spans="2:8" ht="79.5" customHeight="1" thickBot="1" x14ac:dyDescent="0.4">
      <c r="B100" s="46"/>
      <c r="C100" s="54" t="s">
        <v>954</v>
      </c>
      <c r="D100" s="55" t="s">
        <v>955</v>
      </c>
      <c r="E100" s="78" t="s">
        <v>67</v>
      </c>
      <c r="F100" s="55" t="s">
        <v>956</v>
      </c>
      <c r="G100" s="56" t="s">
        <v>957</v>
      </c>
      <c r="H100" s="75" t="s">
        <v>1171</v>
      </c>
    </row>
    <row r="101" spans="2:8" ht="95.25" customHeight="1" thickBot="1" x14ac:dyDescent="0.4">
      <c r="B101" s="46"/>
      <c r="C101" s="54" t="s">
        <v>958</v>
      </c>
      <c r="D101" s="55" t="s">
        <v>959</v>
      </c>
      <c r="E101" s="78" t="s">
        <v>67</v>
      </c>
      <c r="F101" s="55" t="s">
        <v>960</v>
      </c>
      <c r="G101" s="56" t="s">
        <v>961</v>
      </c>
      <c r="H101" s="75" t="s">
        <v>1171</v>
      </c>
    </row>
    <row r="102" spans="2:8" ht="95.25" customHeight="1" thickBot="1" x14ac:dyDescent="0.4">
      <c r="B102" s="46"/>
      <c r="C102" s="54" t="s">
        <v>962</v>
      </c>
      <c r="D102" s="55" t="s">
        <v>963</v>
      </c>
      <c r="E102" s="78" t="s">
        <v>67</v>
      </c>
      <c r="F102" s="55" t="s">
        <v>964</v>
      </c>
      <c r="G102" s="56" t="s">
        <v>965</v>
      </c>
      <c r="H102" s="75" t="s">
        <v>1171</v>
      </c>
    </row>
    <row r="103" spans="2:8" ht="95.25" customHeight="1" thickBot="1" x14ac:dyDescent="0.4">
      <c r="B103" s="46"/>
      <c r="C103" s="54" t="s">
        <v>966</v>
      </c>
      <c r="D103" s="55" t="s">
        <v>967</v>
      </c>
      <c r="E103" s="78" t="s">
        <v>67</v>
      </c>
      <c r="F103" s="55" t="s">
        <v>968</v>
      </c>
      <c r="G103" s="56" t="s">
        <v>969</v>
      </c>
      <c r="H103" s="75" t="s">
        <v>1171</v>
      </c>
    </row>
    <row r="104" spans="2:8" ht="79.5" customHeight="1" thickBot="1" x14ac:dyDescent="0.4">
      <c r="B104" s="46"/>
      <c r="C104" s="54" t="s">
        <v>970</v>
      </c>
      <c r="D104" s="55" t="s">
        <v>971</v>
      </c>
      <c r="E104" s="78" t="s">
        <v>67</v>
      </c>
      <c r="F104" s="55" t="s">
        <v>972</v>
      </c>
      <c r="G104" s="56" t="s">
        <v>973</v>
      </c>
      <c r="H104" s="75" t="s">
        <v>1171</v>
      </c>
    </row>
    <row r="105" spans="2:8" ht="79.5" customHeight="1" thickBot="1" x14ac:dyDescent="0.4">
      <c r="B105" s="46"/>
      <c r="C105" s="54" t="s">
        <v>974</v>
      </c>
      <c r="D105" s="55" t="s">
        <v>975</v>
      </c>
      <c r="E105" s="78" t="s">
        <v>67</v>
      </c>
      <c r="F105" s="55" t="s">
        <v>976</v>
      </c>
      <c r="G105" s="56" t="s">
        <v>977</v>
      </c>
      <c r="H105" s="75" t="s">
        <v>1171</v>
      </c>
    </row>
    <row r="106" spans="2:8" ht="126.75" customHeight="1" thickBot="1" x14ac:dyDescent="0.4">
      <c r="B106" s="46"/>
      <c r="C106" s="54" t="s">
        <v>978</v>
      </c>
      <c r="D106" s="55" t="s">
        <v>979</v>
      </c>
      <c r="E106" s="78" t="s">
        <v>67</v>
      </c>
      <c r="F106" s="55" t="s">
        <v>980</v>
      </c>
      <c r="G106" s="56" t="s">
        <v>981</v>
      </c>
      <c r="H106" s="75" t="s">
        <v>1171</v>
      </c>
    </row>
    <row r="107" spans="2:8" ht="111" customHeight="1" thickBot="1" x14ac:dyDescent="0.4">
      <c r="B107" s="46"/>
      <c r="C107" s="54" t="s">
        <v>982</v>
      </c>
      <c r="D107" s="55" t="s">
        <v>983</v>
      </c>
      <c r="E107" s="78" t="s">
        <v>73</v>
      </c>
      <c r="F107" s="55" t="s">
        <v>984</v>
      </c>
      <c r="G107" s="56" t="s">
        <v>985</v>
      </c>
      <c r="H107" s="75" t="s">
        <v>1171</v>
      </c>
    </row>
    <row r="108" spans="2:8" ht="111" customHeight="1" thickBot="1" x14ac:dyDescent="0.4">
      <c r="B108" s="46"/>
      <c r="C108" s="54" t="s">
        <v>986</v>
      </c>
      <c r="D108" s="55" t="s">
        <v>987</v>
      </c>
      <c r="E108" s="78" t="s">
        <v>73</v>
      </c>
      <c r="F108" s="55" t="s">
        <v>988</v>
      </c>
      <c r="G108" s="56" t="s">
        <v>989</v>
      </c>
      <c r="H108" s="75" t="s">
        <v>1171</v>
      </c>
    </row>
    <row r="109" spans="2:8" ht="142.5" customHeight="1" thickBot="1" x14ac:dyDescent="0.4">
      <c r="B109" s="46"/>
      <c r="C109" s="54" t="s">
        <v>990</v>
      </c>
      <c r="D109" s="55" t="s">
        <v>991</v>
      </c>
      <c r="E109" s="78" t="s">
        <v>73</v>
      </c>
      <c r="F109" s="55" t="s">
        <v>992</v>
      </c>
      <c r="G109" s="56" t="s">
        <v>993</v>
      </c>
      <c r="H109" s="75" t="s">
        <v>1171</v>
      </c>
    </row>
    <row r="110" spans="2:8" ht="79.5" customHeight="1" thickBot="1" x14ac:dyDescent="0.4">
      <c r="B110" s="46"/>
      <c r="C110" s="54" t="s">
        <v>994</v>
      </c>
      <c r="D110" s="55" t="s">
        <v>995</v>
      </c>
      <c r="E110" s="78" t="s">
        <v>73</v>
      </c>
      <c r="F110" s="55" t="s">
        <v>996</v>
      </c>
      <c r="G110" s="56" t="s">
        <v>997</v>
      </c>
      <c r="H110" s="75" t="s">
        <v>1171</v>
      </c>
    </row>
    <row r="111" spans="2:8" ht="111" customHeight="1" thickBot="1" x14ac:dyDescent="0.4">
      <c r="B111" s="46"/>
      <c r="C111" s="54" t="s">
        <v>998</v>
      </c>
      <c r="D111" s="55" t="s">
        <v>999</v>
      </c>
      <c r="E111" s="78" t="s">
        <v>73</v>
      </c>
      <c r="F111" s="55" t="s">
        <v>1000</v>
      </c>
      <c r="G111" s="56" t="s">
        <v>1001</v>
      </c>
      <c r="H111" s="75" t="s">
        <v>1171</v>
      </c>
    </row>
    <row r="112" spans="2:8" ht="95.25" customHeight="1" thickBot="1" x14ac:dyDescent="0.4">
      <c r="B112" s="46"/>
      <c r="C112" s="54" t="s">
        <v>1002</v>
      </c>
      <c r="D112" s="55" t="s">
        <v>1003</v>
      </c>
      <c r="E112" s="78" t="s">
        <v>73</v>
      </c>
      <c r="F112" s="55" t="s">
        <v>1004</v>
      </c>
      <c r="G112" s="56" t="s">
        <v>1005</v>
      </c>
      <c r="H112" s="75" t="s">
        <v>1171</v>
      </c>
    </row>
    <row r="113" spans="2:8" ht="79.5" customHeight="1" thickBot="1" x14ac:dyDescent="0.4">
      <c r="B113" s="46"/>
      <c r="C113" s="54" t="s">
        <v>1006</v>
      </c>
      <c r="D113" s="55" t="s">
        <v>1007</v>
      </c>
      <c r="E113" s="78" t="s">
        <v>76</v>
      </c>
      <c r="F113" s="55" t="s">
        <v>1008</v>
      </c>
      <c r="G113" s="56" t="s">
        <v>1009</v>
      </c>
      <c r="H113" s="75" t="s">
        <v>1171</v>
      </c>
    </row>
    <row r="114" spans="2:8" ht="95.25" customHeight="1" thickBot="1" x14ac:dyDescent="0.4">
      <c r="B114" s="46"/>
      <c r="C114" s="54" t="s">
        <v>1010</v>
      </c>
      <c r="D114" s="55" t="s">
        <v>1011</v>
      </c>
      <c r="E114" s="78" t="s">
        <v>76</v>
      </c>
      <c r="F114" s="55" t="s">
        <v>1012</v>
      </c>
      <c r="G114" s="56" t="s">
        <v>1013</v>
      </c>
      <c r="H114" s="75" t="s">
        <v>1171</v>
      </c>
    </row>
    <row r="115" spans="2:8" ht="63.75" customHeight="1" thickBot="1" x14ac:dyDescent="0.4">
      <c r="B115" s="46"/>
      <c r="C115" s="54" t="s">
        <v>1014</v>
      </c>
      <c r="D115" s="55" t="s">
        <v>1015</v>
      </c>
      <c r="E115" s="78" t="s">
        <v>76</v>
      </c>
      <c r="F115" s="55" t="s">
        <v>1016</v>
      </c>
      <c r="G115" s="56" t="s">
        <v>1017</v>
      </c>
      <c r="H115" s="75" t="s">
        <v>1171</v>
      </c>
    </row>
    <row r="116" spans="2:8" ht="63.75" customHeight="1" thickBot="1" x14ac:dyDescent="0.4">
      <c r="B116" s="46"/>
      <c r="C116" s="54" t="s">
        <v>1018</v>
      </c>
      <c r="D116" s="55" t="s">
        <v>1019</v>
      </c>
      <c r="E116" s="78" t="s">
        <v>76</v>
      </c>
      <c r="F116" s="55" t="s">
        <v>1020</v>
      </c>
      <c r="G116" s="56" t="s">
        <v>1021</v>
      </c>
      <c r="H116" s="75" t="s">
        <v>1171</v>
      </c>
    </row>
    <row r="117" spans="2:8" ht="63.75" customHeight="1" thickBot="1" x14ac:dyDescent="0.4">
      <c r="B117" s="46"/>
      <c r="C117" s="54" t="s">
        <v>1022</v>
      </c>
      <c r="D117" s="55" t="s">
        <v>1023</v>
      </c>
      <c r="E117" s="78" t="s">
        <v>76</v>
      </c>
      <c r="F117" s="55" t="s">
        <v>1024</v>
      </c>
      <c r="G117" s="56" t="s">
        <v>1025</v>
      </c>
      <c r="H117" s="75" t="s">
        <v>1171</v>
      </c>
    </row>
    <row r="118" spans="2:8" ht="79.5" customHeight="1" thickBot="1" x14ac:dyDescent="0.4">
      <c r="B118" s="46"/>
      <c r="C118" s="54" t="s">
        <v>1026</v>
      </c>
      <c r="D118" s="55" t="s">
        <v>1027</v>
      </c>
      <c r="E118" s="78" t="s">
        <v>80</v>
      </c>
      <c r="F118" s="55" t="s">
        <v>1028</v>
      </c>
      <c r="G118" s="56" t="s">
        <v>1029</v>
      </c>
      <c r="H118" s="75" t="s">
        <v>1171</v>
      </c>
    </row>
    <row r="119" spans="2:8" ht="126.75" customHeight="1" thickBot="1" x14ac:dyDescent="0.4">
      <c r="B119" s="46"/>
      <c r="C119" s="54" t="s">
        <v>1030</v>
      </c>
      <c r="D119" s="55" t="s">
        <v>1031</v>
      </c>
      <c r="E119" s="78" t="s">
        <v>80</v>
      </c>
      <c r="F119" s="55" t="s">
        <v>1032</v>
      </c>
      <c r="G119" s="56" t="s">
        <v>1033</v>
      </c>
      <c r="H119" s="75" t="s">
        <v>1171</v>
      </c>
    </row>
    <row r="120" spans="2:8" ht="63.75" customHeight="1" thickBot="1" x14ac:dyDescent="0.4">
      <c r="B120" s="46"/>
      <c r="C120" s="54" t="s">
        <v>1034</v>
      </c>
      <c r="D120" s="55" t="s">
        <v>1015</v>
      </c>
      <c r="E120" s="78" t="s">
        <v>80</v>
      </c>
      <c r="F120" s="55" t="s">
        <v>1016</v>
      </c>
      <c r="G120" s="56" t="s">
        <v>1017</v>
      </c>
      <c r="H120" s="75" t="s">
        <v>1171</v>
      </c>
    </row>
    <row r="121" spans="2:8" ht="48" customHeight="1" thickBot="1" x14ac:dyDescent="0.4">
      <c r="B121" s="46"/>
      <c r="C121" s="54" t="s">
        <v>1035</v>
      </c>
      <c r="D121" s="55" t="s">
        <v>1019</v>
      </c>
      <c r="E121" s="78" t="s">
        <v>80</v>
      </c>
      <c r="F121" s="55" t="s">
        <v>1036</v>
      </c>
      <c r="G121" s="56" t="s">
        <v>1021</v>
      </c>
      <c r="H121" s="75" t="s">
        <v>1171</v>
      </c>
    </row>
    <row r="122" spans="2:8" ht="63.75" customHeight="1" thickBot="1" x14ac:dyDescent="0.4">
      <c r="B122" s="46"/>
      <c r="C122" s="54" t="s">
        <v>1037</v>
      </c>
      <c r="D122" s="55" t="s">
        <v>1023</v>
      </c>
      <c r="E122" s="78" t="s">
        <v>80</v>
      </c>
      <c r="F122" s="55" t="s">
        <v>1024</v>
      </c>
      <c r="G122" s="56" t="s">
        <v>1025</v>
      </c>
      <c r="H122" s="75" t="s">
        <v>1171</v>
      </c>
    </row>
    <row r="123" spans="2:8" ht="79.5" customHeight="1" thickBot="1" x14ac:dyDescent="0.4">
      <c r="B123" s="46"/>
      <c r="C123" s="54" t="s">
        <v>1038</v>
      </c>
      <c r="D123" s="55" t="s">
        <v>1039</v>
      </c>
      <c r="E123" s="78" t="s">
        <v>83</v>
      </c>
      <c r="F123" s="55" t="s">
        <v>1040</v>
      </c>
      <c r="G123" s="56" t="s">
        <v>1041</v>
      </c>
      <c r="H123" s="75" t="s">
        <v>1171</v>
      </c>
    </row>
    <row r="124" spans="2:8" ht="95.25" customHeight="1" thickBot="1" x14ac:dyDescent="0.4">
      <c r="B124" s="46"/>
      <c r="C124" s="54" t="s">
        <v>1042</v>
      </c>
      <c r="D124" s="55" t="s">
        <v>1043</v>
      </c>
      <c r="E124" s="78" t="s">
        <v>83</v>
      </c>
      <c r="F124" s="55" t="s">
        <v>1044</v>
      </c>
      <c r="G124" s="56" t="s">
        <v>1045</v>
      </c>
      <c r="H124" s="75" t="s">
        <v>1171</v>
      </c>
    </row>
    <row r="125" spans="2:8" ht="63.75" customHeight="1" thickBot="1" x14ac:dyDescent="0.4">
      <c r="B125" s="46"/>
      <c r="C125" s="54" t="s">
        <v>1046</v>
      </c>
      <c r="D125" s="55" t="s">
        <v>1015</v>
      </c>
      <c r="E125" s="78" t="s">
        <v>83</v>
      </c>
      <c r="F125" s="55" t="s">
        <v>1016</v>
      </c>
      <c r="G125" s="56" t="s">
        <v>1017</v>
      </c>
      <c r="H125" s="75" t="s">
        <v>1171</v>
      </c>
    </row>
    <row r="126" spans="2:8" ht="48" customHeight="1" thickBot="1" x14ac:dyDescent="0.4">
      <c r="B126" s="46"/>
      <c r="C126" s="54" t="s">
        <v>1047</v>
      </c>
      <c r="D126" s="55" t="s">
        <v>1019</v>
      </c>
      <c r="E126" s="78" t="s">
        <v>83</v>
      </c>
      <c r="F126" s="55" t="s">
        <v>1048</v>
      </c>
      <c r="G126" s="56" t="s">
        <v>1021</v>
      </c>
      <c r="H126" s="75" t="s">
        <v>1171</v>
      </c>
    </row>
    <row r="127" spans="2:8" ht="63.75" customHeight="1" thickBot="1" x14ac:dyDescent="0.4">
      <c r="B127" s="46"/>
      <c r="C127" s="54" t="s">
        <v>1049</v>
      </c>
      <c r="D127" s="55" t="s">
        <v>1023</v>
      </c>
      <c r="E127" s="78" t="s">
        <v>83</v>
      </c>
      <c r="F127" s="55" t="s">
        <v>1024</v>
      </c>
      <c r="G127" s="56" t="s">
        <v>1025</v>
      </c>
      <c r="H127" s="75" t="s">
        <v>1171</v>
      </c>
    </row>
    <row r="128" spans="2:8" ht="79.5" customHeight="1" thickBot="1" x14ac:dyDescent="0.4">
      <c r="B128" s="46"/>
      <c r="C128" s="54" t="s">
        <v>1050</v>
      </c>
      <c r="D128" s="55" t="s">
        <v>1051</v>
      </c>
      <c r="E128" s="78" t="s">
        <v>86</v>
      </c>
      <c r="F128" s="55" t="s">
        <v>1052</v>
      </c>
      <c r="G128" s="56" t="s">
        <v>1053</v>
      </c>
      <c r="H128" s="75" t="s">
        <v>1171</v>
      </c>
    </row>
    <row r="129" spans="2:8" ht="111" customHeight="1" thickBot="1" x14ac:dyDescent="0.4">
      <c r="B129" s="46"/>
      <c r="C129" s="54" t="s">
        <v>1054</v>
      </c>
      <c r="D129" s="55" t="s">
        <v>1055</v>
      </c>
      <c r="E129" s="78" t="s">
        <v>86</v>
      </c>
      <c r="F129" s="55" t="s">
        <v>1056</v>
      </c>
      <c r="G129" s="56" t="s">
        <v>1057</v>
      </c>
      <c r="H129" s="75" t="s">
        <v>1171</v>
      </c>
    </row>
    <row r="130" spans="2:8" ht="63.75" customHeight="1" thickBot="1" x14ac:dyDescent="0.4">
      <c r="B130" s="46"/>
      <c r="C130" s="54" t="s">
        <v>1058</v>
      </c>
      <c r="D130" s="55" t="s">
        <v>1015</v>
      </c>
      <c r="E130" s="78" t="s">
        <v>86</v>
      </c>
      <c r="F130" s="55" t="s">
        <v>1016</v>
      </c>
      <c r="G130" s="56" t="s">
        <v>1017</v>
      </c>
      <c r="H130" s="75" t="s">
        <v>1171</v>
      </c>
    </row>
    <row r="131" spans="2:8" ht="63.75" customHeight="1" thickBot="1" x14ac:dyDescent="0.4">
      <c r="B131" s="46"/>
      <c r="C131" s="54" t="s">
        <v>1059</v>
      </c>
      <c r="D131" s="55" t="s">
        <v>1019</v>
      </c>
      <c r="E131" s="78" t="s">
        <v>86</v>
      </c>
      <c r="F131" s="55" t="s">
        <v>1060</v>
      </c>
      <c r="G131" s="56" t="s">
        <v>1021</v>
      </c>
      <c r="H131" s="75" t="s">
        <v>1171</v>
      </c>
    </row>
    <row r="132" spans="2:8" ht="63.75" customHeight="1" thickBot="1" x14ac:dyDescent="0.4">
      <c r="B132" s="46"/>
      <c r="C132" s="54" t="s">
        <v>1061</v>
      </c>
      <c r="D132" s="55" t="s">
        <v>1023</v>
      </c>
      <c r="E132" s="78" t="s">
        <v>86</v>
      </c>
      <c r="F132" s="55" t="s">
        <v>1024</v>
      </c>
      <c r="G132" s="56" t="s">
        <v>1025</v>
      </c>
      <c r="H132" s="75" t="s">
        <v>1171</v>
      </c>
    </row>
    <row r="133" spans="2:8" ht="63.75" customHeight="1" thickBot="1" x14ac:dyDescent="0.4">
      <c r="B133" s="46"/>
      <c r="C133" s="54" t="s">
        <v>1062</v>
      </c>
      <c r="D133" s="55" t="s">
        <v>1063</v>
      </c>
      <c r="E133" s="78" t="s">
        <v>89</v>
      </c>
      <c r="F133" s="55" t="s">
        <v>1064</v>
      </c>
      <c r="G133" s="56" t="s">
        <v>1065</v>
      </c>
      <c r="H133" s="75" t="s">
        <v>1171</v>
      </c>
    </row>
    <row r="134" spans="2:8" ht="63.75" customHeight="1" thickBot="1" x14ac:dyDescent="0.4">
      <c r="B134" s="46"/>
      <c r="C134" s="54" t="s">
        <v>1066</v>
      </c>
      <c r="D134" s="55" t="s">
        <v>1067</v>
      </c>
      <c r="E134" s="78" t="s">
        <v>89</v>
      </c>
      <c r="F134" s="55" t="s">
        <v>1068</v>
      </c>
      <c r="G134" s="56" t="s">
        <v>1069</v>
      </c>
      <c r="H134" s="75" t="s">
        <v>1171</v>
      </c>
    </row>
    <row r="135" spans="2:8" ht="63.75" customHeight="1" thickBot="1" x14ac:dyDescent="0.4">
      <c r="B135" s="46"/>
      <c r="C135" s="54" t="s">
        <v>1070</v>
      </c>
      <c r="D135" s="55" t="s">
        <v>1071</v>
      </c>
      <c r="E135" s="78" t="s">
        <v>89</v>
      </c>
      <c r="F135" s="55" t="s">
        <v>1072</v>
      </c>
      <c r="G135" s="56" t="s">
        <v>1073</v>
      </c>
      <c r="H135" s="75" t="s">
        <v>1171</v>
      </c>
    </row>
    <row r="136" spans="2:8" ht="48" customHeight="1" thickBot="1" x14ac:dyDescent="0.4">
      <c r="B136" s="46"/>
      <c r="C136" s="54" t="s">
        <v>1074</v>
      </c>
      <c r="D136" s="55" t="s">
        <v>1075</v>
      </c>
      <c r="E136" s="78" t="s">
        <v>92</v>
      </c>
      <c r="F136" s="55" t="s">
        <v>1076</v>
      </c>
      <c r="G136" s="56" t="s">
        <v>1077</v>
      </c>
      <c r="H136" s="75" t="s">
        <v>1171</v>
      </c>
    </row>
    <row r="137" spans="2:8" ht="63.75" customHeight="1" thickBot="1" x14ac:dyDescent="0.4">
      <c r="B137" s="46"/>
      <c r="C137" s="54" t="s">
        <v>1078</v>
      </c>
      <c r="D137" s="55" t="s">
        <v>1079</v>
      </c>
      <c r="E137" s="78" t="s">
        <v>92</v>
      </c>
      <c r="F137" s="55" t="s">
        <v>1080</v>
      </c>
      <c r="G137" s="56" t="s">
        <v>1081</v>
      </c>
      <c r="H137" s="75" t="s">
        <v>1171</v>
      </c>
    </row>
    <row r="138" spans="2:8" ht="63.75" customHeight="1" thickBot="1" x14ac:dyDescent="0.4">
      <c r="B138" s="46"/>
      <c r="C138" s="54" t="s">
        <v>1082</v>
      </c>
      <c r="D138" s="55" t="s">
        <v>1083</v>
      </c>
      <c r="E138" s="78" t="s">
        <v>92</v>
      </c>
      <c r="F138" s="55" t="s">
        <v>1084</v>
      </c>
      <c r="G138" s="56" t="s">
        <v>1073</v>
      </c>
      <c r="H138" s="75" t="s">
        <v>1171</v>
      </c>
    </row>
    <row r="139" spans="2:8" ht="48" customHeight="1" thickBot="1" x14ac:dyDescent="0.4">
      <c r="B139" s="46"/>
      <c r="C139" s="54" t="s">
        <v>1085</v>
      </c>
      <c r="D139" s="55" t="s">
        <v>1086</v>
      </c>
      <c r="E139" s="78" t="s">
        <v>95</v>
      </c>
      <c r="F139" s="55" t="s">
        <v>1087</v>
      </c>
      <c r="G139" s="56" t="s">
        <v>1088</v>
      </c>
      <c r="H139" s="75" t="s">
        <v>1171</v>
      </c>
    </row>
    <row r="140" spans="2:8" ht="48" customHeight="1" thickBot="1" x14ac:dyDescent="0.4">
      <c r="B140" s="46"/>
      <c r="C140" s="54" t="s">
        <v>1089</v>
      </c>
      <c r="D140" s="55" t="s">
        <v>1090</v>
      </c>
      <c r="E140" s="78" t="s">
        <v>95</v>
      </c>
      <c r="F140" s="55" t="s">
        <v>1091</v>
      </c>
      <c r="G140" s="56" t="s">
        <v>1092</v>
      </c>
      <c r="H140" s="75" t="s">
        <v>1171</v>
      </c>
    </row>
    <row r="141" spans="2:8" ht="79.5" customHeight="1" thickBot="1" x14ac:dyDescent="0.4">
      <c r="B141" s="46"/>
      <c r="C141" s="54" t="s">
        <v>1093</v>
      </c>
      <c r="D141" s="55" t="s">
        <v>1094</v>
      </c>
      <c r="E141" s="78" t="s">
        <v>95</v>
      </c>
      <c r="F141" s="55" t="s">
        <v>1095</v>
      </c>
      <c r="G141" s="56" t="s">
        <v>1096</v>
      </c>
      <c r="H141" s="75" t="s">
        <v>1171</v>
      </c>
    </row>
    <row r="142" spans="2:8" ht="63.75" customHeight="1" thickBot="1" x14ac:dyDescent="0.4">
      <c r="B142" s="46"/>
      <c r="C142" s="54" t="s">
        <v>1097</v>
      </c>
      <c r="D142" s="55" t="s">
        <v>1098</v>
      </c>
      <c r="E142" s="78" t="s">
        <v>98</v>
      </c>
      <c r="F142" s="55" t="s">
        <v>1099</v>
      </c>
      <c r="G142" s="56" t="s">
        <v>1100</v>
      </c>
      <c r="H142" s="75" t="s">
        <v>1171</v>
      </c>
    </row>
    <row r="143" spans="2:8" ht="63.75" customHeight="1" thickBot="1" x14ac:dyDescent="0.4">
      <c r="B143" s="46"/>
      <c r="C143" s="54" t="s">
        <v>1101</v>
      </c>
      <c r="D143" s="55" t="s">
        <v>1102</v>
      </c>
      <c r="E143" s="78" t="s">
        <v>98</v>
      </c>
      <c r="F143" s="55" t="s">
        <v>1103</v>
      </c>
      <c r="G143" s="56" t="s">
        <v>1104</v>
      </c>
      <c r="H143" s="75" t="s">
        <v>1171</v>
      </c>
    </row>
    <row r="144" spans="2:8" ht="63.75" customHeight="1" thickBot="1" x14ac:dyDescent="0.4">
      <c r="B144" s="46"/>
      <c r="C144" s="54" t="s">
        <v>1105</v>
      </c>
      <c r="D144" s="55" t="s">
        <v>1106</v>
      </c>
      <c r="E144" s="78" t="s">
        <v>101</v>
      </c>
      <c r="F144" s="55" t="s">
        <v>1107</v>
      </c>
      <c r="G144" s="56" t="s">
        <v>1108</v>
      </c>
      <c r="H144" s="75" t="s">
        <v>1171</v>
      </c>
    </row>
    <row r="145" spans="2:8" ht="48" customHeight="1" thickBot="1" x14ac:dyDescent="0.4">
      <c r="B145" s="46"/>
      <c r="C145" s="54" t="s">
        <v>1109</v>
      </c>
      <c r="D145" s="55" t="s">
        <v>1110</v>
      </c>
      <c r="E145" s="78" t="s">
        <v>104</v>
      </c>
      <c r="F145" s="55" t="s">
        <v>1111</v>
      </c>
      <c r="G145" s="56" t="s">
        <v>1112</v>
      </c>
      <c r="H145" s="75" t="s">
        <v>1171</v>
      </c>
    </row>
    <row r="146" spans="2:8" ht="48" customHeight="1" thickBot="1" x14ac:dyDescent="0.4">
      <c r="B146" s="46"/>
      <c r="C146" s="54" t="s">
        <v>1113</v>
      </c>
      <c r="D146" s="55" t="s">
        <v>1114</v>
      </c>
      <c r="E146" s="78" t="s">
        <v>104</v>
      </c>
      <c r="F146" s="55" t="s">
        <v>1115</v>
      </c>
      <c r="G146" s="56" t="s">
        <v>1116</v>
      </c>
      <c r="H146" s="75" t="s">
        <v>1171</v>
      </c>
    </row>
    <row r="147" spans="2:8" ht="63.75" customHeight="1" thickBot="1" x14ac:dyDescent="0.4">
      <c r="B147" s="46"/>
      <c r="C147" s="54" t="s">
        <v>1117</v>
      </c>
      <c r="D147" s="55" t="s">
        <v>1118</v>
      </c>
      <c r="E147" s="78" t="s">
        <v>104</v>
      </c>
      <c r="F147" s="55" t="s">
        <v>1119</v>
      </c>
      <c r="G147" s="56" t="s">
        <v>1120</v>
      </c>
      <c r="H147" s="75" t="s">
        <v>1171</v>
      </c>
    </row>
    <row r="148" spans="2:8" ht="63.75" customHeight="1" thickBot="1" x14ac:dyDescent="0.4">
      <c r="B148" s="46"/>
      <c r="C148" s="54" t="s">
        <v>1121</v>
      </c>
      <c r="D148" s="55" t="s">
        <v>1122</v>
      </c>
      <c r="E148" s="78" t="s">
        <v>107</v>
      </c>
      <c r="F148" s="55" t="s">
        <v>1123</v>
      </c>
      <c r="G148" s="56" t="s">
        <v>1124</v>
      </c>
      <c r="H148" s="75" t="s">
        <v>1171</v>
      </c>
    </row>
    <row r="149" spans="2:8" ht="48" customHeight="1" thickBot="1" x14ac:dyDescent="0.4">
      <c r="B149" s="46"/>
      <c r="C149" s="54" t="s">
        <v>1125</v>
      </c>
      <c r="D149" s="55" t="s">
        <v>1126</v>
      </c>
      <c r="E149" s="78" t="s">
        <v>107</v>
      </c>
      <c r="F149" s="55" t="s">
        <v>1127</v>
      </c>
      <c r="G149" s="56" t="s">
        <v>1128</v>
      </c>
      <c r="H149" s="75" t="s">
        <v>1171</v>
      </c>
    </row>
    <row r="150" spans="2:8" ht="79.5" customHeight="1" thickBot="1" x14ac:dyDescent="0.4">
      <c r="B150" s="46"/>
      <c r="C150" s="54" t="s">
        <v>1129</v>
      </c>
      <c r="D150" s="55" t="s">
        <v>1130</v>
      </c>
      <c r="E150" s="78" t="s">
        <v>107</v>
      </c>
      <c r="F150" s="55" t="s">
        <v>1131</v>
      </c>
      <c r="G150" s="56" t="s">
        <v>1132</v>
      </c>
      <c r="H150" s="75" t="s">
        <v>1171</v>
      </c>
    </row>
    <row r="151" spans="2:8" ht="63.75" customHeight="1" thickBot="1" x14ac:dyDescent="0.4">
      <c r="B151" s="46"/>
      <c r="C151" s="54" t="s">
        <v>1133</v>
      </c>
      <c r="D151" s="55" t="s">
        <v>1134</v>
      </c>
      <c r="E151" s="78" t="s">
        <v>110</v>
      </c>
      <c r="F151" s="55" t="s">
        <v>1135</v>
      </c>
      <c r="G151" s="56" t="s">
        <v>1136</v>
      </c>
      <c r="H151" s="75" t="s">
        <v>1171</v>
      </c>
    </row>
    <row r="152" spans="2:8" ht="48" customHeight="1" thickBot="1" x14ac:dyDescent="0.4">
      <c r="B152" s="46"/>
      <c r="C152" s="54" t="s">
        <v>1137</v>
      </c>
      <c r="D152" s="55" t="s">
        <v>1138</v>
      </c>
      <c r="E152" s="78" t="s">
        <v>110</v>
      </c>
      <c r="F152" s="55" t="s">
        <v>1139</v>
      </c>
      <c r="G152" s="56" t="s">
        <v>1140</v>
      </c>
      <c r="H152" s="75" t="s">
        <v>1171</v>
      </c>
    </row>
    <row r="153" spans="2:8" ht="63.75" customHeight="1" thickBot="1" x14ac:dyDescent="0.4">
      <c r="B153" s="46"/>
      <c r="C153" s="54" t="s">
        <v>1141</v>
      </c>
      <c r="D153" s="55" t="s">
        <v>1142</v>
      </c>
      <c r="E153" s="78" t="s">
        <v>110</v>
      </c>
      <c r="F153" s="55" t="s">
        <v>1143</v>
      </c>
      <c r="G153" s="56" t="s">
        <v>1144</v>
      </c>
      <c r="H153" s="75" t="s">
        <v>1171</v>
      </c>
    </row>
    <row r="154" spans="2:8" ht="48" customHeight="1" thickBot="1" x14ac:dyDescent="0.4">
      <c r="B154" s="46"/>
      <c r="C154" s="54" t="s">
        <v>1145</v>
      </c>
      <c r="D154" s="55" t="s">
        <v>1146</v>
      </c>
      <c r="E154" s="78" t="s">
        <v>113</v>
      </c>
      <c r="F154" s="55" t="s">
        <v>1147</v>
      </c>
      <c r="G154" s="56" t="s">
        <v>1148</v>
      </c>
      <c r="H154" s="75" t="s">
        <v>1171</v>
      </c>
    </row>
    <row r="155" spans="2:8" x14ac:dyDescent="0.35">
      <c r="B155" s="46"/>
      <c r="C155" s="46"/>
      <c r="D155" s="46"/>
      <c r="E155" s="46"/>
      <c r="F155" s="46"/>
      <c r="G155" s="79"/>
    </row>
    <row r="156" spans="2:8" x14ac:dyDescent="0.35">
      <c r="B156" s="46"/>
      <c r="C156" s="46"/>
      <c r="D156" s="46"/>
      <c r="E156" s="46"/>
      <c r="F156" s="46"/>
      <c r="G156" s="79"/>
    </row>
    <row r="157" spans="2:8" x14ac:dyDescent="0.35">
      <c r="B157" s="46"/>
      <c r="C157" s="46"/>
      <c r="D157" s="46"/>
      <c r="E157" s="46"/>
      <c r="F157" s="46"/>
      <c r="G157" s="79"/>
    </row>
    <row r="158" spans="2:8" x14ac:dyDescent="0.35">
      <c r="B158" s="46"/>
      <c r="C158" s="46"/>
      <c r="D158" s="46"/>
      <c r="E158" s="46"/>
      <c r="F158" s="46"/>
      <c r="G158" s="79"/>
    </row>
    <row r="159" spans="2:8" x14ac:dyDescent="0.35">
      <c r="B159" s="46"/>
      <c r="C159" s="46"/>
      <c r="D159" s="46"/>
      <c r="E159" s="46"/>
      <c r="F159" s="46"/>
      <c r="G159" s="79"/>
    </row>
    <row r="160" spans="2:8" x14ac:dyDescent="0.35">
      <c r="B160" s="46"/>
      <c r="C160" s="46"/>
      <c r="D160" s="46"/>
      <c r="E160" s="46"/>
      <c r="F160" s="46"/>
      <c r="G160" s="79"/>
    </row>
    <row r="161" spans="2:7" x14ac:dyDescent="0.35">
      <c r="B161" s="46"/>
      <c r="C161" s="46"/>
      <c r="D161" s="46"/>
      <c r="E161" s="46"/>
      <c r="F161" s="46"/>
      <c r="G161" s="79"/>
    </row>
    <row r="162" spans="2:7" x14ac:dyDescent="0.35">
      <c r="B162" s="46"/>
      <c r="C162" s="46"/>
      <c r="D162" s="46"/>
      <c r="E162" s="46"/>
      <c r="F162" s="46"/>
      <c r="G162" s="79"/>
    </row>
    <row r="163" spans="2:7" x14ac:dyDescent="0.35">
      <c r="B163" s="46"/>
      <c r="C163" s="46"/>
      <c r="D163" s="46"/>
      <c r="E163" s="46"/>
      <c r="F163" s="46"/>
      <c r="G163" s="79"/>
    </row>
    <row r="164" spans="2:7" x14ac:dyDescent="0.35">
      <c r="B164" s="46"/>
      <c r="C164" s="46"/>
      <c r="D164" s="46"/>
      <c r="E164" s="46"/>
      <c r="F164" s="46"/>
      <c r="G164" s="79"/>
    </row>
    <row r="165" spans="2:7" x14ac:dyDescent="0.35">
      <c r="B165" s="46"/>
      <c r="C165" s="46"/>
      <c r="D165" s="46"/>
      <c r="E165" s="46"/>
      <c r="F165" s="46"/>
      <c r="G165" s="79"/>
    </row>
    <row r="166" spans="2:7" x14ac:dyDescent="0.35">
      <c r="B166" s="46"/>
      <c r="C166" s="46"/>
      <c r="D166" s="46"/>
      <c r="E166" s="46"/>
      <c r="F166" s="46"/>
      <c r="G166" s="79"/>
    </row>
    <row r="167" spans="2:7" x14ac:dyDescent="0.35">
      <c r="B167" s="46"/>
      <c r="C167" s="46"/>
      <c r="D167" s="46"/>
      <c r="E167" s="46"/>
      <c r="F167" s="46"/>
      <c r="G167" s="79"/>
    </row>
    <row r="168" spans="2:7" x14ac:dyDescent="0.35">
      <c r="B168" s="46"/>
      <c r="C168" s="46"/>
      <c r="D168" s="46"/>
      <c r="E168" s="46"/>
      <c r="F168" s="46"/>
      <c r="G168" s="79"/>
    </row>
    <row r="169" spans="2:7" x14ac:dyDescent="0.35">
      <c r="B169" s="46"/>
      <c r="C169" s="46"/>
      <c r="D169" s="46"/>
      <c r="E169" s="46"/>
      <c r="F169" s="46"/>
      <c r="G169" s="79"/>
    </row>
    <row r="170" spans="2:7" x14ac:dyDescent="0.35">
      <c r="B170" s="46"/>
      <c r="C170" s="46"/>
      <c r="D170" s="46"/>
      <c r="E170" s="46"/>
      <c r="F170" s="46"/>
      <c r="G170" s="79"/>
    </row>
    <row r="171" spans="2:7" x14ac:dyDescent="0.35">
      <c r="B171" s="46"/>
      <c r="C171" s="46"/>
      <c r="D171" s="46"/>
      <c r="E171" s="46"/>
      <c r="F171" s="46"/>
      <c r="G171" s="79"/>
    </row>
    <row r="172" spans="2:7" x14ac:dyDescent="0.35">
      <c r="B172" s="46"/>
      <c r="C172" s="46"/>
      <c r="D172" s="46"/>
      <c r="E172" s="46"/>
      <c r="F172" s="46"/>
      <c r="G172" s="79"/>
    </row>
    <row r="173" spans="2:7" x14ac:dyDescent="0.35">
      <c r="B173" s="46"/>
      <c r="C173" s="46"/>
      <c r="D173" s="46"/>
      <c r="E173" s="46"/>
      <c r="F173" s="46"/>
      <c r="G173" s="79"/>
    </row>
    <row r="174" spans="2:7" x14ac:dyDescent="0.35">
      <c r="B174" s="46"/>
      <c r="C174" s="46"/>
      <c r="D174" s="46"/>
      <c r="E174" s="46"/>
      <c r="F174" s="46"/>
      <c r="G174" s="79"/>
    </row>
    <row r="175" spans="2:7" x14ac:dyDescent="0.35">
      <c r="B175" s="46"/>
      <c r="C175" s="46"/>
      <c r="D175" s="46"/>
      <c r="E175" s="46"/>
      <c r="F175" s="46"/>
      <c r="G175" s="79"/>
    </row>
    <row r="176" spans="2:7" x14ac:dyDescent="0.35">
      <c r="B176" s="46"/>
      <c r="C176" s="46"/>
      <c r="D176" s="46"/>
      <c r="E176" s="46"/>
      <c r="F176" s="46"/>
      <c r="G176" s="79"/>
    </row>
    <row r="177" spans="2:7" x14ac:dyDescent="0.35">
      <c r="B177" s="46"/>
      <c r="C177" s="46"/>
      <c r="D177" s="46"/>
      <c r="E177" s="46"/>
      <c r="F177" s="46"/>
      <c r="G177" s="79"/>
    </row>
    <row r="178" spans="2:7" x14ac:dyDescent="0.35">
      <c r="B178" s="46"/>
      <c r="C178" s="46"/>
      <c r="D178" s="46"/>
      <c r="E178" s="46"/>
      <c r="F178" s="46"/>
      <c r="G178" s="79"/>
    </row>
    <row r="179" spans="2:7" x14ac:dyDescent="0.35">
      <c r="B179" s="46"/>
      <c r="C179" s="46"/>
      <c r="D179" s="46"/>
      <c r="E179" s="46"/>
      <c r="F179" s="46"/>
      <c r="G179" s="79"/>
    </row>
    <row r="180" spans="2:7" x14ac:dyDescent="0.35">
      <c r="B180" s="46"/>
      <c r="C180" s="46"/>
      <c r="D180" s="46"/>
      <c r="E180" s="46"/>
      <c r="F180" s="46"/>
      <c r="G180" s="79"/>
    </row>
    <row r="181" spans="2:7" x14ac:dyDescent="0.35">
      <c r="B181" s="46"/>
      <c r="C181" s="46"/>
      <c r="D181" s="46"/>
      <c r="E181" s="46"/>
      <c r="F181" s="46"/>
      <c r="G181" s="79"/>
    </row>
    <row r="182" spans="2:7" x14ac:dyDescent="0.35">
      <c r="B182" s="46"/>
      <c r="C182" s="46"/>
      <c r="D182" s="46"/>
      <c r="E182" s="46"/>
      <c r="F182" s="46"/>
      <c r="G182" s="79"/>
    </row>
    <row r="183" spans="2:7" x14ac:dyDescent="0.35">
      <c r="B183" s="46"/>
      <c r="C183" s="46"/>
      <c r="D183" s="46"/>
      <c r="E183" s="46"/>
      <c r="F183" s="46"/>
      <c r="G183" s="79"/>
    </row>
    <row r="184" spans="2:7" x14ac:dyDescent="0.35">
      <c r="B184" s="46"/>
      <c r="C184" s="46"/>
      <c r="D184" s="46"/>
      <c r="E184" s="46"/>
      <c r="F184" s="46"/>
      <c r="G184" s="79"/>
    </row>
    <row r="185" spans="2:7" x14ac:dyDescent="0.35">
      <c r="B185" s="46"/>
      <c r="C185" s="46"/>
      <c r="D185" s="46"/>
      <c r="E185" s="46"/>
      <c r="F185" s="46"/>
      <c r="G185" s="79"/>
    </row>
    <row r="186" spans="2:7" x14ac:dyDescent="0.35">
      <c r="B186" s="46"/>
      <c r="C186" s="46"/>
      <c r="D186" s="46"/>
      <c r="E186" s="46"/>
      <c r="F186" s="46"/>
      <c r="G186" s="79"/>
    </row>
    <row r="187" spans="2:7" x14ac:dyDescent="0.35">
      <c r="B187" s="46"/>
      <c r="C187" s="46"/>
      <c r="D187" s="46"/>
      <c r="E187" s="46"/>
      <c r="F187" s="46"/>
      <c r="G187" s="79"/>
    </row>
    <row r="188" spans="2:7" x14ac:dyDescent="0.35">
      <c r="B188" s="46"/>
      <c r="C188" s="46"/>
      <c r="D188" s="46"/>
      <c r="E188" s="46"/>
      <c r="F188" s="46"/>
      <c r="G188" s="79"/>
    </row>
    <row r="189" spans="2:7" x14ac:dyDescent="0.35">
      <c r="B189" s="46"/>
      <c r="C189" s="46"/>
      <c r="D189" s="46"/>
      <c r="E189" s="46"/>
      <c r="F189" s="46"/>
      <c r="G189" s="79"/>
    </row>
    <row r="190" spans="2:7" x14ac:dyDescent="0.35">
      <c r="B190" s="46"/>
      <c r="C190" s="46"/>
      <c r="D190" s="46"/>
      <c r="E190" s="46"/>
      <c r="F190" s="46"/>
      <c r="G190" s="79"/>
    </row>
    <row r="191" spans="2:7" x14ac:dyDescent="0.35">
      <c r="B191" s="46"/>
      <c r="C191" s="46"/>
      <c r="D191" s="46"/>
      <c r="E191" s="46"/>
      <c r="F191" s="46"/>
      <c r="G191" s="79"/>
    </row>
    <row r="192" spans="2:7" x14ac:dyDescent="0.35">
      <c r="B192" s="46"/>
      <c r="C192" s="46"/>
      <c r="D192" s="46"/>
      <c r="E192" s="46"/>
      <c r="F192" s="46"/>
      <c r="G192" s="79"/>
    </row>
    <row r="193" spans="2:7" x14ac:dyDescent="0.35">
      <c r="B193" s="46"/>
      <c r="C193" s="46"/>
      <c r="D193" s="46"/>
      <c r="E193" s="46"/>
      <c r="F193" s="46"/>
      <c r="G193" s="79"/>
    </row>
    <row r="194" spans="2:7" x14ac:dyDescent="0.35">
      <c r="B194" s="46"/>
      <c r="C194" s="46"/>
      <c r="D194" s="46"/>
      <c r="E194" s="46"/>
      <c r="F194" s="46"/>
      <c r="G194" s="79"/>
    </row>
    <row r="195" spans="2:7" x14ac:dyDescent="0.35">
      <c r="B195" s="46"/>
      <c r="C195" s="46"/>
      <c r="D195" s="46"/>
      <c r="E195" s="46"/>
      <c r="F195" s="46"/>
      <c r="G195" s="79"/>
    </row>
    <row r="196" spans="2:7" x14ac:dyDescent="0.35">
      <c r="B196" s="46"/>
      <c r="C196" s="46"/>
      <c r="D196" s="46"/>
      <c r="E196" s="46"/>
      <c r="F196" s="46"/>
      <c r="G196" s="79"/>
    </row>
    <row r="197" spans="2:7" x14ac:dyDescent="0.35">
      <c r="B197" s="46"/>
      <c r="C197" s="46"/>
      <c r="D197" s="46"/>
      <c r="E197" s="46"/>
      <c r="F197" s="46"/>
      <c r="G197" s="79"/>
    </row>
    <row r="198" spans="2:7" x14ac:dyDescent="0.35">
      <c r="B198" s="46"/>
      <c r="C198" s="46"/>
      <c r="D198" s="46"/>
      <c r="E198" s="46"/>
      <c r="F198" s="46"/>
      <c r="G198" s="79"/>
    </row>
    <row r="199" spans="2:7" x14ac:dyDescent="0.35">
      <c r="B199" s="46"/>
      <c r="C199" s="46"/>
      <c r="D199" s="46"/>
      <c r="E199" s="46"/>
      <c r="F199" s="46"/>
      <c r="G199" s="79"/>
    </row>
    <row r="200" spans="2:7" x14ac:dyDescent="0.35">
      <c r="B200" s="46"/>
      <c r="C200" s="46"/>
      <c r="D200" s="46"/>
      <c r="E200" s="46"/>
      <c r="F200" s="46"/>
      <c r="G200" s="79"/>
    </row>
    <row r="201" spans="2:7" x14ac:dyDescent="0.35">
      <c r="B201" s="46"/>
      <c r="C201" s="46"/>
      <c r="D201" s="46"/>
      <c r="E201" s="46"/>
      <c r="F201" s="46"/>
      <c r="G201" s="79"/>
    </row>
    <row r="202" spans="2:7" x14ac:dyDescent="0.35">
      <c r="B202" s="46"/>
      <c r="C202" s="46"/>
      <c r="D202" s="46"/>
      <c r="E202" s="46"/>
      <c r="F202" s="46"/>
      <c r="G202" s="79"/>
    </row>
    <row r="203" spans="2:7" x14ac:dyDescent="0.35">
      <c r="B203" s="46"/>
      <c r="C203" s="46"/>
      <c r="D203" s="46"/>
      <c r="E203" s="46"/>
      <c r="F203" s="46"/>
      <c r="G203" s="79"/>
    </row>
    <row r="204" spans="2:7" x14ac:dyDescent="0.35">
      <c r="B204" s="46"/>
      <c r="C204" s="46"/>
      <c r="D204" s="46"/>
      <c r="E204" s="46"/>
      <c r="F204" s="46"/>
      <c r="G204" s="79"/>
    </row>
    <row r="205" spans="2:7" x14ac:dyDescent="0.35">
      <c r="B205" s="46"/>
      <c r="C205" s="46"/>
      <c r="D205" s="46"/>
      <c r="E205" s="46"/>
      <c r="F205" s="46"/>
      <c r="G205" s="79"/>
    </row>
    <row r="206" spans="2:7" x14ac:dyDescent="0.35">
      <c r="B206" s="46"/>
      <c r="C206" s="46"/>
      <c r="D206" s="46"/>
      <c r="E206" s="46"/>
      <c r="F206" s="46"/>
      <c r="G206" s="79"/>
    </row>
    <row r="207" spans="2:7" x14ac:dyDescent="0.35">
      <c r="B207" s="46"/>
      <c r="C207" s="46"/>
      <c r="D207" s="46"/>
      <c r="E207" s="46"/>
      <c r="F207" s="46"/>
      <c r="G207" s="79"/>
    </row>
    <row r="208" spans="2:7" x14ac:dyDescent="0.35">
      <c r="B208" s="46"/>
      <c r="C208" s="46"/>
      <c r="D208" s="46"/>
      <c r="E208" s="46"/>
      <c r="F208" s="46"/>
      <c r="G208" s="79"/>
    </row>
    <row r="209" spans="2:7" x14ac:dyDescent="0.35">
      <c r="B209" s="46"/>
      <c r="C209" s="46"/>
      <c r="D209" s="46"/>
      <c r="E209" s="46"/>
      <c r="F209" s="46"/>
      <c r="G209" s="79"/>
    </row>
    <row r="210" spans="2:7" x14ac:dyDescent="0.35">
      <c r="B210" s="46"/>
      <c r="C210" s="46"/>
      <c r="D210" s="46"/>
      <c r="E210" s="46"/>
      <c r="F210" s="46"/>
      <c r="G210" s="79"/>
    </row>
    <row r="211" spans="2:7" x14ac:dyDescent="0.35">
      <c r="B211" s="46"/>
      <c r="C211" s="46"/>
      <c r="D211" s="46"/>
      <c r="E211" s="46"/>
      <c r="F211" s="46"/>
      <c r="G211" s="79"/>
    </row>
    <row r="212" spans="2:7" x14ac:dyDescent="0.35">
      <c r="B212" s="46"/>
      <c r="C212" s="46"/>
      <c r="D212" s="46"/>
      <c r="E212" s="46"/>
      <c r="F212" s="46"/>
      <c r="G212" s="79"/>
    </row>
    <row r="213" spans="2:7" x14ac:dyDescent="0.35">
      <c r="B213" s="46"/>
      <c r="C213" s="46"/>
      <c r="D213" s="46"/>
      <c r="E213" s="46"/>
      <c r="F213" s="46"/>
      <c r="G213" s="79"/>
    </row>
    <row r="214" spans="2:7" x14ac:dyDescent="0.35">
      <c r="B214" s="46"/>
      <c r="C214" s="46"/>
      <c r="D214" s="46"/>
      <c r="E214" s="46"/>
      <c r="F214" s="46"/>
      <c r="G214" s="79"/>
    </row>
    <row r="215" spans="2:7" x14ac:dyDescent="0.35">
      <c r="B215" s="46"/>
      <c r="C215" s="46"/>
      <c r="D215" s="46"/>
      <c r="E215" s="46"/>
      <c r="F215" s="46"/>
      <c r="G215" s="79"/>
    </row>
    <row r="216" spans="2:7" x14ac:dyDescent="0.35">
      <c r="B216" s="46"/>
      <c r="C216" s="46"/>
      <c r="D216" s="46"/>
      <c r="E216" s="46"/>
      <c r="F216" s="46"/>
      <c r="G216" s="79"/>
    </row>
    <row r="217" spans="2:7" x14ac:dyDescent="0.35">
      <c r="B217" s="46"/>
      <c r="C217" s="46"/>
      <c r="D217" s="46"/>
      <c r="E217" s="46"/>
      <c r="F217" s="46"/>
      <c r="G217" s="79"/>
    </row>
    <row r="218" spans="2:7" x14ac:dyDescent="0.35">
      <c r="B218" s="46"/>
      <c r="C218" s="46"/>
      <c r="D218" s="46"/>
      <c r="E218" s="46"/>
      <c r="F218" s="46"/>
      <c r="G218" s="79"/>
    </row>
    <row r="219" spans="2:7" x14ac:dyDescent="0.35">
      <c r="B219" s="46"/>
      <c r="C219" s="46"/>
      <c r="D219" s="46"/>
      <c r="E219" s="46"/>
      <c r="F219" s="46"/>
      <c r="G219" s="79"/>
    </row>
    <row r="220" spans="2:7" x14ac:dyDescent="0.35">
      <c r="B220" s="46"/>
      <c r="C220" s="46"/>
      <c r="D220" s="46"/>
      <c r="E220" s="46"/>
      <c r="F220" s="46"/>
      <c r="G220" s="79"/>
    </row>
    <row r="221" spans="2:7" x14ac:dyDescent="0.35">
      <c r="B221" s="46"/>
      <c r="C221" s="46"/>
      <c r="D221" s="46"/>
      <c r="E221" s="46"/>
      <c r="F221" s="46"/>
      <c r="G221" s="79"/>
    </row>
    <row r="222" spans="2:7" x14ac:dyDescent="0.35">
      <c r="B222" s="46"/>
      <c r="C222" s="46"/>
      <c r="D222" s="46"/>
      <c r="E222" s="46"/>
      <c r="F222" s="46"/>
      <c r="G222" s="79"/>
    </row>
    <row r="223" spans="2:7" x14ac:dyDescent="0.35">
      <c r="B223" s="46"/>
      <c r="C223" s="46"/>
      <c r="D223" s="46"/>
      <c r="E223" s="46"/>
      <c r="F223" s="46"/>
      <c r="G223" s="79"/>
    </row>
    <row r="224" spans="2:7" x14ac:dyDescent="0.35">
      <c r="B224" s="46"/>
      <c r="C224" s="46"/>
      <c r="D224" s="46"/>
      <c r="E224" s="46"/>
      <c r="F224" s="46"/>
      <c r="G224" s="79"/>
    </row>
    <row r="225" spans="2:7" x14ac:dyDescent="0.35">
      <c r="B225" s="46"/>
      <c r="C225" s="46"/>
      <c r="D225" s="46"/>
      <c r="E225" s="46"/>
      <c r="F225" s="46"/>
      <c r="G225" s="79"/>
    </row>
    <row r="226" spans="2:7" x14ac:dyDescent="0.35">
      <c r="B226" s="46"/>
      <c r="C226" s="46"/>
      <c r="D226" s="46"/>
      <c r="E226" s="46"/>
      <c r="F226" s="46"/>
      <c r="G226" s="79"/>
    </row>
    <row r="227" spans="2:7" x14ac:dyDescent="0.35">
      <c r="B227" s="46"/>
      <c r="C227" s="46"/>
      <c r="D227" s="46"/>
      <c r="E227" s="46"/>
      <c r="F227" s="46"/>
      <c r="G227" s="79"/>
    </row>
    <row r="228" spans="2:7" x14ac:dyDescent="0.35">
      <c r="B228" s="46"/>
      <c r="C228" s="46"/>
      <c r="D228" s="46"/>
      <c r="E228" s="46"/>
      <c r="F228" s="46"/>
      <c r="G228" s="79"/>
    </row>
    <row r="229" spans="2:7" x14ac:dyDescent="0.35">
      <c r="B229" s="46"/>
      <c r="C229" s="46"/>
      <c r="D229" s="46"/>
      <c r="E229" s="46"/>
      <c r="F229" s="46"/>
      <c r="G229" s="79"/>
    </row>
    <row r="230" spans="2:7" x14ac:dyDescent="0.35">
      <c r="B230" s="46"/>
      <c r="C230" s="46"/>
      <c r="D230" s="46"/>
      <c r="E230" s="46"/>
      <c r="F230" s="46"/>
      <c r="G230" s="79"/>
    </row>
    <row r="231" spans="2:7" x14ac:dyDescent="0.35">
      <c r="B231" s="46"/>
      <c r="C231" s="46"/>
      <c r="D231" s="46"/>
      <c r="E231" s="46"/>
      <c r="F231" s="46"/>
      <c r="G231" s="79"/>
    </row>
    <row r="232" spans="2:7" x14ac:dyDescent="0.35">
      <c r="B232" s="46"/>
      <c r="C232" s="46"/>
      <c r="D232" s="46"/>
      <c r="E232" s="46"/>
      <c r="F232" s="46"/>
      <c r="G232" s="79"/>
    </row>
    <row r="233" spans="2:7" x14ac:dyDescent="0.35">
      <c r="B233" s="46"/>
      <c r="C233" s="46"/>
      <c r="D233" s="46"/>
      <c r="E233" s="46"/>
      <c r="F233" s="46"/>
      <c r="G233" s="79"/>
    </row>
    <row r="234" spans="2:7" x14ac:dyDescent="0.35">
      <c r="B234" s="46"/>
      <c r="C234" s="46"/>
      <c r="D234" s="46"/>
      <c r="E234" s="46"/>
      <c r="F234" s="46"/>
      <c r="G234" s="79"/>
    </row>
    <row r="235" spans="2:7" x14ac:dyDescent="0.35">
      <c r="B235" s="46"/>
      <c r="C235" s="46"/>
      <c r="D235" s="46"/>
      <c r="E235" s="46"/>
      <c r="F235" s="46"/>
      <c r="G235" s="79"/>
    </row>
    <row r="236" spans="2:7" x14ac:dyDescent="0.35">
      <c r="B236" s="46"/>
      <c r="C236" s="46"/>
      <c r="D236" s="46"/>
      <c r="E236" s="46"/>
      <c r="F236" s="46"/>
      <c r="G236" s="79"/>
    </row>
    <row r="237" spans="2:7" x14ac:dyDescent="0.35">
      <c r="B237" s="46"/>
      <c r="C237" s="46"/>
      <c r="D237" s="46"/>
      <c r="E237" s="46"/>
      <c r="F237" s="46"/>
      <c r="G237" s="79"/>
    </row>
    <row r="238" spans="2:7" x14ac:dyDescent="0.35">
      <c r="B238" s="46"/>
      <c r="C238" s="46"/>
      <c r="D238" s="46"/>
      <c r="E238" s="46"/>
      <c r="F238" s="46"/>
      <c r="G238" s="79"/>
    </row>
    <row r="239" spans="2:7" x14ac:dyDescent="0.35">
      <c r="B239" s="46"/>
      <c r="C239" s="46"/>
      <c r="D239" s="46"/>
      <c r="E239" s="46"/>
      <c r="F239" s="46"/>
      <c r="G239" s="79"/>
    </row>
    <row r="240" spans="2:7" x14ac:dyDescent="0.35">
      <c r="B240" s="46"/>
      <c r="C240" s="46"/>
      <c r="D240" s="46"/>
      <c r="E240" s="46"/>
      <c r="F240" s="46"/>
      <c r="G240" s="79"/>
    </row>
    <row r="241" spans="2:7" x14ac:dyDescent="0.35">
      <c r="B241" s="46"/>
      <c r="C241" s="46"/>
      <c r="D241" s="46"/>
      <c r="E241" s="46"/>
      <c r="F241" s="46"/>
      <c r="G241" s="79"/>
    </row>
    <row r="242" spans="2:7" x14ac:dyDescent="0.35">
      <c r="B242" s="46"/>
      <c r="C242" s="46"/>
      <c r="D242" s="46"/>
      <c r="E242" s="46"/>
      <c r="F242" s="46"/>
      <c r="G242" s="79"/>
    </row>
    <row r="243" spans="2:7" x14ac:dyDescent="0.35">
      <c r="B243" s="46"/>
      <c r="C243" s="46"/>
      <c r="D243" s="46"/>
      <c r="E243" s="46"/>
      <c r="F243" s="46"/>
      <c r="G243" s="79"/>
    </row>
    <row r="244" spans="2:7" x14ac:dyDescent="0.35">
      <c r="B244" s="46"/>
      <c r="C244" s="46"/>
      <c r="D244" s="46"/>
      <c r="E244" s="46"/>
      <c r="F244" s="46"/>
      <c r="G244" s="79"/>
    </row>
    <row r="245" spans="2:7" x14ac:dyDescent="0.35">
      <c r="B245" s="46"/>
      <c r="C245" s="46"/>
      <c r="D245" s="46"/>
      <c r="E245" s="46"/>
      <c r="F245" s="46"/>
      <c r="G245" s="79"/>
    </row>
    <row r="246" spans="2:7" x14ac:dyDescent="0.35">
      <c r="B246" s="46"/>
      <c r="C246" s="46"/>
      <c r="D246" s="46"/>
      <c r="E246" s="46"/>
      <c r="F246" s="46"/>
      <c r="G246" s="79"/>
    </row>
    <row r="247" spans="2:7" x14ac:dyDescent="0.35">
      <c r="B247" s="46"/>
      <c r="C247" s="46"/>
      <c r="D247" s="46"/>
      <c r="E247" s="46"/>
      <c r="F247" s="46"/>
      <c r="G247" s="79"/>
    </row>
    <row r="248" spans="2:7" x14ac:dyDescent="0.35">
      <c r="B248" s="46"/>
      <c r="C248" s="46"/>
      <c r="D248" s="46"/>
      <c r="E248" s="46"/>
      <c r="F248" s="46"/>
      <c r="G248" s="79"/>
    </row>
    <row r="249" spans="2:7" x14ac:dyDescent="0.35">
      <c r="B249" s="46"/>
      <c r="C249" s="46"/>
      <c r="D249" s="46"/>
      <c r="E249" s="46"/>
      <c r="F249" s="46"/>
      <c r="G249" s="79"/>
    </row>
    <row r="250" spans="2:7" x14ac:dyDescent="0.35">
      <c r="B250" s="46"/>
      <c r="C250" s="46"/>
      <c r="D250" s="46"/>
      <c r="E250" s="46"/>
      <c r="F250" s="46"/>
      <c r="G250" s="79"/>
    </row>
    <row r="251" spans="2:7" x14ac:dyDescent="0.35">
      <c r="B251" s="46"/>
      <c r="C251" s="46"/>
      <c r="D251" s="46"/>
      <c r="E251" s="46"/>
      <c r="F251" s="46"/>
      <c r="G251" s="79"/>
    </row>
    <row r="252" spans="2:7" x14ac:dyDescent="0.35">
      <c r="B252" s="46"/>
      <c r="C252" s="46"/>
      <c r="D252" s="46"/>
      <c r="E252" s="46"/>
      <c r="F252" s="46"/>
      <c r="G252" s="79"/>
    </row>
    <row r="253" spans="2:7" x14ac:dyDescent="0.35">
      <c r="B253" s="46"/>
      <c r="C253" s="46"/>
      <c r="D253" s="46"/>
      <c r="E253" s="46"/>
      <c r="F253" s="46"/>
      <c r="G253" s="79"/>
    </row>
    <row r="254" spans="2:7" x14ac:dyDescent="0.35">
      <c r="B254" s="46"/>
      <c r="C254" s="46"/>
      <c r="D254" s="46"/>
      <c r="E254" s="46"/>
      <c r="F254" s="46"/>
      <c r="G254" s="79"/>
    </row>
    <row r="255" spans="2:7" x14ac:dyDescent="0.35">
      <c r="B255" s="46"/>
      <c r="C255" s="46"/>
      <c r="D255" s="46"/>
      <c r="E255" s="46"/>
      <c r="F255" s="46"/>
      <c r="G255" s="79"/>
    </row>
    <row r="256" spans="2:7" x14ac:dyDescent="0.35">
      <c r="B256" s="46"/>
      <c r="C256" s="46"/>
      <c r="D256" s="46"/>
      <c r="E256" s="46"/>
      <c r="F256" s="46"/>
      <c r="G256" s="79"/>
    </row>
    <row r="257" spans="2:7" x14ac:dyDescent="0.35">
      <c r="B257" s="46"/>
      <c r="C257" s="46"/>
      <c r="D257" s="46"/>
      <c r="E257" s="46"/>
      <c r="F257" s="46"/>
      <c r="G257" s="79"/>
    </row>
    <row r="258" spans="2:7" x14ac:dyDescent="0.35">
      <c r="B258" s="46"/>
      <c r="C258" s="46"/>
      <c r="D258" s="46"/>
      <c r="E258" s="46"/>
      <c r="F258" s="46"/>
      <c r="G258" s="79"/>
    </row>
    <row r="259" spans="2:7" x14ac:dyDescent="0.35">
      <c r="B259" s="46"/>
      <c r="C259" s="46"/>
      <c r="D259" s="46"/>
      <c r="E259" s="46"/>
      <c r="F259" s="46"/>
      <c r="G259" s="79"/>
    </row>
    <row r="260" spans="2:7" x14ac:dyDescent="0.35">
      <c r="B260" s="46"/>
      <c r="C260" s="46"/>
      <c r="D260" s="46"/>
      <c r="E260" s="46"/>
      <c r="F260" s="46"/>
      <c r="G260" s="79"/>
    </row>
    <row r="261" spans="2:7" x14ac:dyDescent="0.35">
      <c r="B261" s="46"/>
      <c r="C261" s="46"/>
      <c r="D261" s="46"/>
      <c r="E261" s="46"/>
      <c r="F261" s="46"/>
      <c r="G261" s="79"/>
    </row>
    <row r="262" spans="2:7" x14ac:dyDescent="0.35">
      <c r="B262" s="46"/>
      <c r="C262" s="46"/>
      <c r="D262" s="46"/>
      <c r="E262" s="46"/>
      <c r="F262" s="46"/>
      <c r="G262" s="79"/>
    </row>
    <row r="263" spans="2:7" x14ac:dyDescent="0.35">
      <c r="B263" s="46"/>
      <c r="C263" s="46"/>
      <c r="D263" s="46"/>
      <c r="E263" s="46"/>
      <c r="F263" s="46"/>
      <c r="G263" s="79"/>
    </row>
    <row r="264" spans="2:7" x14ac:dyDescent="0.35">
      <c r="B264" s="46"/>
      <c r="C264" s="46"/>
      <c r="D264" s="46"/>
      <c r="E264" s="46"/>
      <c r="F264" s="46"/>
      <c r="G264" s="79"/>
    </row>
    <row r="265" spans="2:7" x14ac:dyDescent="0.35">
      <c r="B265" s="46"/>
      <c r="C265" s="46"/>
      <c r="D265" s="46"/>
      <c r="E265" s="46"/>
      <c r="F265" s="46"/>
      <c r="G265" s="79"/>
    </row>
    <row r="266" spans="2:7" x14ac:dyDescent="0.35">
      <c r="B266" s="46"/>
      <c r="C266" s="46"/>
      <c r="D266" s="46"/>
      <c r="E266" s="46"/>
      <c r="F266" s="46"/>
      <c r="G266" s="79"/>
    </row>
    <row r="267" spans="2:7" x14ac:dyDescent="0.35">
      <c r="B267" s="46"/>
      <c r="C267" s="46"/>
      <c r="D267" s="46"/>
      <c r="E267" s="46"/>
      <c r="F267" s="46"/>
      <c r="G267" s="79"/>
    </row>
    <row r="268" spans="2:7" x14ac:dyDescent="0.35">
      <c r="B268" s="46"/>
      <c r="C268" s="46"/>
      <c r="D268" s="46"/>
      <c r="E268" s="46"/>
      <c r="F268" s="46"/>
      <c r="G268" s="79"/>
    </row>
    <row r="269" spans="2:7" x14ac:dyDescent="0.35">
      <c r="B269" s="46"/>
      <c r="C269" s="46"/>
      <c r="D269" s="46"/>
      <c r="E269" s="46"/>
      <c r="F269" s="46"/>
      <c r="G269" s="79"/>
    </row>
    <row r="270" spans="2:7" x14ac:dyDescent="0.35">
      <c r="B270" s="46"/>
      <c r="C270" s="46"/>
      <c r="D270" s="46"/>
      <c r="E270" s="46"/>
      <c r="F270" s="46"/>
      <c r="G270" s="79"/>
    </row>
    <row r="271" spans="2:7" x14ac:dyDescent="0.35">
      <c r="B271" s="46"/>
      <c r="C271" s="46"/>
      <c r="D271" s="46"/>
      <c r="E271" s="46"/>
      <c r="F271" s="46"/>
      <c r="G271" s="79"/>
    </row>
    <row r="272" spans="2:7" x14ac:dyDescent="0.35">
      <c r="B272" s="46"/>
      <c r="C272" s="46"/>
      <c r="D272" s="46"/>
      <c r="E272" s="46"/>
      <c r="F272" s="46"/>
      <c r="G272" s="79"/>
    </row>
    <row r="273" spans="2:7" x14ac:dyDescent="0.35">
      <c r="B273" s="46"/>
      <c r="C273" s="46"/>
      <c r="D273" s="46"/>
      <c r="E273" s="46"/>
      <c r="F273" s="46"/>
      <c r="G273" s="79"/>
    </row>
    <row r="274" spans="2:7" x14ac:dyDescent="0.35">
      <c r="B274" s="46"/>
      <c r="C274" s="46"/>
      <c r="D274" s="46"/>
      <c r="E274" s="46"/>
      <c r="F274" s="46"/>
      <c r="G274" s="79"/>
    </row>
    <row r="275" spans="2:7" x14ac:dyDescent="0.35">
      <c r="B275" s="46"/>
      <c r="C275" s="46"/>
      <c r="D275" s="46"/>
      <c r="E275" s="46"/>
      <c r="F275" s="46"/>
      <c r="G275" s="79"/>
    </row>
    <row r="276" spans="2:7" x14ac:dyDescent="0.35">
      <c r="B276" s="46"/>
      <c r="C276" s="46"/>
      <c r="D276" s="46"/>
      <c r="E276" s="46"/>
      <c r="F276" s="46"/>
      <c r="G276" s="79"/>
    </row>
    <row r="277" spans="2:7" x14ac:dyDescent="0.35">
      <c r="B277" s="46"/>
      <c r="C277" s="46"/>
      <c r="D277" s="46"/>
      <c r="E277" s="46"/>
      <c r="F277" s="46"/>
      <c r="G277" s="79"/>
    </row>
    <row r="278" spans="2:7" x14ac:dyDescent="0.35">
      <c r="B278" s="46"/>
      <c r="C278" s="46"/>
      <c r="D278" s="46"/>
      <c r="E278" s="46"/>
      <c r="F278" s="46"/>
      <c r="G278" s="79"/>
    </row>
    <row r="279" spans="2:7" x14ac:dyDescent="0.35">
      <c r="B279" s="46"/>
      <c r="C279" s="46"/>
      <c r="D279" s="46"/>
      <c r="E279" s="46"/>
      <c r="F279" s="46"/>
      <c r="G279" s="79"/>
    </row>
    <row r="280" spans="2:7" x14ac:dyDescent="0.35">
      <c r="B280" s="46"/>
      <c r="C280" s="46"/>
      <c r="D280" s="46"/>
      <c r="E280" s="46"/>
      <c r="F280" s="46"/>
      <c r="G280" s="79"/>
    </row>
    <row r="281" spans="2:7" x14ac:dyDescent="0.35">
      <c r="B281" s="46"/>
      <c r="C281" s="46"/>
      <c r="D281" s="46"/>
      <c r="E281" s="46"/>
      <c r="F281" s="46"/>
      <c r="G281" s="79"/>
    </row>
    <row r="282" spans="2:7" x14ac:dyDescent="0.35">
      <c r="B282" s="46"/>
      <c r="C282" s="46"/>
      <c r="D282" s="46"/>
      <c r="E282" s="46"/>
      <c r="F282" s="46"/>
      <c r="G282" s="79"/>
    </row>
    <row r="283" spans="2:7" x14ac:dyDescent="0.35">
      <c r="B283" s="46"/>
      <c r="C283" s="46"/>
      <c r="D283" s="46"/>
      <c r="E283" s="46"/>
      <c r="F283" s="46"/>
      <c r="G283" s="79"/>
    </row>
    <row r="284" spans="2:7" x14ac:dyDescent="0.35">
      <c r="B284" s="46"/>
      <c r="C284" s="46"/>
      <c r="D284" s="46"/>
      <c r="E284" s="46"/>
      <c r="F284" s="46"/>
      <c r="G284" s="79"/>
    </row>
    <row r="285" spans="2:7" x14ac:dyDescent="0.35">
      <c r="B285" s="46"/>
      <c r="C285" s="46"/>
      <c r="D285" s="46"/>
      <c r="E285" s="46"/>
      <c r="F285" s="46"/>
      <c r="G285" s="79"/>
    </row>
    <row r="286" spans="2:7" x14ac:dyDescent="0.35">
      <c r="B286" s="46"/>
      <c r="C286" s="46"/>
      <c r="D286" s="46"/>
      <c r="E286" s="46"/>
      <c r="F286" s="46"/>
      <c r="G286" s="79"/>
    </row>
    <row r="287" spans="2:7" x14ac:dyDescent="0.35">
      <c r="B287" s="46"/>
      <c r="C287" s="46"/>
      <c r="D287" s="46"/>
      <c r="E287" s="46"/>
      <c r="F287" s="46"/>
      <c r="G287" s="79"/>
    </row>
    <row r="288" spans="2:7" x14ac:dyDescent="0.35">
      <c r="B288" s="46"/>
      <c r="C288" s="46"/>
      <c r="D288" s="46"/>
      <c r="E288" s="46"/>
      <c r="F288" s="46"/>
      <c r="G288" s="79"/>
    </row>
    <row r="289" spans="2:7" x14ac:dyDescent="0.35">
      <c r="B289" s="46"/>
      <c r="C289" s="46"/>
      <c r="D289" s="46"/>
      <c r="E289" s="46"/>
      <c r="F289" s="46"/>
      <c r="G289" s="79"/>
    </row>
    <row r="290" spans="2:7" x14ac:dyDescent="0.35">
      <c r="B290" s="46"/>
      <c r="C290" s="46"/>
      <c r="D290" s="46"/>
      <c r="E290" s="46"/>
      <c r="F290" s="46"/>
      <c r="G290" s="79"/>
    </row>
    <row r="291" spans="2:7" x14ac:dyDescent="0.35">
      <c r="B291" s="46"/>
      <c r="C291" s="46"/>
      <c r="D291" s="46"/>
      <c r="E291" s="46"/>
      <c r="F291" s="46"/>
      <c r="G291" s="79"/>
    </row>
    <row r="292" spans="2:7" x14ac:dyDescent="0.35">
      <c r="B292" s="46"/>
      <c r="C292" s="46"/>
      <c r="D292" s="46"/>
      <c r="E292" s="46"/>
      <c r="F292" s="46"/>
      <c r="G292" s="79"/>
    </row>
    <row r="293" spans="2:7" x14ac:dyDescent="0.35">
      <c r="B293" s="46"/>
      <c r="C293" s="46"/>
      <c r="D293" s="46"/>
      <c r="E293" s="46"/>
      <c r="F293" s="46"/>
      <c r="G293" s="79"/>
    </row>
    <row r="294" spans="2:7" x14ac:dyDescent="0.35">
      <c r="B294" s="46"/>
      <c r="C294" s="46"/>
      <c r="D294" s="46"/>
      <c r="E294" s="46"/>
      <c r="F294" s="46"/>
      <c r="G294" s="79"/>
    </row>
    <row r="295" spans="2:7" x14ac:dyDescent="0.35">
      <c r="B295" s="46"/>
      <c r="C295" s="46"/>
      <c r="D295" s="46"/>
      <c r="E295" s="46"/>
      <c r="F295" s="46"/>
      <c r="G295" s="79"/>
    </row>
    <row r="296" spans="2:7" x14ac:dyDescent="0.35">
      <c r="B296" s="46"/>
      <c r="C296" s="46"/>
      <c r="D296" s="46"/>
      <c r="E296" s="46"/>
      <c r="F296" s="46"/>
      <c r="G296" s="79"/>
    </row>
    <row r="297" spans="2:7" x14ac:dyDescent="0.35">
      <c r="B297" s="46"/>
      <c r="C297" s="46"/>
      <c r="D297" s="46"/>
      <c r="E297" s="46"/>
      <c r="F297" s="46"/>
      <c r="G297" s="79"/>
    </row>
    <row r="298" spans="2:7" x14ac:dyDescent="0.35">
      <c r="B298" s="46"/>
      <c r="C298" s="46"/>
      <c r="D298" s="46"/>
      <c r="E298" s="46"/>
      <c r="F298" s="46"/>
      <c r="G298" s="79"/>
    </row>
    <row r="299" spans="2:7" x14ac:dyDescent="0.35">
      <c r="B299" s="46"/>
      <c r="C299" s="46"/>
      <c r="D299" s="46"/>
      <c r="E299" s="46"/>
      <c r="F299" s="46"/>
      <c r="G299" s="79"/>
    </row>
    <row r="300" spans="2:7" x14ac:dyDescent="0.35">
      <c r="B300" s="46"/>
      <c r="C300" s="46"/>
      <c r="D300" s="46"/>
      <c r="E300" s="46"/>
      <c r="F300" s="46"/>
      <c r="G300" s="79"/>
    </row>
    <row r="301" spans="2:7" x14ac:dyDescent="0.35">
      <c r="B301" s="46"/>
      <c r="C301" s="46"/>
      <c r="D301" s="46"/>
      <c r="E301" s="46"/>
      <c r="F301" s="46"/>
      <c r="G301" s="79"/>
    </row>
    <row r="302" spans="2:7" x14ac:dyDescent="0.35">
      <c r="B302" s="46"/>
      <c r="C302" s="46"/>
      <c r="D302" s="46"/>
      <c r="E302" s="46"/>
      <c r="F302" s="46"/>
      <c r="G302" s="79"/>
    </row>
    <row r="303" spans="2:7" x14ac:dyDescent="0.35">
      <c r="B303" s="46"/>
      <c r="C303" s="46"/>
      <c r="D303" s="46"/>
      <c r="E303" s="46"/>
      <c r="F303" s="46"/>
      <c r="G303" s="79"/>
    </row>
    <row r="304" spans="2:7" x14ac:dyDescent="0.35">
      <c r="B304" s="46"/>
      <c r="C304" s="46"/>
      <c r="D304" s="46"/>
      <c r="E304" s="46"/>
      <c r="F304" s="46"/>
      <c r="G304" s="79"/>
    </row>
    <row r="305" spans="2:7" x14ac:dyDescent="0.35">
      <c r="B305" s="46"/>
      <c r="C305" s="46"/>
      <c r="D305" s="46"/>
      <c r="E305" s="46"/>
      <c r="F305" s="46"/>
      <c r="G305" s="79"/>
    </row>
    <row r="306" spans="2:7" x14ac:dyDescent="0.35">
      <c r="B306" s="46"/>
      <c r="C306" s="46"/>
      <c r="D306" s="46"/>
      <c r="E306" s="46"/>
      <c r="F306" s="46"/>
      <c r="G306" s="79"/>
    </row>
    <row r="307" spans="2:7" x14ac:dyDescent="0.35">
      <c r="B307" s="46"/>
      <c r="C307" s="46"/>
      <c r="D307" s="46"/>
      <c r="E307" s="46"/>
      <c r="F307" s="46"/>
      <c r="G307" s="79"/>
    </row>
    <row r="308" spans="2:7" x14ac:dyDescent="0.35">
      <c r="B308" s="46"/>
      <c r="C308" s="46"/>
      <c r="D308" s="46"/>
      <c r="E308" s="46"/>
      <c r="F308" s="46"/>
      <c r="G308" s="79"/>
    </row>
    <row r="309" spans="2:7" x14ac:dyDescent="0.35">
      <c r="B309" s="46"/>
      <c r="C309" s="46"/>
      <c r="D309" s="46"/>
      <c r="E309" s="46"/>
      <c r="F309" s="46"/>
      <c r="G309" s="79"/>
    </row>
    <row r="310" spans="2:7" x14ac:dyDescent="0.35">
      <c r="B310" s="46"/>
      <c r="C310" s="46"/>
      <c r="D310" s="46"/>
      <c r="E310" s="46"/>
      <c r="F310" s="46"/>
      <c r="G310" s="79"/>
    </row>
    <row r="311" spans="2:7" x14ac:dyDescent="0.35">
      <c r="B311" s="46"/>
      <c r="C311" s="46"/>
      <c r="D311" s="46"/>
      <c r="E311" s="46"/>
      <c r="F311" s="46"/>
      <c r="G311" s="79"/>
    </row>
    <row r="312" spans="2:7" x14ac:dyDescent="0.35">
      <c r="B312" s="46"/>
      <c r="C312" s="46"/>
      <c r="D312" s="46"/>
      <c r="E312" s="46"/>
      <c r="F312" s="46"/>
      <c r="G312" s="79"/>
    </row>
    <row r="313" spans="2:7" x14ac:dyDescent="0.35">
      <c r="B313" s="46"/>
      <c r="C313" s="46"/>
      <c r="D313" s="46"/>
      <c r="E313" s="46"/>
      <c r="F313" s="46"/>
      <c r="G313" s="79"/>
    </row>
    <row r="314" spans="2:7" x14ac:dyDescent="0.35">
      <c r="B314" s="46"/>
      <c r="C314" s="46"/>
      <c r="D314" s="46"/>
      <c r="E314" s="46"/>
      <c r="F314" s="46"/>
      <c r="G314" s="79"/>
    </row>
    <row r="315" spans="2:7" x14ac:dyDescent="0.35">
      <c r="B315" s="46"/>
      <c r="C315" s="46"/>
      <c r="D315" s="46"/>
      <c r="E315" s="46"/>
      <c r="F315" s="46"/>
      <c r="G315" s="79"/>
    </row>
    <row r="316" spans="2:7" x14ac:dyDescent="0.35">
      <c r="B316" s="46"/>
      <c r="C316" s="46"/>
      <c r="D316" s="46"/>
      <c r="E316" s="46"/>
      <c r="F316" s="46"/>
      <c r="G316" s="79"/>
    </row>
    <row r="317" spans="2:7" x14ac:dyDescent="0.35">
      <c r="B317" s="46"/>
      <c r="C317" s="46"/>
      <c r="D317" s="46"/>
      <c r="E317" s="46"/>
      <c r="F317" s="46"/>
      <c r="G317" s="79"/>
    </row>
    <row r="318" spans="2:7" x14ac:dyDescent="0.35">
      <c r="B318" s="46"/>
      <c r="C318" s="46"/>
      <c r="D318" s="46"/>
      <c r="E318" s="46"/>
      <c r="F318" s="46"/>
      <c r="G318" s="79"/>
    </row>
    <row r="319" spans="2:7" x14ac:dyDescent="0.35">
      <c r="B319" s="46"/>
      <c r="C319" s="46"/>
      <c r="D319" s="46"/>
      <c r="E319" s="46"/>
      <c r="F319" s="46"/>
      <c r="G319" s="79"/>
    </row>
    <row r="320" spans="2:7" x14ac:dyDescent="0.35">
      <c r="B320" s="46"/>
      <c r="C320" s="46"/>
      <c r="D320" s="46"/>
      <c r="E320" s="46"/>
      <c r="F320" s="46"/>
      <c r="G320" s="79"/>
    </row>
    <row r="321" spans="2:7" x14ac:dyDescent="0.35">
      <c r="B321" s="46"/>
      <c r="C321" s="46"/>
      <c r="D321" s="46"/>
      <c r="E321" s="46"/>
      <c r="F321" s="46"/>
      <c r="G321" s="79"/>
    </row>
    <row r="322" spans="2:7" x14ac:dyDescent="0.35">
      <c r="B322" s="46"/>
      <c r="C322" s="46"/>
      <c r="D322" s="46"/>
      <c r="E322" s="46"/>
      <c r="F322" s="46"/>
      <c r="G322" s="79"/>
    </row>
    <row r="323" spans="2:7" x14ac:dyDescent="0.35">
      <c r="B323" s="46"/>
      <c r="C323" s="46"/>
      <c r="D323" s="46"/>
      <c r="E323" s="46"/>
      <c r="F323" s="46"/>
      <c r="G323" s="79"/>
    </row>
    <row r="324" spans="2:7" x14ac:dyDescent="0.35">
      <c r="B324" s="46"/>
      <c r="C324" s="46"/>
      <c r="D324" s="46"/>
      <c r="E324" s="46"/>
      <c r="F324" s="46"/>
      <c r="G324" s="79"/>
    </row>
    <row r="325" spans="2:7" x14ac:dyDescent="0.35">
      <c r="B325" s="46"/>
      <c r="C325" s="46"/>
      <c r="D325" s="46"/>
      <c r="E325" s="46"/>
      <c r="F325" s="46"/>
      <c r="G325" s="79"/>
    </row>
    <row r="326" spans="2:7" x14ac:dyDescent="0.35">
      <c r="B326" s="46"/>
      <c r="C326" s="46"/>
      <c r="D326" s="46"/>
      <c r="E326" s="46"/>
      <c r="F326" s="46"/>
      <c r="G326" s="79"/>
    </row>
    <row r="327" spans="2:7" x14ac:dyDescent="0.35">
      <c r="B327" s="46"/>
      <c r="C327" s="46"/>
      <c r="D327" s="46"/>
      <c r="E327" s="46"/>
      <c r="F327" s="46"/>
      <c r="G327" s="79"/>
    </row>
    <row r="328" spans="2:7" x14ac:dyDescent="0.35">
      <c r="B328" s="46"/>
      <c r="C328" s="46"/>
      <c r="D328" s="46"/>
      <c r="E328" s="46"/>
      <c r="F328" s="46"/>
      <c r="G328" s="79"/>
    </row>
    <row r="329" spans="2:7" x14ac:dyDescent="0.35">
      <c r="B329" s="46"/>
      <c r="C329" s="46"/>
      <c r="D329" s="46"/>
      <c r="E329" s="46"/>
      <c r="F329" s="46"/>
      <c r="G329" s="79"/>
    </row>
    <row r="330" spans="2:7" x14ac:dyDescent="0.35">
      <c r="B330" s="46"/>
      <c r="C330" s="46"/>
      <c r="D330" s="46"/>
      <c r="E330" s="46"/>
      <c r="F330" s="46"/>
      <c r="G330" s="79"/>
    </row>
    <row r="331" spans="2:7" x14ac:dyDescent="0.35">
      <c r="B331" s="46"/>
      <c r="C331" s="46"/>
      <c r="D331" s="46"/>
      <c r="E331" s="46"/>
      <c r="F331" s="46"/>
      <c r="G331" s="79"/>
    </row>
    <row r="332" spans="2:7" x14ac:dyDescent="0.35">
      <c r="B332" s="46"/>
      <c r="C332" s="46"/>
      <c r="D332" s="46"/>
      <c r="E332" s="46"/>
      <c r="F332" s="46"/>
      <c r="G332" s="79"/>
    </row>
    <row r="333" spans="2:7" x14ac:dyDescent="0.35">
      <c r="B333" s="46"/>
      <c r="C333" s="46"/>
      <c r="D333" s="46"/>
      <c r="E333" s="46"/>
      <c r="F333" s="46"/>
      <c r="G333" s="79"/>
    </row>
    <row r="334" spans="2:7" x14ac:dyDescent="0.35">
      <c r="B334" s="46"/>
      <c r="C334" s="46"/>
      <c r="D334" s="46"/>
      <c r="E334" s="46"/>
      <c r="F334" s="46"/>
      <c r="G334" s="79"/>
    </row>
    <row r="335" spans="2:7" x14ac:dyDescent="0.35">
      <c r="B335" s="46"/>
      <c r="C335" s="46"/>
      <c r="D335" s="46"/>
      <c r="E335" s="46"/>
      <c r="F335" s="46"/>
      <c r="G335" s="79"/>
    </row>
    <row r="336" spans="2:7" x14ac:dyDescent="0.35">
      <c r="B336" s="46"/>
      <c r="C336" s="46"/>
      <c r="D336" s="46"/>
      <c r="E336" s="46"/>
      <c r="F336" s="46"/>
      <c r="G336" s="79"/>
    </row>
    <row r="337" spans="2:7" x14ac:dyDescent="0.35">
      <c r="B337" s="46"/>
      <c r="C337" s="46"/>
      <c r="D337" s="46"/>
      <c r="E337" s="46"/>
      <c r="F337" s="46"/>
      <c r="G337" s="79"/>
    </row>
    <row r="338" spans="2:7" x14ac:dyDescent="0.35">
      <c r="B338" s="46"/>
      <c r="C338" s="46"/>
      <c r="D338" s="46"/>
      <c r="E338" s="46"/>
      <c r="F338" s="46"/>
      <c r="G338" s="79"/>
    </row>
    <row r="339" spans="2:7" x14ac:dyDescent="0.35">
      <c r="B339" s="46"/>
      <c r="C339" s="46"/>
      <c r="D339" s="46"/>
      <c r="E339" s="46"/>
      <c r="F339" s="46"/>
      <c r="G339" s="79"/>
    </row>
    <row r="340" spans="2:7" x14ac:dyDescent="0.35">
      <c r="B340" s="46"/>
      <c r="C340" s="46"/>
      <c r="D340" s="46"/>
      <c r="E340" s="46"/>
      <c r="F340" s="46"/>
      <c r="G340" s="79"/>
    </row>
    <row r="341" spans="2:7" x14ac:dyDescent="0.35">
      <c r="B341" s="46"/>
      <c r="C341" s="46"/>
      <c r="D341" s="46"/>
      <c r="E341" s="46"/>
      <c r="F341" s="46"/>
      <c r="G341" s="79"/>
    </row>
    <row r="342" spans="2:7" x14ac:dyDescent="0.35">
      <c r="B342" s="46"/>
      <c r="C342" s="46"/>
      <c r="D342" s="46"/>
      <c r="E342" s="46"/>
      <c r="F342" s="46"/>
      <c r="G342" s="79"/>
    </row>
    <row r="343" spans="2:7" x14ac:dyDescent="0.35">
      <c r="B343" s="46"/>
      <c r="C343" s="46"/>
      <c r="D343" s="46"/>
      <c r="E343" s="46"/>
      <c r="F343" s="46"/>
      <c r="G343" s="79"/>
    </row>
    <row r="344" spans="2:7" x14ac:dyDescent="0.35">
      <c r="B344" s="46"/>
      <c r="C344" s="46"/>
      <c r="D344" s="46"/>
      <c r="E344" s="46"/>
      <c r="F344" s="46"/>
      <c r="G344" s="79"/>
    </row>
    <row r="345" spans="2:7" x14ac:dyDescent="0.35">
      <c r="B345" s="46"/>
      <c r="C345" s="46"/>
      <c r="D345" s="46"/>
      <c r="E345" s="46"/>
      <c r="F345" s="46"/>
      <c r="G345" s="79"/>
    </row>
    <row r="346" spans="2:7" x14ac:dyDescent="0.35">
      <c r="B346" s="46"/>
      <c r="C346" s="46"/>
      <c r="D346" s="46"/>
      <c r="E346" s="46"/>
      <c r="F346" s="46"/>
      <c r="G346" s="79"/>
    </row>
    <row r="347" spans="2:7" x14ac:dyDescent="0.35">
      <c r="B347" s="46"/>
      <c r="C347" s="46"/>
      <c r="D347" s="46"/>
      <c r="E347" s="46"/>
      <c r="F347" s="46"/>
      <c r="G347" s="79"/>
    </row>
    <row r="348" spans="2:7" x14ac:dyDescent="0.35">
      <c r="B348" s="46"/>
      <c r="C348" s="46"/>
      <c r="D348" s="46"/>
      <c r="E348" s="46"/>
      <c r="F348" s="46"/>
      <c r="G348" s="79"/>
    </row>
    <row r="349" spans="2:7" x14ac:dyDescent="0.35">
      <c r="B349" s="46"/>
      <c r="C349" s="46"/>
      <c r="D349" s="46"/>
      <c r="E349" s="46"/>
      <c r="F349" s="46"/>
      <c r="G349" s="79"/>
    </row>
    <row r="350" spans="2:7" x14ac:dyDescent="0.35">
      <c r="B350" s="46"/>
      <c r="C350" s="46"/>
      <c r="D350" s="46"/>
      <c r="E350" s="46"/>
      <c r="F350" s="46"/>
      <c r="G350" s="79"/>
    </row>
    <row r="351" spans="2:7" x14ac:dyDescent="0.35">
      <c r="B351" s="46"/>
      <c r="C351" s="46"/>
      <c r="D351" s="46"/>
      <c r="E351" s="46"/>
      <c r="F351" s="46"/>
      <c r="G351" s="79"/>
    </row>
    <row r="352" spans="2:7" x14ac:dyDescent="0.35">
      <c r="B352" s="46"/>
      <c r="C352" s="46"/>
      <c r="D352" s="46"/>
      <c r="E352" s="46"/>
      <c r="F352" s="46"/>
      <c r="G352" s="79"/>
    </row>
    <row r="353" spans="2:7" x14ac:dyDescent="0.35">
      <c r="B353" s="46"/>
      <c r="C353" s="46"/>
      <c r="D353" s="46"/>
      <c r="E353" s="46"/>
      <c r="F353" s="46"/>
      <c r="G353" s="79"/>
    </row>
    <row r="354" spans="2:7" x14ac:dyDescent="0.35">
      <c r="B354" s="46"/>
      <c r="C354" s="46"/>
      <c r="D354" s="46"/>
      <c r="E354" s="46"/>
      <c r="F354" s="46"/>
      <c r="G354" s="79"/>
    </row>
    <row r="355" spans="2:7" x14ac:dyDescent="0.35">
      <c r="B355" s="46"/>
      <c r="C355" s="46"/>
      <c r="D355" s="46"/>
      <c r="E355" s="46"/>
      <c r="F355" s="46"/>
      <c r="G355" s="79"/>
    </row>
    <row r="356" spans="2:7" x14ac:dyDescent="0.35">
      <c r="B356" s="46"/>
      <c r="C356" s="46"/>
      <c r="D356" s="46"/>
      <c r="E356" s="46"/>
      <c r="F356" s="46"/>
      <c r="G356" s="79"/>
    </row>
    <row r="357" spans="2:7" x14ac:dyDescent="0.35">
      <c r="B357" s="46"/>
      <c r="C357" s="46"/>
      <c r="D357" s="46"/>
      <c r="E357" s="46"/>
      <c r="F357" s="46"/>
      <c r="G357" s="79"/>
    </row>
    <row r="358" spans="2:7" x14ac:dyDescent="0.35">
      <c r="B358" s="46"/>
      <c r="C358" s="46"/>
      <c r="D358" s="46"/>
      <c r="E358" s="46"/>
      <c r="F358" s="46"/>
      <c r="G358" s="79"/>
    </row>
    <row r="359" spans="2:7" x14ac:dyDescent="0.35">
      <c r="B359" s="46"/>
      <c r="C359" s="46"/>
      <c r="D359" s="46"/>
      <c r="E359" s="46"/>
      <c r="F359" s="46"/>
      <c r="G359" s="79"/>
    </row>
    <row r="360" spans="2:7" x14ac:dyDescent="0.35">
      <c r="B360" s="46"/>
      <c r="C360" s="46"/>
      <c r="D360" s="46"/>
      <c r="E360" s="46"/>
      <c r="F360" s="46"/>
      <c r="G360" s="79"/>
    </row>
    <row r="361" spans="2:7" x14ac:dyDescent="0.35">
      <c r="B361" s="46"/>
      <c r="C361" s="46"/>
      <c r="D361" s="46"/>
      <c r="E361" s="46"/>
      <c r="F361" s="46"/>
      <c r="G361" s="79"/>
    </row>
    <row r="362" spans="2:7" x14ac:dyDescent="0.35">
      <c r="B362" s="46"/>
      <c r="C362" s="46"/>
      <c r="D362" s="46"/>
      <c r="E362" s="46"/>
      <c r="F362" s="46"/>
      <c r="G362" s="79"/>
    </row>
    <row r="363" spans="2:7" x14ac:dyDescent="0.35">
      <c r="B363" s="46"/>
      <c r="C363" s="46"/>
      <c r="D363" s="46"/>
      <c r="E363" s="46"/>
      <c r="F363" s="46"/>
      <c r="G363" s="79"/>
    </row>
    <row r="364" spans="2:7" x14ac:dyDescent="0.35">
      <c r="B364" s="46"/>
      <c r="C364" s="46"/>
      <c r="D364" s="46"/>
      <c r="E364" s="46"/>
      <c r="F364" s="46"/>
      <c r="G364" s="79"/>
    </row>
    <row r="365" spans="2:7" x14ac:dyDescent="0.35">
      <c r="B365" s="46"/>
      <c r="C365" s="46"/>
      <c r="D365" s="46"/>
      <c r="E365" s="46"/>
      <c r="F365" s="46"/>
      <c r="G365" s="79"/>
    </row>
    <row r="366" spans="2:7" x14ac:dyDescent="0.35">
      <c r="B366" s="46"/>
      <c r="C366" s="46"/>
      <c r="D366" s="46"/>
      <c r="E366" s="46"/>
      <c r="F366" s="46"/>
      <c r="G366" s="79"/>
    </row>
    <row r="367" spans="2:7" x14ac:dyDescent="0.35">
      <c r="B367" s="46"/>
      <c r="C367" s="46"/>
      <c r="D367" s="46"/>
      <c r="E367" s="46"/>
      <c r="F367" s="46"/>
      <c r="G367" s="79"/>
    </row>
    <row r="368" spans="2:7" x14ac:dyDescent="0.35">
      <c r="B368" s="46"/>
      <c r="C368" s="46"/>
      <c r="D368" s="46"/>
      <c r="E368" s="46"/>
      <c r="F368" s="46"/>
      <c r="G368" s="79"/>
    </row>
    <row r="369" spans="2:7" x14ac:dyDescent="0.35">
      <c r="B369" s="46"/>
      <c r="C369" s="46"/>
      <c r="D369" s="46"/>
      <c r="E369" s="46"/>
      <c r="F369" s="46"/>
      <c r="G369" s="79"/>
    </row>
    <row r="370" spans="2:7" x14ac:dyDescent="0.35">
      <c r="B370" s="46"/>
      <c r="C370" s="46"/>
      <c r="D370" s="46"/>
      <c r="E370" s="46"/>
      <c r="F370" s="46"/>
      <c r="G370" s="79"/>
    </row>
    <row r="371" spans="2:7" x14ac:dyDescent="0.35">
      <c r="B371" s="46"/>
      <c r="C371" s="46"/>
      <c r="D371" s="46"/>
      <c r="E371" s="46"/>
      <c r="F371" s="46"/>
      <c r="G371" s="79"/>
    </row>
    <row r="372" spans="2:7" x14ac:dyDescent="0.35">
      <c r="B372" s="46"/>
      <c r="C372" s="46"/>
      <c r="D372" s="46"/>
      <c r="E372" s="46"/>
      <c r="F372" s="46"/>
      <c r="G372" s="79"/>
    </row>
    <row r="373" spans="2:7" x14ac:dyDescent="0.35">
      <c r="B373" s="46"/>
      <c r="C373" s="46"/>
      <c r="D373" s="46"/>
      <c r="E373" s="46"/>
      <c r="F373" s="46"/>
      <c r="G373" s="79"/>
    </row>
    <row r="374" spans="2:7" x14ac:dyDescent="0.35">
      <c r="B374" s="46"/>
      <c r="C374" s="46"/>
      <c r="D374" s="46"/>
      <c r="E374" s="46"/>
      <c r="F374" s="46"/>
      <c r="G374" s="79"/>
    </row>
    <row r="375" spans="2:7" x14ac:dyDescent="0.35">
      <c r="B375" s="46"/>
      <c r="C375" s="46"/>
      <c r="D375" s="46"/>
      <c r="E375" s="46"/>
      <c r="F375" s="46"/>
      <c r="G375" s="79"/>
    </row>
    <row r="376" spans="2:7" x14ac:dyDescent="0.35">
      <c r="B376" s="46"/>
      <c r="C376" s="46"/>
      <c r="D376" s="46"/>
      <c r="E376" s="46"/>
      <c r="F376" s="46"/>
      <c r="G376" s="79"/>
    </row>
    <row r="377" spans="2:7" x14ac:dyDescent="0.35">
      <c r="B377" s="46"/>
      <c r="C377" s="46"/>
      <c r="D377" s="46"/>
      <c r="E377" s="46"/>
      <c r="F377" s="46"/>
      <c r="G377" s="79"/>
    </row>
    <row r="378" spans="2:7" x14ac:dyDescent="0.35">
      <c r="B378" s="46"/>
      <c r="C378" s="46"/>
      <c r="D378" s="46"/>
      <c r="E378" s="46"/>
      <c r="F378" s="46"/>
      <c r="G378" s="79"/>
    </row>
    <row r="379" spans="2:7" x14ac:dyDescent="0.35">
      <c r="B379" s="46"/>
      <c r="C379" s="46"/>
      <c r="D379" s="46"/>
      <c r="E379" s="46"/>
      <c r="F379" s="46"/>
      <c r="G379" s="79"/>
    </row>
    <row r="380" spans="2:7" x14ac:dyDescent="0.35">
      <c r="B380" s="46"/>
      <c r="C380" s="46"/>
      <c r="D380" s="46"/>
      <c r="E380" s="46"/>
      <c r="F380" s="46"/>
      <c r="G380" s="79"/>
    </row>
    <row r="381" spans="2:7" x14ac:dyDescent="0.35">
      <c r="B381" s="46"/>
      <c r="C381" s="46"/>
      <c r="D381" s="46"/>
      <c r="E381" s="46"/>
      <c r="F381" s="46"/>
      <c r="G381" s="79"/>
    </row>
    <row r="382" spans="2:7" x14ac:dyDescent="0.35">
      <c r="B382" s="46"/>
      <c r="C382" s="46"/>
      <c r="D382" s="46"/>
      <c r="E382" s="46"/>
      <c r="F382" s="46"/>
      <c r="G382" s="79"/>
    </row>
    <row r="383" spans="2:7" x14ac:dyDescent="0.35">
      <c r="B383" s="46"/>
      <c r="C383" s="46"/>
      <c r="D383" s="46"/>
      <c r="E383" s="46"/>
      <c r="F383" s="46"/>
      <c r="G383" s="79"/>
    </row>
    <row r="384" spans="2:7" x14ac:dyDescent="0.35">
      <c r="B384" s="46"/>
      <c r="C384" s="46"/>
      <c r="D384" s="46"/>
      <c r="E384" s="46"/>
      <c r="F384" s="46"/>
      <c r="G384" s="79"/>
    </row>
    <row r="385" spans="2:7" x14ac:dyDescent="0.35">
      <c r="B385" s="46"/>
      <c r="C385" s="46"/>
      <c r="D385" s="46"/>
      <c r="E385" s="46"/>
      <c r="F385" s="46"/>
      <c r="G385" s="79"/>
    </row>
    <row r="386" spans="2:7" x14ac:dyDescent="0.35">
      <c r="B386" s="46"/>
      <c r="C386" s="46"/>
      <c r="D386" s="46"/>
      <c r="E386" s="46"/>
      <c r="F386" s="46"/>
      <c r="G386" s="79"/>
    </row>
    <row r="387" spans="2:7" x14ac:dyDescent="0.35">
      <c r="B387" s="46"/>
      <c r="C387" s="46"/>
      <c r="D387" s="46"/>
      <c r="E387" s="46"/>
      <c r="F387" s="46"/>
      <c r="G387" s="79"/>
    </row>
    <row r="388" spans="2:7" x14ac:dyDescent="0.35">
      <c r="B388" s="46"/>
      <c r="C388" s="46"/>
      <c r="D388" s="46"/>
      <c r="E388" s="46"/>
      <c r="F388" s="46"/>
      <c r="G388" s="79"/>
    </row>
    <row r="389" spans="2:7" x14ac:dyDescent="0.35">
      <c r="B389" s="46"/>
      <c r="C389" s="46"/>
      <c r="D389" s="46"/>
      <c r="E389" s="46"/>
      <c r="F389" s="46"/>
      <c r="G389" s="79"/>
    </row>
    <row r="390" spans="2:7" x14ac:dyDescent="0.35">
      <c r="B390" s="46"/>
      <c r="C390" s="46"/>
      <c r="D390" s="46"/>
      <c r="E390" s="46"/>
      <c r="F390" s="46"/>
      <c r="G390" s="79"/>
    </row>
    <row r="391" spans="2:7" x14ac:dyDescent="0.35">
      <c r="B391" s="46"/>
      <c r="C391" s="46"/>
      <c r="D391" s="46"/>
      <c r="E391" s="46"/>
      <c r="F391" s="46"/>
      <c r="G391" s="79"/>
    </row>
    <row r="392" spans="2:7" x14ac:dyDescent="0.35">
      <c r="B392" s="46"/>
      <c r="C392" s="46"/>
      <c r="D392" s="46"/>
      <c r="E392" s="46"/>
      <c r="F392" s="46"/>
      <c r="G392" s="79"/>
    </row>
    <row r="393" spans="2:7" x14ac:dyDescent="0.35">
      <c r="B393" s="46"/>
      <c r="C393" s="46"/>
      <c r="D393" s="46"/>
      <c r="E393" s="46"/>
      <c r="F393" s="46"/>
      <c r="G393" s="79"/>
    </row>
    <row r="394" spans="2:7" x14ac:dyDescent="0.35">
      <c r="B394" s="46"/>
      <c r="C394" s="46"/>
      <c r="D394" s="46"/>
      <c r="E394" s="46"/>
      <c r="F394" s="46"/>
      <c r="G394" s="79"/>
    </row>
    <row r="395" spans="2:7" x14ac:dyDescent="0.35">
      <c r="B395" s="46"/>
      <c r="C395" s="46"/>
      <c r="D395" s="46"/>
      <c r="E395" s="46"/>
      <c r="F395" s="46"/>
      <c r="G395" s="79"/>
    </row>
    <row r="396" spans="2:7" x14ac:dyDescent="0.35">
      <c r="B396" s="46"/>
      <c r="C396" s="46"/>
      <c r="D396" s="46"/>
      <c r="E396" s="46"/>
      <c r="F396" s="46"/>
      <c r="G396" s="79"/>
    </row>
    <row r="397" spans="2:7" x14ac:dyDescent="0.35">
      <c r="B397" s="46"/>
      <c r="C397" s="46"/>
      <c r="D397" s="46"/>
      <c r="E397" s="46"/>
      <c r="F397" s="46"/>
      <c r="G397" s="79"/>
    </row>
    <row r="398" spans="2:7" x14ac:dyDescent="0.35">
      <c r="B398" s="46"/>
      <c r="C398" s="46"/>
      <c r="D398" s="46"/>
      <c r="E398" s="46"/>
      <c r="F398" s="46"/>
      <c r="G398" s="79"/>
    </row>
    <row r="399" spans="2:7" x14ac:dyDescent="0.35">
      <c r="B399" s="46"/>
      <c r="C399" s="46"/>
      <c r="D399" s="46"/>
      <c r="E399" s="46"/>
      <c r="F399" s="46"/>
      <c r="G399" s="79"/>
    </row>
    <row r="400" spans="2:7" x14ac:dyDescent="0.35">
      <c r="B400" s="46"/>
      <c r="C400" s="46"/>
      <c r="D400" s="46"/>
      <c r="E400" s="46"/>
      <c r="F400" s="46"/>
      <c r="G400" s="79"/>
    </row>
    <row r="401" spans="2:7" x14ac:dyDescent="0.35">
      <c r="B401" s="46"/>
      <c r="C401" s="46"/>
      <c r="D401" s="46"/>
      <c r="E401" s="46"/>
      <c r="F401" s="46"/>
      <c r="G401" s="79"/>
    </row>
    <row r="402" spans="2:7" x14ac:dyDescent="0.35">
      <c r="B402" s="46"/>
      <c r="C402" s="46"/>
      <c r="D402" s="46"/>
      <c r="E402" s="46"/>
      <c r="F402" s="46"/>
      <c r="G402" s="79"/>
    </row>
    <row r="403" spans="2:7" x14ac:dyDescent="0.35">
      <c r="B403" s="46"/>
      <c r="C403" s="46"/>
      <c r="D403" s="46"/>
      <c r="E403" s="46"/>
      <c r="F403" s="46"/>
      <c r="G403" s="79"/>
    </row>
    <row r="404" spans="2:7" x14ac:dyDescent="0.35">
      <c r="B404" s="46"/>
      <c r="C404" s="46"/>
      <c r="D404" s="46"/>
      <c r="E404" s="46"/>
      <c r="F404" s="46"/>
      <c r="G404" s="79"/>
    </row>
    <row r="405" spans="2:7" x14ac:dyDescent="0.35">
      <c r="B405" s="46"/>
      <c r="C405" s="46"/>
      <c r="D405" s="46"/>
      <c r="E405" s="46"/>
      <c r="F405" s="46"/>
      <c r="G405" s="79"/>
    </row>
    <row r="406" spans="2:7" x14ac:dyDescent="0.35">
      <c r="B406" s="46"/>
      <c r="C406" s="46"/>
      <c r="D406" s="46"/>
      <c r="E406" s="46"/>
      <c r="F406" s="46"/>
      <c r="G406" s="79"/>
    </row>
    <row r="407" spans="2:7" x14ac:dyDescent="0.35">
      <c r="B407" s="46"/>
      <c r="C407" s="46"/>
      <c r="D407" s="46"/>
      <c r="E407" s="46"/>
      <c r="F407" s="46"/>
      <c r="G407" s="79"/>
    </row>
    <row r="408" spans="2:7" x14ac:dyDescent="0.35">
      <c r="B408" s="46"/>
      <c r="C408" s="46"/>
      <c r="D408" s="46"/>
      <c r="E408" s="46"/>
      <c r="F408" s="46"/>
      <c r="G408" s="79"/>
    </row>
    <row r="409" spans="2:7" x14ac:dyDescent="0.35">
      <c r="B409" s="46"/>
      <c r="C409" s="46"/>
      <c r="D409" s="46"/>
      <c r="E409" s="46"/>
      <c r="F409" s="46"/>
      <c r="G409" s="79"/>
    </row>
    <row r="410" spans="2:7" x14ac:dyDescent="0.35">
      <c r="B410" s="46"/>
      <c r="C410" s="46"/>
      <c r="D410" s="46"/>
      <c r="E410" s="46"/>
      <c r="F410" s="46"/>
      <c r="G410" s="79"/>
    </row>
    <row r="411" spans="2:7" x14ac:dyDescent="0.35">
      <c r="B411" s="46"/>
      <c r="C411" s="46"/>
      <c r="D411" s="46"/>
      <c r="E411" s="46"/>
      <c r="F411" s="46"/>
      <c r="G411" s="79"/>
    </row>
    <row r="412" spans="2:7" x14ac:dyDescent="0.35">
      <c r="B412" s="46"/>
      <c r="C412" s="46"/>
      <c r="D412" s="46"/>
      <c r="E412" s="46"/>
      <c r="F412" s="46"/>
      <c r="G412" s="79"/>
    </row>
    <row r="413" spans="2:7" x14ac:dyDescent="0.35">
      <c r="B413" s="46"/>
      <c r="C413" s="46"/>
      <c r="D413" s="46"/>
      <c r="E413" s="46"/>
      <c r="F413" s="46"/>
      <c r="G413" s="79"/>
    </row>
    <row r="414" spans="2:7" x14ac:dyDescent="0.35">
      <c r="B414" s="46"/>
      <c r="C414" s="46"/>
      <c r="D414" s="46"/>
      <c r="E414" s="46"/>
      <c r="F414" s="46"/>
      <c r="G414" s="79"/>
    </row>
    <row r="415" spans="2:7" x14ac:dyDescent="0.35">
      <c r="B415" s="46"/>
      <c r="C415" s="46"/>
      <c r="D415" s="46"/>
      <c r="E415" s="46"/>
      <c r="F415" s="46"/>
      <c r="G415" s="79"/>
    </row>
    <row r="416" spans="2:7" x14ac:dyDescent="0.35">
      <c r="B416" s="46"/>
      <c r="C416" s="46"/>
      <c r="D416" s="46"/>
      <c r="E416" s="46"/>
      <c r="F416" s="46"/>
      <c r="G416" s="79"/>
    </row>
    <row r="417" spans="2:7" x14ac:dyDescent="0.35">
      <c r="B417" s="46"/>
      <c r="C417" s="46"/>
      <c r="D417" s="46"/>
      <c r="E417" s="46"/>
      <c r="F417" s="46"/>
      <c r="G417" s="79"/>
    </row>
    <row r="418" spans="2:7" x14ac:dyDescent="0.35">
      <c r="B418" s="46"/>
      <c r="C418" s="46"/>
      <c r="D418" s="46"/>
      <c r="E418" s="46"/>
      <c r="F418" s="46"/>
      <c r="G418" s="79"/>
    </row>
    <row r="419" spans="2:7" x14ac:dyDescent="0.35">
      <c r="B419" s="46"/>
      <c r="C419" s="46"/>
      <c r="D419" s="46"/>
      <c r="E419" s="46"/>
      <c r="F419" s="46"/>
      <c r="G419" s="79"/>
    </row>
    <row r="420" spans="2:7" x14ac:dyDescent="0.35">
      <c r="B420" s="46"/>
      <c r="C420" s="46"/>
      <c r="D420" s="46"/>
      <c r="E420" s="46"/>
      <c r="F420" s="46"/>
      <c r="G420" s="79"/>
    </row>
    <row r="421" spans="2:7" x14ac:dyDescent="0.35">
      <c r="B421" s="46"/>
      <c r="C421" s="46"/>
      <c r="D421" s="46"/>
      <c r="E421" s="46"/>
      <c r="F421" s="46"/>
      <c r="G421" s="79"/>
    </row>
    <row r="422" spans="2:7" x14ac:dyDescent="0.35">
      <c r="B422" s="46"/>
      <c r="C422" s="46"/>
      <c r="D422" s="46"/>
      <c r="E422" s="46"/>
      <c r="F422" s="46"/>
      <c r="G422" s="79"/>
    </row>
    <row r="423" spans="2:7" x14ac:dyDescent="0.35">
      <c r="B423" s="46"/>
      <c r="C423" s="46"/>
      <c r="D423" s="46"/>
      <c r="E423" s="46"/>
      <c r="F423" s="46"/>
      <c r="G423" s="79"/>
    </row>
    <row r="424" spans="2:7" x14ac:dyDescent="0.35">
      <c r="B424" s="46"/>
      <c r="C424" s="46"/>
      <c r="D424" s="46"/>
      <c r="E424" s="46"/>
      <c r="F424" s="46"/>
      <c r="G424" s="79"/>
    </row>
    <row r="425" spans="2:7" x14ac:dyDescent="0.35">
      <c r="B425" s="46"/>
      <c r="C425" s="46"/>
      <c r="D425" s="46"/>
      <c r="E425" s="46"/>
      <c r="F425" s="46"/>
      <c r="G425" s="79"/>
    </row>
    <row r="426" spans="2:7" x14ac:dyDescent="0.35">
      <c r="B426" s="46"/>
      <c r="C426" s="46"/>
      <c r="D426" s="46"/>
      <c r="E426" s="46"/>
      <c r="F426" s="46"/>
      <c r="G426" s="79"/>
    </row>
    <row r="427" spans="2:7" x14ac:dyDescent="0.35">
      <c r="B427" s="46"/>
      <c r="C427" s="46"/>
      <c r="D427" s="46"/>
      <c r="E427" s="46"/>
      <c r="F427" s="46"/>
      <c r="G427" s="79"/>
    </row>
    <row r="428" spans="2:7" x14ac:dyDescent="0.35">
      <c r="B428" s="46"/>
      <c r="C428" s="46"/>
      <c r="D428" s="46"/>
      <c r="E428" s="46"/>
      <c r="F428" s="46"/>
      <c r="G428" s="79"/>
    </row>
    <row r="429" spans="2:7" x14ac:dyDescent="0.35">
      <c r="B429" s="46"/>
      <c r="C429" s="46"/>
      <c r="D429" s="46"/>
      <c r="E429" s="46"/>
      <c r="F429" s="46"/>
      <c r="G429" s="79"/>
    </row>
    <row r="430" spans="2:7" x14ac:dyDescent="0.35">
      <c r="B430" s="46"/>
      <c r="C430" s="46"/>
      <c r="D430" s="46"/>
      <c r="E430" s="46"/>
      <c r="F430" s="46"/>
      <c r="G430" s="79"/>
    </row>
    <row r="431" spans="2:7" x14ac:dyDescent="0.35">
      <c r="B431" s="46"/>
      <c r="C431" s="46"/>
      <c r="D431" s="46"/>
      <c r="E431" s="46"/>
      <c r="F431" s="46"/>
      <c r="G431" s="79"/>
    </row>
    <row r="432" spans="2:7" x14ac:dyDescent="0.35">
      <c r="B432" s="46"/>
      <c r="C432" s="46"/>
      <c r="D432" s="46"/>
      <c r="E432" s="46"/>
      <c r="F432" s="46"/>
      <c r="G432" s="79"/>
    </row>
    <row r="433" spans="2:7" x14ac:dyDescent="0.35">
      <c r="B433" s="46"/>
      <c r="C433" s="46"/>
      <c r="D433" s="46"/>
      <c r="E433" s="46"/>
      <c r="F433" s="46"/>
      <c r="G433" s="79"/>
    </row>
    <row r="434" spans="2:7" x14ac:dyDescent="0.35">
      <c r="B434" s="46"/>
      <c r="C434" s="46"/>
      <c r="D434" s="46"/>
      <c r="E434" s="46"/>
      <c r="F434" s="46"/>
      <c r="G434" s="79"/>
    </row>
    <row r="435" spans="2:7" x14ac:dyDescent="0.35">
      <c r="B435" s="46"/>
      <c r="C435" s="46"/>
      <c r="D435" s="46"/>
      <c r="E435" s="46"/>
      <c r="F435" s="46"/>
      <c r="G435" s="79"/>
    </row>
    <row r="436" spans="2:7" x14ac:dyDescent="0.35">
      <c r="B436" s="46"/>
      <c r="C436" s="46"/>
      <c r="D436" s="46"/>
      <c r="E436" s="46"/>
      <c r="F436" s="46"/>
      <c r="G436" s="79"/>
    </row>
    <row r="437" spans="2:7" x14ac:dyDescent="0.35">
      <c r="B437" s="46"/>
      <c r="C437" s="46"/>
      <c r="D437" s="46"/>
      <c r="E437" s="46"/>
      <c r="F437" s="46"/>
      <c r="G437" s="79"/>
    </row>
    <row r="438" spans="2:7" x14ac:dyDescent="0.35">
      <c r="B438" s="46"/>
      <c r="C438" s="46"/>
      <c r="D438" s="46"/>
      <c r="E438" s="46"/>
      <c r="F438" s="46"/>
      <c r="G438" s="79"/>
    </row>
    <row r="439" spans="2:7" x14ac:dyDescent="0.35">
      <c r="B439" s="46"/>
      <c r="C439" s="46"/>
      <c r="D439" s="46"/>
      <c r="E439" s="46"/>
      <c r="F439" s="46"/>
      <c r="G439" s="79"/>
    </row>
    <row r="440" spans="2:7" x14ac:dyDescent="0.35">
      <c r="B440" s="46"/>
      <c r="C440" s="46"/>
      <c r="D440" s="46"/>
      <c r="E440" s="46"/>
      <c r="F440" s="46"/>
      <c r="G440" s="79"/>
    </row>
    <row r="441" spans="2:7" x14ac:dyDescent="0.35">
      <c r="B441" s="46"/>
      <c r="C441" s="46"/>
      <c r="D441" s="46"/>
      <c r="E441" s="46"/>
      <c r="F441" s="46"/>
      <c r="G441" s="79"/>
    </row>
    <row r="442" spans="2:7" x14ac:dyDescent="0.35">
      <c r="B442" s="46"/>
      <c r="C442" s="46"/>
      <c r="D442" s="46"/>
      <c r="E442" s="46"/>
      <c r="F442" s="46"/>
      <c r="G442" s="79"/>
    </row>
    <row r="443" spans="2:7" x14ac:dyDescent="0.35">
      <c r="B443" s="46"/>
      <c r="C443" s="46"/>
      <c r="D443" s="46"/>
      <c r="E443" s="46"/>
      <c r="F443" s="46"/>
      <c r="G443" s="79"/>
    </row>
    <row r="444" spans="2:7" x14ac:dyDescent="0.35">
      <c r="B444" s="46"/>
      <c r="C444" s="46"/>
      <c r="D444" s="46"/>
      <c r="E444" s="46"/>
      <c r="F444" s="46"/>
      <c r="G444" s="79"/>
    </row>
    <row r="445" spans="2:7" x14ac:dyDescent="0.35">
      <c r="B445" s="46"/>
      <c r="C445" s="46"/>
      <c r="D445" s="46"/>
      <c r="E445" s="46"/>
      <c r="F445" s="46"/>
      <c r="G445" s="79"/>
    </row>
    <row r="446" spans="2:7" x14ac:dyDescent="0.35">
      <c r="B446" s="46"/>
      <c r="C446" s="46"/>
      <c r="D446" s="46"/>
      <c r="E446" s="46"/>
      <c r="F446" s="46"/>
      <c r="G446" s="79"/>
    </row>
    <row r="447" spans="2:7" x14ac:dyDescent="0.35">
      <c r="B447" s="46"/>
      <c r="C447" s="46"/>
      <c r="D447" s="46"/>
      <c r="E447" s="46"/>
      <c r="F447" s="46"/>
      <c r="G447" s="79"/>
    </row>
    <row r="448" spans="2:7" x14ac:dyDescent="0.35">
      <c r="B448" s="46"/>
      <c r="C448" s="46"/>
      <c r="D448" s="46"/>
      <c r="E448" s="46"/>
      <c r="F448" s="46"/>
      <c r="G448" s="79"/>
    </row>
    <row r="449" spans="2:7" x14ac:dyDescent="0.35">
      <c r="B449" s="46"/>
      <c r="C449" s="46"/>
      <c r="D449" s="46"/>
      <c r="E449" s="46"/>
      <c r="F449" s="46"/>
      <c r="G449" s="79"/>
    </row>
    <row r="450" spans="2:7" x14ac:dyDescent="0.35">
      <c r="B450" s="46"/>
      <c r="C450" s="46"/>
      <c r="D450" s="46"/>
      <c r="E450" s="46"/>
      <c r="F450" s="46"/>
      <c r="G450" s="79"/>
    </row>
    <row r="451" spans="2:7" x14ac:dyDescent="0.35">
      <c r="B451" s="46"/>
      <c r="C451" s="46"/>
      <c r="D451" s="46"/>
      <c r="E451" s="46"/>
      <c r="F451" s="46"/>
      <c r="G451" s="79"/>
    </row>
    <row r="452" spans="2:7" x14ac:dyDescent="0.35">
      <c r="B452" s="46"/>
      <c r="C452" s="46"/>
      <c r="D452" s="46"/>
      <c r="E452" s="46"/>
      <c r="F452" s="46"/>
      <c r="G452" s="79"/>
    </row>
    <row r="453" spans="2:7" x14ac:dyDescent="0.35">
      <c r="B453" s="46"/>
      <c r="C453" s="46"/>
      <c r="D453" s="46"/>
      <c r="E453" s="46"/>
      <c r="F453" s="46"/>
      <c r="G453" s="79"/>
    </row>
    <row r="454" spans="2:7" x14ac:dyDescent="0.35">
      <c r="B454" s="46"/>
      <c r="C454" s="46"/>
      <c r="D454" s="46"/>
      <c r="E454" s="46"/>
      <c r="F454" s="46"/>
      <c r="G454" s="79"/>
    </row>
    <row r="455" spans="2:7" x14ac:dyDescent="0.35">
      <c r="B455" s="46"/>
      <c r="C455" s="46"/>
      <c r="D455" s="46"/>
      <c r="E455" s="46"/>
      <c r="F455" s="46"/>
      <c r="G455" s="79"/>
    </row>
    <row r="456" spans="2:7" x14ac:dyDescent="0.35">
      <c r="B456" s="46"/>
      <c r="C456" s="46"/>
      <c r="D456" s="46"/>
      <c r="E456" s="46"/>
      <c r="F456" s="46"/>
      <c r="G456" s="79"/>
    </row>
    <row r="457" spans="2:7" x14ac:dyDescent="0.35">
      <c r="B457" s="46"/>
      <c r="C457" s="46"/>
      <c r="D457" s="46"/>
      <c r="E457" s="46"/>
      <c r="F457" s="46"/>
      <c r="G457" s="79"/>
    </row>
    <row r="458" spans="2:7" x14ac:dyDescent="0.35">
      <c r="B458" s="46"/>
      <c r="C458" s="46"/>
      <c r="D458" s="46"/>
      <c r="E458" s="46"/>
      <c r="F458" s="46"/>
      <c r="G458" s="79"/>
    </row>
    <row r="459" spans="2:7" x14ac:dyDescent="0.35">
      <c r="B459" s="46"/>
      <c r="C459" s="46"/>
      <c r="D459" s="46"/>
      <c r="E459" s="46"/>
      <c r="F459" s="46"/>
      <c r="G459" s="79"/>
    </row>
    <row r="460" spans="2:7" x14ac:dyDescent="0.35">
      <c r="B460" s="46"/>
      <c r="C460" s="46"/>
      <c r="D460" s="46"/>
      <c r="E460" s="46"/>
      <c r="F460" s="46"/>
      <c r="G460" s="79"/>
    </row>
    <row r="461" spans="2:7" x14ac:dyDescent="0.35">
      <c r="B461" s="46"/>
      <c r="C461" s="46"/>
      <c r="D461" s="46"/>
      <c r="E461" s="46"/>
      <c r="F461" s="46"/>
      <c r="G461" s="79"/>
    </row>
    <row r="462" spans="2:7" x14ac:dyDescent="0.35">
      <c r="B462" s="46"/>
      <c r="C462" s="46"/>
      <c r="D462" s="46"/>
      <c r="E462" s="46"/>
      <c r="F462" s="46"/>
      <c r="G462" s="79"/>
    </row>
    <row r="463" spans="2:7" x14ac:dyDescent="0.35">
      <c r="B463" s="46"/>
      <c r="C463" s="46"/>
      <c r="D463" s="46"/>
      <c r="E463" s="46"/>
      <c r="F463" s="46"/>
      <c r="G463" s="79"/>
    </row>
    <row r="464" spans="2:7" x14ac:dyDescent="0.35">
      <c r="B464" s="46"/>
      <c r="C464" s="46"/>
      <c r="D464" s="46"/>
      <c r="E464" s="46"/>
      <c r="F464" s="46"/>
      <c r="G464" s="79"/>
    </row>
    <row r="465" spans="2:7" x14ac:dyDescent="0.35">
      <c r="B465" s="46"/>
      <c r="C465" s="46"/>
      <c r="D465" s="46"/>
      <c r="E465" s="46"/>
      <c r="F465" s="46"/>
      <c r="G465" s="79"/>
    </row>
    <row r="466" spans="2:7" x14ac:dyDescent="0.35">
      <c r="B466" s="46"/>
      <c r="C466" s="46"/>
      <c r="D466" s="46"/>
      <c r="E466" s="46"/>
      <c r="F466" s="46"/>
      <c r="G466" s="79"/>
    </row>
    <row r="467" spans="2:7" x14ac:dyDescent="0.35">
      <c r="B467" s="46"/>
      <c r="C467" s="46"/>
      <c r="D467" s="46"/>
      <c r="E467" s="46"/>
      <c r="F467" s="46"/>
      <c r="G467" s="79"/>
    </row>
    <row r="468" spans="2:7" x14ac:dyDescent="0.35">
      <c r="B468" s="46"/>
      <c r="C468" s="46"/>
      <c r="D468" s="46"/>
      <c r="E468" s="46"/>
      <c r="F468" s="46"/>
      <c r="G468" s="79"/>
    </row>
    <row r="469" spans="2:7" x14ac:dyDescent="0.35">
      <c r="B469" s="46"/>
      <c r="C469" s="46"/>
      <c r="D469" s="46"/>
      <c r="E469" s="46"/>
      <c r="F469" s="46"/>
      <c r="G469" s="79"/>
    </row>
    <row r="470" spans="2:7" x14ac:dyDescent="0.35">
      <c r="B470" s="46"/>
      <c r="C470" s="46"/>
      <c r="D470" s="46"/>
      <c r="E470" s="46"/>
      <c r="F470" s="46"/>
      <c r="G470" s="79"/>
    </row>
    <row r="471" spans="2:7" x14ac:dyDescent="0.35">
      <c r="B471" s="46"/>
      <c r="C471" s="46"/>
      <c r="D471" s="46"/>
      <c r="E471" s="46"/>
      <c r="F471" s="46"/>
      <c r="G471" s="79"/>
    </row>
    <row r="472" spans="2:7" x14ac:dyDescent="0.35">
      <c r="B472" s="46"/>
      <c r="C472" s="46"/>
      <c r="D472" s="46"/>
      <c r="E472" s="46"/>
      <c r="F472" s="46"/>
      <c r="G472" s="79"/>
    </row>
    <row r="473" spans="2:7" x14ac:dyDescent="0.35">
      <c r="B473" s="46"/>
      <c r="C473" s="46"/>
      <c r="D473" s="46"/>
      <c r="E473" s="46"/>
      <c r="F473" s="46"/>
      <c r="G473" s="79"/>
    </row>
    <row r="474" spans="2:7" x14ac:dyDescent="0.35">
      <c r="B474" s="46"/>
      <c r="C474" s="46"/>
      <c r="D474" s="46"/>
      <c r="E474" s="46"/>
      <c r="F474" s="46"/>
      <c r="G474" s="79"/>
    </row>
    <row r="475" spans="2:7" x14ac:dyDescent="0.35">
      <c r="B475" s="46"/>
      <c r="C475" s="46"/>
      <c r="D475" s="46"/>
      <c r="E475" s="46"/>
      <c r="F475" s="46"/>
      <c r="G475" s="79"/>
    </row>
    <row r="476" spans="2:7" x14ac:dyDescent="0.35">
      <c r="B476" s="46"/>
      <c r="C476" s="46"/>
      <c r="D476" s="46"/>
      <c r="E476" s="46"/>
      <c r="F476" s="46"/>
      <c r="G476" s="79"/>
    </row>
    <row r="477" spans="2:7" x14ac:dyDescent="0.35">
      <c r="B477" s="46"/>
      <c r="C477" s="46"/>
      <c r="D477" s="46"/>
      <c r="E477" s="46"/>
      <c r="F477" s="46"/>
      <c r="G477" s="79"/>
    </row>
    <row r="478" spans="2:7" x14ac:dyDescent="0.35">
      <c r="B478" s="46"/>
      <c r="C478" s="46"/>
      <c r="D478" s="46"/>
      <c r="E478" s="46"/>
      <c r="F478" s="46"/>
      <c r="G478" s="79"/>
    </row>
    <row r="479" spans="2:7" x14ac:dyDescent="0.35">
      <c r="B479" s="46"/>
      <c r="C479" s="46"/>
      <c r="D479" s="46"/>
      <c r="E479" s="46"/>
      <c r="F479" s="46"/>
      <c r="G479" s="79"/>
    </row>
    <row r="480" spans="2:7" x14ac:dyDescent="0.35">
      <c r="B480" s="46"/>
      <c r="C480" s="46"/>
      <c r="D480" s="46"/>
      <c r="E480" s="46"/>
      <c r="F480" s="46"/>
      <c r="G480" s="79"/>
    </row>
    <row r="481" spans="2:7" x14ac:dyDescent="0.35">
      <c r="B481" s="46"/>
      <c r="C481" s="46"/>
      <c r="D481" s="46"/>
      <c r="E481" s="46"/>
      <c r="F481" s="46"/>
      <c r="G481" s="79"/>
    </row>
    <row r="482" spans="2:7" x14ac:dyDescent="0.35">
      <c r="B482" s="46"/>
      <c r="C482" s="46"/>
      <c r="D482" s="46"/>
      <c r="E482" s="46"/>
      <c r="F482" s="46"/>
      <c r="G482" s="79"/>
    </row>
    <row r="483" spans="2:7" x14ac:dyDescent="0.35">
      <c r="B483" s="46"/>
      <c r="C483" s="46"/>
      <c r="D483" s="46"/>
      <c r="E483" s="46"/>
      <c r="F483" s="46"/>
      <c r="G483" s="79"/>
    </row>
    <row r="484" spans="2:7" x14ac:dyDescent="0.35">
      <c r="B484" s="46"/>
      <c r="C484" s="46"/>
      <c r="D484" s="46"/>
      <c r="E484" s="46"/>
      <c r="F484" s="46"/>
      <c r="G484" s="79"/>
    </row>
    <row r="485" spans="2:7" x14ac:dyDescent="0.35">
      <c r="B485" s="46"/>
      <c r="C485" s="46"/>
      <c r="D485" s="46"/>
      <c r="E485" s="46"/>
      <c r="F485" s="46"/>
      <c r="G485" s="79"/>
    </row>
    <row r="486" spans="2:7" x14ac:dyDescent="0.35">
      <c r="B486" s="46"/>
      <c r="C486" s="46"/>
      <c r="D486" s="46"/>
      <c r="E486" s="46"/>
      <c r="F486" s="46"/>
      <c r="G486" s="79"/>
    </row>
    <row r="487" spans="2:7" x14ac:dyDescent="0.35">
      <c r="B487" s="46"/>
      <c r="C487" s="46"/>
      <c r="D487" s="46"/>
      <c r="E487" s="46"/>
      <c r="F487" s="46"/>
      <c r="G487" s="79"/>
    </row>
    <row r="488" spans="2:7" x14ac:dyDescent="0.35">
      <c r="B488" s="46"/>
      <c r="C488" s="46"/>
      <c r="D488" s="46"/>
      <c r="E488" s="46"/>
      <c r="F488" s="46"/>
      <c r="G488" s="79"/>
    </row>
    <row r="489" spans="2:7" x14ac:dyDescent="0.35">
      <c r="B489" s="46"/>
      <c r="C489" s="46"/>
      <c r="D489" s="46"/>
      <c r="E489" s="46"/>
      <c r="F489" s="46"/>
      <c r="G489" s="79"/>
    </row>
    <row r="490" spans="2:7" x14ac:dyDescent="0.35">
      <c r="B490" s="46"/>
      <c r="C490" s="46"/>
      <c r="D490" s="46"/>
      <c r="E490" s="46"/>
      <c r="F490" s="46"/>
      <c r="G490" s="79"/>
    </row>
    <row r="491" spans="2:7" x14ac:dyDescent="0.35">
      <c r="B491" s="46"/>
      <c r="C491" s="46"/>
      <c r="D491" s="46"/>
      <c r="E491" s="46"/>
      <c r="F491" s="46"/>
      <c r="G491" s="79"/>
    </row>
    <row r="492" spans="2:7" x14ac:dyDescent="0.35">
      <c r="B492" s="46"/>
      <c r="C492" s="46"/>
      <c r="D492" s="46"/>
      <c r="E492" s="46"/>
      <c r="F492" s="46"/>
      <c r="G492" s="79"/>
    </row>
    <row r="493" spans="2:7" x14ac:dyDescent="0.35">
      <c r="B493" s="46"/>
      <c r="C493" s="46"/>
      <c r="D493" s="46"/>
      <c r="E493" s="46"/>
      <c r="F493" s="46"/>
      <c r="G493" s="79"/>
    </row>
    <row r="494" spans="2:7" x14ac:dyDescent="0.35">
      <c r="B494" s="46"/>
      <c r="C494" s="46"/>
      <c r="D494" s="46"/>
      <c r="E494" s="46"/>
      <c r="F494" s="46"/>
      <c r="G494" s="79"/>
    </row>
    <row r="495" spans="2:7" x14ac:dyDescent="0.35">
      <c r="B495" s="46"/>
      <c r="C495" s="46"/>
      <c r="D495" s="46"/>
      <c r="E495" s="46"/>
      <c r="F495" s="46"/>
      <c r="G495" s="79"/>
    </row>
    <row r="496" spans="2:7" x14ac:dyDescent="0.35">
      <c r="B496" s="46"/>
      <c r="C496" s="46"/>
      <c r="D496" s="46"/>
      <c r="E496" s="46"/>
      <c r="F496" s="46"/>
      <c r="G496" s="79"/>
    </row>
    <row r="497" spans="2:7" x14ac:dyDescent="0.35">
      <c r="B497" s="46"/>
      <c r="C497" s="46"/>
      <c r="D497" s="46"/>
      <c r="E497" s="46"/>
      <c r="F497" s="46"/>
      <c r="G497" s="79"/>
    </row>
    <row r="498" spans="2:7" x14ac:dyDescent="0.35">
      <c r="B498" s="46"/>
      <c r="C498" s="46"/>
      <c r="D498" s="46"/>
      <c r="E498" s="46"/>
      <c r="F498" s="46"/>
      <c r="G498" s="79"/>
    </row>
    <row r="499" spans="2:7" x14ac:dyDescent="0.35">
      <c r="B499" s="46"/>
      <c r="C499" s="46"/>
      <c r="D499" s="46"/>
      <c r="E499" s="46"/>
      <c r="F499" s="46"/>
      <c r="G499" s="79"/>
    </row>
    <row r="500" spans="2:7" x14ac:dyDescent="0.35">
      <c r="B500" s="46"/>
      <c r="C500" s="46"/>
      <c r="D500" s="46"/>
      <c r="E500" s="46"/>
      <c r="F500" s="46"/>
      <c r="G500" s="79"/>
    </row>
    <row r="501" spans="2:7" x14ac:dyDescent="0.35">
      <c r="B501" s="46"/>
      <c r="C501" s="46"/>
      <c r="D501" s="46"/>
      <c r="E501" s="46"/>
      <c r="F501" s="46"/>
      <c r="G501" s="79"/>
    </row>
    <row r="502" spans="2:7" x14ac:dyDescent="0.35">
      <c r="B502" s="46"/>
      <c r="C502" s="46"/>
      <c r="D502" s="46"/>
      <c r="E502" s="46"/>
      <c r="F502" s="46"/>
      <c r="G502" s="79"/>
    </row>
    <row r="503" spans="2:7" x14ac:dyDescent="0.35">
      <c r="B503" s="46"/>
      <c r="C503" s="46"/>
      <c r="D503" s="46"/>
      <c r="E503" s="46"/>
      <c r="F503" s="46"/>
      <c r="G503" s="79"/>
    </row>
    <row r="504" spans="2:7" x14ac:dyDescent="0.35">
      <c r="B504" s="46"/>
      <c r="C504" s="46"/>
      <c r="D504" s="46"/>
      <c r="E504" s="46"/>
      <c r="F504" s="46"/>
      <c r="G504" s="79"/>
    </row>
    <row r="505" spans="2:7" x14ac:dyDescent="0.35">
      <c r="B505" s="46"/>
      <c r="C505" s="46"/>
      <c r="D505" s="46"/>
      <c r="E505" s="46"/>
      <c r="F505" s="46"/>
      <c r="G505" s="79"/>
    </row>
    <row r="506" spans="2:7" x14ac:dyDescent="0.35">
      <c r="B506" s="46"/>
      <c r="C506" s="46"/>
      <c r="D506" s="46"/>
      <c r="E506" s="46"/>
      <c r="F506" s="46"/>
      <c r="G506" s="79"/>
    </row>
    <row r="507" spans="2:7" x14ac:dyDescent="0.35">
      <c r="B507" s="46"/>
      <c r="C507" s="46"/>
      <c r="D507" s="46"/>
      <c r="E507" s="46"/>
      <c r="F507" s="46"/>
      <c r="G507" s="79"/>
    </row>
    <row r="508" spans="2:7" x14ac:dyDescent="0.35">
      <c r="B508" s="46"/>
      <c r="C508" s="46"/>
      <c r="D508" s="46"/>
      <c r="E508" s="46"/>
      <c r="F508" s="46"/>
      <c r="G508" s="79"/>
    </row>
    <row r="509" spans="2:7" x14ac:dyDescent="0.35">
      <c r="B509" s="46"/>
      <c r="C509" s="46"/>
      <c r="D509" s="46"/>
      <c r="E509" s="46"/>
      <c r="F509" s="46"/>
      <c r="G509" s="79"/>
    </row>
    <row r="510" spans="2:7" x14ac:dyDescent="0.35">
      <c r="B510" s="46"/>
      <c r="C510" s="46"/>
      <c r="D510" s="46"/>
      <c r="E510" s="46"/>
      <c r="F510" s="46"/>
      <c r="G510" s="79"/>
    </row>
    <row r="511" spans="2:7" x14ac:dyDescent="0.35">
      <c r="B511" s="46"/>
      <c r="C511" s="46"/>
      <c r="D511" s="46"/>
      <c r="E511" s="46"/>
      <c r="F511" s="46"/>
      <c r="G511" s="79"/>
    </row>
    <row r="512" spans="2:7" x14ac:dyDescent="0.35">
      <c r="B512" s="46"/>
      <c r="C512" s="46"/>
      <c r="D512" s="46"/>
      <c r="E512" s="46"/>
      <c r="F512" s="46"/>
      <c r="G512" s="79"/>
    </row>
    <row r="513" spans="2:7" x14ac:dyDescent="0.35">
      <c r="B513" s="46"/>
      <c r="C513" s="46"/>
      <c r="D513" s="46"/>
      <c r="E513" s="46"/>
      <c r="F513" s="46"/>
      <c r="G513" s="79"/>
    </row>
    <row r="514" spans="2:7" x14ac:dyDescent="0.35">
      <c r="B514" s="46"/>
      <c r="C514" s="46"/>
      <c r="D514" s="46"/>
      <c r="E514" s="46"/>
      <c r="F514" s="46"/>
      <c r="G514" s="79"/>
    </row>
    <row r="515" spans="2:7" x14ac:dyDescent="0.35">
      <c r="B515" s="46"/>
      <c r="C515" s="46"/>
      <c r="D515" s="46"/>
      <c r="E515" s="46"/>
      <c r="F515" s="46"/>
      <c r="G515" s="79"/>
    </row>
    <row r="516" spans="2:7" x14ac:dyDescent="0.35">
      <c r="B516" s="46"/>
      <c r="C516" s="46"/>
      <c r="D516" s="46"/>
      <c r="E516" s="46"/>
      <c r="F516" s="46"/>
      <c r="G516" s="79"/>
    </row>
    <row r="517" spans="2:7" x14ac:dyDescent="0.35">
      <c r="B517" s="46"/>
      <c r="C517" s="46"/>
      <c r="D517" s="46"/>
      <c r="E517" s="46"/>
      <c r="F517" s="46"/>
      <c r="G517" s="79"/>
    </row>
    <row r="518" spans="2:7" x14ac:dyDescent="0.35">
      <c r="B518" s="46"/>
      <c r="C518" s="46"/>
      <c r="D518" s="46"/>
      <c r="E518" s="46"/>
      <c r="F518" s="46"/>
      <c r="G518" s="79"/>
    </row>
    <row r="519" spans="2:7" x14ac:dyDescent="0.35">
      <c r="B519" s="46"/>
      <c r="C519" s="46"/>
      <c r="D519" s="46"/>
      <c r="E519" s="46"/>
      <c r="F519" s="46"/>
      <c r="G519" s="79"/>
    </row>
    <row r="520" spans="2:7" x14ac:dyDescent="0.35">
      <c r="B520" s="46"/>
      <c r="C520" s="46"/>
      <c r="D520" s="46"/>
      <c r="E520" s="46"/>
      <c r="F520" s="46"/>
      <c r="G520" s="79"/>
    </row>
    <row r="521" spans="2:7" x14ac:dyDescent="0.35">
      <c r="B521" s="46"/>
      <c r="C521" s="46"/>
      <c r="D521" s="46"/>
      <c r="E521" s="46"/>
      <c r="F521" s="46"/>
      <c r="G521" s="79"/>
    </row>
    <row r="522" spans="2:7" x14ac:dyDescent="0.35">
      <c r="B522" s="46"/>
      <c r="C522" s="46"/>
      <c r="D522" s="46"/>
      <c r="E522" s="46"/>
      <c r="F522" s="46"/>
      <c r="G522" s="79"/>
    </row>
    <row r="523" spans="2:7" x14ac:dyDescent="0.35">
      <c r="B523" s="46"/>
      <c r="C523" s="46"/>
      <c r="D523" s="46"/>
      <c r="E523" s="46"/>
      <c r="F523" s="46"/>
      <c r="G523" s="79"/>
    </row>
    <row r="524" spans="2:7" x14ac:dyDescent="0.35">
      <c r="B524" s="46"/>
      <c r="C524" s="46"/>
      <c r="D524" s="46"/>
      <c r="E524" s="46"/>
      <c r="F524" s="46"/>
      <c r="G524" s="79"/>
    </row>
    <row r="525" spans="2:7" x14ac:dyDescent="0.35">
      <c r="B525" s="46"/>
      <c r="C525" s="46"/>
      <c r="D525" s="46"/>
      <c r="E525" s="46"/>
      <c r="F525" s="46"/>
      <c r="G525" s="79"/>
    </row>
    <row r="526" spans="2:7" x14ac:dyDescent="0.35">
      <c r="B526" s="46"/>
      <c r="C526" s="46"/>
      <c r="D526" s="46"/>
      <c r="E526" s="46"/>
      <c r="F526" s="46"/>
      <c r="G526" s="79"/>
    </row>
    <row r="527" spans="2:7" x14ac:dyDescent="0.35">
      <c r="B527" s="46"/>
      <c r="C527" s="46"/>
      <c r="D527" s="46"/>
      <c r="E527" s="46"/>
      <c r="F527" s="46"/>
      <c r="G527" s="79"/>
    </row>
    <row r="528" spans="2:7" x14ac:dyDescent="0.35">
      <c r="B528" s="46"/>
      <c r="C528" s="46"/>
      <c r="D528" s="46"/>
      <c r="E528" s="46"/>
      <c r="F528" s="46"/>
      <c r="G528" s="79"/>
    </row>
    <row r="529" spans="2:7" x14ac:dyDescent="0.35">
      <c r="B529" s="46"/>
      <c r="C529" s="46"/>
      <c r="D529" s="46"/>
      <c r="E529" s="46"/>
      <c r="F529" s="46"/>
      <c r="G529" s="79"/>
    </row>
    <row r="530" spans="2:7" x14ac:dyDescent="0.35">
      <c r="B530" s="46"/>
      <c r="C530" s="46"/>
      <c r="D530" s="46"/>
      <c r="E530" s="46"/>
      <c r="F530" s="46"/>
      <c r="G530" s="79"/>
    </row>
    <row r="531" spans="2:7" x14ac:dyDescent="0.35">
      <c r="B531" s="46"/>
      <c r="C531" s="46"/>
      <c r="D531" s="46"/>
      <c r="E531" s="46"/>
      <c r="F531" s="46"/>
      <c r="G531" s="79"/>
    </row>
    <row r="532" spans="2:7" x14ac:dyDescent="0.35">
      <c r="B532" s="46"/>
      <c r="C532" s="46"/>
      <c r="D532" s="46"/>
      <c r="E532" s="46"/>
      <c r="F532" s="46"/>
      <c r="G532" s="79"/>
    </row>
    <row r="533" spans="2:7" x14ac:dyDescent="0.35">
      <c r="B533" s="46"/>
      <c r="C533" s="46"/>
      <c r="D533" s="46"/>
      <c r="E533" s="46"/>
      <c r="F533" s="46"/>
      <c r="G533" s="79"/>
    </row>
    <row r="534" spans="2:7" x14ac:dyDescent="0.35">
      <c r="B534" s="46"/>
      <c r="C534" s="46"/>
      <c r="D534" s="46"/>
      <c r="E534" s="46"/>
      <c r="F534" s="46"/>
      <c r="G534" s="79"/>
    </row>
    <row r="535" spans="2:7" x14ac:dyDescent="0.35">
      <c r="B535" s="46"/>
      <c r="C535" s="46"/>
      <c r="D535" s="46"/>
      <c r="E535" s="46"/>
      <c r="F535" s="46"/>
      <c r="G535" s="79"/>
    </row>
    <row r="536" spans="2:7" x14ac:dyDescent="0.35">
      <c r="B536" s="46"/>
      <c r="C536" s="46"/>
      <c r="D536" s="46"/>
      <c r="E536" s="46"/>
      <c r="F536" s="46"/>
      <c r="G536" s="79"/>
    </row>
    <row r="537" spans="2:7" x14ac:dyDescent="0.35">
      <c r="B537" s="46"/>
      <c r="C537" s="46"/>
      <c r="D537" s="46"/>
      <c r="E537" s="46"/>
      <c r="F537" s="46"/>
      <c r="G537" s="79"/>
    </row>
    <row r="538" spans="2:7" x14ac:dyDescent="0.35">
      <c r="B538" s="46"/>
      <c r="C538" s="46"/>
      <c r="D538" s="46"/>
      <c r="E538" s="46"/>
      <c r="F538" s="46"/>
      <c r="G538" s="79"/>
    </row>
    <row r="539" spans="2:7" x14ac:dyDescent="0.35">
      <c r="B539" s="46"/>
      <c r="C539" s="46"/>
      <c r="D539" s="46"/>
      <c r="E539" s="46"/>
      <c r="F539" s="46"/>
      <c r="G539" s="79"/>
    </row>
    <row r="540" spans="2:7" x14ac:dyDescent="0.35">
      <c r="B540" s="46"/>
      <c r="C540" s="46"/>
      <c r="D540" s="46"/>
      <c r="E540" s="46"/>
      <c r="F540" s="46"/>
      <c r="G540" s="79"/>
    </row>
    <row r="541" spans="2:7" x14ac:dyDescent="0.35">
      <c r="B541" s="46"/>
      <c r="C541" s="46"/>
      <c r="D541" s="46"/>
      <c r="E541" s="46"/>
      <c r="F541" s="46"/>
      <c r="G541" s="79"/>
    </row>
    <row r="542" spans="2:7" x14ac:dyDescent="0.35">
      <c r="B542" s="46"/>
      <c r="C542" s="46"/>
      <c r="D542" s="46"/>
      <c r="E542" s="46"/>
      <c r="F542" s="46"/>
      <c r="G542" s="79"/>
    </row>
    <row r="543" spans="2:7" x14ac:dyDescent="0.35">
      <c r="B543" s="46"/>
      <c r="C543" s="46"/>
      <c r="D543" s="46"/>
      <c r="E543" s="46"/>
      <c r="F543" s="46"/>
      <c r="G543" s="79"/>
    </row>
    <row r="544" spans="2:7" x14ac:dyDescent="0.35">
      <c r="B544" s="46"/>
      <c r="C544" s="46"/>
      <c r="D544" s="46"/>
      <c r="E544" s="46"/>
      <c r="F544" s="46"/>
      <c r="G544" s="79"/>
    </row>
    <row r="545" spans="2:7" x14ac:dyDescent="0.35">
      <c r="B545" s="46"/>
      <c r="C545" s="46"/>
      <c r="D545" s="46"/>
      <c r="E545" s="46"/>
      <c r="F545" s="46"/>
      <c r="G545" s="79"/>
    </row>
    <row r="546" spans="2:7" x14ac:dyDescent="0.35">
      <c r="B546" s="46"/>
      <c r="C546" s="46"/>
      <c r="D546" s="46"/>
      <c r="E546" s="46"/>
      <c r="F546" s="46"/>
      <c r="G546" s="79"/>
    </row>
    <row r="547" spans="2:7" x14ac:dyDescent="0.35">
      <c r="B547" s="46"/>
      <c r="C547" s="46"/>
      <c r="D547" s="46"/>
      <c r="E547" s="46"/>
      <c r="F547" s="46"/>
      <c r="G547" s="79"/>
    </row>
    <row r="548" spans="2:7" x14ac:dyDescent="0.35">
      <c r="B548" s="46"/>
      <c r="C548" s="46"/>
      <c r="D548" s="46"/>
      <c r="E548" s="46"/>
      <c r="F548" s="46"/>
      <c r="G548" s="79"/>
    </row>
    <row r="549" spans="2:7" x14ac:dyDescent="0.35">
      <c r="B549" s="46"/>
      <c r="C549" s="46"/>
      <c r="D549" s="46"/>
      <c r="E549" s="46"/>
      <c r="F549" s="46"/>
      <c r="G549" s="79"/>
    </row>
    <row r="550" spans="2:7" x14ac:dyDescent="0.35">
      <c r="B550" s="46"/>
      <c r="C550" s="46"/>
      <c r="D550" s="46"/>
      <c r="E550" s="46"/>
      <c r="F550" s="46"/>
      <c r="G550" s="79"/>
    </row>
    <row r="551" spans="2:7" x14ac:dyDescent="0.35">
      <c r="B551" s="46"/>
      <c r="C551" s="46"/>
      <c r="D551" s="46"/>
      <c r="E551" s="46"/>
      <c r="F551" s="46"/>
      <c r="G551" s="79"/>
    </row>
    <row r="552" spans="2:7" x14ac:dyDescent="0.35">
      <c r="B552" s="46"/>
      <c r="C552" s="46"/>
      <c r="D552" s="46"/>
      <c r="E552" s="46"/>
      <c r="F552" s="46"/>
      <c r="G552" s="79"/>
    </row>
    <row r="553" spans="2:7" x14ac:dyDescent="0.35">
      <c r="B553" s="46"/>
      <c r="C553" s="46"/>
      <c r="D553" s="46"/>
      <c r="E553" s="46"/>
      <c r="F553" s="46"/>
      <c r="G553" s="79"/>
    </row>
    <row r="554" spans="2:7" x14ac:dyDescent="0.35">
      <c r="B554" s="46"/>
      <c r="C554" s="46"/>
      <c r="D554" s="46"/>
      <c r="E554" s="46"/>
      <c r="F554" s="46"/>
      <c r="G554" s="79"/>
    </row>
    <row r="555" spans="2:7" x14ac:dyDescent="0.35">
      <c r="B555" s="46"/>
      <c r="C555" s="46"/>
      <c r="D555" s="46"/>
      <c r="E555" s="46"/>
      <c r="F555" s="46"/>
      <c r="G555" s="79"/>
    </row>
    <row r="556" spans="2:7" x14ac:dyDescent="0.35">
      <c r="B556" s="46"/>
      <c r="C556" s="46"/>
      <c r="D556" s="46"/>
      <c r="E556" s="46"/>
      <c r="F556" s="46"/>
      <c r="G556" s="79"/>
    </row>
    <row r="557" spans="2:7" x14ac:dyDescent="0.35">
      <c r="B557" s="46"/>
      <c r="C557" s="46"/>
      <c r="D557" s="46"/>
      <c r="E557" s="46"/>
      <c r="F557" s="46"/>
      <c r="G557" s="79"/>
    </row>
    <row r="558" spans="2:7" x14ac:dyDescent="0.35">
      <c r="B558" s="46"/>
      <c r="C558" s="46"/>
      <c r="D558" s="46"/>
      <c r="E558" s="46"/>
      <c r="F558" s="46"/>
      <c r="G558" s="79"/>
    </row>
    <row r="559" spans="2:7" x14ac:dyDescent="0.35">
      <c r="B559" s="46"/>
      <c r="C559" s="46"/>
      <c r="D559" s="46"/>
      <c r="E559" s="46"/>
      <c r="F559" s="46"/>
      <c r="G559" s="79"/>
    </row>
    <row r="560" spans="2:7" x14ac:dyDescent="0.35">
      <c r="B560" s="46"/>
      <c r="C560" s="46"/>
      <c r="D560" s="46"/>
      <c r="E560" s="46"/>
      <c r="F560" s="46"/>
      <c r="G560" s="79"/>
    </row>
    <row r="561" spans="2:7" x14ac:dyDescent="0.35">
      <c r="B561" s="46"/>
      <c r="C561" s="46"/>
      <c r="D561" s="46"/>
      <c r="E561" s="46"/>
      <c r="F561" s="46"/>
      <c r="G561" s="79"/>
    </row>
    <row r="562" spans="2:7" x14ac:dyDescent="0.35">
      <c r="B562" s="46"/>
      <c r="C562" s="46"/>
      <c r="D562" s="46"/>
      <c r="E562" s="46"/>
      <c r="F562" s="46"/>
      <c r="G562" s="79"/>
    </row>
    <row r="563" spans="2:7" x14ac:dyDescent="0.35">
      <c r="B563" s="46"/>
      <c r="C563" s="46"/>
      <c r="D563" s="46"/>
      <c r="E563" s="46"/>
      <c r="F563" s="46"/>
      <c r="G563" s="79"/>
    </row>
    <row r="564" spans="2:7" x14ac:dyDescent="0.35">
      <c r="B564" s="46"/>
      <c r="C564" s="46"/>
      <c r="D564" s="46"/>
      <c r="E564" s="46"/>
      <c r="F564" s="46"/>
      <c r="G564" s="79"/>
    </row>
    <row r="565" spans="2:7" x14ac:dyDescent="0.35">
      <c r="B565" s="46"/>
      <c r="C565" s="46"/>
      <c r="D565" s="46"/>
      <c r="E565" s="46"/>
      <c r="F565" s="46"/>
      <c r="G565" s="79"/>
    </row>
    <row r="566" spans="2:7" x14ac:dyDescent="0.35">
      <c r="B566" s="46"/>
      <c r="C566" s="46"/>
      <c r="D566" s="46"/>
      <c r="E566" s="46"/>
      <c r="F566" s="46"/>
      <c r="G566" s="79"/>
    </row>
    <row r="567" spans="2:7" x14ac:dyDescent="0.35">
      <c r="B567" s="46"/>
      <c r="C567" s="46"/>
      <c r="D567" s="46"/>
      <c r="E567" s="46"/>
      <c r="F567" s="46"/>
      <c r="G567" s="79"/>
    </row>
    <row r="568" spans="2:7" x14ac:dyDescent="0.35">
      <c r="B568" s="46"/>
      <c r="C568" s="46"/>
      <c r="D568" s="46"/>
      <c r="E568" s="46"/>
      <c r="F568" s="46"/>
      <c r="G568" s="79"/>
    </row>
    <row r="569" spans="2:7" x14ac:dyDescent="0.35">
      <c r="B569" s="46"/>
      <c r="C569" s="46"/>
      <c r="D569" s="46"/>
      <c r="E569" s="46"/>
      <c r="F569" s="46"/>
      <c r="G569" s="79"/>
    </row>
    <row r="570" spans="2:7" x14ac:dyDescent="0.35">
      <c r="B570" s="46"/>
      <c r="C570" s="46"/>
      <c r="D570" s="46"/>
      <c r="E570" s="46"/>
      <c r="F570" s="46"/>
      <c r="G570" s="79"/>
    </row>
    <row r="571" spans="2:7" x14ac:dyDescent="0.35">
      <c r="B571" s="46"/>
      <c r="C571" s="46"/>
      <c r="D571" s="46"/>
      <c r="E571" s="46"/>
      <c r="F571" s="46"/>
      <c r="G571" s="79"/>
    </row>
    <row r="572" spans="2:7" x14ac:dyDescent="0.35">
      <c r="B572" s="46"/>
      <c r="C572" s="46"/>
      <c r="D572" s="46"/>
      <c r="E572" s="46"/>
      <c r="F572" s="46"/>
      <c r="G572" s="79"/>
    </row>
    <row r="573" spans="2:7" x14ac:dyDescent="0.35">
      <c r="B573" s="46"/>
      <c r="C573" s="46"/>
      <c r="D573" s="46"/>
      <c r="E573" s="46"/>
      <c r="F573" s="46"/>
      <c r="G573" s="79"/>
    </row>
    <row r="574" spans="2:7" x14ac:dyDescent="0.35">
      <c r="B574" s="46"/>
      <c r="C574" s="46"/>
      <c r="D574" s="46"/>
      <c r="E574" s="46"/>
      <c r="F574" s="46"/>
      <c r="G574" s="79"/>
    </row>
    <row r="575" spans="2:7" x14ac:dyDescent="0.35">
      <c r="B575" s="46"/>
      <c r="C575" s="46"/>
      <c r="D575" s="46"/>
      <c r="E575" s="46"/>
      <c r="F575" s="46"/>
      <c r="G575" s="79"/>
    </row>
    <row r="576" spans="2:7" x14ac:dyDescent="0.35">
      <c r="B576" s="46"/>
      <c r="C576" s="46"/>
      <c r="D576" s="46"/>
      <c r="E576" s="46"/>
      <c r="F576" s="46"/>
      <c r="G576" s="79"/>
    </row>
    <row r="577" spans="2:7" x14ac:dyDescent="0.35">
      <c r="B577" s="46"/>
      <c r="C577" s="46"/>
      <c r="D577" s="46"/>
      <c r="E577" s="46"/>
      <c r="F577" s="46"/>
      <c r="G577" s="79"/>
    </row>
    <row r="578" spans="2:7" x14ac:dyDescent="0.35">
      <c r="B578" s="46"/>
      <c r="C578" s="46"/>
      <c r="D578" s="46"/>
      <c r="E578" s="46"/>
      <c r="F578" s="46"/>
      <c r="G578" s="79"/>
    </row>
    <row r="579" spans="2:7" x14ac:dyDescent="0.35">
      <c r="B579" s="46"/>
      <c r="C579" s="46"/>
      <c r="D579" s="46"/>
      <c r="E579" s="46"/>
      <c r="F579" s="46"/>
      <c r="G579" s="79"/>
    </row>
    <row r="580" spans="2:7" x14ac:dyDescent="0.35">
      <c r="B580" s="46"/>
      <c r="C580" s="46"/>
      <c r="D580" s="46"/>
      <c r="E580" s="46"/>
      <c r="F580" s="46"/>
      <c r="G580" s="79"/>
    </row>
    <row r="581" spans="2:7" x14ac:dyDescent="0.35">
      <c r="B581" s="46"/>
      <c r="C581" s="46"/>
      <c r="D581" s="46"/>
      <c r="E581" s="46"/>
      <c r="F581" s="46"/>
      <c r="G581" s="79"/>
    </row>
    <row r="582" spans="2:7" x14ac:dyDescent="0.35">
      <c r="B582" s="46"/>
      <c r="C582" s="46"/>
      <c r="D582" s="46"/>
      <c r="E582" s="46"/>
      <c r="F582" s="46"/>
      <c r="G582" s="79"/>
    </row>
    <row r="583" spans="2:7" x14ac:dyDescent="0.35">
      <c r="B583" s="46"/>
      <c r="C583" s="46"/>
      <c r="D583" s="46"/>
      <c r="E583" s="46"/>
      <c r="F583" s="46"/>
      <c r="G583" s="79"/>
    </row>
    <row r="584" spans="2:7" x14ac:dyDescent="0.35">
      <c r="B584" s="46"/>
      <c r="C584" s="46"/>
      <c r="D584" s="46"/>
      <c r="E584" s="46"/>
      <c r="F584" s="46"/>
      <c r="G584" s="79"/>
    </row>
    <row r="585" spans="2:7" x14ac:dyDescent="0.35">
      <c r="B585" s="46"/>
      <c r="C585" s="46"/>
      <c r="D585" s="46"/>
      <c r="E585" s="46"/>
      <c r="F585" s="46"/>
      <c r="G585" s="79"/>
    </row>
    <row r="586" spans="2:7" x14ac:dyDescent="0.35">
      <c r="B586" s="46"/>
      <c r="C586" s="46"/>
      <c r="D586" s="46"/>
      <c r="E586" s="46"/>
      <c r="F586" s="46"/>
      <c r="G586" s="79"/>
    </row>
    <row r="587" spans="2:7" x14ac:dyDescent="0.35">
      <c r="B587" s="46"/>
      <c r="C587" s="46"/>
      <c r="D587" s="46"/>
      <c r="E587" s="46"/>
      <c r="F587" s="46"/>
      <c r="G587" s="79"/>
    </row>
    <row r="588" spans="2:7" x14ac:dyDescent="0.35">
      <c r="B588" s="46"/>
      <c r="C588" s="46"/>
      <c r="D588" s="46"/>
      <c r="E588" s="46"/>
      <c r="F588" s="46"/>
      <c r="G588" s="79"/>
    </row>
    <row r="589" spans="2:7" x14ac:dyDescent="0.35">
      <c r="B589" s="46"/>
      <c r="C589" s="46"/>
      <c r="D589" s="46"/>
      <c r="E589" s="46"/>
      <c r="F589" s="46"/>
      <c r="G589" s="79"/>
    </row>
    <row r="590" spans="2:7" x14ac:dyDescent="0.35">
      <c r="B590" s="46"/>
      <c r="C590" s="46"/>
      <c r="D590" s="46"/>
      <c r="E590" s="46"/>
      <c r="F590" s="46"/>
      <c r="G590" s="79"/>
    </row>
    <row r="591" spans="2:7" x14ac:dyDescent="0.35">
      <c r="B591" s="46"/>
      <c r="C591" s="46"/>
      <c r="D591" s="46"/>
      <c r="E591" s="46"/>
      <c r="F591" s="46"/>
      <c r="G591" s="79"/>
    </row>
    <row r="592" spans="2:7" x14ac:dyDescent="0.35">
      <c r="B592" s="46"/>
      <c r="C592" s="46"/>
      <c r="D592" s="46"/>
      <c r="E592" s="46"/>
      <c r="F592" s="46"/>
      <c r="G592" s="79"/>
    </row>
    <row r="593" spans="2:7" x14ac:dyDescent="0.35">
      <c r="B593" s="46"/>
      <c r="C593" s="46"/>
      <c r="D593" s="46"/>
      <c r="E593" s="46"/>
      <c r="F593" s="46"/>
      <c r="G593" s="79"/>
    </row>
    <row r="594" spans="2:7" x14ac:dyDescent="0.35">
      <c r="B594" s="46"/>
      <c r="C594" s="46"/>
      <c r="D594" s="46"/>
      <c r="E594" s="46"/>
      <c r="F594" s="46"/>
      <c r="G594" s="79"/>
    </row>
    <row r="595" spans="2:7" x14ac:dyDescent="0.35">
      <c r="B595" s="46"/>
      <c r="C595" s="46"/>
      <c r="D595" s="46"/>
      <c r="E595" s="46"/>
      <c r="F595" s="46"/>
      <c r="G595" s="79"/>
    </row>
    <row r="596" spans="2:7" x14ac:dyDescent="0.35">
      <c r="B596" s="46"/>
      <c r="C596" s="46"/>
      <c r="D596" s="46"/>
      <c r="E596" s="46"/>
      <c r="F596" s="46"/>
      <c r="G596" s="79"/>
    </row>
    <row r="597" spans="2:7" x14ac:dyDescent="0.35">
      <c r="B597" s="46"/>
      <c r="C597" s="46"/>
      <c r="D597" s="46"/>
      <c r="E597" s="46"/>
      <c r="F597" s="46"/>
      <c r="G597" s="79"/>
    </row>
    <row r="598" spans="2:7" x14ac:dyDescent="0.35">
      <c r="B598" s="46"/>
      <c r="C598" s="46"/>
      <c r="D598" s="46"/>
      <c r="E598" s="46"/>
      <c r="F598" s="46"/>
      <c r="G598" s="79"/>
    </row>
    <row r="599" spans="2:7" x14ac:dyDescent="0.35">
      <c r="B599" s="46"/>
      <c r="C599" s="46"/>
      <c r="D599" s="46"/>
      <c r="E599" s="46"/>
      <c r="F599" s="46"/>
      <c r="G599" s="79"/>
    </row>
    <row r="600" spans="2:7" x14ac:dyDescent="0.35">
      <c r="B600" s="46"/>
      <c r="C600" s="46"/>
      <c r="D600" s="46"/>
      <c r="E600" s="46"/>
      <c r="F600" s="46"/>
      <c r="G600" s="79"/>
    </row>
    <row r="601" spans="2:7" x14ac:dyDescent="0.35">
      <c r="B601" s="46"/>
      <c r="C601" s="46"/>
      <c r="D601" s="46"/>
      <c r="E601" s="46"/>
      <c r="F601" s="46"/>
      <c r="G601" s="79"/>
    </row>
    <row r="602" spans="2:7" x14ac:dyDescent="0.35">
      <c r="B602" s="46"/>
      <c r="C602" s="46"/>
      <c r="D602" s="46"/>
      <c r="E602" s="46"/>
      <c r="F602" s="46"/>
      <c r="G602" s="79"/>
    </row>
    <row r="603" spans="2:7" x14ac:dyDescent="0.35">
      <c r="B603" s="46"/>
      <c r="C603" s="46"/>
      <c r="D603" s="46"/>
      <c r="E603" s="46"/>
      <c r="F603" s="46"/>
      <c r="G603" s="79"/>
    </row>
    <row r="604" spans="2:7" x14ac:dyDescent="0.35">
      <c r="B604" s="46"/>
      <c r="C604" s="46"/>
      <c r="D604" s="46"/>
      <c r="E604" s="46"/>
      <c r="F604" s="46"/>
      <c r="G604" s="79"/>
    </row>
    <row r="605" spans="2:7" x14ac:dyDescent="0.35">
      <c r="B605" s="46"/>
      <c r="C605" s="46"/>
      <c r="D605" s="46"/>
      <c r="E605" s="46"/>
      <c r="F605" s="46"/>
      <c r="G605" s="79"/>
    </row>
    <row r="606" spans="2:7" x14ac:dyDescent="0.35">
      <c r="B606" s="46"/>
      <c r="C606" s="46"/>
      <c r="D606" s="46"/>
      <c r="E606" s="46"/>
      <c r="F606" s="46"/>
      <c r="G606" s="79"/>
    </row>
    <row r="607" spans="2:7" x14ac:dyDescent="0.35">
      <c r="B607" s="46"/>
      <c r="C607" s="46"/>
      <c r="D607" s="46"/>
      <c r="E607" s="46"/>
      <c r="F607" s="46"/>
      <c r="G607" s="79"/>
    </row>
    <row r="608" spans="2:7" x14ac:dyDescent="0.35">
      <c r="B608" s="46"/>
      <c r="C608" s="46"/>
      <c r="D608" s="46"/>
      <c r="E608" s="46"/>
      <c r="F608" s="46"/>
      <c r="G608" s="79"/>
    </row>
    <row r="609" spans="2:7" x14ac:dyDescent="0.35">
      <c r="B609" s="46"/>
      <c r="C609" s="46"/>
      <c r="D609" s="46"/>
      <c r="E609" s="46"/>
      <c r="F609" s="46"/>
      <c r="G609" s="79"/>
    </row>
    <row r="610" spans="2:7" x14ac:dyDescent="0.35">
      <c r="B610" s="46"/>
      <c r="C610" s="46"/>
      <c r="D610" s="46"/>
      <c r="E610" s="46"/>
      <c r="F610" s="46"/>
      <c r="G610" s="79"/>
    </row>
    <row r="611" spans="2:7" x14ac:dyDescent="0.35">
      <c r="B611" s="46"/>
      <c r="C611" s="46"/>
      <c r="D611" s="46"/>
      <c r="E611" s="46"/>
      <c r="F611" s="46"/>
      <c r="G611" s="79"/>
    </row>
    <row r="612" spans="2:7" x14ac:dyDescent="0.35">
      <c r="B612" s="46"/>
      <c r="C612" s="46"/>
      <c r="D612" s="46"/>
      <c r="E612" s="46"/>
      <c r="F612" s="46"/>
      <c r="G612" s="79"/>
    </row>
    <row r="613" spans="2:7" x14ac:dyDescent="0.35">
      <c r="B613" s="46"/>
      <c r="C613" s="46"/>
      <c r="D613" s="46"/>
      <c r="E613" s="46"/>
      <c r="F613" s="46"/>
      <c r="G613" s="79"/>
    </row>
    <row r="614" spans="2:7" x14ac:dyDescent="0.35">
      <c r="B614" s="46"/>
      <c r="C614" s="46"/>
      <c r="D614" s="46"/>
      <c r="E614" s="46"/>
      <c r="F614" s="46"/>
      <c r="G614" s="79"/>
    </row>
    <row r="615" spans="2:7" x14ac:dyDescent="0.35">
      <c r="B615" s="46"/>
      <c r="C615" s="46"/>
      <c r="D615" s="46"/>
      <c r="E615" s="46"/>
      <c r="F615" s="46"/>
      <c r="G615" s="79"/>
    </row>
    <row r="616" spans="2:7" x14ac:dyDescent="0.35">
      <c r="B616" s="46"/>
      <c r="C616" s="46"/>
      <c r="D616" s="46"/>
      <c r="E616" s="46"/>
      <c r="F616" s="46"/>
      <c r="G616" s="79"/>
    </row>
    <row r="617" spans="2:7" x14ac:dyDescent="0.35">
      <c r="B617" s="46"/>
      <c r="C617" s="46"/>
      <c r="D617" s="46"/>
      <c r="E617" s="46"/>
      <c r="F617" s="46"/>
      <c r="G617" s="79"/>
    </row>
    <row r="618" spans="2:7" x14ac:dyDescent="0.35">
      <c r="B618" s="46"/>
      <c r="C618" s="46"/>
      <c r="D618" s="46"/>
      <c r="E618" s="46"/>
      <c r="F618" s="46"/>
      <c r="G618" s="79"/>
    </row>
    <row r="619" spans="2:7" x14ac:dyDescent="0.35">
      <c r="B619" s="46"/>
      <c r="C619" s="46"/>
      <c r="D619" s="46"/>
      <c r="E619" s="46"/>
      <c r="F619" s="46"/>
      <c r="G619" s="79"/>
    </row>
    <row r="620" spans="2:7" x14ac:dyDescent="0.35">
      <c r="B620" s="46"/>
      <c r="C620" s="46"/>
      <c r="D620" s="46"/>
      <c r="E620" s="46"/>
      <c r="F620" s="46"/>
      <c r="G620" s="79"/>
    </row>
    <row r="621" spans="2:7" x14ac:dyDescent="0.35">
      <c r="B621" s="46"/>
      <c r="C621" s="46"/>
      <c r="D621" s="46"/>
      <c r="E621" s="46"/>
      <c r="F621" s="46"/>
      <c r="G621" s="79"/>
    </row>
    <row r="622" spans="2:7" x14ac:dyDescent="0.35">
      <c r="B622" s="46"/>
      <c r="C622" s="46"/>
      <c r="D622" s="46"/>
      <c r="E622" s="46"/>
      <c r="F622" s="46"/>
      <c r="G622" s="79"/>
    </row>
    <row r="623" spans="2:7" x14ac:dyDescent="0.35">
      <c r="B623" s="46"/>
      <c r="C623" s="46"/>
      <c r="D623" s="46"/>
      <c r="E623" s="46"/>
      <c r="F623" s="46"/>
      <c r="G623" s="79"/>
    </row>
    <row r="624" spans="2:7" x14ac:dyDescent="0.35">
      <c r="B624" s="46"/>
      <c r="C624" s="46"/>
      <c r="D624" s="46"/>
      <c r="E624" s="46"/>
      <c r="F624" s="46"/>
      <c r="G624" s="79"/>
    </row>
    <row r="625" spans="2:7" x14ac:dyDescent="0.35">
      <c r="B625" s="46"/>
      <c r="C625" s="46"/>
      <c r="D625" s="46"/>
      <c r="E625" s="46"/>
      <c r="F625" s="46"/>
      <c r="G625" s="79"/>
    </row>
    <row r="626" spans="2:7" x14ac:dyDescent="0.35">
      <c r="B626" s="46"/>
      <c r="C626" s="46"/>
      <c r="D626" s="46"/>
      <c r="E626" s="46"/>
      <c r="F626" s="46"/>
      <c r="G626" s="79"/>
    </row>
    <row r="627" spans="2:7" x14ac:dyDescent="0.35">
      <c r="B627" s="46"/>
      <c r="C627" s="46"/>
      <c r="D627" s="46"/>
      <c r="E627" s="46"/>
      <c r="F627" s="46"/>
      <c r="G627" s="79"/>
    </row>
    <row r="628" spans="2:7" x14ac:dyDescent="0.35">
      <c r="B628" s="46"/>
      <c r="C628" s="46"/>
      <c r="D628" s="46"/>
      <c r="E628" s="46"/>
      <c r="F628" s="46"/>
      <c r="G628" s="79"/>
    </row>
    <row r="629" spans="2:7" x14ac:dyDescent="0.35">
      <c r="B629" s="46"/>
      <c r="C629" s="46"/>
      <c r="D629" s="46"/>
      <c r="E629" s="46"/>
      <c r="F629" s="46"/>
      <c r="G629" s="79"/>
    </row>
    <row r="630" spans="2:7" x14ac:dyDescent="0.35">
      <c r="B630" s="46"/>
      <c r="C630" s="46"/>
      <c r="D630" s="46"/>
      <c r="E630" s="46"/>
      <c r="F630" s="46"/>
      <c r="G630" s="79"/>
    </row>
    <row r="631" spans="2:7" x14ac:dyDescent="0.35">
      <c r="B631" s="46"/>
      <c r="C631" s="46"/>
      <c r="D631" s="46"/>
      <c r="E631" s="46"/>
      <c r="F631" s="46"/>
      <c r="G631" s="79"/>
    </row>
    <row r="632" spans="2:7" x14ac:dyDescent="0.35">
      <c r="B632" s="46"/>
      <c r="C632" s="46"/>
      <c r="D632" s="46"/>
      <c r="E632" s="46"/>
      <c r="F632" s="46"/>
      <c r="G632" s="79"/>
    </row>
    <row r="633" spans="2:7" x14ac:dyDescent="0.35">
      <c r="B633" s="46"/>
      <c r="C633" s="46"/>
      <c r="D633" s="46"/>
      <c r="E633" s="46"/>
      <c r="F633" s="46"/>
      <c r="G633" s="79"/>
    </row>
    <row r="634" spans="2:7" x14ac:dyDescent="0.35">
      <c r="B634" s="46"/>
      <c r="C634" s="46"/>
      <c r="D634" s="46"/>
      <c r="E634" s="46"/>
      <c r="F634" s="46"/>
      <c r="G634" s="79"/>
    </row>
    <row r="635" spans="2:7" x14ac:dyDescent="0.35">
      <c r="B635" s="46"/>
      <c r="C635" s="46"/>
      <c r="D635" s="46"/>
      <c r="E635" s="46"/>
      <c r="F635" s="46"/>
      <c r="G635" s="79"/>
    </row>
    <row r="636" spans="2:7" x14ac:dyDescent="0.35">
      <c r="B636" s="46"/>
      <c r="C636" s="46"/>
      <c r="D636" s="46"/>
      <c r="E636" s="46"/>
      <c r="F636" s="46"/>
      <c r="G636" s="79"/>
    </row>
    <row r="637" spans="2:7" x14ac:dyDescent="0.35">
      <c r="B637" s="46"/>
      <c r="C637" s="46"/>
      <c r="D637" s="46"/>
      <c r="E637" s="46"/>
      <c r="F637" s="46"/>
      <c r="G637" s="79"/>
    </row>
    <row r="638" spans="2:7" x14ac:dyDescent="0.35">
      <c r="B638" s="46"/>
      <c r="C638" s="46"/>
      <c r="D638" s="46"/>
      <c r="E638" s="46"/>
      <c r="F638" s="46"/>
      <c r="G638" s="79"/>
    </row>
    <row r="639" spans="2:7" x14ac:dyDescent="0.35">
      <c r="B639" s="46"/>
      <c r="C639" s="46"/>
      <c r="D639" s="46"/>
      <c r="E639" s="46"/>
      <c r="F639" s="46"/>
      <c r="G639" s="79"/>
    </row>
    <row r="640" spans="2:7" x14ac:dyDescent="0.35">
      <c r="B640" s="46"/>
      <c r="C640" s="46"/>
      <c r="D640" s="46"/>
      <c r="E640" s="46"/>
      <c r="F640" s="46"/>
      <c r="G640" s="79"/>
    </row>
    <row r="641" spans="2:7" x14ac:dyDescent="0.35">
      <c r="B641" s="46"/>
      <c r="C641" s="46"/>
      <c r="D641" s="46"/>
      <c r="E641" s="46"/>
      <c r="F641" s="46"/>
      <c r="G641" s="79"/>
    </row>
    <row r="642" spans="2:7" x14ac:dyDescent="0.35">
      <c r="B642" s="46"/>
      <c r="C642" s="46"/>
      <c r="D642" s="46"/>
      <c r="E642" s="46"/>
      <c r="F642" s="46"/>
      <c r="G642" s="79"/>
    </row>
    <row r="643" spans="2:7" x14ac:dyDescent="0.35">
      <c r="B643" s="46"/>
      <c r="C643" s="46"/>
      <c r="D643" s="46"/>
      <c r="E643" s="46"/>
      <c r="F643" s="46"/>
      <c r="G643" s="79"/>
    </row>
    <row r="644" spans="2:7" x14ac:dyDescent="0.35">
      <c r="B644" s="46"/>
      <c r="C644" s="46"/>
      <c r="D644" s="46"/>
      <c r="E644" s="46"/>
      <c r="F644" s="46"/>
      <c r="G644" s="79"/>
    </row>
    <row r="645" spans="2:7" x14ac:dyDescent="0.35">
      <c r="B645" s="46"/>
      <c r="C645" s="46"/>
      <c r="D645" s="46"/>
      <c r="E645" s="46"/>
      <c r="F645" s="46"/>
      <c r="G645" s="79"/>
    </row>
    <row r="646" spans="2:7" x14ac:dyDescent="0.35">
      <c r="B646" s="46"/>
      <c r="C646" s="46"/>
      <c r="D646" s="46"/>
      <c r="E646" s="46"/>
      <c r="F646" s="46"/>
      <c r="G646" s="79"/>
    </row>
    <row r="647" spans="2:7" x14ac:dyDescent="0.35">
      <c r="B647" s="46"/>
      <c r="C647" s="46"/>
      <c r="D647" s="46"/>
      <c r="E647" s="46"/>
      <c r="F647" s="46"/>
      <c r="G647" s="79"/>
    </row>
    <row r="648" spans="2:7" x14ac:dyDescent="0.35">
      <c r="B648" s="46"/>
      <c r="C648" s="46"/>
      <c r="D648" s="46"/>
      <c r="E648" s="46"/>
      <c r="F648" s="46"/>
      <c r="G648" s="79"/>
    </row>
    <row r="649" spans="2:7" x14ac:dyDescent="0.35">
      <c r="B649" s="46"/>
      <c r="C649" s="46"/>
      <c r="D649" s="46"/>
      <c r="E649" s="46"/>
      <c r="F649" s="46"/>
      <c r="G649" s="79"/>
    </row>
    <row r="650" spans="2:7" x14ac:dyDescent="0.35">
      <c r="B650" s="46"/>
      <c r="C650" s="46"/>
      <c r="D650" s="46"/>
      <c r="E650" s="46"/>
      <c r="F650" s="46"/>
      <c r="G650" s="79"/>
    </row>
    <row r="651" spans="2:7" x14ac:dyDescent="0.35">
      <c r="B651" s="46"/>
      <c r="C651" s="46"/>
      <c r="D651" s="46"/>
      <c r="E651" s="46"/>
      <c r="F651" s="46"/>
      <c r="G651" s="79"/>
    </row>
    <row r="652" spans="2:7" x14ac:dyDescent="0.35">
      <c r="B652" s="46"/>
      <c r="C652" s="46"/>
      <c r="D652" s="46"/>
      <c r="E652" s="46"/>
      <c r="F652" s="46"/>
      <c r="G652" s="79"/>
    </row>
    <row r="653" spans="2:7" x14ac:dyDescent="0.35">
      <c r="B653" s="46"/>
      <c r="C653" s="46"/>
      <c r="D653" s="46"/>
      <c r="E653" s="46"/>
      <c r="F653" s="46"/>
      <c r="G653" s="79"/>
    </row>
    <row r="654" spans="2:7" x14ac:dyDescent="0.35">
      <c r="B654" s="46"/>
      <c r="C654" s="46"/>
      <c r="D654" s="46"/>
      <c r="E654" s="46"/>
      <c r="F654" s="46"/>
      <c r="G654" s="79"/>
    </row>
    <row r="655" spans="2:7" x14ac:dyDescent="0.35">
      <c r="B655" s="46"/>
      <c r="C655" s="46"/>
      <c r="D655" s="46"/>
      <c r="E655" s="46"/>
      <c r="F655" s="46"/>
      <c r="G655" s="79"/>
    </row>
    <row r="656" spans="2:7" x14ac:dyDescent="0.35">
      <c r="B656" s="46"/>
      <c r="C656" s="46"/>
      <c r="D656" s="46"/>
      <c r="E656" s="46"/>
      <c r="F656" s="46"/>
      <c r="G656" s="79"/>
    </row>
    <row r="657" spans="2:7" x14ac:dyDescent="0.35">
      <c r="B657" s="46"/>
      <c r="C657" s="46"/>
      <c r="D657" s="46"/>
      <c r="E657" s="46"/>
      <c r="F657" s="46"/>
      <c r="G657" s="79"/>
    </row>
    <row r="658" spans="2:7" x14ac:dyDescent="0.35">
      <c r="B658" s="46"/>
      <c r="C658" s="46"/>
      <c r="D658" s="46"/>
      <c r="E658" s="46"/>
      <c r="F658" s="46"/>
      <c r="G658" s="79"/>
    </row>
    <row r="659" spans="2:7" x14ac:dyDescent="0.35">
      <c r="B659" s="46"/>
      <c r="C659" s="46"/>
      <c r="D659" s="46"/>
      <c r="E659" s="46"/>
      <c r="F659" s="46"/>
      <c r="G659" s="79"/>
    </row>
    <row r="660" spans="2:7" x14ac:dyDescent="0.35">
      <c r="B660" s="46"/>
      <c r="C660" s="46"/>
      <c r="D660" s="46"/>
      <c r="E660" s="46"/>
      <c r="F660" s="46"/>
      <c r="G660" s="79"/>
    </row>
    <row r="661" spans="2:7" x14ac:dyDescent="0.35">
      <c r="B661" s="46"/>
      <c r="C661" s="46"/>
      <c r="D661" s="46"/>
      <c r="E661" s="46"/>
      <c r="F661" s="46"/>
      <c r="G661" s="79"/>
    </row>
    <row r="662" spans="2:7" x14ac:dyDescent="0.35">
      <c r="B662" s="46"/>
      <c r="C662" s="46"/>
      <c r="D662" s="46"/>
      <c r="E662" s="46"/>
      <c r="F662" s="46"/>
      <c r="G662" s="79"/>
    </row>
    <row r="663" spans="2:7" x14ac:dyDescent="0.35">
      <c r="B663" s="46"/>
      <c r="C663" s="46"/>
      <c r="D663" s="46"/>
      <c r="E663" s="46"/>
      <c r="F663" s="46"/>
      <c r="G663" s="79"/>
    </row>
    <row r="664" spans="2:7" x14ac:dyDescent="0.35">
      <c r="B664" s="46"/>
      <c r="C664" s="46"/>
      <c r="D664" s="46"/>
      <c r="E664" s="46"/>
      <c r="F664" s="46"/>
      <c r="G664" s="79"/>
    </row>
    <row r="665" spans="2:7" x14ac:dyDescent="0.35">
      <c r="B665" s="46"/>
      <c r="C665" s="46"/>
      <c r="D665" s="46"/>
      <c r="E665" s="46"/>
      <c r="F665" s="46"/>
      <c r="G665" s="79"/>
    </row>
    <row r="666" spans="2:7" x14ac:dyDescent="0.35">
      <c r="B666" s="46"/>
      <c r="C666" s="46"/>
      <c r="D666" s="46"/>
      <c r="E666" s="46"/>
      <c r="F666" s="46"/>
      <c r="G666" s="79"/>
    </row>
    <row r="667" spans="2:7" x14ac:dyDescent="0.35">
      <c r="B667" s="46"/>
      <c r="C667" s="46"/>
      <c r="D667" s="46"/>
      <c r="E667" s="46"/>
      <c r="F667" s="46"/>
      <c r="G667" s="79"/>
    </row>
    <row r="668" spans="2:7" x14ac:dyDescent="0.35">
      <c r="B668" s="46"/>
      <c r="C668" s="46"/>
      <c r="D668" s="46"/>
      <c r="E668" s="46"/>
      <c r="F668" s="46"/>
      <c r="G668" s="79"/>
    </row>
    <row r="669" spans="2:7" x14ac:dyDescent="0.35">
      <c r="B669" s="46"/>
      <c r="C669" s="46"/>
      <c r="D669" s="46"/>
      <c r="E669" s="46"/>
      <c r="F669" s="46"/>
      <c r="G669" s="79"/>
    </row>
    <row r="670" spans="2:7" x14ac:dyDescent="0.35">
      <c r="B670" s="46"/>
      <c r="C670" s="46"/>
      <c r="D670" s="46"/>
      <c r="E670" s="46"/>
      <c r="F670" s="46"/>
      <c r="G670" s="79"/>
    </row>
    <row r="671" spans="2:7" x14ac:dyDescent="0.35">
      <c r="B671" s="46"/>
      <c r="C671" s="46"/>
      <c r="D671" s="46"/>
      <c r="E671" s="46"/>
      <c r="F671" s="46"/>
      <c r="G671" s="79"/>
    </row>
    <row r="672" spans="2:7" x14ac:dyDescent="0.35">
      <c r="B672" s="46"/>
      <c r="C672" s="46"/>
      <c r="D672" s="46"/>
      <c r="E672" s="46"/>
      <c r="F672" s="46"/>
      <c r="G672" s="79"/>
    </row>
    <row r="673" spans="2:7" x14ac:dyDescent="0.35">
      <c r="B673" s="46"/>
      <c r="C673" s="46"/>
      <c r="D673" s="46"/>
      <c r="E673" s="46"/>
      <c r="F673" s="46"/>
      <c r="G673" s="79"/>
    </row>
    <row r="674" spans="2:7" x14ac:dyDescent="0.35">
      <c r="B674" s="46"/>
      <c r="C674" s="46"/>
      <c r="D674" s="46"/>
      <c r="E674" s="46"/>
      <c r="F674" s="46"/>
      <c r="G674" s="79"/>
    </row>
    <row r="675" spans="2:7" x14ac:dyDescent="0.35">
      <c r="B675" s="46"/>
      <c r="C675" s="46"/>
      <c r="D675" s="46"/>
      <c r="E675" s="46"/>
      <c r="F675" s="46"/>
      <c r="G675" s="79"/>
    </row>
    <row r="676" spans="2:7" x14ac:dyDescent="0.35">
      <c r="B676" s="46"/>
      <c r="C676" s="46"/>
      <c r="D676" s="46"/>
      <c r="E676" s="46"/>
      <c r="F676" s="46"/>
      <c r="G676" s="79"/>
    </row>
    <row r="677" spans="2:7" x14ac:dyDescent="0.35">
      <c r="B677" s="46"/>
      <c r="C677" s="46"/>
      <c r="D677" s="46"/>
      <c r="E677" s="46"/>
      <c r="F677" s="46"/>
      <c r="G677" s="79"/>
    </row>
    <row r="678" spans="2:7" x14ac:dyDescent="0.35">
      <c r="B678" s="46"/>
      <c r="C678" s="46"/>
      <c r="D678" s="46"/>
      <c r="E678" s="46"/>
      <c r="F678" s="46"/>
      <c r="G678" s="79"/>
    </row>
    <row r="679" spans="2:7" x14ac:dyDescent="0.35">
      <c r="B679" s="46"/>
      <c r="C679" s="46"/>
      <c r="D679" s="46"/>
      <c r="E679" s="46"/>
      <c r="F679" s="46"/>
      <c r="G679" s="79"/>
    </row>
    <row r="680" spans="2:7" x14ac:dyDescent="0.35">
      <c r="B680" s="46"/>
      <c r="C680" s="46"/>
      <c r="D680" s="46"/>
      <c r="E680" s="46"/>
      <c r="F680" s="46"/>
      <c r="G680" s="79"/>
    </row>
    <row r="681" spans="2:7" x14ac:dyDescent="0.35">
      <c r="B681" s="46"/>
      <c r="C681" s="46"/>
      <c r="D681" s="46"/>
      <c r="E681" s="46"/>
      <c r="F681" s="46"/>
      <c r="G681" s="79"/>
    </row>
    <row r="682" spans="2:7" x14ac:dyDescent="0.35">
      <c r="B682" s="46"/>
      <c r="C682" s="46"/>
      <c r="D682" s="46"/>
      <c r="E682" s="46"/>
      <c r="F682" s="46"/>
      <c r="G682" s="79"/>
    </row>
    <row r="683" spans="2:7" x14ac:dyDescent="0.35">
      <c r="B683" s="46"/>
      <c r="C683" s="46"/>
      <c r="D683" s="46"/>
      <c r="E683" s="46"/>
      <c r="F683" s="46"/>
      <c r="G683" s="79"/>
    </row>
    <row r="684" spans="2:7" x14ac:dyDescent="0.35">
      <c r="B684" s="46"/>
      <c r="C684" s="46"/>
      <c r="D684" s="46"/>
      <c r="E684" s="46"/>
      <c r="F684" s="46"/>
      <c r="G684" s="79"/>
    </row>
    <row r="685" spans="2:7" x14ac:dyDescent="0.35">
      <c r="B685" s="46"/>
      <c r="C685" s="46"/>
      <c r="D685" s="46"/>
      <c r="E685" s="46"/>
      <c r="F685" s="46"/>
      <c r="G685" s="79"/>
    </row>
    <row r="686" spans="2:7" x14ac:dyDescent="0.35">
      <c r="B686" s="46"/>
      <c r="C686" s="46"/>
      <c r="D686" s="46"/>
      <c r="E686" s="46"/>
      <c r="F686" s="46"/>
      <c r="G686" s="79"/>
    </row>
    <row r="687" spans="2:7" x14ac:dyDescent="0.35">
      <c r="B687" s="46"/>
      <c r="C687" s="46"/>
      <c r="D687" s="46"/>
      <c r="E687" s="46"/>
      <c r="F687" s="46"/>
      <c r="G687" s="79"/>
    </row>
    <row r="688" spans="2:7" x14ac:dyDescent="0.35">
      <c r="B688" s="46"/>
      <c r="C688" s="46"/>
      <c r="D688" s="46"/>
      <c r="E688" s="46"/>
      <c r="F688" s="46"/>
      <c r="G688" s="79"/>
    </row>
    <row r="689" spans="2:7" x14ac:dyDescent="0.35">
      <c r="B689" s="46"/>
      <c r="C689" s="46"/>
      <c r="D689" s="46"/>
      <c r="E689" s="46"/>
      <c r="F689" s="46"/>
      <c r="G689" s="79"/>
    </row>
    <row r="690" spans="2:7" x14ac:dyDescent="0.35">
      <c r="B690" s="46"/>
      <c r="C690" s="46"/>
      <c r="D690" s="46"/>
      <c r="E690" s="46"/>
      <c r="F690" s="46"/>
      <c r="G690" s="79"/>
    </row>
    <row r="691" spans="2:7" x14ac:dyDescent="0.35">
      <c r="B691" s="46"/>
      <c r="C691" s="46"/>
      <c r="D691" s="46"/>
      <c r="E691" s="46"/>
      <c r="F691" s="46"/>
      <c r="G691" s="79"/>
    </row>
    <row r="692" spans="2:7" x14ac:dyDescent="0.35">
      <c r="B692" s="46"/>
      <c r="C692" s="46"/>
      <c r="D692" s="46"/>
      <c r="E692" s="46"/>
      <c r="F692" s="46"/>
      <c r="G692" s="79"/>
    </row>
    <row r="693" spans="2:7" x14ac:dyDescent="0.35">
      <c r="B693" s="46"/>
      <c r="C693" s="46"/>
      <c r="D693" s="46"/>
      <c r="E693" s="46"/>
      <c r="F693" s="46"/>
      <c r="G693" s="79"/>
    </row>
    <row r="694" spans="2:7" x14ac:dyDescent="0.35">
      <c r="B694" s="46"/>
      <c r="C694" s="46"/>
      <c r="D694" s="46"/>
      <c r="E694" s="46"/>
      <c r="F694" s="46"/>
      <c r="G694" s="79"/>
    </row>
    <row r="695" spans="2:7" x14ac:dyDescent="0.35">
      <c r="B695" s="46"/>
      <c r="C695" s="46"/>
      <c r="D695" s="46"/>
      <c r="E695" s="46"/>
      <c r="F695" s="46"/>
      <c r="G695" s="79"/>
    </row>
    <row r="696" spans="2:7" x14ac:dyDescent="0.35">
      <c r="B696" s="46"/>
      <c r="C696" s="46"/>
      <c r="D696" s="46"/>
      <c r="E696" s="46"/>
      <c r="F696" s="46"/>
      <c r="G696" s="79"/>
    </row>
    <row r="697" spans="2:7" x14ac:dyDescent="0.35">
      <c r="B697" s="46"/>
      <c r="C697" s="46"/>
      <c r="D697" s="46"/>
      <c r="E697" s="46"/>
      <c r="F697" s="46"/>
      <c r="G697" s="79"/>
    </row>
    <row r="698" spans="2:7" x14ac:dyDescent="0.35">
      <c r="B698" s="46"/>
      <c r="C698" s="46"/>
      <c r="D698" s="46"/>
      <c r="E698" s="46"/>
      <c r="F698" s="46"/>
      <c r="G698" s="79"/>
    </row>
    <row r="699" spans="2:7" x14ac:dyDescent="0.35">
      <c r="B699" s="46"/>
      <c r="C699" s="46"/>
      <c r="D699" s="46"/>
      <c r="E699" s="46"/>
      <c r="F699" s="46"/>
      <c r="G699" s="79"/>
    </row>
    <row r="700" spans="2:7" x14ac:dyDescent="0.35">
      <c r="B700" s="46"/>
      <c r="C700" s="46"/>
      <c r="D700" s="46"/>
      <c r="E700" s="46"/>
      <c r="F700" s="46"/>
      <c r="G700" s="79"/>
    </row>
    <row r="701" spans="2:7" x14ac:dyDescent="0.35">
      <c r="B701" s="46"/>
      <c r="C701" s="46"/>
      <c r="D701" s="46"/>
      <c r="E701" s="46"/>
      <c r="F701" s="46"/>
      <c r="G701" s="79"/>
    </row>
    <row r="702" spans="2:7" x14ac:dyDescent="0.35">
      <c r="B702" s="46"/>
      <c r="C702" s="46"/>
      <c r="D702" s="46"/>
      <c r="E702" s="46"/>
      <c r="F702" s="46"/>
      <c r="G702" s="79"/>
    </row>
    <row r="703" spans="2:7" x14ac:dyDescent="0.35">
      <c r="B703" s="46"/>
      <c r="C703" s="46"/>
      <c r="D703" s="46"/>
      <c r="E703" s="46"/>
      <c r="F703" s="46"/>
      <c r="G703" s="79"/>
    </row>
    <row r="704" spans="2:7" x14ac:dyDescent="0.35">
      <c r="B704" s="46"/>
      <c r="C704" s="46"/>
      <c r="D704" s="46"/>
      <c r="E704" s="46"/>
      <c r="F704" s="46"/>
      <c r="G704" s="79"/>
    </row>
    <row r="705" spans="2:7" x14ac:dyDescent="0.35">
      <c r="B705" s="46"/>
      <c r="C705" s="46"/>
      <c r="D705" s="46"/>
      <c r="E705" s="46"/>
      <c r="F705" s="46"/>
      <c r="G705" s="79"/>
    </row>
    <row r="706" spans="2:7" x14ac:dyDescent="0.35">
      <c r="B706" s="46"/>
      <c r="C706" s="46"/>
      <c r="D706" s="46"/>
      <c r="E706" s="46"/>
      <c r="F706" s="46"/>
      <c r="G706" s="79"/>
    </row>
    <row r="707" spans="2:7" x14ac:dyDescent="0.35">
      <c r="B707" s="46"/>
      <c r="C707" s="46"/>
      <c r="D707" s="46"/>
      <c r="E707" s="46"/>
      <c r="F707" s="46"/>
      <c r="G707" s="79"/>
    </row>
    <row r="708" spans="2:7" x14ac:dyDescent="0.35">
      <c r="B708" s="46"/>
      <c r="C708" s="46"/>
      <c r="D708" s="46"/>
      <c r="E708" s="46"/>
      <c r="F708" s="46"/>
      <c r="G708" s="79"/>
    </row>
    <row r="709" spans="2:7" x14ac:dyDescent="0.35">
      <c r="B709" s="46"/>
      <c r="C709" s="46"/>
      <c r="D709" s="46"/>
      <c r="E709" s="46"/>
      <c r="F709" s="46"/>
      <c r="G709" s="79"/>
    </row>
    <row r="710" spans="2:7" x14ac:dyDescent="0.35">
      <c r="B710" s="46"/>
      <c r="C710" s="46"/>
      <c r="D710" s="46"/>
      <c r="E710" s="46"/>
      <c r="F710" s="46"/>
      <c r="G710" s="79"/>
    </row>
    <row r="711" spans="2:7" x14ac:dyDescent="0.35">
      <c r="B711" s="46"/>
      <c r="C711" s="46"/>
      <c r="D711" s="46"/>
      <c r="E711" s="46"/>
      <c r="F711" s="46"/>
      <c r="G711" s="79"/>
    </row>
    <row r="712" spans="2:7" x14ac:dyDescent="0.35">
      <c r="B712" s="46"/>
      <c r="C712" s="46"/>
      <c r="D712" s="46"/>
      <c r="E712" s="46"/>
      <c r="F712" s="46"/>
      <c r="G712" s="79"/>
    </row>
    <row r="713" spans="2:7" x14ac:dyDescent="0.35">
      <c r="B713" s="46"/>
      <c r="C713" s="46"/>
      <c r="D713" s="46"/>
      <c r="E713" s="46"/>
      <c r="F713" s="46"/>
      <c r="G713" s="79"/>
    </row>
    <row r="714" spans="2:7" x14ac:dyDescent="0.35">
      <c r="B714" s="46"/>
      <c r="C714" s="46"/>
      <c r="D714" s="46"/>
      <c r="E714" s="46"/>
      <c r="F714" s="46"/>
      <c r="G714" s="79"/>
    </row>
    <row r="715" spans="2:7" x14ac:dyDescent="0.35">
      <c r="B715" s="46"/>
      <c r="C715" s="46"/>
      <c r="D715" s="46"/>
      <c r="E715" s="46"/>
      <c r="F715" s="46"/>
      <c r="G715" s="79"/>
    </row>
    <row r="716" spans="2:7" x14ac:dyDescent="0.35">
      <c r="B716" s="46"/>
      <c r="C716" s="46"/>
      <c r="D716" s="46"/>
      <c r="E716" s="46"/>
      <c r="F716" s="46"/>
      <c r="G716" s="79"/>
    </row>
    <row r="717" spans="2:7" x14ac:dyDescent="0.35">
      <c r="B717" s="46"/>
      <c r="C717" s="46"/>
      <c r="D717" s="46"/>
      <c r="E717" s="46"/>
      <c r="F717" s="46"/>
      <c r="G717" s="79"/>
    </row>
    <row r="718" spans="2:7" x14ac:dyDescent="0.35">
      <c r="B718" s="46"/>
      <c r="C718" s="46"/>
      <c r="D718" s="46"/>
      <c r="E718" s="46"/>
      <c r="F718" s="46"/>
      <c r="G718" s="79"/>
    </row>
    <row r="719" spans="2:7" x14ac:dyDescent="0.35">
      <c r="B719" s="46"/>
      <c r="C719" s="46"/>
      <c r="D719" s="46"/>
      <c r="E719" s="46"/>
      <c r="F719" s="46"/>
      <c r="G719" s="79"/>
    </row>
    <row r="720" spans="2:7" x14ac:dyDescent="0.35">
      <c r="B720" s="46"/>
      <c r="C720" s="46"/>
      <c r="D720" s="46"/>
      <c r="E720" s="46"/>
      <c r="F720" s="46"/>
      <c r="G720" s="79"/>
    </row>
    <row r="721" spans="2:7" x14ac:dyDescent="0.35">
      <c r="B721" s="46"/>
      <c r="C721" s="46"/>
      <c r="D721" s="46"/>
      <c r="E721" s="46"/>
      <c r="F721" s="46"/>
      <c r="G721" s="79"/>
    </row>
    <row r="722" spans="2:7" x14ac:dyDescent="0.35">
      <c r="B722" s="46"/>
      <c r="C722" s="46"/>
      <c r="D722" s="46"/>
      <c r="E722" s="46"/>
      <c r="F722" s="46"/>
      <c r="G722" s="79"/>
    </row>
    <row r="723" spans="2:7" x14ac:dyDescent="0.35">
      <c r="B723" s="46"/>
      <c r="C723" s="46"/>
      <c r="D723" s="46"/>
      <c r="E723" s="46"/>
      <c r="F723" s="46"/>
      <c r="G723" s="79"/>
    </row>
    <row r="724" spans="2:7" x14ac:dyDescent="0.35">
      <c r="B724" s="46"/>
      <c r="C724" s="46"/>
      <c r="D724" s="46"/>
      <c r="E724" s="46"/>
      <c r="F724" s="46"/>
      <c r="G724" s="79"/>
    </row>
    <row r="725" spans="2:7" x14ac:dyDescent="0.35">
      <c r="B725" s="46"/>
      <c r="C725" s="46"/>
      <c r="D725" s="46"/>
      <c r="E725" s="46"/>
      <c r="F725" s="46"/>
      <c r="G725" s="79"/>
    </row>
    <row r="726" spans="2:7" x14ac:dyDescent="0.35">
      <c r="B726" s="46"/>
      <c r="C726" s="46"/>
      <c r="D726" s="46"/>
      <c r="E726" s="46"/>
      <c r="F726" s="46"/>
      <c r="G726" s="79"/>
    </row>
    <row r="727" spans="2:7" x14ac:dyDescent="0.35">
      <c r="B727" s="46"/>
      <c r="C727" s="46"/>
      <c r="D727" s="46"/>
      <c r="E727" s="46"/>
      <c r="F727" s="46"/>
      <c r="G727" s="79"/>
    </row>
    <row r="728" spans="2:7" x14ac:dyDescent="0.35">
      <c r="B728" s="46"/>
      <c r="C728" s="46"/>
      <c r="D728" s="46"/>
      <c r="E728" s="46"/>
      <c r="F728" s="46"/>
      <c r="G728" s="79"/>
    </row>
    <row r="729" spans="2:7" x14ac:dyDescent="0.35">
      <c r="B729" s="46"/>
      <c r="C729" s="46"/>
      <c r="D729" s="46"/>
      <c r="E729" s="46"/>
      <c r="F729" s="46"/>
      <c r="G729" s="79"/>
    </row>
    <row r="730" spans="2:7" x14ac:dyDescent="0.35">
      <c r="B730" s="46"/>
      <c r="C730" s="46"/>
      <c r="D730" s="46"/>
      <c r="E730" s="46"/>
      <c r="F730" s="46"/>
      <c r="G730" s="79"/>
    </row>
    <row r="731" spans="2:7" x14ac:dyDescent="0.35">
      <c r="B731" s="46"/>
      <c r="C731" s="46"/>
      <c r="D731" s="46"/>
      <c r="E731" s="46"/>
      <c r="F731" s="46"/>
      <c r="G731" s="79"/>
    </row>
    <row r="732" spans="2:7" x14ac:dyDescent="0.35">
      <c r="B732" s="46"/>
      <c r="C732" s="46"/>
      <c r="D732" s="46"/>
      <c r="E732" s="46"/>
      <c r="F732" s="46"/>
      <c r="G732" s="79"/>
    </row>
    <row r="733" spans="2:7" x14ac:dyDescent="0.35">
      <c r="B733" s="46"/>
      <c r="C733" s="46"/>
      <c r="D733" s="46"/>
      <c r="E733" s="46"/>
      <c r="F733" s="46"/>
      <c r="G733" s="79"/>
    </row>
    <row r="734" spans="2:7" x14ac:dyDescent="0.35">
      <c r="B734" s="46"/>
      <c r="C734" s="46"/>
      <c r="D734" s="46"/>
      <c r="E734" s="46"/>
      <c r="F734" s="46"/>
      <c r="G734" s="79"/>
    </row>
    <row r="735" spans="2:7" x14ac:dyDescent="0.35">
      <c r="B735" s="46"/>
      <c r="C735" s="46"/>
      <c r="D735" s="46"/>
      <c r="E735" s="46"/>
      <c r="F735" s="46"/>
      <c r="G735" s="79"/>
    </row>
    <row r="736" spans="2:7" x14ac:dyDescent="0.35">
      <c r="B736" s="46"/>
      <c r="C736" s="46"/>
      <c r="D736" s="46"/>
      <c r="E736" s="46"/>
      <c r="F736" s="46"/>
      <c r="G736" s="79"/>
    </row>
    <row r="737" spans="2:7" x14ac:dyDescent="0.35">
      <c r="B737" s="46"/>
      <c r="C737" s="46"/>
      <c r="D737" s="46"/>
      <c r="E737" s="46"/>
      <c r="F737" s="46"/>
      <c r="G737" s="79"/>
    </row>
    <row r="738" spans="2:7" x14ac:dyDescent="0.35">
      <c r="B738" s="46"/>
      <c r="C738" s="46"/>
      <c r="D738" s="46"/>
      <c r="E738" s="46"/>
      <c r="F738" s="46"/>
      <c r="G738" s="79"/>
    </row>
    <row r="739" spans="2:7" x14ac:dyDescent="0.35">
      <c r="B739" s="46"/>
      <c r="C739" s="46"/>
      <c r="D739" s="46"/>
      <c r="E739" s="46"/>
      <c r="F739" s="46"/>
      <c r="G739" s="79"/>
    </row>
    <row r="740" spans="2:7" x14ac:dyDescent="0.35">
      <c r="B740" s="46"/>
      <c r="C740" s="46"/>
      <c r="D740" s="46"/>
      <c r="E740" s="46"/>
      <c r="F740" s="46"/>
      <c r="G740" s="79"/>
    </row>
    <row r="741" spans="2:7" x14ac:dyDescent="0.35">
      <c r="B741" s="46"/>
      <c r="C741" s="46"/>
      <c r="D741" s="46"/>
      <c r="E741" s="46"/>
      <c r="F741" s="46"/>
      <c r="G741" s="79"/>
    </row>
    <row r="742" spans="2:7" x14ac:dyDescent="0.35">
      <c r="B742" s="46"/>
      <c r="C742" s="46"/>
      <c r="D742" s="46"/>
      <c r="E742" s="46"/>
      <c r="F742" s="46"/>
      <c r="G742" s="79"/>
    </row>
    <row r="743" spans="2:7" x14ac:dyDescent="0.35">
      <c r="B743" s="46"/>
      <c r="C743" s="46"/>
      <c r="D743" s="46"/>
      <c r="E743" s="46"/>
      <c r="F743" s="46"/>
      <c r="G743" s="79"/>
    </row>
    <row r="744" spans="2:7" x14ac:dyDescent="0.35">
      <c r="B744" s="46"/>
      <c r="C744" s="46"/>
      <c r="D744" s="46"/>
      <c r="E744" s="46"/>
      <c r="F744" s="46"/>
      <c r="G744" s="79"/>
    </row>
    <row r="745" spans="2:7" x14ac:dyDescent="0.35">
      <c r="B745" s="46"/>
      <c r="C745" s="46"/>
      <c r="D745" s="46"/>
      <c r="E745" s="46"/>
      <c r="F745" s="46"/>
      <c r="G745" s="79"/>
    </row>
    <row r="746" spans="2:7" x14ac:dyDescent="0.35">
      <c r="B746" s="46"/>
      <c r="C746" s="46"/>
      <c r="D746" s="46"/>
      <c r="E746" s="46"/>
      <c r="F746" s="46"/>
      <c r="G746" s="79"/>
    </row>
    <row r="747" spans="2:7" x14ac:dyDescent="0.35">
      <c r="B747" s="46"/>
      <c r="C747" s="46"/>
      <c r="D747" s="46"/>
      <c r="E747" s="46"/>
      <c r="F747" s="46"/>
      <c r="G747" s="79"/>
    </row>
    <row r="748" spans="2:7" x14ac:dyDescent="0.35">
      <c r="B748" s="46"/>
      <c r="C748" s="46"/>
      <c r="D748" s="46"/>
      <c r="E748" s="46"/>
      <c r="F748" s="46"/>
      <c r="G748" s="79"/>
    </row>
    <row r="749" spans="2:7" x14ac:dyDescent="0.35">
      <c r="B749" s="46"/>
      <c r="C749" s="46"/>
      <c r="D749" s="46"/>
      <c r="E749" s="46"/>
      <c r="F749" s="46"/>
      <c r="G749" s="79"/>
    </row>
    <row r="750" spans="2:7" x14ac:dyDescent="0.35">
      <c r="B750" s="46"/>
      <c r="C750" s="46"/>
      <c r="D750" s="46"/>
      <c r="E750" s="46"/>
      <c r="F750" s="46"/>
      <c r="G750" s="79"/>
    </row>
    <row r="751" spans="2:7" x14ac:dyDescent="0.35">
      <c r="B751" s="46"/>
      <c r="C751" s="46"/>
      <c r="D751" s="46"/>
      <c r="E751" s="46"/>
      <c r="F751" s="46"/>
      <c r="G751" s="79"/>
    </row>
    <row r="752" spans="2:7" x14ac:dyDescent="0.35">
      <c r="B752" s="46"/>
      <c r="C752" s="46"/>
      <c r="D752" s="46"/>
      <c r="E752" s="46"/>
      <c r="F752" s="46"/>
      <c r="G752" s="79"/>
    </row>
    <row r="753" spans="2:7" x14ac:dyDescent="0.35">
      <c r="B753" s="46"/>
      <c r="C753" s="46"/>
      <c r="D753" s="46"/>
      <c r="E753" s="46"/>
      <c r="F753" s="46"/>
      <c r="G753" s="79"/>
    </row>
    <row r="754" spans="2:7" x14ac:dyDescent="0.35">
      <c r="B754" s="46"/>
      <c r="C754" s="46"/>
      <c r="D754" s="46"/>
      <c r="E754" s="46"/>
      <c r="F754" s="46"/>
      <c r="G754" s="79"/>
    </row>
    <row r="755" spans="2:7" x14ac:dyDescent="0.35">
      <c r="B755" s="46"/>
      <c r="C755" s="46"/>
      <c r="D755" s="46"/>
      <c r="E755" s="46"/>
      <c r="F755" s="46"/>
      <c r="G755" s="79"/>
    </row>
    <row r="756" spans="2:7" x14ac:dyDescent="0.35">
      <c r="B756" s="46"/>
      <c r="C756" s="46"/>
      <c r="D756" s="46"/>
      <c r="E756" s="46"/>
      <c r="F756" s="46"/>
      <c r="G756" s="79"/>
    </row>
    <row r="757" spans="2:7" x14ac:dyDescent="0.35">
      <c r="B757" s="46"/>
      <c r="C757" s="46"/>
      <c r="D757" s="46"/>
      <c r="E757" s="46"/>
      <c r="F757" s="46"/>
      <c r="G757" s="79"/>
    </row>
    <row r="758" spans="2:7" x14ac:dyDescent="0.35">
      <c r="B758" s="46"/>
      <c r="C758" s="46"/>
      <c r="D758" s="46"/>
      <c r="E758" s="46"/>
      <c r="F758" s="46"/>
      <c r="G758" s="79"/>
    </row>
    <row r="759" spans="2:7" x14ac:dyDescent="0.35">
      <c r="B759" s="46"/>
      <c r="C759" s="46"/>
      <c r="D759" s="46"/>
      <c r="E759" s="46"/>
      <c r="F759" s="46"/>
      <c r="G759" s="79"/>
    </row>
    <row r="760" spans="2:7" x14ac:dyDescent="0.35">
      <c r="B760" s="46"/>
      <c r="C760" s="46"/>
      <c r="D760" s="46"/>
      <c r="E760" s="46"/>
      <c r="F760" s="46"/>
      <c r="G760" s="79"/>
    </row>
    <row r="761" spans="2:7" x14ac:dyDescent="0.35">
      <c r="B761" s="46"/>
      <c r="C761" s="46"/>
      <c r="D761" s="46"/>
      <c r="E761" s="46"/>
      <c r="F761" s="46"/>
      <c r="G761" s="79"/>
    </row>
    <row r="762" spans="2:7" x14ac:dyDescent="0.35">
      <c r="B762" s="46"/>
      <c r="C762" s="46"/>
      <c r="D762" s="46"/>
      <c r="E762" s="46"/>
      <c r="F762" s="46"/>
      <c r="G762" s="79"/>
    </row>
    <row r="763" spans="2:7" x14ac:dyDescent="0.35">
      <c r="B763" s="46"/>
      <c r="C763" s="46"/>
      <c r="D763" s="46"/>
      <c r="E763" s="46"/>
      <c r="F763" s="46"/>
      <c r="G763" s="79"/>
    </row>
    <row r="764" spans="2:7" x14ac:dyDescent="0.35">
      <c r="B764" s="46"/>
      <c r="C764" s="46"/>
      <c r="D764" s="46"/>
      <c r="E764" s="46"/>
      <c r="F764" s="46"/>
      <c r="G764" s="79"/>
    </row>
    <row r="765" spans="2:7" x14ac:dyDescent="0.35">
      <c r="B765" s="46"/>
      <c r="C765" s="46"/>
      <c r="D765" s="46"/>
      <c r="E765" s="46"/>
      <c r="F765" s="46"/>
      <c r="G765" s="79"/>
    </row>
    <row r="766" spans="2:7" x14ac:dyDescent="0.35">
      <c r="B766" s="46"/>
      <c r="C766" s="46"/>
      <c r="D766" s="46"/>
      <c r="E766" s="46"/>
      <c r="F766" s="46"/>
      <c r="G766" s="79"/>
    </row>
    <row r="767" spans="2:7" x14ac:dyDescent="0.35">
      <c r="B767" s="46"/>
      <c r="C767" s="46"/>
      <c r="D767" s="46"/>
      <c r="E767" s="46"/>
      <c r="F767" s="46"/>
      <c r="G767" s="79"/>
    </row>
    <row r="768" spans="2:7" x14ac:dyDescent="0.35">
      <c r="B768" s="46"/>
      <c r="C768" s="46"/>
      <c r="D768" s="46"/>
      <c r="E768" s="46"/>
      <c r="F768" s="46"/>
      <c r="G768" s="79"/>
    </row>
    <row r="769" spans="2:7" x14ac:dyDescent="0.35">
      <c r="B769" s="46"/>
      <c r="C769" s="46"/>
      <c r="D769" s="46"/>
      <c r="E769" s="46"/>
      <c r="F769" s="46"/>
      <c r="G769" s="79"/>
    </row>
    <row r="770" spans="2:7" x14ac:dyDescent="0.35">
      <c r="B770" s="46"/>
      <c r="C770" s="46"/>
      <c r="D770" s="46"/>
      <c r="E770" s="46"/>
      <c r="F770" s="46"/>
      <c r="G770" s="79"/>
    </row>
    <row r="771" spans="2:7" x14ac:dyDescent="0.35">
      <c r="B771" s="46"/>
      <c r="C771" s="46"/>
      <c r="D771" s="46"/>
      <c r="E771" s="46"/>
      <c r="F771" s="46"/>
      <c r="G771" s="79"/>
    </row>
    <row r="772" spans="2:7" x14ac:dyDescent="0.35">
      <c r="B772" s="46"/>
      <c r="C772" s="46"/>
      <c r="D772" s="46"/>
      <c r="E772" s="46"/>
      <c r="F772" s="46"/>
      <c r="G772" s="79"/>
    </row>
    <row r="773" spans="2:7" x14ac:dyDescent="0.35">
      <c r="B773" s="46"/>
      <c r="C773" s="46"/>
      <c r="D773" s="46"/>
      <c r="E773" s="46"/>
      <c r="F773" s="46"/>
      <c r="G773" s="79"/>
    </row>
    <row r="774" spans="2:7" x14ac:dyDescent="0.35">
      <c r="B774" s="46"/>
      <c r="C774" s="46"/>
      <c r="D774" s="46"/>
      <c r="E774" s="46"/>
      <c r="F774" s="46"/>
      <c r="G774" s="79"/>
    </row>
    <row r="775" spans="2:7" x14ac:dyDescent="0.35">
      <c r="B775" s="46"/>
      <c r="C775" s="46"/>
      <c r="D775" s="46"/>
      <c r="E775" s="46"/>
      <c r="F775" s="46"/>
      <c r="G775" s="79"/>
    </row>
    <row r="776" spans="2:7" x14ac:dyDescent="0.35">
      <c r="B776" s="46"/>
      <c r="C776" s="46"/>
      <c r="D776" s="46"/>
      <c r="E776" s="46"/>
      <c r="F776" s="46"/>
      <c r="G776" s="79"/>
    </row>
    <row r="777" spans="2:7" x14ac:dyDescent="0.35">
      <c r="B777" s="46"/>
      <c r="C777" s="46"/>
      <c r="D777" s="46"/>
      <c r="E777" s="46"/>
      <c r="F777" s="46"/>
      <c r="G777" s="79"/>
    </row>
    <row r="778" spans="2:7" x14ac:dyDescent="0.35">
      <c r="B778" s="46"/>
      <c r="C778" s="46"/>
      <c r="D778" s="46"/>
      <c r="E778" s="46"/>
      <c r="F778" s="46"/>
      <c r="G778" s="79"/>
    </row>
    <row r="779" spans="2:7" x14ac:dyDescent="0.35">
      <c r="B779" s="46"/>
      <c r="C779" s="46"/>
      <c r="D779" s="46"/>
      <c r="E779" s="46"/>
      <c r="F779" s="46"/>
      <c r="G779" s="79"/>
    </row>
    <row r="780" spans="2:7" x14ac:dyDescent="0.35">
      <c r="B780" s="46"/>
      <c r="C780" s="46"/>
      <c r="D780" s="46"/>
      <c r="E780" s="46"/>
      <c r="F780" s="46"/>
      <c r="G780" s="79"/>
    </row>
    <row r="781" spans="2:7" x14ac:dyDescent="0.35">
      <c r="B781" s="46"/>
      <c r="C781" s="46"/>
      <c r="D781" s="46"/>
      <c r="E781" s="46"/>
      <c r="F781" s="46"/>
      <c r="G781" s="79"/>
    </row>
    <row r="782" spans="2:7" x14ac:dyDescent="0.35">
      <c r="B782" s="46"/>
      <c r="C782" s="46"/>
      <c r="D782" s="46"/>
      <c r="E782" s="46"/>
      <c r="F782" s="46"/>
      <c r="G782" s="79"/>
    </row>
    <row r="783" spans="2:7" x14ac:dyDescent="0.35">
      <c r="B783" s="46"/>
      <c r="C783" s="46"/>
      <c r="D783" s="46"/>
      <c r="E783" s="46"/>
      <c r="F783" s="46"/>
      <c r="G783" s="79"/>
    </row>
    <row r="784" spans="2:7" x14ac:dyDescent="0.35">
      <c r="B784" s="46"/>
      <c r="C784" s="46"/>
      <c r="D784" s="46"/>
      <c r="E784" s="46"/>
      <c r="F784" s="46"/>
      <c r="G784" s="79"/>
    </row>
    <row r="785" spans="2:7" x14ac:dyDescent="0.35">
      <c r="B785" s="46"/>
      <c r="C785" s="46"/>
      <c r="D785" s="46"/>
      <c r="E785" s="46"/>
      <c r="F785" s="46"/>
      <c r="G785" s="79"/>
    </row>
    <row r="786" spans="2:7" x14ac:dyDescent="0.35">
      <c r="B786" s="46"/>
      <c r="C786" s="46"/>
      <c r="D786" s="46"/>
      <c r="E786" s="46"/>
      <c r="F786" s="46"/>
      <c r="G786" s="79"/>
    </row>
    <row r="787" spans="2:7" x14ac:dyDescent="0.35">
      <c r="B787" s="46"/>
      <c r="C787" s="46"/>
      <c r="D787" s="46"/>
      <c r="E787" s="46"/>
      <c r="F787" s="46"/>
      <c r="G787" s="79"/>
    </row>
    <row r="788" spans="2:7" x14ac:dyDescent="0.35">
      <c r="B788" s="46"/>
      <c r="C788" s="46"/>
      <c r="D788" s="46"/>
      <c r="E788" s="46"/>
      <c r="F788" s="46"/>
      <c r="G788" s="79"/>
    </row>
    <row r="789" spans="2:7" x14ac:dyDescent="0.35">
      <c r="B789" s="46"/>
      <c r="C789" s="46"/>
      <c r="D789" s="46"/>
      <c r="E789" s="46"/>
      <c r="F789" s="46"/>
      <c r="G789" s="79"/>
    </row>
    <row r="790" spans="2:7" x14ac:dyDescent="0.35">
      <c r="B790" s="46"/>
      <c r="C790" s="46"/>
      <c r="D790" s="46"/>
      <c r="E790" s="46"/>
      <c r="F790" s="46"/>
      <c r="G790" s="79"/>
    </row>
    <row r="791" spans="2:7" x14ac:dyDescent="0.35">
      <c r="B791" s="46"/>
      <c r="C791" s="46"/>
      <c r="D791" s="46"/>
      <c r="E791" s="46"/>
      <c r="F791" s="46"/>
      <c r="G791" s="79"/>
    </row>
    <row r="792" spans="2:7" x14ac:dyDescent="0.35">
      <c r="B792" s="46"/>
      <c r="C792" s="46"/>
      <c r="D792" s="46"/>
      <c r="E792" s="46"/>
      <c r="F792" s="46"/>
      <c r="G792" s="79"/>
    </row>
    <row r="793" spans="2:7" x14ac:dyDescent="0.35">
      <c r="B793" s="46"/>
      <c r="C793" s="46"/>
      <c r="D793" s="46"/>
      <c r="E793" s="46"/>
      <c r="F793" s="46"/>
      <c r="G793" s="79"/>
    </row>
    <row r="794" spans="2:7" x14ac:dyDescent="0.35">
      <c r="B794" s="46"/>
      <c r="C794" s="46"/>
      <c r="D794" s="46"/>
      <c r="E794" s="46"/>
      <c r="F794" s="46"/>
      <c r="G794" s="79"/>
    </row>
    <row r="795" spans="2:7" x14ac:dyDescent="0.35">
      <c r="B795" s="46"/>
      <c r="C795" s="46"/>
      <c r="D795" s="46"/>
      <c r="E795" s="46"/>
      <c r="F795" s="46"/>
      <c r="G795" s="79"/>
    </row>
    <row r="796" spans="2:7" x14ac:dyDescent="0.35">
      <c r="B796" s="46"/>
      <c r="C796" s="46"/>
      <c r="D796" s="46"/>
      <c r="E796" s="46"/>
      <c r="F796" s="46"/>
      <c r="G796" s="79"/>
    </row>
    <row r="797" spans="2:7" x14ac:dyDescent="0.35">
      <c r="B797" s="46"/>
      <c r="C797" s="46"/>
      <c r="D797" s="46"/>
      <c r="E797" s="46"/>
      <c r="F797" s="46"/>
      <c r="G797" s="79"/>
    </row>
    <row r="798" spans="2:7" x14ac:dyDescent="0.35">
      <c r="B798" s="46"/>
      <c r="C798" s="46"/>
      <c r="D798" s="46"/>
      <c r="E798" s="46"/>
      <c r="F798" s="46"/>
      <c r="G798" s="79"/>
    </row>
    <row r="799" spans="2:7" x14ac:dyDescent="0.35">
      <c r="B799" s="46"/>
      <c r="C799" s="46"/>
      <c r="D799" s="46"/>
      <c r="E799" s="46"/>
      <c r="F799" s="46"/>
      <c r="G799" s="79"/>
    </row>
    <row r="800" spans="2:7" x14ac:dyDescent="0.35">
      <c r="B800" s="46"/>
      <c r="C800" s="46"/>
      <c r="D800" s="46"/>
      <c r="E800" s="46"/>
      <c r="F800" s="46"/>
      <c r="G800" s="79"/>
    </row>
    <row r="801" spans="2:7" x14ac:dyDescent="0.35">
      <c r="B801" s="46"/>
      <c r="C801" s="46"/>
      <c r="D801" s="46"/>
      <c r="E801" s="46"/>
      <c r="F801" s="46"/>
      <c r="G801" s="79"/>
    </row>
    <row r="802" spans="2:7" x14ac:dyDescent="0.35">
      <c r="B802" s="46"/>
      <c r="C802" s="46"/>
      <c r="D802" s="46"/>
      <c r="E802" s="46"/>
      <c r="F802" s="46"/>
      <c r="G802" s="79"/>
    </row>
    <row r="803" spans="2:7" x14ac:dyDescent="0.35">
      <c r="B803" s="46"/>
      <c r="C803" s="46"/>
      <c r="D803" s="46"/>
      <c r="E803" s="46"/>
      <c r="F803" s="46"/>
      <c r="G803" s="79"/>
    </row>
    <row r="804" spans="2:7" x14ac:dyDescent="0.35">
      <c r="B804" s="46"/>
      <c r="C804" s="46"/>
      <c r="D804" s="46"/>
      <c r="E804" s="46"/>
      <c r="F804" s="46"/>
      <c r="G804" s="79"/>
    </row>
    <row r="805" spans="2:7" x14ac:dyDescent="0.35">
      <c r="B805" s="46"/>
      <c r="C805" s="46"/>
      <c r="D805" s="46"/>
      <c r="E805" s="46"/>
      <c r="F805" s="46"/>
      <c r="G805" s="79"/>
    </row>
    <row r="806" spans="2:7" x14ac:dyDescent="0.35">
      <c r="B806" s="46"/>
      <c r="C806" s="46"/>
      <c r="D806" s="46"/>
      <c r="E806" s="46"/>
      <c r="F806" s="46"/>
      <c r="G806" s="79"/>
    </row>
    <row r="807" spans="2:7" x14ac:dyDescent="0.35">
      <c r="B807" s="46"/>
      <c r="C807" s="46"/>
      <c r="D807" s="46"/>
      <c r="E807" s="46"/>
      <c r="F807" s="46"/>
      <c r="G807" s="79"/>
    </row>
    <row r="808" spans="2:7" x14ac:dyDescent="0.35">
      <c r="B808" s="46"/>
      <c r="C808" s="46"/>
      <c r="D808" s="46"/>
      <c r="E808" s="46"/>
      <c r="F808" s="46"/>
      <c r="G808" s="79"/>
    </row>
    <row r="809" spans="2:7" x14ac:dyDescent="0.35">
      <c r="B809" s="46"/>
      <c r="C809" s="46"/>
      <c r="D809" s="46"/>
      <c r="E809" s="46"/>
      <c r="F809" s="46"/>
      <c r="G809" s="79"/>
    </row>
    <row r="810" spans="2:7" x14ac:dyDescent="0.35">
      <c r="B810" s="46"/>
      <c r="C810" s="46"/>
      <c r="D810" s="46"/>
      <c r="E810" s="46"/>
      <c r="F810" s="46"/>
      <c r="G810" s="79"/>
    </row>
    <row r="811" spans="2:7" x14ac:dyDescent="0.35">
      <c r="B811" s="46"/>
      <c r="C811" s="46"/>
      <c r="D811" s="46"/>
      <c r="E811" s="46"/>
      <c r="F811" s="46"/>
      <c r="G811" s="79"/>
    </row>
    <row r="812" spans="2:7" x14ac:dyDescent="0.35">
      <c r="B812" s="46"/>
      <c r="C812" s="46"/>
      <c r="D812" s="46"/>
      <c r="E812" s="46"/>
      <c r="F812" s="46"/>
      <c r="G812" s="79"/>
    </row>
    <row r="813" spans="2:7" x14ac:dyDescent="0.35">
      <c r="B813" s="46"/>
      <c r="C813" s="46"/>
      <c r="D813" s="46"/>
      <c r="E813" s="46"/>
      <c r="F813" s="46"/>
      <c r="G813" s="79"/>
    </row>
    <row r="814" spans="2:7" x14ac:dyDescent="0.35">
      <c r="B814" s="46"/>
      <c r="C814" s="46"/>
      <c r="D814" s="46"/>
      <c r="E814" s="46"/>
      <c r="F814" s="46"/>
      <c r="G814" s="79"/>
    </row>
    <row r="815" spans="2:7" x14ac:dyDescent="0.35">
      <c r="B815" s="46"/>
      <c r="C815" s="46"/>
      <c r="D815" s="46"/>
      <c r="E815" s="46"/>
      <c r="F815" s="46"/>
      <c r="G815" s="79"/>
    </row>
    <row r="816" spans="2:7" x14ac:dyDescent="0.35">
      <c r="B816" s="46"/>
      <c r="C816" s="46"/>
      <c r="D816" s="46"/>
      <c r="E816" s="46"/>
      <c r="F816" s="46"/>
      <c r="G816" s="79"/>
    </row>
    <row r="817" spans="2:7" x14ac:dyDescent="0.35">
      <c r="B817" s="46"/>
      <c r="C817" s="46"/>
      <c r="D817" s="46"/>
      <c r="E817" s="46"/>
      <c r="F817" s="46"/>
      <c r="G817" s="79"/>
    </row>
    <row r="818" spans="2:7" x14ac:dyDescent="0.35">
      <c r="B818" s="46"/>
      <c r="C818" s="46"/>
      <c r="D818" s="46"/>
      <c r="E818" s="46"/>
      <c r="F818" s="46"/>
      <c r="G818" s="79"/>
    </row>
    <row r="819" spans="2:7" x14ac:dyDescent="0.35">
      <c r="B819" s="46"/>
      <c r="C819" s="46"/>
      <c r="D819" s="46"/>
      <c r="E819" s="46"/>
      <c r="F819" s="46"/>
      <c r="G819" s="79"/>
    </row>
    <row r="820" spans="2:7" x14ac:dyDescent="0.35">
      <c r="B820" s="46"/>
      <c r="C820" s="46"/>
      <c r="D820" s="46"/>
      <c r="E820" s="46"/>
      <c r="F820" s="46"/>
      <c r="G820" s="79"/>
    </row>
    <row r="821" spans="2:7" x14ac:dyDescent="0.35">
      <c r="B821" s="46"/>
      <c r="C821" s="46"/>
      <c r="D821" s="46"/>
      <c r="E821" s="46"/>
      <c r="F821" s="46"/>
      <c r="G821" s="79"/>
    </row>
    <row r="822" spans="2:7" x14ac:dyDescent="0.35">
      <c r="B822" s="46"/>
      <c r="C822" s="46"/>
      <c r="D822" s="46"/>
      <c r="E822" s="46"/>
      <c r="F822" s="46"/>
      <c r="G822" s="79"/>
    </row>
    <row r="823" spans="2:7" x14ac:dyDescent="0.35">
      <c r="B823" s="46"/>
      <c r="C823" s="46"/>
      <c r="D823" s="46"/>
      <c r="E823" s="46"/>
      <c r="F823" s="46"/>
      <c r="G823" s="79"/>
    </row>
    <row r="824" spans="2:7" x14ac:dyDescent="0.35">
      <c r="B824" s="46"/>
      <c r="C824" s="46"/>
      <c r="D824" s="46"/>
      <c r="E824" s="46"/>
      <c r="F824" s="46"/>
      <c r="G824" s="79"/>
    </row>
    <row r="825" spans="2:7" x14ac:dyDescent="0.35">
      <c r="B825" s="46"/>
      <c r="C825" s="46"/>
      <c r="D825" s="46"/>
      <c r="E825" s="46"/>
      <c r="F825" s="46"/>
      <c r="G825" s="79"/>
    </row>
    <row r="826" spans="2:7" x14ac:dyDescent="0.35">
      <c r="B826" s="46"/>
      <c r="C826" s="46"/>
      <c r="D826" s="46"/>
      <c r="E826" s="46"/>
      <c r="F826" s="46"/>
      <c r="G826" s="79"/>
    </row>
    <row r="827" spans="2:7" x14ac:dyDescent="0.35">
      <c r="B827" s="46"/>
      <c r="C827" s="46"/>
      <c r="D827" s="46"/>
      <c r="E827" s="46"/>
      <c r="F827" s="46"/>
      <c r="G827" s="79"/>
    </row>
    <row r="828" spans="2:7" x14ac:dyDescent="0.35">
      <c r="B828" s="46"/>
      <c r="C828" s="46"/>
      <c r="D828" s="46"/>
      <c r="E828" s="46"/>
      <c r="F828" s="46"/>
      <c r="G828" s="79"/>
    </row>
    <row r="829" spans="2:7" x14ac:dyDescent="0.35">
      <c r="B829" s="46"/>
      <c r="C829" s="46"/>
      <c r="D829" s="46"/>
      <c r="E829" s="46"/>
      <c r="F829" s="46"/>
      <c r="G829" s="79"/>
    </row>
    <row r="830" spans="2:7" x14ac:dyDescent="0.35">
      <c r="B830" s="46"/>
      <c r="C830" s="46"/>
      <c r="D830" s="46"/>
      <c r="E830" s="46"/>
      <c r="F830" s="46"/>
      <c r="G830" s="79"/>
    </row>
    <row r="831" spans="2:7" x14ac:dyDescent="0.35">
      <c r="B831" s="46"/>
      <c r="C831" s="46"/>
      <c r="D831" s="46"/>
      <c r="E831" s="46"/>
      <c r="F831" s="46"/>
      <c r="G831" s="79"/>
    </row>
    <row r="832" spans="2:7" x14ac:dyDescent="0.35">
      <c r="B832" s="46"/>
      <c r="C832" s="46"/>
      <c r="D832" s="46"/>
      <c r="E832" s="46"/>
      <c r="F832" s="46"/>
      <c r="G832" s="79"/>
    </row>
    <row r="833" spans="2:7" x14ac:dyDescent="0.35">
      <c r="B833" s="46"/>
      <c r="C833" s="46"/>
      <c r="D833" s="46"/>
      <c r="E833" s="46"/>
      <c r="F833" s="46"/>
      <c r="G833" s="79"/>
    </row>
    <row r="834" spans="2:7" x14ac:dyDescent="0.35">
      <c r="B834" s="46"/>
      <c r="C834" s="46"/>
      <c r="D834" s="46"/>
      <c r="E834" s="46"/>
      <c r="F834" s="46"/>
      <c r="G834" s="79"/>
    </row>
    <row r="835" spans="2:7" x14ac:dyDescent="0.35">
      <c r="B835" s="46"/>
      <c r="C835" s="46"/>
      <c r="D835" s="46"/>
      <c r="E835" s="46"/>
      <c r="F835" s="46"/>
      <c r="G835" s="79"/>
    </row>
    <row r="836" spans="2:7" x14ac:dyDescent="0.35">
      <c r="B836" s="46"/>
      <c r="C836" s="46"/>
      <c r="D836" s="46"/>
      <c r="E836" s="46"/>
      <c r="F836" s="46"/>
      <c r="G836" s="79"/>
    </row>
    <row r="837" spans="2:7" x14ac:dyDescent="0.35">
      <c r="B837" s="46"/>
      <c r="C837" s="46"/>
      <c r="D837" s="46"/>
      <c r="E837" s="46"/>
      <c r="F837" s="46"/>
      <c r="G837" s="79"/>
    </row>
    <row r="838" spans="2:7" x14ac:dyDescent="0.35">
      <c r="B838" s="46"/>
      <c r="C838" s="46"/>
      <c r="D838" s="46"/>
      <c r="E838" s="46"/>
      <c r="F838" s="46"/>
      <c r="G838" s="79"/>
    </row>
    <row r="839" spans="2:7" x14ac:dyDescent="0.35">
      <c r="B839" s="46"/>
      <c r="C839" s="46"/>
      <c r="D839" s="46"/>
      <c r="E839" s="46"/>
      <c r="F839" s="46"/>
      <c r="G839" s="79"/>
    </row>
    <row r="840" spans="2:7" x14ac:dyDescent="0.35">
      <c r="B840" s="46"/>
      <c r="C840" s="46"/>
      <c r="D840" s="46"/>
      <c r="E840" s="46"/>
      <c r="F840" s="46"/>
      <c r="G840" s="79"/>
    </row>
    <row r="841" spans="2:7" x14ac:dyDescent="0.35">
      <c r="B841" s="46"/>
      <c r="C841" s="46"/>
      <c r="D841" s="46"/>
      <c r="E841" s="46"/>
      <c r="F841" s="46"/>
      <c r="G841" s="79"/>
    </row>
    <row r="842" spans="2:7" x14ac:dyDescent="0.35">
      <c r="B842" s="46"/>
      <c r="C842" s="46"/>
      <c r="D842" s="46"/>
      <c r="E842" s="46"/>
      <c r="F842" s="46"/>
      <c r="G842" s="79"/>
    </row>
    <row r="843" spans="2:7" x14ac:dyDescent="0.35">
      <c r="B843" s="46"/>
      <c r="C843" s="46"/>
      <c r="D843" s="46"/>
      <c r="E843" s="46"/>
      <c r="F843" s="46"/>
      <c r="G843" s="79"/>
    </row>
    <row r="844" spans="2:7" x14ac:dyDescent="0.35">
      <c r="B844" s="46"/>
      <c r="C844" s="46"/>
      <c r="D844" s="46"/>
      <c r="E844" s="46"/>
      <c r="F844" s="46"/>
      <c r="G844" s="79"/>
    </row>
    <row r="845" spans="2:7" x14ac:dyDescent="0.35">
      <c r="B845" s="46"/>
      <c r="C845" s="46"/>
      <c r="D845" s="46"/>
      <c r="E845" s="46"/>
      <c r="F845" s="46"/>
      <c r="G845" s="79"/>
    </row>
    <row r="846" spans="2:7" x14ac:dyDescent="0.35">
      <c r="B846" s="46"/>
      <c r="C846" s="46"/>
      <c r="D846" s="46"/>
      <c r="E846" s="46"/>
      <c r="F846" s="46"/>
      <c r="G846" s="79"/>
    </row>
    <row r="847" spans="2:7" x14ac:dyDescent="0.35">
      <c r="B847" s="46"/>
      <c r="C847" s="46"/>
      <c r="D847" s="46"/>
      <c r="E847" s="46"/>
      <c r="F847" s="46"/>
      <c r="G847" s="79"/>
    </row>
    <row r="848" spans="2:7" x14ac:dyDescent="0.35">
      <c r="B848" s="46"/>
      <c r="C848" s="46"/>
      <c r="D848" s="46"/>
      <c r="E848" s="46"/>
      <c r="F848" s="46"/>
      <c r="G848" s="79"/>
    </row>
    <row r="849" spans="2:7" x14ac:dyDescent="0.35">
      <c r="B849" s="46"/>
      <c r="C849" s="46"/>
      <c r="D849" s="46"/>
      <c r="E849" s="46"/>
      <c r="F849" s="46"/>
      <c r="G849" s="79"/>
    </row>
    <row r="850" spans="2:7" x14ac:dyDescent="0.35">
      <c r="B850" s="46"/>
      <c r="C850" s="46"/>
      <c r="D850" s="46"/>
      <c r="E850" s="46"/>
      <c r="F850" s="46"/>
      <c r="G850" s="79"/>
    </row>
    <row r="851" spans="2:7" x14ac:dyDescent="0.35">
      <c r="B851" s="46"/>
      <c r="C851" s="46"/>
      <c r="D851" s="46"/>
      <c r="E851" s="46"/>
      <c r="F851" s="46"/>
      <c r="G851" s="79"/>
    </row>
    <row r="852" spans="2:7" x14ac:dyDescent="0.35">
      <c r="B852" s="46"/>
      <c r="C852" s="46"/>
      <c r="D852" s="46"/>
      <c r="E852" s="46"/>
      <c r="F852" s="46"/>
      <c r="G852" s="79"/>
    </row>
    <row r="853" spans="2:7" x14ac:dyDescent="0.35">
      <c r="B853" s="46"/>
      <c r="C853" s="46"/>
      <c r="D853" s="46"/>
      <c r="E853" s="46"/>
      <c r="F853" s="46"/>
      <c r="G853" s="79"/>
    </row>
    <row r="854" spans="2:7" x14ac:dyDescent="0.35">
      <c r="B854" s="46"/>
      <c r="C854" s="46"/>
      <c r="D854" s="46"/>
      <c r="E854" s="46"/>
      <c r="F854" s="46"/>
      <c r="G854" s="79"/>
    </row>
    <row r="855" spans="2:7" x14ac:dyDescent="0.35">
      <c r="B855" s="46"/>
      <c r="C855" s="46"/>
      <c r="D855" s="46"/>
      <c r="E855" s="46"/>
      <c r="F855" s="46"/>
      <c r="G855" s="79"/>
    </row>
    <row r="856" spans="2:7" x14ac:dyDescent="0.35">
      <c r="B856" s="46"/>
      <c r="C856" s="46"/>
      <c r="D856" s="46"/>
      <c r="E856" s="46"/>
      <c r="F856" s="46"/>
      <c r="G856" s="79"/>
    </row>
    <row r="857" spans="2:7" x14ac:dyDescent="0.35">
      <c r="B857" s="46"/>
      <c r="C857" s="46"/>
      <c r="D857" s="46"/>
      <c r="E857" s="46"/>
      <c r="F857" s="46"/>
      <c r="G857" s="79"/>
    </row>
    <row r="858" spans="2:7" x14ac:dyDescent="0.35">
      <c r="B858" s="46"/>
      <c r="C858" s="46"/>
      <c r="D858" s="46"/>
      <c r="E858" s="46"/>
      <c r="F858" s="46"/>
      <c r="G858" s="79"/>
    </row>
    <row r="859" spans="2:7" x14ac:dyDescent="0.35">
      <c r="B859" s="46"/>
      <c r="C859" s="46"/>
      <c r="D859" s="46"/>
      <c r="E859" s="46"/>
      <c r="F859" s="46"/>
      <c r="G859" s="79"/>
    </row>
    <row r="860" spans="2:7" x14ac:dyDescent="0.35">
      <c r="B860" s="46"/>
      <c r="C860" s="46"/>
      <c r="D860" s="46"/>
      <c r="E860" s="46"/>
      <c r="F860" s="46"/>
      <c r="G860" s="79"/>
    </row>
    <row r="861" spans="2:7" x14ac:dyDescent="0.35">
      <c r="B861" s="46"/>
      <c r="C861" s="46"/>
      <c r="D861" s="46"/>
      <c r="E861" s="46"/>
      <c r="F861" s="46"/>
      <c r="G861" s="79"/>
    </row>
    <row r="862" spans="2:7" x14ac:dyDescent="0.35">
      <c r="B862" s="46"/>
      <c r="C862" s="46"/>
      <c r="D862" s="46"/>
      <c r="E862" s="46"/>
      <c r="F862" s="46"/>
      <c r="G862" s="79"/>
    </row>
    <row r="863" spans="2:7" x14ac:dyDescent="0.35">
      <c r="B863" s="46"/>
      <c r="C863" s="46"/>
      <c r="D863" s="46"/>
      <c r="E863" s="46"/>
      <c r="F863" s="46"/>
      <c r="G863" s="79"/>
    </row>
    <row r="864" spans="2:7" x14ac:dyDescent="0.35">
      <c r="B864" s="46"/>
      <c r="C864" s="46"/>
      <c r="D864" s="46"/>
      <c r="E864" s="46"/>
      <c r="F864" s="46"/>
      <c r="G864" s="79"/>
    </row>
    <row r="865" spans="2:7" x14ac:dyDescent="0.35">
      <c r="B865" s="46"/>
      <c r="C865" s="46"/>
      <c r="D865" s="46"/>
      <c r="E865" s="46"/>
      <c r="F865" s="46"/>
      <c r="G865" s="79"/>
    </row>
    <row r="866" spans="2:7" x14ac:dyDescent="0.35">
      <c r="B866" s="46"/>
      <c r="C866" s="46"/>
      <c r="D866" s="46"/>
      <c r="E866" s="46"/>
      <c r="F866" s="46"/>
      <c r="G866" s="79"/>
    </row>
    <row r="867" spans="2:7" x14ac:dyDescent="0.35">
      <c r="B867" s="46"/>
      <c r="C867" s="46"/>
      <c r="D867" s="46"/>
      <c r="E867" s="46"/>
      <c r="F867" s="46"/>
      <c r="G867" s="79"/>
    </row>
    <row r="868" spans="2:7" x14ac:dyDescent="0.35">
      <c r="B868" s="46"/>
      <c r="C868" s="46"/>
      <c r="D868" s="46"/>
      <c r="E868" s="46"/>
      <c r="F868" s="46"/>
      <c r="G868" s="79"/>
    </row>
    <row r="869" spans="2:7" x14ac:dyDescent="0.35">
      <c r="B869" s="46"/>
      <c r="C869" s="46"/>
      <c r="D869" s="46"/>
      <c r="E869" s="46"/>
      <c r="F869" s="46"/>
      <c r="G869" s="79"/>
    </row>
    <row r="870" spans="2:7" x14ac:dyDescent="0.35">
      <c r="B870" s="46"/>
      <c r="C870" s="46"/>
      <c r="D870" s="46"/>
      <c r="E870" s="46"/>
      <c r="F870" s="46"/>
      <c r="G870" s="79"/>
    </row>
    <row r="871" spans="2:7" x14ac:dyDescent="0.35">
      <c r="B871" s="46"/>
      <c r="C871" s="46"/>
      <c r="D871" s="46"/>
      <c r="E871" s="46"/>
      <c r="F871" s="46"/>
      <c r="G871" s="79"/>
    </row>
    <row r="872" spans="2:7" x14ac:dyDescent="0.35">
      <c r="B872" s="46"/>
      <c r="C872" s="46"/>
      <c r="D872" s="46"/>
      <c r="E872" s="46"/>
      <c r="F872" s="46"/>
      <c r="G872" s="79"/>
    </row>
    <row r="873" spans="2:7" x14ac:dyDescent="0.35">
      <c r="B873" s="46"/>
      <c r="C873" s="46"/>
      <c r="D873" s="46"/>
      <c r="E873" s="46"/>
      <c r="F873" s="46"/>
      <c r="G873" s="79"/>
    </row>
    <row r="874" spans="2:7" x14ac:dyDescent="0.35">
      <c r="B874" s="46"/>
      <c r="C874" s="46"/>
      <c r="D874" s="46"/>
      <c r="E874" s="46"/>
      <c r="F874" s="46"/>
      <c r="G874" s="79"/>
    </row>
    <row r="875" spans="2:7" x14ac:dyDescent="0.35">
      <c r="B875" s="46"/>
      <c r="C875" s="46"/>
      <c r="D875" s="46"/>
      <c r="E875" s="46"/>
      <c r="F875" s="46"/>
      <c r="G875" s="79"/>
    </row>
    <row r="876" spans="2:7" x14ac:dyDescent="0.35">
      <c r="B876" s="46"/>
      <c r="C876" s="46"/>
      <c r="D876" s="46"/>
      <c r="E876" s="46"/>
      <c r="F876" s="46"/>
      <c r="G876" s="79"/>
    </row>
    <row r="877" spans="2:7" x14ac:dyDescent="0.35">
      <c r="B877" s="46"/>
      <c r="C877" s="46"/>
      <c r="D877" s="46"/>
      <c r="E877" s="46"/>
      <c r="F877" s="46"/>
      <c r="G877" s="79"/>
    </row>
    <row r="878" spans="2:7" x14ac:dyDescent="0.35">
      <c r="B878" s="46"/>
      <c r="C878" s="46"/>
      <c r="D878" s="46"/>
      <c r="E878" s="46"/>
      <c r="F878" s="46"/>
      <c r="G878" s="79"/>
    </row>
    <row r="879" spans="2:7" x14ac:dyDescent="0.35">
      <c r="B879" s="46"/>
      <c r="C879" s="46"/>
      <c r="D879" s="46"/>
      <c r="E879" s="46"/>
      <c r="F879" s="46"/>
      <c r="G879" s="79"/>
    </row>
    <row r="880" spans="2:7" x14ac:dyDescent="0.35">
      <c r="B880" s="46"/>
      <c r="C880" s="46"/>
      <c r="D880" s="46"/>
      <c r="E880" s="46"/>
      <c r="F880" s="46"/>
      <c r="G880" s="79"/>
    </row>
    <row r="881" spans="2:7" x14ac:dyDescent="0.35">
      <c r="B881" s="46"/>
      <c r="C881" s="46"/>
      <c r="D881" s="46"/>
      <c r="E881" s="46"/>
      <c r="F881" s="46"/>
      <c r="G881" s="79"/>
    </row>
    <row r="882" spans="2:7" x14ac:dyDescent="0.35">
      <c r="B882" s="46"/>
      <c r="C882" s="46"/>
      <c r="D882" s="46"/>
      <c r="E882" s="46"/>
      <c r="F882" s="46"/>
      <c r="G882" s="79"/>
    </row>
    <row r="883" spans="2:7" x14ac:dyDescent="0.35">
      <c r="B883" s="46"/>
      <c r="C883" s="46"/>
      <c r="D883" s="46"/>
      <c r="E883" s="46"/>
      <c r="F883" s="46"/>
      <c r="G883" s="79"/>
    </row>
    <row r="884" spans="2:7" x14ac:dyDescent="0.35">
      <c r="B884" s="46"/>
      <c r="C884" s="46"/>
      <c r="D884" s="46"/>
      <c r="E884" s="46"/>
      <c r="F884" s="46"/>
      <c r="G884" s="79"/>
    </row>
    <row r="885" spans="2:7" x14ac:dyDescent="0.35">
      <c r="B885" s="46"/>
      <c r="C885" s="46"/>
      <c r="D885" s="46"/>
      <c r="E885" s="46"/>
      <c r="F885" s="46"/>
      <c r="G885" s="79"/>
    </row>
    <row r="886" spans="2:7" x14ac:dyDescent="0.35">
      <c r="B886" s="46"/>
      <c r="C886" s="46"/>
      <c r="D886" s="46"/>
      <c r="E886" s="46"/>
      <c r="F886" s="46"/>
      <c r="G886" s="79"/>
    </row>
    <row r="887" spans="2:7" x14ac:dyDescent="0.35">
      <c r="B887" s="46"/>
      <c r="C887" s="46"/>
      <c r="D887" s="46"/>
      <c r="E887" s="46"/>
      <c r="F887" s="46"/>
      <c r="G887" s="79"/>
    </row>
    <row r="888" spans="2:7" x14ac:dyDescent="0.35">
      <c r="B888" s="46"/>
      <c r="C888" s="46"/>
      <c r="D888" s="46"/>
      <c r="E888" s="46"/>
      <c r="F888" s="46"/>
      <c r="G888" s="79"/>
    </row>
    <row r="889" spans="2:7" x14ac:dyDescent="0.35">
      <c r="B889" s="46"/>
      <c r="C889" s="46"/>
      <c r="D889" s="46"/>
      <c r="E889" s="46"/>
      <c r="F889" s="46"/>
      <c r="G889" s="79"/>
    </row>
    <row r="890" spans="2:7" x14ac:dyDescent="0.35">
      <c r="B890" s="46"/>
      <c r="C890" s="46"/>
      <c r="D890" s="46"/>
      <c r="E890" s="46"/>
      <c r="F890" s="46"/>
      <c r="G890" s="79"/>
    </row>
    <row r="891" spans="2:7" x14ac:dyDescent="0.35">
      <c r="B891" s="46"/>
      <c r="C891" s="46"/>
      <c r="D891" s="46"/>
      <c r="E891" s="46"/>
      <c r="F891" s="46"/>
      <c r="G891" s="79"/>
    </row>
    <row r="892" spans="2:7" x14ac:dyDescent="0.35">
      <c r="B892" s="46"/>
      <c r="C892" s="46"/>
      <c r="D892" s="46"/>
      <c r="E892" s="46"/>
      <c r="F892" s="46"/>
      <c r="G892" s="79"/>
    </row>
    <row r="893" spans="2:7" x14ac:dyDescent="0.35">
      <c r="B893" s="46"/>
      <c r="C893" s="46"/>
      <c r="D893" s="46"/>
      <c r="E893" s="46"/>
      <c r="F893" s="46"/>
      <c r="G893" s="79"/>
    </row>
    <row r="894" spans="2:7" x14ac:dyDescent="0.35">
      <c r="B894" s="46"/>
      <c r="C894" s="46"/>
      <c r="D894" s="46"/>
      <c r="E894" s="46"/>
      <c r="F894" s="46"/>
      <c r="G894" s="79"/>
    </row>
    <row r="895" spans="2:7" x14ac:dyDescent="0.35">
      <c r="B895" s="46"/>
      <c r="C895" s="46"/>
      <c r="D895" s="46"/>
      <c r="E895" s="46"/>
      <c r="F895" s="46"/>
      <c r="G895" s="79"/>
    </row>
    <row r="896" spans="2:7" x14ac:dyDescent="0.35">
      <c r="B896" s="46"/>
      <c r="C896" s="46"/>
      <c r="D896" s="46"/>
      <c r="E896" s="46"/>
      <c r="F896" s="46"/>
      <c r="G896" s="79"/>
    </row>
    <row r="897" spans="2:7" x14ac:dyDescent="0.35">
      <c r="B897" s="46"/>
      <c r="C897" s="46"/>
      <c r="D897" s="46"/>
      <c r="E897" s="46"/>
      <c r="F897" s="46"/>
      <c r="G897" s="79"/>
    </row>
    <row r="898" spans="2:7" x14ac:dyDescent="0.35">
      <c r="B898" s="46"/>
      <c r="C898" s="46"/>
      <c r="D898" s="46"/>
      <c r="E898" s="46"/>
      <c r="F898" s="46"/>
      <c r="G898" s="79"/>
    </row>
    <row r="899" spans="2:7" x14ac:dyDescent="0.35">
      <c r="B899" s="46"/>
      <c r="C899" s="46"/>
      <c r="D899" s="46"/>
      <c r="E899" s="46"/>
      <c r="F899" s="46"/>
      <c r="G899" s="79"/>
    </row>
    <row r="900" spans="2:7" x14ac:dyDescent="0.35">
      <c r="B900" s="46"/>
      <c r="C900" s="46"/>
      <c r="D900" s="46"/>
      <c r="E900" s="46"/>
      <c r="F900" s="46"/>
      <c r="G900" s="79"/>
    </row>
    <row r="901" spans="2:7" x14ac:dyDescent="0.35">
      <c r="B901" s="46"/>
      <c r="C901" s="46"/>
      <c r="D901" s="46"/>
      <c r="E901" s="46"/>
      <c r="F901" s="46"/>
      <c r="G901" s="79"/>
    </row>
    <row r="902" spans="2:7" x14ac:dyDescent="0.35">
      <c r="B902" s="46"/>
      <c r="C902" s="46"/>
      <c r="D902" s="46"/>
      <c r="E902" s="46"/>
      <c r="F902" s="46"/>
      <c r="G902" s="79"/>
    </row>
    <row r="903" spans="2:7" x14ac:dyDescent="0.35">
      <c r="B903" s="46"/>
      <c r="C903" s="46"/>
      <c r="D903" s="46"/>
      <c r="E903" s="46"/>
      <c r="F903" s="46"/>
      <c r="G903" s="79"/>
    </row>
    <row r="904" spans="2:7" x14ac:dyDescent="0.35">
      <c r="B904" s="46"/>
      <c r="C904" s="46"/>
      <c r="D904" s="46"/>
      <c r="E904" s="46"/>
      <c r="F904" s="46"/>
      <c r="G904" s="79"/>
    </row>
    <row r="905" spans="2:7" x14ac:dyDescent="0.35">
      <c r="B905" s="46"/>
      <c r="C905" s="46"/>
      <c r="D905" s="46"/>
      <c r="E905" s="46"/>
      <c r="F905" s="46"/>
      <c r="G905" s="79"/>
    </row>
    <row r="906" spans="2:7" x14ac:dyDescent="0.35">
      <c r="B906" s="46"/>
      <c r="C906" s="46"/>
      <c r="D906" s="46"/>
      <c r="E906" s="46"/>
      <c r="F906" s="46"/>
      <c r="G906" s="79"/>
    </row>
    <row r="907" spans="2:7" x14ac:dyDescent="0.35">
      <c r="B907" s="46"/>
      <c r="C907" s="46"/>
      <c r="D907" s="46"/>
      <c r="E907" s="46"/>
      <c r="F907" s="46"/>
      <c r="G907" s="79"/>
    </row>
    <row r="908" spans="2:7" x14ac:dyDescent="0.35">
      <c r="B908" s="46"/>
      <c r="C908" s="46"/>
      <c r="D908" s="46"/>
      <c r="E908" s="46"/>
      <c r="F908" s="46"/>
      <c r="G908" s="79"/>
    </row>
    <row r="909" spans="2:7" x14ac:dyDescent="0.35">
      <c r="B909" s="46"/>
      <c r="C909" s="46"/>
      <c r="D909" s="46"/>
      <c r="E909" s="46"/>
      <c r="F909" s="46"/>
      <c r="G909" s="79"/>
    </row>
    <row r="910" spans="2:7" x14ac:dyDescent="0.35">
      <c r="B910" s="46"/>
      <c r="C910" s="46"/>
      <c r="D910" s="46"/>
      <c r="E910" s="46"/>
      <c r="F910" s="46"/>
      <c r="G910" s="79"/>
    </row>
    <row r="911" spans="2:7" x14ac:dyDescent="0.35">
      <c r="B911" s="46"/>
      <c r="C911" s="46"/>
      <c r="D911" s="46"/>
      <c r="E911" s="46"/>
      <c r="F911" s="46"/>
      <c r="G911" s="79"/>
    </row>
    <row r="912" spans="2:7" x14ac:dyDescent="0.35">
      <c r="B912" s="46"/>
      <c r="C912" s="46"/>
      <c r="D912" s="46"/>
      <c r="E912" s="46"/>
      <c r="F912" s="46"/>
      <c r="G912" s="79"/>
    </row>
    <row r="913" spans="2:7" x14ac:dyDescent="0.35">
      <c r="B913" s="46"/>
      <c r="C913" s="46"/>
      <c r="D913" s="46"/>
      <c r="E913" s="46"/>
      <c r="F913" s="46"/>
      <c r="G913" s="79"/>
    </row>
    <row r="914" spans="2:7" x14ac:dyDescent="0.35">
      <c r="B914" s="46"/>
      <c r="C914" s="46"/>
      <c r="D914" s="46"/>
      <c r="E914" s="46"/>
      <c r="F914" s="46"/>
      <c r="G914" s="79"/>
    </row>
    <row r="915" spans="2:7" x14ac:dyDescent="0.35">
      <c r="B915" s="46"/>
      <c r="C915" s="46"/>
      <c r="D915" s="46"/>
      <c r="E915" s="46"/>
      <c r="F915" s="46"/>
      <c r="G915" s="79"/>
    </row>
    <row r="916" spans="2:7" x14ac:dyDescent="0.35">
      <c r="B916" s="46"/>
      <c r="C916" s="46"/>
      <c r="D916" s="46"/>
      <c r="E916" s="46"/>
      <c r="F916" s="46"/>
      <c r="G916" s="79"/>
    </row>
    <row r="917" spans="2:7" x14ac:dyDescent="0.35">
      <c r="B917" s="46"/>
      <c r="C917" s="46"/>
      <c r="D917" s="46"/>
      <c r="E917" s="46"/>
      <c r="F917" s="46"/>
      <c r="G917" s="79"/>
    </row>
    <row r="918" spans="2:7" x14ac:dyDescent="0.35">
      <c r="B918" s="46"/>
      <c r="C918" s="46"/>
      <c r="D918" s="46"/>
      <c r="E918" s="46"/>
      <c r="F918" s="46"/>
      <c r="G918" s="79"/>
    </row>
    <row r="919" spans="2:7" x14ac:dyDescent="0.35">
      <c r="B919" s="46"/>
      <c r="C919" s="46"/>
      <c r="D919" s="46"/>
      <c r="E919" s="46"/>
      <c r="F919" s="46"/>
      <c r="G919" s="79"/>
    </row>
    <row r="920" spans="2:7" x14ac:dyDescent="0.35">
      <c r="B920" s="46"/>
      <c r="C920" s="46"/>
      <c r="D920" s="46"/>
      <c r="E920" s="46"/>
      <c r="F920" s="46"/>
      <c r="G920" s="79"/>
    </row>
    <row r="921" spans="2:7" x14ac:dyDescent="0.35">
      <c r="B921" s="46"/>
      <c r="C921" s="46"/>
      <c r="D921" s="46"/>
      <c r="E921" s="46"/>
      <c r="F921" s="46"/>
      <c r="G921" s="79"/>
    </row>
    <row r="922" spans="2:7" x14ac:dyDescent="0.35">
      <c r="B922" s="46"/>
      <c r="C922" s="46"/>
      <c r="D922" s="46"/>
      <c r="E922" s="46"/>
      <c r="F922" s="46"/>
      <c r="G922" s="79"/>
    </row>
    <row r="923" spans="2:7" x14ac:dyDescent="0.35">
      <c r="B923" s="46"/>
      <c r="C923" s="46"/>
      <c r="D923" s="46"/>
      <c r="E923" s="46"/>
      <c r="F923" s="46"/>
      <c r="G923" s="79"/>
    </row>
    <row r="924" spans="2:7" x14ac:dyDescent="0.35">
      <c r="B924" s="46"/>
      <c r="C924" s="46"/>
      <c r="D924" s="46"/>
      <c r="E924" s="46"/>
      <c r="F924" s="46"/>
      <c r="G924" s="79"/>
    </row>
    <row r="925" spans="2:7" x14ac:dyDescent="0.35">
      <c r="B925" s="46"/>
      <c r="C925" s="46"/>
      <c r="D925" s="46"/>
      <c r="E925" s="46"/>
      <c r="F925" s="46"/>
      <c r="G925" s="79"/>
    </row>
    <row r="926" spans="2:7" x14ac:dyDescent="0.35">
      <c r="B926" s="46"/>
      <c r="C926" s="46"/>
      <c r="D926" s="46"/>
      <c r="E926" s="46"/>
      <c r="F926" s="46"/>
      <c r="G926" s="79"/>
    </row>
    <row r="927" spans="2:7" x14ac:dyDescent="0.35">
      <c r="B927" s="46"/>
      <c r="C927" s="46"/>
      <c r="D927" s="46"/>
      <c r="E927" s="46"/>
      <c r="F927" s="46"/>
      <c r="G927" s="79"/>
    </row>
    <row r="928" spans="2:7" x14ac:dyDescent="0.35">
      <c r="B928" s="46"/>
      <c r="C928" s="46"/>
      <c r="D928" s="46"/>
      <c r="E928" s="46"/>
      <c r="F928" s="46"/>
      <c r="G928" s="79"/>
    </row>
    <row r="929" spans="2:7" x14ac:dyDescent="0.35">
      <c r="B929" s="46"/>
      <c r="C929" s="46"/>
      <c r="D929" s="46"/>
      <c r="E929" s="46"/>
      <c r="F929" s="46"/>
      <c r="G929" s="79"/>
    </row>
    <row r="930" spans="2:7" x14ac:dyDescent="0.35">
      <c r="B930" s="46"/>
      <c r="C930" s="46"/>
      <c r="D930" s="46"/>
      <c r="E930" s="46"/>
      <c r="F930" s="46"/>
      <c r="G930" s="79"/>
    </row>
    <row r="931" spans="2:7" x14ac:dyDescent="0.35">
      <c r="B931" s="46"/>
      <c r="C931" s="46"/>
      <c r="D931" s="46"/>
      <c r="E931" s="46"/>
      <c r="F931" s="46"/>
      <c r="G931" s="79"/>
    </row>
    <row r="932" spans="2:7" x14ac:dyDescent="0.35">
      <c r="B932" s="46"/>
      <c r="C932" s="46"/>
      <c r="D932" s="46"/>
      <c r="E932" s="46"/>
      <c r="F932" s="46"/>
      <c r="G932" s="79"/>
    </row>
    <row r="933" spans="2:7" x14ac:dyDescent="0.35">
      <c r="B933" s="46"/>
      <c r="C933" s="46"/>
      <c r="D933" s="46"/>
      <c r="E933" s="46"/>
      <c r="F933" s="46"/>
      <c r="G933" s="79"/>
    </row>
    <row r="934" spans="2:7" x14ac:dyDescent="0.35">
      <c r="B934" s="46"/>
      <c r="C934" s="46"/>
      <c r="D934" s="46"/>
      <c r="E934" s="46"/>
      <c r="F934" s="46"/>
      <c r="G934" s="79"/>
    </row>
    <row r="935" spans="2:7" x14ac:dyDescent="0.35">
      <c r="B935" s="46"/>
      <c r="C935" s="46"/>
      <c r="D935" s="46"/>
      <c r="E935" s="46"/>
      <c r="F935" s="46"/>
      <c r="G935" s="79"/>
    </row>
    <row r="936" spans="2:7" x14ac:dyDescent="0.35">
      <c r="B936" s="46"/>
      <c r="C936" s="46"/>
      <c r="D936" s="46"/>
      <c r="E936" s="46"/>
      <c r="F936" s="46"/>
      <c r="G936" s="79"/>
    </row>
    <row r="937" spans="2:7" x14ac:dyDescent="0.35">
      <c r="B937" s="46"/>
      <c r="C937" s="46"/>
      <c r="D937" s="46"/>
      <c r="E937" s="46"/>
      <c r="F937" s="46"/>
      <c r="G937" s="79"/>
    </row>
    <row r="938" spans="2:7" x14ac:dyDescent="0.35">
      <c r="B938" s="46"/>
      <c r="C938" s="46"/>
      <c r="D938" s="46"/>
      <c r="E938" s="46"/>
      <c r="F938" s="46"/>
      <c r="G938" s="79"/>
    </row>
    <row r="939" spans="2:7" x14ac:dyDescent="0.35">
      <c r="B939" s="46"/>
      <c r="C939" s="46"/>
      <c r="D939" s="46"/>
      <c r="E939" s="46"/>
      <c r="F939" s="46"/>
      <c r="G939" s="79"/>
    </row>
    <row r="940" spans="2:7" x14ac:dyDescent="0.35">
      <c r="B940" s="46"/>
      <c r="C940" s="46"/>
      <c r="D940" s="46"/>
      <c r="E940" s="46"/>
      <c r="F940" s="46"/>
      <c r="G940" s="79"/>
    </row>
    <row r="941" spans="2:7" x14ac:dyDescent="0.35">
      <c r="B941" s="46"/>
      <c r="C941" s="46"/>
      <c r="D941" s="46"/>
      <c r="E941" s="46"/>
      <c r="F941" s="46"/>
      <c r="G941" s="79"/>
    </row>
    <row r="942" spans="2:7" x14ac:dyDescent="0.35">
      <c r="B942" s="46"/>
      <c r="C942" s="46"/>
      <c r="D942" s="46"/>
      <c r="E942" s="46"/>
      <c r="F942" s="46"/>
      <c r="G942" s="79"/>
    </row>
    <row r="943" spans="2:7" x14ac:dyDescent="0.35">
      <c r="B943" s="46"/>
      <c r="C943" s="46"/>
      <c r="D943" s="46"/>
      <c r="E943" s="46"/>
      <c r="F943" s="46"/>
      <c r="G943" s="79"/>
    </row>
    <row r="944" spans="2:7" x14ac:dyDescent="0.35">
      <c r="B944" s="46"/>
      <c r="C944" s="46"/>
      <c r="D944" s="46"/>
      <c r="E944" s="46"/>
      <c r="F944" s="46"/>
      <c r="G944" s="79"/>
    </row>
    <row r="945" spans="2:7" x14ac:dyDescent="0.35">
      <c r="B945" s="46"/>
      <c r="C945" s="46"/>
      <c r="D945" s="46"/>
      <c r="E945" s="46"/>
      <c r="F945" s="46"/>
      <c r="G945" s="79"/>
    </row>
    <row r="946" spans="2:7" x14ac:dyDescent="0.35">
      <c r="B946" s="46"/>
      <c r="C946" s="46"/>
      <c r="D946" s="46"/>
      <c r="E946" s="46"/>
      <c r="F946" s="46"/>
      <c r="G946" s="79"/>
    </row>
    <row r="947" spans="2:7" x14ac:dyDescent="0.35">
      <c r="B947" s="46"/>
      <c r="C947" s="46"/>
      <c r="D947" s="46"/>
      <c r="E947" s="46"/>
      <c r="F947" s="46"/>
      <c r="G947" s="79"/>
    </row>
    <row r="948" spans="2:7" x14ac:dyDescent="0.35">
      <c r="B948" s="46"/>
      <c r="C948" s="46"/>
      <c r="D948" s="46"/>
      <c r="E948" s="46"/>
      <c r="F948" s="46"/>
      <c r="G948" s="79"/>
    </row>
    <row r="949" spans="2:7" x14ac:dyDescent="0.35">
      <c r="B949" s="46"/>
      <c r="C949" s="46"/>
      <c r="D949" s="46"/>
      <c r="E949" s="46"/>
      <c r="F949" s="46"/>
      <c r="G949" s="79"/>
    </row>
    <row r="950" spans="2:7" x14ac:dyDescent="0.35">
      <c r="B950" s="46"/>
      <c r="C950" s="46"/>
      <c r="D950" s="46"/>
      <c r="E950" s="46"/>
      <c r="F950" s="46"/>
      <c r="G950" s="79"/>
    </row>
    <row r="951" spans="2:7" x14ac:dyDescent="0.35">
      <c r="B951" s="46"/>
      <c r="C951" s="46"/>
      <c r="D951" s="46"/>
      <c r="E951" s="46"/>
      <c r="F951" s="46"/>
      <c r="G951" s="79"/>
    </row>
    <row r="952" spans="2:7" x14ac:dyDescent="0.35">
      <c r="B952" s="46"/>
      <c r="C952" s="46"/>
      <c r="D952" s="46"/>
      <c r="E952" s="46"/>
      <c r="F952" s="46"/>
      <c r="G952" s="79"/>
    </row>
    <row r="953" spans="2:7" x14ac:dyDescent="0.35">
      <c r="B953" s="46"/>
      <c r="C953" s="46"/>
      <c r="D953" s="46"/>
      <c r="E953" s="46"/>
      <c r="F953" s="46"/>
      <c r="G953" s="79"/>
    </row>
    <row r="954" spans="2:7" x14ac:dyDescent="0.35">
      <c r="B954" s="46"/>
      <c r="C954" s="46"/>
      <c r="D954" s="46"/>
      <c r="E954" s="46"/>
      <c r="F954" s="46"/>
      <c r="G954" s="79"/>
    </row>
    <row r="955" spans="2:7" x14ac:dyDescent="0.35">
      <c r="B955" s="46"/>
      <c r="C955" s="46"/>
      <c r="D955" s="46"/>
      <c r="E955" s="46"/>
      <c r="F955" s="46"/>
      <c r="G955" s="79"/>
    </row>
    <row r="956" spans="2:7" x14ac:dyDescent="0.35">
      <c r="B956" s="46"/>
      <c r="C956" s="46"/>
      <c r="D956" s="46"/>
      <c r="E956" s="46"/>
      <c r="F956" s="46"/>
      <c r="G956" s="79"/>
    </row>
    <row r="957" spans="2:7" x14ac:dyDescent="0.35">
      <c r="B957" s="46"/>
      <c r="C957" s="46"/>
      <c r="D957" s="46"/>
      <c r="E957" s="46"/>
      <c r="F957" s="46"/>
      <c r="G957" s="79"/>
    </row>
    <row r="958" spans="2:7" x14ac:dyDescent="0.35">
      <c r="B958" s="46"/>
      <c r="C958" s="46"/>
      <c r="D958" s="46"/>
      <c r="E958" s="46"/>
      <c r="F958" s="46"/>
      <c r="G958" s="79"/>
    </row>
    <row r="959" spans="2:7" x14ac:dyDescent="0.35">
      <c r="B959" s="46"/>
      <c r="C959" s="46"/>
      <c r="D959" s="46"/>
      <c r="E959" s="46"/>
      <c r="F959" s="46"/>
      <c r="G959" s="79"/>
    </row>
    <row r="960" spans="2:7" x14ac:dyDescent="0.35">
      <c r="B960" s="46"/>
      <c r="C960" s="46"/>
      <c r="D960" s="46"/>
      <c r="E960" s="46"/>
      <c r="F960" s="46"/>
      <c r="G960" s="79"/>
    </row>
    <row r="961" spans="2:7" x14ac:dyDescent="0.35">
      <c r="B961" s="46"/>
      <c r="C961" s="46"/>
      <c r="D961" s="46"/>
      <c r="E961" s="46"/>
      <c r="F961" s="46"/>
      <c r="G961" s="79"/>
    </row>
    <row r="962" spans="2:7" x14ac:dyDescent="0.35">
      <c r="B962" s="46"/>
      <c r="C962" s="46"/>
      <c r="D962" s="46"/>
      <c r="E962" s="46"/>
      <c r="F962" s="46"/>
      <c r="G962" s="79"/>
    </row>
    <row r="963" spans="2:7" x14ac:dyDescent="0.35">
      <c r="B963" s="46"/>
      <c r="C963" s="46"/>
      <c r="D963" s="46"/>
      <c r="E963" s="46"/>
      <c r="F963" s="46"/>
      <c r="G963" s="79"/>
    </row>
    <row r="964" spans="2:7" x14ac:dyDescent="0.35">
      <c r="B964" s="46"/>
      <c r="C964" s="46"/>
      <c r="D964" s="46"/>
      <c r="E964" s="46"/>
      <c r="F964" s="46"/>
      <c r="G964" s="79"/>
    </row>
    <row r="965" spans="2:7" x14ac:dyDescent="0.35">
      <c r="B965" s="46"/>
      <c r="C965" s="46"/>
      <c r="D965" s="46"/>
      <c r="E965" s="46"/>
      <c r="F965" s="46"/>
      <c r="G965" s="79"/>
    </row>
    <row r="966" spans="2:7" x14ac:dyDescent="0.35">
      <c r="B966" s="46"/>
      <c r="C966" s="46"/>
      <c r="D966" s="46"/>
      <c r="E966" s="46"/>
      <c r="F966" s="46"/>
      <c r="G966" s="79"/>
    </row>
    <row r="967" spans="2:7" x14ac:dyDescent="0.35">
      <c r="B967" s="46"/>
      <c r="C967" s="46"/>
      <c r="D967" s="46"/>
      <c r="E967" s="46"/>
      <c r="F967" s="46"/>
      <c r="G967" s="79"/>
    </row>
    <row r="968" spans="2:7" x14ac:dyDescent="0.35">
      <c r="B968" s="46"/>
      <c r="C968" s="46"/>
      <c r="D968" s="46"/>
      <c r="E968" s="46"/>
      <c r="F968" s="46"/>
      <c r="G968" s="79"/>
    </row>
    <row r="969" spans="2:7" x14ac:dyDescent="0.35">
      <c r="B969" s="46"/>
      <c r="C969" s="46"/>
      <c r="D969" s="46"/>
      <c r="E969" s="46"/>
      <c r="F969" s="46"/>
      <c r="G969" s="79"/>
    </row>
    <row r="970" spans="2:7" x14ac:dyDescent="0.35">
      <c r="B970" s="46"/>
      <c r="C970" s="46"/>
      <c r="D970" s="46"/>
      <c r="E970" s="46"/>
      <c r="F970" s="46"/>
      <c r="G970" s="79"/>
    </row>
    <row r="971" spans="2:7" x14ac:dyDescent="0.35">
      <c r="B971" s="46"/>
      <c r="C971" s="46"/>
      <c r="D971" s="46"/>
      <c r="E971" s="46"/>
      <c r="F971" s="46"/>
      <c r="G971" s="79"/>
    </row>
    <row r="972" spans="2:7" x14ac:dyDescent="0.35">
      <c r="B972" s="46"/>
      <c r="C972" s="46"/>
      <c r="D972" s="46"/>
      <c r="E972" s="46"/>
      <c r="F972" s="46"/>
      <c r="G972" s="79"/>
    </row>
    <row r="973" spans="2:7" x14ac:dyDescent="0.35">
      <c r="B973" s="46"/>
      <c r="C973" s="46"/>
      <c r="D973" s="46"/>
      <c r="E973" s="46"/>
      <c r="F973" s="46"/>
      <c r="G973" s="79"/>
    </row>
    <row r="974" spans="2:7" x14ac:dyDescent="0.35">
      <c r="B974" s="46"/>
      <c r="C974" s="46"/>
      <c r="D974" s="46"/>
      <c r="E974" s="46"/>
      <c r="F974" s="46"/>
      <c r="G974" s="79"/>
    </row>
    <row r="975" spans="2:7" x14ac:dyDescent="0.35">
      <c r="B975" s="46"/>
      <c r="C975" s="46"/>
      <c r="D975" s="46"/>
      <c r="E975" s="46"/>
      <c r="F975" s="46"/>
      <c r="G975" s="79"/>
    </row>
    <row r="976" spans="2:7" x14ac:dyDescent="0.35">
      <c r="B976" s="46"/>
      <c r="C976" s="46"/>
      <c r="D976" s="46"/>
      <c r="E976" s="46"/>
      <c r="F976" s="46"/>
      <c r="G976" s="79"/>
    </row>
    <row r="977" spans="2:7" x14ac:dyDescent="0.35">
      <c r="B977" s="46"/>
      <c r="C977" s="46"/>
      <c r="D977" s="46"/>
      <c r="E977" s="46"/>
      <c r="F977" s="46"/>
      <c r="G977" s="79"/>
    </row>
    <row r="978" spans="2:7" x14ac:dyDescent="0.35">
      <c r="B978" s="46"/>
      <c r="C978" s="46"/>
      <c r="D978" s="46"/>
      <c r="E978" s="46"/>
      <c r="F978" s="46"/>
      <c r="G978" s="79"/>
    </row>
    <row r="979" spans="2:7" x14ac:dyDescent="0.35">
      <c r="B979" s="46"/>
      <c r="C979" s="46"/>
      <c r="D979" s="46"/>
      <c r="E979" s="46"/>
      <c r="F979" s="46"/>
      <c r="G979" s="79"/>
    </row>
    <row r="980" spans="2:7" x14ac:dyDescent="0.35">
      <c r="B980" s="46"/>
      <c r="C980" s="46"/>
      <c r="D980" s="46"/>
      <c r="E980" s="46"/>
      <c r="F980" s="46"/>
      <c r="G980" s="79"/>
    </row>
    <row r="981" spans="2:7" x14ac:dyDescent="0.35">
      <c r="B981" s="46"/>
      <c r="C981" s="46"/>
      <c r="D981" s="46"/>
      <c r="E981" s="46"/>
      <c r="F981" s="46"/>
      <c r="G981" s="79"/>
    </row>
    <row r="982" spans="2:7" x14ac:dyDescent="0.35">
      <c r="B982" s="46"/>
      <c r="C982" s="46"/>
      <c r="D982" s="46"/>
      <c r="E982" s="46"/>
      <c r="F982" s="46"/>
      <c r="G982" s="79"/>
    </row>
    <row r="983" spans="2:7" x14ac:dyDescent="0.35">
      <c r="B983" s="46"/>
      <c r="C983" s="46"/>
      <c r="D983" s="46"/>
      <c r="E983" s="46"/>
      <c r="F983" s="46"/>
      <c r="G983" s="79"/>
    </row>
    <row r="984" spans="2:7" x14ac:dyDescent="0.35">
      <c r="B984" s="46"/>
      <c r="C984" s="46"/>
      <c r="D984" s="46"/>
      <c r="E984" s="46"/>
      <c r="F984" s="46"/>
      <c r="G984" s="79"/>
    </row>
    <row r="985" spans="2:7" x14ac:dyDescent="0.35">
      <c r="B985" s="46"/>
      <c r="C985" s="46"/>
      <c r="D985" s="46"/>
      <c r="E985" s="46"/>
      <c r="F985" s="46"/>
      <c r="G985" s="79"/>
    </row>
    <row r="986" spans="2:7" x14ac:dyDescent="0.35">
      <c r="B986" s="46"/>
      <c r="C986" s="46"/>
      <c r="D986" s="46"/>
      <c r="E986" s="46"/>
      <c r="F986" s="46"/>
      <c r="G986" s="79"/>
    </row>
    <row r="987" spans="2:7" x14ac:dyDescent="0.35">
      <c r="B987" s="46"/>
      <c r="C987" s="46"/>
      <c r="D987" s="46"/>
      <c r="E987" s="46"/>
      <c r="F987" s="46"/>
      <c r="G987" s="79"/>
    </row>
    <row r="988" spans="2:7" x14ac:dyDescent="0.35">
      <c r="B988" s="46"/>
      <c r="C988" s="46"/>
      <c r="D988" s="46"/>
      <c r="E988" s="46"/>
      <c r="F988" s="46"/>
      <c r="G988" s="79"/>
    </row>
    <row r="989" spans="2:7" x14ac:dyDescent="0.35">
      <c r="B989" s="46"/>
      <c r="C989" s="46"/>
      <c r="D989" s="46"/>
      <c r="E989" s="46"/>
      <c r="F989" s="46"/>
      <c r="G989" s="79"/>
    </row>
    <row r="990" spans="2:7" x14ac:dyDescent="0.35">
      <c r="B990" s="46"/>
      <c r="C990" s="46"/>
      <c r="D990" s="46"/>
      <c r="E990" s="46"/>
      <c r="F990" s="46"/>
      <c r="G990" s="79"/>
    </row>
    <row r="991" spans="2:7" x14ac:dyDescent="0.35">
      <c r="B991" s="46"/>
      <c r="C991" s="46"/>
      <c r="D991" s="46"/>
      <c r="E991" s="46"/>
      <c r="F991" s="46"/>
      <c r="G991" s="79"/>
    </row>
    <row r="992" spans="2:7" x14ac:dyDescent="0.35">
      <c r="B992" s="46"/>
      <c r="C992" s="46"/>
      <c r="D992" s="46"/>
      <c r="E992" s="46"/>
      <c r="F992" s="46"/>
      <c r="G992" s="79"/>
    </row>
    <row r="993" spans="2:7" x14ac:dyDescent="0.35">
      <c r="B993" s="46"/>
      <c r="C993" s="46"/>
      <c r="D993" s="46"/>
      <c r="E993" s="46"/>
      <c r="F993" s="46"/>
      <c r="G993" s="79"/>
    </row>
    <row r="994" spans="2:7" x14ac:dyDescent="0.35">
      <c r="B994" s="46"/>
      <c r="C994" s="46"/>
      <c r="D994" s="46"/>
      <c r="E994" s="46"/>
      <c r="F994" s="46"/>
      <c r="G994" s="79"/>
    </row>
    <row r="995" spans="2:7" x14ac:dyDescent="0.35">
      <c r="B995" s="46"/>
      <c r="C995" s="46"/>
      <c r="D995" s="46"/>
      <c r="E995" s="46"/>
      <c r="F995" s="46"/>
      <c r="G995" s="79"/>
    </row>
    <row r="996" spans="2:7" x14ac:dyDescent="0.35">
      <c r="B996" s="46"/>
      <c r="C996" s="46"/>
      <c r="D996" s="46"/>
      <c r="E996" s="46"/>
      <c r="F996" s="46"/>
      <c r="G996" s="79"/>
    </row>
    <row r="997" spans="2:7" x14ac:dyDescent="0.35">
      <c r="B997" s="46"/>
      <c r="C997" s="46"/>
      <c r="D997" s="46"/>
      <c r="E997" s="46"/>
      <c r="F997" s="46"/>
      <c r="G997" s="79"/>
    </row>
    <row r="998" spans="2:7" x14ac:dyDescent="0.35">
      <c r="B998" s="46"/>
      <c r="C998" s="46"/>
      <c r="D998" s="46"/>
      <c r="E998" s="46"/>
      <c r="F998" s="46"/>
      <c r="G998" s="79"/>
    </row>
    <row r="999" spans="2:7" x14ac:dyDescent="0.35">
      <c r="B999" s="46"/>
      <c r="C999" s="46"/>
      <c r="D999" s="46"/>
      <c r="E999" s="46"/>
      <c r="F999" s="46"/>
      <c r="G999" s="79"/>
    </row>
    <row r="1000" spans="2:7" x14ac:dyDescent="0.35">
      <c r="B1000" s="46"/>
      <c r="C1000" s="46"/>
      <c r="D1000" s="46"/>
      <c r="E1000" s="46"/>
      <c r="F1000" s="46"/>
      <c r="G1000" s="79"/>
    </row>
    <row r="1001" spans="2:7" x14ac:dyDescent="0.35">
      <c r="B1001" s="46"/>
      <c r="C1001" s="46"/>
      <c r="D1001" s="46"/>
      <c r="E1001" s="46"/>
      <c r="F1001" s="46"/>
      <c r="G1001" s="79"/>
    </row>
    <row r="1002" spans="2:7" x14ac:dyDescent="0.35">
      <c r="B1002" s="46"/>
      <c r="C1002" s="46"/>
      <c r="D1002" s="46"/>
      <c r="E1002" s="46"/>
      <c r="F1002" s="46"/>
      <c r="G1002" s="79"/>
    </row>
    <row r="1003" spans="2:7" x14ac:dyDescent="0.35">
      <c r="B1003" s="46"/>
      <c r="C1003" s="46"/>
      <c r="D1003" s="46"/>
      <c r="E1003" s="46"/>
      <c r="F1003" s="46"/>
      <c r="G1003" s="79"/>
    </row>
    <row r="1004" spans="2:7" x14ac:dyDescent="0.35">
      <c r="B1004" s="46"/>
      <c r="C1004" s="46"/>
      <c r="D1004" s="46"/>
      <c r="E1004" s="46"/>
      <c r="F1004" s="46"/>
      <c r="G1004" s="79"/>
    </row>
    <row r="1005" spans="2:7" x14ac:dyDescent="0.35">
      <c r="B1005" s="46"/>
      <c r="C1005" s="46"/>
      <c r="D1005" s="46"/>
      <c r="E1005" s="46"/>
      <c r="F1005" s="46"/>
      <c r="G1005" s="79"/>
    </row>
    <row r="1006" spans="2:7" x14ac:dyDescent="0.35">
      <c r="B1006" s="46"/>
      <c r="C1006" s="46"/>
      <c r="D1006" s="46"/>
      <c r="E1006" s="46"/>
      <c r="F1006" s="46"/>
      <c r="G1006" s="79"/>
    </row>
    <row r="1007" spans="2:7" x14ac:dyDescent="0.35">
      <c r="B1007" s="46"/>
      <c r="C1007" s="46"/>
      <c r="D1007" s="46"/>
      <c r="E1007" s="46"/>
      <c r="F1007" s="46"/>
      <c r="G1007" s="79"/>
    </row>
    <row r="1008" spans="2:7" x14ac:dyDescent="0.35">
      <c r="B1008" s="46"/>
      <c r="C1008" s="46"/>
      <c r="D1008" s="46"/>
      <c r="E1008" s="46"/>
      <c r="F1008" s="46"/>
      <c r="G1008" s="79"/>
    </row>
    <row r="1009" spans="2:7" x14ac:dyDescent="0.35">
      <c r="B1009" s="46"/>
      <c r="C1009" s="46"/>
      <c r="D1009" s="46"/>
      <c r="E1009" s="46"/>
      <c r="F1009" s="46"/>
      <c r="G1009" s="79"/>
    </row>
    <row r="1010" spans="2:7" x14ac:dyDescent="0.35">
      <c r="B1010" s="46"/>
      <c r="C1010" s="46"/>
      <c r="D1010" s="46"/>
      <c r="E1010" s="46"/>
      <c r="F1010" s="46"/>
      <c r="G1010" s="79"/>
    </row>
    <row r="1011" spans="2:7" x14ac:dyDescent="0.35">
      <c r="B1011" s="46"/>
      <c r="C1011" s="46"/>
      <c r="D1011" s="46"/>
      <c r="E1011" s="46"/>
      <c r="F1011" s="46"/>
      <c r="G1011" s="79"/>
    </row>
    <row r="1012" spans="2:7" x14ac:dyDescent="0.35">
      <c r="B1012" s="46"/>
      <c r="C1012" s="46"/>
      <c r="D1012" s="46"/>
      <c r="E1012" s="46"/>
      <c r="F1012" s="46"/>
      <c r="G1012" s="79"/>
    </row>
    <row r="1013" spans="2:7" x14ac:dyDescent="0.35">
      <c r="B1013" s="46"/>
      <c r="C1013" s="46"/>
      <c r="D1013" s="46"/>
      <c r="E1013" s="46"/>
      <c r="F1013" s="46"/>
      <c r="G1013" s="79"/>
    </row>
    <row r="1014" spans="2:7" x14ac:dyDescent="0.35">
      <c r="B1014" s="46"/>
      <c r="C1014" s="46"/>
      <c r="D1014" s="46"/>
      <c r="E1014" s="46"/>
      <c r="F1014" s="46"/>
      <c r="G1014" s="79"/>
    </row>
    <row r="1015" spans="2:7" x14ac:dyDescent="0.35">
      <c r="B1015" s="46"/>
      <c r="C1015" s="46"/>
      <c r="D1015" s="46"/>
      <c r="E1015" s="46"/>
      <c r="F1015" s="46"/>
      <c r="G1015" s="79"/>
    </row>
    <row r="1016" spans="2:7" x14ac:dyDescent="0.35">
      <c r="B1016" s="46"/>
      <c r="C1016" s="46"/>
      <c r="D1016" s="46"/>
      <c r="E1016" s="46"/>
      <c r="F1016" s="46"/>
      <c r="G1016" s="79"/>
    </row>
    <row r="1017" spans="2:7" x14ac:dyDescent="0.35">
      <c r="B1017" s="46"/>
      <c r="C1017" s="46"/>
      <c r="D1017" s="46"/>
      <c r="E1017" s="46"/>
      <c r="F1017" s="46"/>
      <c r="G1017" s="79"/>
    </row>
    <row r="1018" spans="2:7" x14ac:dyDescent="0.35">
      <c r="B1018" s="46"/>
      <c r="C1018" s="46"/>
      <c r="D1018" s="46"/>
      <c r="E1018" s="46"/>
      <c r="F1018" s="46"/>
      <c r="G1018" s="79"/>
    </row>
    <row r="1019" spans="2:7" x14ac:dyDescent="0.35">
      <c r="B1019" s="46"/>
      <c r="C1019" s="46"/>
      <c r="D1019" s="46"/>
      <c r="E1019" s="46"/>
      <c r="F1019" s="46"/>
      <c r="G1019" s="79"/>
    </row>
    <row r="1020" spans="2:7" x14ac:dyDescent="0.35">
      <c r="B1020" s="46"/>
      <c r="C1020" s="46"/>
      <c r="D1020" s="46"/>
      <c r="E1020" s="46"/>
      <c r="F1020" s="46"/>
      <c r="G1020" s="79"/>
    </row>
    <row r="1021" spans="2:7" x14ac:dyDescent="0.35">
      <c r="B1021" s="46"/>
      <c r="C1021" s="46"/>
      <c r="D1021" s="46"/>
      <c r="E1021" s="46"/>
      <c r="F1021" s="46"/>
      <c r="G1021" s="79"/>
    </row>
    <row r="1022" spans="2:7" x14ac:dyDescent="0.35">
      <c r="B1022" s="46"/>
      <c r="C1022" s="46"/>
      <c r="D1022" s="46"/>
      <c r="E1022" s="46"/>
      <c r="F1022" s="46"/>
      <c r="G1022" s="79"/>
    </row>
    <row r="1023" spans="2:7" x14ac:dyDescent="0.35">
      <c r="B1023" s="46"/>
      <c r="C1023" s="46"/>
      <c r="D1023" s="46"/>
      <c r="E1023" s="46"/>
      <c r="F1023" s="46"/>
      <c r="G1023" s="79"/>
    </row>
    <row r="1024" spans="2:7" x14ac:dyDescent="0.35">
      <c r="B1024" s="46"/>
      <c r="C1024" s="46"/>
      <c r="D1024" s="46"/>
      <c r="E1024" s="46"/>
      <c r="F1024" s="46"/>
      <c r="G1024" s="79"/>
    </row>
    <row r="1025" spans="2:7" x14ac:dyDescent="0.35">
      <c r="B1025" s="46"/>
      <c r="C1025" s="46"/>
      <c r="D1025" s="46"/>
      <c r="E1025" s="46"/>
      <c r="F1025" s="46"/>
      <c r="G1025" s="79"/>
    </row>
    <row r="1026" spans="2:7" x14ac:dyDescent="0.35">
      <c r="B1026" s="46"/>
      <c r="C1026" s="46"/>
      <c r="D1026" s="46"/>
      <c r="E1026" s="46"/>
      <c r="F1026" s="46"/>
      <c r="G1026" s="79"/>
    </row>
    <row r="1027" spans="2:7" x14ac:dyDescent="0.35">
      <c r="B1027" s="46"/>
      <c r="C1027" s="46"/>
      <c r="D1027" s="46"/>
      <c r="E1027" s="46"/>
      <c r="F1027" s="46"/>
      <c r="G1027" s="79"/>
    </row>
    <row r="1028" spans="2:7" x14ac:dyDescent="0.35">
      <c r="B1028" s="46"/>
      <c r="C1028" s="46"/>
      <c r="D1028" s="46"/>
      <c r="E1028" s="46"/>
      <c r="F1028" s="46"/>
      <c r="G1028" s="79"/>
    </row>
    <row r="1029" spans="2:7" x14ac:dyDescent="0.35">
      <c r="B1029" s="46"/>
      <c r="C1029" s="46"/>
      <c r="D1029" s="46"/>
      <c r="E1029" s="46"/>
      <c r="F1029" s="46"/>
      <c r="G1029" s="79"/>
    </row>
    <row r="1030" spans="2:7" x14ac:dyDescent="0.35">
      <c r="B1030" s="46"/>
      <c r="C1030" s="46"/>
      <c r="D1030" s="46"/>
      <c r="E1030" s="46"/>
      <c r="F1030" s="46"/>
      <c r="G1030" s="79"/>
    </row>
    <row r="1031" spans="2:7" x14ac:dyDescent="0.35">
      <c r="B1031" s="46"/>
      <c r="C1031" s="46"/>
      <c r="D1031" s="46"/>
      <c r="E1031" s="46"/>
      <c r="F1031" s="46"/>
      <c r="G1031" s="79"/>
    </row>
    <row r="1032" spans="2:7" x14ac:dyDescent="0.35">
      <c r="B1032" s="46"/>
      <c r="C1032" s="46"/>
      <c r="D1032" s="46"/>
      <c r="E1032" s="46"/>
      <c r="F1032" s="46"/>
      <c r="G1032" s="79"/>
    </row>
    <row r="1033" spans="2:7" x14ac:dyDescent="0.35">
      <c r="B1033" s="46"/>
      <c r="C1033" s="46"/>
      <c r="D1033" s="46"/>
      <c r="E1033" s="46"/>
      <c r="F1033" s="46"/>
      <c r="G1033" s="79"/>
    </row>
    <row r="1034" spans="2:7" x14ac:dyDescent="0.35">
      <c r="B1034" s="46"/>
      <c r="C1034" s="46"/>
      <c r="D1034" s="46"/>
      <c r="E1034" s="46"/>
      <c r="F1034" s="46"/>
      <c r="G1034" s="79"/>
    </row>
    <row r="1035" spans="2:7" x14ac:dyDescent="0.35">
      <c r="B1035" s="46"/>
      <c r="C1035" s="46"/>
      <c r="D1035" s="46"/>
      <c r="E1035" s="46"/>
      <c r="F1035" s="46"/>
      <c r="G1035" s="79"/>
    </row>
    <row r="1036" spans="2:7" x14ac:dyDescent="0.35">
      <c r="B1036" s="46"/>
      <c r="C1036" s="46"/>
      <c r="D1036" s="46"/>
      <c r="E1036" s="46"/>
      <c r="F1036" s="46"/>
      <c r="G1036" s="79"/>
    </row>
    <row r="1037" spans="2:7" x14ac:dyDescent="0.35">
      <c r="B1037" s="46"/>
      <c r="C1037" s="46"/>
      <c r="D1037" s="46"/>
      <c r="E1037" s="46"/>
      <c r="F1037" s="46"/>
      <c r="G1037" s="79"/>
    </row>
    <row r="1038" spans="2:7" x14ac:dyDescent="0.35">
      <c r="B1038" s="46"/>
      <c r="C1038" s="46"/>
      <c r="D1038" s="46"/>
      <c r="E1038" s="46"/>
      <c r="F1038" s="46"/>
      <c r="G1038" s="79"/>
    </row>
    <row r="1039" spans="2:7" x14ac:dyDescent="0.35">
      <c r="B1039" s="46"/>
      <c r="C1039" s="46"/>
      <c r="D1039" s="46"/>
      <c r="E1039" s="46"/>
      <c r="F1039" s="46"/>
      <c r="G1039" s="79"/>
    </row>
    <row r="1040" spans="2:7" x14ac:dyDescent="0.35">
      <c r="B1040" s="46"/>
      <c r="C1040" s="46"/>
      <c r="D1040" s="46"/>
      <c r="E1040" s="46"/>
      <c r="F1040" s="46"/>
      <c r="G1040" s="79"/>
    </row>
    <row r="1041" spans="2:7" x14ac:dyDescent="0.35">
      <c r="B1041" s="46"/>
      <c r="C1041" s="46"/>
      <c r="D1041" s="46"/>
      <c r="E1041" s="46"/>
      <c r="F1041" s="46"/>
      <c r="G1041" s="79"/>
    </row>
    <row r="1042" spans="2:7" x14ac:dyDescent="0.35">
      <c r="B1042" s="46"/>
      <c r="C1042" s="46"/>
      <c r="D1042" s="46"/>
      <c r="E1042" s="46"/>
      <c r="F1042" s="46"/>
      <c r="G1042" s="79"/>
    </row>
    <row r="1043" spans="2:7" x14ac:dyDescent="0.35">
      <c r="B1043" s="46"/>
      <c r="C1043" s="46"/>
      <c r="D1043" s="46"/>
      <c r="E1043" s="46"/>
      <c r="F1043" s="46"/>
      <c r="G1043" s="79"/>
    </row>
    <row r="1044" spans="2:7" x14ac:dyDescent="0.35">
      <c r="B1044" s="46"/>
      <c r="C1044" s="46"/>
      <c r="D1044" s="46"/>
      <c r="E1044" s="46"/>
      <c r="F1044" s="46"/>
      <c r="G1044" s="79"/>
    </row>
    <row r="1045" spans="2:7" x14ac:dyDescent="0.35">
      <c r="B1045" s="46"/>
      <c r="C1045" s="46"/>
      <c r="D1045" s="46"/>
      <c r="E1045" s="46"/>
      <c r="F1045" s="46"/>
      <c r="G1045" s="79"/>
    </row>
    <row r="1046" spans="2:7" x14ac:dyDescent="0.35">
      <c r="B1046" s="46"/>
      <c r="C1046" s="46"/>
      <c r="D1046" s="46"/>
      <c r="E1046" s="46"/>
      <c r="F1046" s="46"/>
      <c r="G1046" s="79"/>
    </row>
    <row r="1047" spans="2:7" x14ac:dyDescent="0.35">
      <c r="B1047" s="46"/>
      <c r="C1047" s="46"/>
      <c r="D1047" s="46"/>
      <c r="E1047" s="46"/>
      <c r="F1047" s="46"/>
      <c r="G1047" s="79"/>
    </row>
    <row r="1048" spans="2:7" x14ac:dyDescent="0.35">
      <c r="B1048" s="46"/>
      <c r="C1048" s="46"/>
      <c r="D1048" s="46"/>
      <c r="E1048" s="46"/>
      <c r="F1048" s="46"/>
      <c r="G1048" s="79"/>
    </row>
    <row r="1049" spans="2:7" x14ac:dyDescent="0.35">
      <c r="B1049" s="46"/>
      <c r="C1049" s="46"/>
      <c r="D1049" s="46"/>
      <c r="E1049" s="46"/>
      <c r="F1049" s="46"/>
      <c r="G1049" s="79"/>
    </row>
    <row r="1050" spans="2:7" x14ac:dyDescent="0.35">
      <c r="B1050" s="46"/>
      <c r="C1050" s="46"/>
      <c r="D1050" s="46"/>
      <c r="E1050" s="46"/>
      <c r="F1050" s="46"/>
      <c r="G1050" s="79"/>
    </row>
    <row r="1051" spans="2:7" x14ac:dyDescent="0.35">
      <c r="B1051" s="46"/>
      <c r="C1051" s="46"/>
      <c r="D1051" s="46"/>
      <c r="E1051" s="46"/>
      <c r="F1051" s="46"/>
      <c r="G1051" s="79"/>
    </row>
    <row r="1052" spans="2:7" x14ac:dyDescent="0.35">
      <c r="B1052" s="46"/>
      <c r="C1052" s="46"/>
      <c r="D1052" s="46"/>
      <c r="E1052" s="46"/>
      <c r="F1052" s="46"/>
      <c r="G1052" s="79"/>
    </row>
    <row r="1053" spans="2:7" x14ac:dyDescent="0.35">
      <c r="B1053" s="46"/>
      <c r="C1053" s="46"/>
      <c r="D1053" s="46"/>
      <c r="E1053" s="46"/>
      <c r="F1053" s="46"/>
      <c r="G1053" s="79"/>
    </row>
    <row r="1054" spans="2:7" x14ac:dyDescent="0.35">
      <c r="B1054" s="46"/>
      <c r="C1054" s="46"/>
      <c r="D1054" s="46"/>
      <c r="E1054" s="46"/>
      <c r="F1054" s="46"/>
      <c r="G1054" s="79"/>
    </row>
    <row r="1055" spans="2:7" x14ac:dyDescent="0.35">
      <c r="B1055" s="46"/>
      <c r="C1055" s="46"/>
      <c r="D1055" s="46"/>
      <c r="E1055" s="46"/>
      <c r="F1055" s="46"/>
      <c r="G1055" s="79"/>
    </row>
    <row r="1056" spans="2:7" x14ac:dyDescent="0.35">
      <c r="B1056" s="46"/>
      <c r="C1056" s="46"/>
      <c r="D1056" s="46"/>
      <c r="E1056" s="46"/>
      <c r="F1056" s="46"/>
      <c r="G1056" s="79"/>
    </row>
    <row r="1057" spans="2:7" x14ac:dyDescent="0.35">
      <c r="B1057" s="46"/>
      <c r="C1057" s="46"/>
      <c r="D1057" s="46"/>
      <c r="E1057" s="46"/>
      <c r="F1057" s="46"/>
      <c r="G1057" s="79"/>
    </row>
    <row r="1058" spans="2:7" x14ac:dyDescent="0.35">
      <c r="B1058" s="46"/>
      <c r="C1058" s="46"/>
      <c r="D1058" s="46"/>
      <c r="E1058" s="46"/>
      <c r="F1058" s="46"/>
      <c r="G1058" s="79"/>
    </row>
    <row r="1059" spans="2:7" x14ac:dyDescent="0.35">
      <c r="B1059" s="46"/>
      <c r="C1059" s="46"/>
      <c r="D1059" s="46"/>
      <c r="E1059" s="46"/>
      <c r="F1059" s="46"/>
      <c r="G1059" s="79"/>
    </row>
    <row r="1060" spans="2:7" x14ac:dyDescent="0.35">
      <c r="B1060" s="46"/>
      <c r="C1060" s="46"/>
      <c r="D1060" s="46"/>
      <c r="E1060" s="46"/>
      <c r="F1060" s="46"/>
      <c r="G1060" s="79"/>
    </row>
    <row r="1061" spans="2:7" x14ac:dyDescent="0.35">
      <c r="B1061" s="46"/>
      <c r="C1061" s="46"/>
      <c r="D1061" s="46"/>
      <c r="E1061" s="46"/>
      <c r="F1061" s="46"/>
      <c r="G1061" s="79"/>
    </row>
    <row r="1062" spans="2:7" x14ac:dyDescent="0.35">
      <c r="B1062" s="46"/>
      <c r="C1062" s="46"/>
      <c r="D1062" s="46"/>
      <c r="E1062" s="46"/>
      <c r="F1062" s="46"/>
      <c r="G1062" s="79"/>
    </row>
    <row r="1063" spans="2:7" x14ac:dyDescent="0.35">
      <c r="B1063" s="46"/>
      <c r="C1063" s="46"/>
      <c r="D1063" s="46"/>
      <c r="E1063" s="46"/>
      <c r="F1063" s="46"/>
      <c r="G1063" s="79"/>
    </row>
    <row r="1064" spans="2:7" x14ac:dyDescent="0.35">
      <c r="B1064" s="46"/>
      <c r="C1064" s="46"/>
      <c r="D1064" s="46"/>
      <c r="E1064" s="46"/>
      <c r="F1064" s="46"/>
      <c r="G1064" s="79"/>
    </row>
    <row r="1065" spans="2:7" x14ac:dyDescent="0.35">
      <c r="B1065" s="46"/>
      <c r="C1065" s="46"/>
      <c r="D1065" s="46"/>
      <c r="E1065" s="46"/>
      <c r="F1065" s="46"/>
      <c r="G1065" s="79"/>
    </row>
    <row r="1066" spans="2:7" x14ac:dyDescent="0.35">
      <c r="B1066" s="46"/>
      <c r="C1066" s="46"/>
      <c r="D1066" s="46"/>
      <c r="E1066" s="46"/>
      <c r="F1066" s="46"/>
      <c r="G1066" s="79"/>
    </row>
    <row r="1067" spans="2:7" x14ac:dyDescent="0.35">
      <c r="B1067" s="46"/>
      <c r="C1067" s="46"/>
      <c r="D1067" s="46"/>
      <c r="E1067" s="46"/>
      <c r="F1067" s="46"/>
      <c r="G1067" s="79"/>
    </row>
    <row r="1068" spans="2:7" x14ac:dyDescent="0.35">
      <c r="B1068" s="46"/>
      <c r="C1068" s="46"/>
      <c r="D1068" s="46"/>
      <c r="E1068" s="46"/>
      <c r="F1068" s="46"/>
      <c r="G1068" s="79"/>
    </row>
    <row r="1069" spans="2:7" x14ac:dyDescent="0.35">
      <c r="B1069" s="46"/>
      <c r="C1069" s="46"/>
      <c r="D1069" s="46"/>
      <c r="E1069" s="46"/>
      <c r="F1069" s="46"/>
      <c r="G1069" s="79"/>
    </row>
    <row r="1070" spans="2:7" x14ac:dyDescent="0.35">
      <c r="B1070" s="46"/>
      <c r="C1070" s="46"/>
      <c r="D1070" s="46"/>
      <c r="E1070" s="46"/>
      <c r="F1070" s="46"/>
      <c r="G1070" s="79"/>
    </row>
    <row r="1071" spans="2:7" x14ac:dyDescent="0.35">
      <c r="B1071" s="46"/>
      <c r="C1071" s="46"/>
      <c r="D1071" s="46"/>
      <c r="E1071" s="46"/>
      <c r="F1071" s="46"/>
      <c r="G1071" s="79"/>
    </row>
    <row r="1072" spans="2:7" x14ac:dyDescent="0.35">
      <c r="B1072" s="46"/>
      <c r="C1072" s="46"/>
      <c r="D1072" s="46"/>
      <c r="E1072" s="46"/>
      <c r="F1072" s="46"/>
      <c r="G1072" s="79"/>
    </row>
    <row r="1073" spans="2:7" x14ac:dyDescent="0.35">
      <c r="B1073" s="46"/>
      <c r="C1073" s="46"/>
      <c r="D1073" s="46"/>
      <c r="E1073" s="46"/>
      <c r="F1073" s="46"/>
      <c r="G1073" s="79"/>
    </row>
    <row r="1074" spans="2:7" x14ac:dyDescent="0.35">
      <c r="B1074" s="46"/>
      <c r="C1074" s="46"/>
      <c r="D1074" s="46"/>
      <c r="E1074" s="46"/>
      <c r="F1074" s="46"/>
      <c r="G1074" s="79"/>
    </row>
    <row r="1075" spans="2:7" x14ac:dyDescent="0.35">
      <c r="B1075" s="46"/>
      <c r="C1075" s="46"/>
      <c r="D1075" s="46"/>
      <c r="E1075" s="46"/>
      <c r="F1075" s="46"/>
      <c r="G1075" s="79"/>
    </row>
    <row r="1076" spans="2:7" x14ac:dyDescent="0.35">
      <c r="B1076" s="46"/>
      <c r="C1076" s="46"/>
      <c r="D1076" s="46"/>
      <c r="E1076" s="46"/>
      <c r="F1076" s="46"/>
      <c r="G1076" s="79"/>
    </row>
    <row r="1077" spans="2:7" x14ac:dyDescent="0.35">
      <c r="B1077" s="46"/>
      <c r="C1077" s="46"/>
      <c r="D1077" s="46"/>
      <c r="E1077" s="46"/>
      <c r="F1077" s="46"/>
      <c r="G1077" s="79"/>
    </row>
    <row r="1078" spans="2:7" x14ac:dyDescent="0.35">
      <c r="B1078" s="46"/>
      <c r="C1078" s="46"/>
      <c r="D1078" s="46"/>
      <c r="E1078" s="46"/>
      <c r="F1078" s="46"/>
      <c r="G1078" s="79"/>
    </row>
    <row r="1079" spans="2:7" x14ac:dyDescent="0.35">
      <c r="B1079" s="46"/>
      <c r="C1079" s="46"/>
      <c r="D1079" s="46"/>
      <c r="E1079" s="46"/>
      <c r="F1079" s="46"/>
      <c r="G1079" s="79"/>
    </row>
    <row r="1080" spans="2:7" x14ac:dyDescent="0.35">
      <c r="B1080" s="46"/>
      <c r="C1080" s="46"/>
      <c r="D1080" s="46"/>
      <c r="E1080" s="46"/>
      <c r="F1080" s="46"/>
      <c r="G1080" s="79"/>
    </row>
    <row r="1081" spans="2:7" x14ac:dyDescent="0.35">
      <c r="B1081" s="46"/>
      <c r="C1081" s="46"/>
      <c r="D1081" s="46"/>
      <c r="E1081" s="46"/>
      <c r="F1081" s="46"/>
      <c r="G1081" s="79"/>
    </row>
    <row r="1082" spans="2:7" x14ac:dyDescent="0.35">
      <c r="B1082" s="46"/>
      <c r="C1082" s="46"/>
      <c r="D1082" s="46"/>
      <c r="E1082" s="46"/>
      <c r="F1082" s="46"/>
      <c r="G1082" s="79"/>
    </row>
    <row r="1083" spans="2:7" x14ac:dyDescent="0.35">
      <c r="B1083" s="46"/>
      <c r="C1083" s="46"/>
      <c r="D1083" s="46"/>
      <c r="E1083" s="46"/>
      <c r="F1083" s="46"/>
      <c r="G1083" s="79"/>
    </row>
    <row r="1084" spans="2:7" x14ac:dyDescent="0.35">
      <c r="B1084" s="46"/>
      <c r="C1084" s="46"/>
      <c r="D1084" s="46"/>
      <c r="E1084" s="46"/>
      <c r="F1084" s="46"/>
      <c r="G1084" s="79"/>
    </row>
    <row r="1085" spans="2:7" x14ac:dyDescent="0.35">
      <c r="B1085" s="46"/>
      <c r="C1085" s="46"/>
      <c r="D1085" s="46"/>
      <c r="E1085" s="46"/>
      <c r="F1085" s="46"/>
      <c r="G1085" s="79"/>
    </row>
    <row r="1086" spans="2:7" x14ac:dyDescent="0.35">
      <c r="B1086" s="46"/>
      <c r="C1086" s="46"/>
      <c r="D1086" s="46"/>
      <c r="E1086" s="46"/>
      <c r="F1086" s="46"/>
      <c r="G1086" s="79"/>
    </row>
    <row r="1087" spans="2:7" x14ac:dyDescent="0.35">
      <c r="B1087" s="46"/>
      <c r="C1087" s="46"/>
      <c r="D1087" s="46"/>
      <c r="E1087" s="46"/>
      <c r="F1087" s="46"/>
      <c r="G1087" s="79"/>
    </row>
    <row r="1088" spans="2:7" x14ac:dyDescent="0.35">
      <c r="B1088" s="46"/>
      <c r="C1088" s="46"/>
      <c r="D1088" s="46"/>
      <c r="E1088" s="46"/>
      <c r="F1088" s="46"/>
      <c r="G1088" s="79"/>
    </row>
    <row r="1089" spans="2:7" x14ac:dyDescent="0.35">
      <c r="B1089" s="46"/>
      <c r="C1089" s="46"/>
      <c r="D1089" s="46"/>
      <c r="E1089" s="46"/>
      <c r="F1089" s="46"/>
      <c r="G1089" s="79"/>
    </row>
    <row r="1090" spans="2:7" x14ac:dyDescent="0.35">
      <c r="B1090" s="46"/>
      <c r="C1090" s="46"/>
      <c r="D1090" s="46"/>
      <c r="E1090" s="46"/>
      <c r="F1090" s="46"/>
      <c r="G1090" s="79"/>
    </row>
    <row r="1091" spans="2:7" x14ac:dyDescent="0.35">
      <c r="B1091" s="46"/>
      <c r="C1091" s="46"/>
      <c r="D1091" s="46"/>
      <c r="E1091" s="46"/>
      <c r="F1091" s="46"/>
      <c r="G1091" s="79"/>
    </row>
    <row r="1092" spans="2:7" x14ac:dyDescent="0.35">
      <c r="B1092" s="46"/>
      <c r="C1092" s="46"/>
      <c r="D1092" s="46"/>
      <c r="E1092" s="46"/>
      <c r="F1092" s="46"/>
      <c r="G1092" s="79"/>
    </row>
    <row r="1093" spans="2:7" x14ac:dyDescent="0.35">
      <c r="B1093" s="46"/>
      <c r="C1093" s="46"/>
      <c r="D1093" s="46"/>
      <c r="E1093" s="46"/>
      <c r="F1093" s="46"/>
      <c r="G1093" s="79"/>
    </row>
    <row r="1094" spans="2:7" x14ac:dyDescent="0.35">
      <c r="B1094" s="46"/>
      <c r="C1094" s="46"/>
      <c r="D1094" s="46"/>
      <c r="E1094" s="46"/>
      <c r="F1094" s="46"/>
      <c r="G1094" s="79"/>
    </row>
    <row r="1095" spans="2:7" x14ac:dyDescent="0.35">
      <c r="B1095" s="46"/>
      <c r="C1095" s="46"/>
      <c r="D1095" s="46"/>
      <c r="E1095" s="46"/>
      <c r="F1095" s="46"/>
      <c r="G1095" s="79"/>
    </row>
    <row r="1096" spans="2:7" x14ac:dyDescent="0.35">
      <c r="B1096" s="46"/>
      <c r="C1096" s="46"/>
      <c r="D1096" s="46"/>
      <c r="E1096" s="46"/>
      <c r="F1096" s="46"/>
      <c r="G1096" s="79"/>
    </row>
    <row r="1097" spans="2:7" x14ac:dyDescent="0.35">
      <c r="B1097" s="46"/>
      <c r="C1097" s="46"/>
      <c r="D1097" s="46"/>
      <c r="E1097" s="46"/>
      <c r="F1097" s="46"/>
      <c r="G1097" s="79"/>
    </row>
    <row r="1098" spans="2:7" x14ac:dyDescent="0.35">
      <c r="B1098" s="46"/>
      <c r="C1098" s="46"/>
      <c r="D1098" s="46"/>
      <c r="E1098" s="46"/>
      <c r="F1098" s="46"/>
      <c r="G1098" s="79"/>
    </row>
    <row r="1099" spans="2:7" x14ac:dyDescent="0.35">
      <c r="B1099" s="46"/>
      <c r="C1099" s="46"/>
      <c r="D1099" s="46"/>
      <c r="E1099" s="46"/>
      <c r="F1099" s="46"/>
      <c r="G1099" s="79"/>
    </row>
    <row r="1100" spans="2:7" x14ac:dyDescent="0.35">
      <c r="B1100" s="46"/>
      <c r="C1100" s="46"/>
      <c r="D1100" s="46"/>
      <c r="E1100" s="46"/>
      <c r="F1100" s="46"/>
      <c r="G1100" s="79"/>
    </row>
    <row r="1101" spans="2:7" x14ac:dyDescent="0.35">
      <c r="B1101" s="46"/>
      <c r="C1101" s="46"/>
      <c r="D1101" s="46"/>
      <c r="E1101" s="46"/>
      <c r="F1101" s="46"/>
      <c r="G1101" s="79"/>
    </row>
    <row r="1102" spans="2:7" x14ac:dyDescent="0.35">
      <c r="B1102" s="46"/>
      <c r="C1102" s="46"/>
      <c r="D1102" s="46"/>
      <c r="E1102" s="46"/>
      <c r="F1102" s="46"/>
      <c r="G1102" s="79"/>
    </row>
    <row r="1103" spans="2:7" x14ac:dyDescent="0.35">
      <c r="B1103" s="46"/>
      <c r="C1103" s="46"/>
      <c r="D1103" s="46"/>
      <c r="E1103" s="46"/>
      <c r="F1103" s="46"/>
      <c r="G1103" s="79"/>
    </row>
    <row r="1104" spans="2:7" x14ac:dyDescent="0.35">
      <c r="B1104" s="46"/>
      <c r="C1104" s="46"/>
      <c r="D1104" s="46"/>
      <c r="E1104" s="46"/>
      <c r="F1104" s="46"/>
      <c r="G1104" s="79"/>
    </row>
    <row r="1105" spans="2:7" x14ac:dyDescent="0.35">
      <c r="B1105" s="46"/>
      <c r="C1105" s="46"/>
      <c r="D1105" s="46"/>
      <c r="E1105" s="46"/>
      <c r="F1105" s="46"/>
      <c r="G1105" s="79"/>
    </row>
    <row r="1106" spans="2:7" x14ac:dyDescent="0.35">
      <c r="B1106" s="46"/>
      <c r="C1106" s="46"/>
      <c r="D1106" s="46"/>
      <c r="E1106" s="46"/>
      <c r="F1106" s="46"/>
      <c r="G1106" s="79"/>
    </row>
    <row r="1107" spans="2:7" x14ac:dyDescent="0.35">
      <c r="B1107" s="46"/>
      <c r="C1107" s="46"/>
      <c r="D1107" s="46"/>
      <c r="E1107" s="46"/>
      <c r="F1107" s="46"/>
      <c r="G1107" s="79"/>
    </row>
    <row r="1108" spans="2:7" x14ac:dyDescent="0.35">
      <c r="B1108" s="46"/>
      <c r="C1108" s="46"/>
      <c r="D1108" s="46"/>
      <c r="E1108" s="46"/>
      <c r="F1108" s="46"/>
      <c r="G1108" s="79"/>
    </row>
    <row r="1109" spans="2:7" x14ac:dyDescent="0.35">
      <c r="B1109" s="46"/>
      <c r="C1109" s="46"/>
      <c r="D1109" s="46"/>
      <c r="E1109" s="46"/>
      <c r="F1109" s="46"/>
      <c r="G1109" s="79"/>
    </row>
    <row r="1110" spans="2:7" x14ac:dyDescent="0.35">
      <c r="B1110" s="46"/>
      <c r="C1110" s="46"/>
      <c r="D1110" s="46"/>
      <c r="E1110" s="46"/>
      <c r="F1110" s="46"/>
      <c r="G1110" s="79"/>
    </row>
    <row r="1111" spans="2:7" x14ac:dyDescent="0.35">
      <c r="B1111" s="46"/>
      <c r="C1111" s="46"/>
      <c r="D1111" s="46"/>
      <c r="E1111" s="46"/>
      <c r="F1111" s="46"/>
      <c r="G1111" s="79"/>
    </row>
    <row r="1112" spans="2:7" x14ac:dyDescent="0.35">
      <c r="B1112" s="46"/>
      <c r="C1112" s="46"/>
      <c r="D1112" s="46"/>
      <c r="E1112" s="46"/>
      <c r="F1112" s="46"/>
      <c r="G1112" s="79"/>
    </row>
    <row r="1113" spans="2:7" x14ac:dyDescent="0.35">
      <c r="B1113" s="46"/>
      <c r="C1113" s="46"/>
      <c r="D1113" s="46"/>
      <c r="E1113" s="46"/>
      <c r="F1113" s="46"/>
      <c r="G1113" s="79"/>
    </row>
    <row r="1114" spans="2:7" x14ac:dyDescent="0.35">
      <c r="B1114" s="46"/>
      <c r="C1114" s="46"/>
      <c r="D1114" s="46"/>
      <c r="E1114" s="46"/>
      <c r="F1114" s="46"/>
      <c r="G1114" s="79"/>
    </row>
    <row r="1115" spans="2:7" x14ac:dyDescent="0.35">
      <c r="B1115" s="46"/>
      <c r="C1115" s="46"/>
      <c r="D1115" s="46"/>
      <c r="E1115" s="46"/>
      <c r="F1115" s="46"/>
      <c r="G1115" s="79"/>
    </row>
    <row r="1116" spans="2:7" x14ac:dyDescent="0.35">
      <c r="B1116" s="46"/>
      <c r="C1116" s="46"/>
      <c r="D1116" s="46"/>
      <c r="E1116" s="46"/>
      <c r="F1116" s="46"/>
      <c r="G1116" s="79"/>
    </row>
    <row r="1117" spans="2:7" x14ac:dyDescent="0.35">
      <c r="B1117" s="46"/>
      <c r="C1117" s="46"/>
      <c r="D1117" s="46"/>
      <c r="E1117" s="46"/>
      <c r="F1117" s="46"/>
      <c r="G1117" s="79"/>
    </row>
    <row r="1118" spans="2:7" x14ac:dyDescent="0.35">
      <c r="B1118" s="46"/>
      <c r="C1118" s="46"/>
      <c r="D1118" s="46"/>
      <c r="E1118" s="46"/>
      <c r="F1118" s="46"/>
      <c r="G1118" s="79"/>
    </row>
    <row r="1119" spans="2:7" x14ac:dyDescent="0.35">
      <c r="B1119" s="46"/>
      <c r="C1119" s="46"/>
      <c r="D1119" s="46"/>
      <c r="E1119" s="46"/>
      <c r="F1119" s="46"/>
      <c r="G1119" s="79"/>
    </row>
    <row r="1120" spans="2:7" x14ac:dyDescent="0.35">
      <c r="B1120" s="46"/>
      <c r="C1120" s="46"/>
      <c r="D1120" s="46"/>
      <c r="E1120" s="46"/>
      <c r="F1120" s="46"/>
      <c r="G1120" s="79"/>
    </row>
    <row r="1121" spans="2:7" x14ac:dyDescent="0.35">
      <c r="B1121" s="46"/>
      <c r="C1121" s="46"/>
      <c r="D1121" s="46"/>
      <c r="E1121" s="46"/>
      <c r="F1121" s="46"/>
      <c r="G1121" s="79"/>
    </row>
    <row r="1122" spans="2:7" x14ac:dyDescent="0.35">
      <c r="B1122" s="46"/>
      <c r="C1122" s="46"/>
      <c r="D1122" s="46"/>
      <c r="E1122" s="46"/>
      <c r="F1122" s="46"/>
      <c r="G1122" s="79"/>
    </row>
    <row r="1123" spans="2:7" x14ac:dyDescent="0.35">
      <c r="B1123" s="46"/>
      <c r="C1123" s="46"/>
      <c r="D1123" s="46"/>
      <c r="E1123" s="46"/>
      <c r="F1123" s="46"/>
      <c r="G1123" s="79"/>
    </row>
    <row r="1124" spans="2:7" x14ac:dyDescent="0.35">
      <c r="B1124" s="46"/>
      <c r="C1124" s="46"/>
      <c r="D1124" s="46"/>
      <c r="E1124" s="46"/>
      <c r="F1124" s="46"/>
      <c r="G1124" s="79"/>
    </row>
    <row r="1125" spans="2:7" x14ac:dyDescent="0.35">
      <c r="B1125" s="46"/>
      <c r="C1125" s="46"/>
      <c r="D1125" s="46"/>
      <c r="E1125" s="46"/>
      <c r="F1125" s="46"/>
      <c r="G1125" s="79"/>
    </row>
    <row r="1126" spans="2:7" x14ac:dyDescent="0.35">
      <c r="B1126" s="46"/>
      <c r="C1126" s="46"/>
      <c r="D1126" s="46"/>
      <c r="E1126" s="46"/>
      <c r="F1126" s="46"/>
      <c r="G1126" s="79"/>
    </row>
    <row r="1127" spans="2:7" x14ac:dyDescent="0.35">
      <c r="B1127" s="46"/>
      <c r="C1127" s="46"/>
      <c r="D1127" s="46"/>
      <c r="E1127" s="46"/>
      <c r="F1127" s="46"/>
      <c r="G1127" s="79"/>
    </row>
    <row r="1128" spans="2:7" x14ac:dyDescent="0.35">
      <c r="B1128" s="46"/>
      <c r="C1128" s="46"/>
      <c r="D1128" s="46"/>
      <c r="E1128" s="46"/>
      <c r="F1128" s="46"/>
      <c r="G1128" s="79"/>
    </row>
    <row r="1129" spans="2:7" x14ac:dyDescent="0.35">
      <c r="B1129" s="46"/>
      <c r="C1129" s="46"/>
      <c r="D1129" s="46"/>
      <c r="E1129" s="46"/>
      <c r="F1129" s="46"/>
      <c r="G1129" s="79"/>
    </row>
    <row r="1130" spans="2:7" x14ac:dyDescent="0.35">
      <c r="B1130" s="46"/>
      <c r="C1130" s="46"/>
      <c r="D1130" s="46"/>
      <c r="E1130" s="46"/>
      <c r="F1130" s="46"/>
      <c r="G1130" s="79"/>
    </row>
    <row r="1131" spans="2:7" x14ac:dyDescent="0.35">
      <c r="B1131" s="46"/>
      <c r="C1131" s="46"/>
      <c r="D1131" s="46"/>
      <c r="E1131" s="46"/>
      <c r="F1131" s="46"/>
      <c r="G1131" s="79"/>
    </row>
    <row r="1132" spans="2:7" x14ac:dyDescent="0.35">
      <c r="B1132" s="46"/>
      <c r="C1132" s="46"/>
      <c r="D1132" s="46"/>
      <c r="E1132" s="46"/>
      <c r="F1132" s="46"/>
      <c r="G1132" s="79"/>
    </row>
    <row r="1133" spans="2:7" x14ac:dyDescent="0.35">
      <c r="B1133" s="46"/>
      <c r="C1133" s="46"/>
      <c r="D1133" s="46"/>
      <c r="E1133" s="46"/>
      <c r="F1133" s="46"/>
      <c r="G1133" s="79"/>
    </row>
    <row r="1134" spans="2:7" x14ac:dyDescent="0.35">
      <c r="B1134" s="46"/>
      <c r="C1134" s="46"/>
      <c r="D1134" s="46"/>
      <c r="E1134" s="46"/>
      <c r="F1134" s="46"/>
      <c r="G1134" s="79"/>
    </row>
    <row r="1135" spans="2:7" x14ac:dyDescent="0.35">
      <c r="B1135" s="46"/>
      <c r="C1135" s="46"/>
      <c r="D1135" s="46"/>
      <c r="E1135" s="46"/>
      <c r="F1135" s="46"/>
      <c r="G1135" s="79"/>
    </row>
    <row r="1136" spans="2:7" x14ac:dyDescent="0.35">
      <c r="B1136" s="46"/>
      <c r="C1136" s="46"/>
      <c r="D1136" s="46"/>
      <c r="E1136" s="46"/>
      <c r="F1136" s="46"/>
      <c r="G1136" s="79"/>
    </row>
    <row r="1137" spans="2:7" x14ac:dyDescent="0.35">
      <c r="B1137" s="46"/>
      <c r="C1137" s="46"/>
      <c r="D1137" s="46"/>
      <c r="E1137" s="46"/>
      <c r="F1137" s="46"/>
      <c r="G1137" s="79"/>
    </row>
    <row r="1138" spans="2:7" x14ac:dyDescent="0.35">
      <c r="B1138" s="46"/>
      <c r="C1138" s="46"/>
      <c r="D1138" s="46"/>
      <c r="E1138" s="46"/>
      <c r="F1138" s="46"/>
      <c r="G1138" s="79"/>
    </row>
    <row r="1139" spans="2:7" x14ac:dyDescent="0.35">
      <c r="B1139" s="46"/>
      <c r="C1139" s="46"/>
      <c r="D1139" s="46"/>
      <c r="E1139" s="46"/>
      <c r="F1139" s="46"/>
      <c r="G1139" s="79"/>
    </row>
    <row r="1140" spans="2:7" x14ac:dyDescent="0.35">
      <c r="B1140" s="46"/>
      <c r="C1140" s="46"/>
      <c r="D1140" s="46"/>
      <c r="E1140" s="46"/>
      <c r="F1140" s="46"/>
      <c r="G1140" s="79"/>
    </row>
    <row r="1141" spans="2:7" x14ac:dyDescent="0.35">
      <c r="B1141" s="46"/>
      <c r="C1141" s="46"/>
      <c r="D1141" s="46"/>
      <c r="E1141" s="46"/>
      <c r="F1141" s="46"/>
      <c r="G1141" s="79"/>
    </row>
    <row r="1142" spans="2:7" x14ac:dyDescent="0.35">
      <c r="B1142" s="46"/>
      <c r="C1142" s="46"/>
      <c r="D1142" s="46"/>
      <c r="E1142" s="46"/>
      <c r="F1142" s="46"/>
      <c r="G1142" s="79"/>
    </row>
    <row r="1143" spans="2:7" x14ac:dyDescent="0.35">
      <c r="B1143" s="46"/>
      <c r="C1143" s="46"/>
      <c r="D1143" s="46"/>
      <c r="E1143" s="46"/>
      <c r="F1143" s="46"/>
      <c r="G1143" s="79"/>
    </row>
    <row r="1144" spans="2:7" x14ac:dyDescent="0.35">
      <c r="B1144" s="46"/>
      <c r="C1144" s="46"/>
      <c r="D1144" s="46"/>
      <c r="E1144" s="46"/>
      <c r="F1144" s="46"/>
      <c r="G1144" s="79"/>
    </row>
    <row r="1145" spans="2:7" x14ac:dyDescent="0.35">
      <c r="B1145" s="46"/>
      <c r="C1145" s="46"/>
      <c r="D1145" s="46"/>
      <c r="E1145" s="46"/>
      <c r="F1145" s="46"/>
      <c r="G1145" s="79"/>
    </row>
    <row r="1146" spans="2:7" x14ac:dyDescent="0.35">
      <c r="B1146" s="46"/>
      <c r="C1146" s="46"/>
      <c r="D1146" s="46"/>
      <c r="E1146" s="46"/>
      <c r="F1146" s="46"/>
      <c r="G1146" s="79"/>
    </row>
    <row r="1147" spans="2:7" x14ac:dyDescent="0.35">
      <c r="B1147" s="46"/>
      <c r="C1147" s="46"/>
      <c r="D1147" s="46"/>
      <c r="E1147" s="46"/>
      <c r="F1147" s="46"/>
      <c r="G1147" s="79"/>
    </row>
    <row r="1148" spans="2:7" x14ac:dyDescent="0.35">
      <c r="B1148" s="46"/>
      <c r="C1148" s="46"/>
      <c r="D1148" s="46"/>
      <c r="E1148" s="46"/>
      <c r="F1148" s="46"/>
      <c r="G1148" s="79"/>
    </row>
    <row r="1149" spans="2:7" x14ac:dyDescent="0.35">
      <c r="B1149" s="46"/>
      <c r="C1149" s="46"/>
      <c r="D1149" s="46"/>
      <c r="E1149" s="46"/>
      <c r="F1149" s="46"/>
      <c r="G1149" s="79"/>
    </row>
    <row r="1150" spans="2:7" x14ac:dyDescent="0.35">
      <c r="B1150" s="46"/>
      <c r="C1150" s="46"/>
      <c r="D1150" s="46"/>
      <c r="E1150" s="46"/>
      <c r="F1150" s="46"/>
      <c r="G1150" s="79"/>
    </row>
    <row r="1151" spans="2:7" x14ac:dyDescent="0.35">
      <c r="B1151" s="46"/>
      <c r="C1151" s="46"/>
      <c r="D1151" s="46"/>
      <c r="E1151" s="46"/>
      <c r="F1151" s="46"/>
      <c r="G1151" s="79"/>
    </row>
    <row r="1152" spans="2:7" x14ac:dyDescent="0.35">
      <c r="B1152" s="46"/>
      <c r="C1152" s="46"/>
      <c r="D1152" s="46"/>
      <c r="E1152" s="46"/>
      <c r="F1152" s="46"/>
      <c r="G1152" s="79"/>
    </row>
    <row r="1153" spans="2:7" x14ac:dyDescent="0.35">
      <c r="B1153" s="46"/>
      <c r="C1153" s="46"/>
      <c r="D1153" s="46"/>
      <c r="E1153" s="46"/>
      <c r="F1153" s="46"/>
      <c r="G1153" s="79"/>
    </row>
    <row r="1154" spans="2:7" x14ac:dyDescent="0.35">
      <c r="B1154" s="46"/>
      <c r="C1154" s="46"/>
      <c r="D1154" s="46"/>
      <c r="E1154" s="46"/>
      <c r="F1154" s="46"/>
      <c r="G1154" s="79"/>
    </row>
    <row r="1155" spans="2:7" x14ac:dyDescent="0.35">
      <c r="B1155" s="46"/>
      <c r="C1155" s="46"/>
      <c r="D1155" s="46"/>
      <c r="E1155" s="46"/>
      <c r="F1155" s="46"/>
      <c r="G1155" s="79"/>
    </row>
    <row r="1156" spans="2:7" x14ac:dyDescent="0.35">
      <c r="B1156" s="46"/>
      <c r="C1156" s="46"/>
      <c r="D1156" s="46"/>
      <c r="E1156" s="46"/>
      <c r="F1156" s="46"/>
      <c r="G1156" s="79"/>
    </row>
    <row r="1157" spans="2:7" x14ac:dyDescent="0.35">
      <c r="B1157" s="46"/>
      <c r="C1157" s="46"/>
      <c r="D1157" s="46"/>
      <c r="E1157" s="46"/>
      <c r="F1157" s="46"/>
      <c r="G1157" s="79"/>
    </row>
    <row r="1158" spans="2:7" x14ac:dyDescent="0.35">
      <c r="B1158" s="46"/>
      <c r="C1158" s="46"/>
      <c r="D1158" s="46"/>
      <c r="E1158" s="46"/>
      <c r="F1158" s="46"/>
      <c r="G1158" s="79"/>
    </row>
    <row r="1159" spans="2:7" x14ac:dyDescent="0.35">
      <c r="B1159" s="46"/>
      <c r="C1159" s="46"/>
      <c r="D1159" s="46"/>
      <c r="E1159" s="46"/>
      <c r="F1159" s="46"/>
      <c r="G1159" s="79"/>
    </row>
    <row r="1160" spans="2:7" x14ac:dyDescent="0.35">
      <c r="B1160" s="46"/>
      <c r="C1160" s="46"/>
      <c r="D1160" s="46"/>
      <c r="E1160" s="46"/>
      <c r="F1160" s="46"/>
      <c r="G1160" s="79"/>
    </row>
    <row r="1161" spans="2:7" x14ac:dyDescent="0.35">
      <c r="B1161" s="46"/>
      <c r="C1161" s="46"/>
      <c r="D1161" s="46"/>
      <c r="E1161" s="46"/>
      <c r="F1161" s="46"/>
      <c r="G1161" s="79"/>
    </row>
    <row r="1162" spans="2:7" x14ac:dyDescent="0.35">
      <c r="B1162" s="46"/>
      <c r="C1162" s="46"/>
      <c r="D1162" s="46"/>
      <c r="E1162" s="46"/>
      <c r="F1162" s="46"/>
      <c r="G1162" s="79"/>
    </row>
    <row r="1163" spans="2:7" x14ac:dyDescent="0.35">
      <c r="B1163" s="46"/>
      <c r="C1163" s="46"/>
      <c r="D1163" s="46"/>
      <c r="E1163" s="46"/>
      <c r="F1163" s="46"/>
      <c r="G1163" s="79"/>
    </row>
    <row r="1164" spans="2:7" x14ac:dyDescent="0.35">
      <c r="B1164" s="46"/>
      <c r="C1164" s="46"/>
      <c r="D1164" s="46"/>
      <c r="E1164" s="46"/>
      <c r="F1164" s="46"/>
      <c r="G1164" s="79"/>
    </row>
    <row r="1165" spans="2:7" x14ac:dyDescent="0.35">
      <c r="B1165" s="46"/>
      <c r="C1165" s="46"/>
      <c r="D1165" s="46"/>
      <c r="E1165" s="46"/>
      <c r="F1165" s="46"/>
      <c r="G1165" s="79"/>
    </row>
    <row r="1166" spans="2:7" x14ac:dyDescent="0.35">
      <c r="B1166" s="46"/>
      <c r="C1166" s="46"/>
      <c r="D1166" s="46"/>
      <c r="E1166" s="46"/>
      <c r="F1166" s="46"/>
      <c r="G1166" s="79"/>
    </row>
    <row r="1167" spans="2:7" x14ac:dyDescent="0.35">
      <c r="B1167" s="46"/>
      <c r="C1167" s="46"/>
      <c r="D1167" s="46"/>
      <c r="E1167" s="46"/>
      <c r="F1167" s="46"/>
      <c r="G1167" s="79"/>
    </row>
    <row r="1168" spans="2:7" x14ac:dyDescent="0.35">
      <c r="B1168" s="46"/>
      <c r="C1168" s="46"/>
      <c r="D1168" s="46"/>
      <c r="E1168" s="46"/>
      <c r="F1168" s="46"/>
      <c r="G1168" s="79"/>
    </row>
    <row r="1169" spans="2:7" x14ac:dyDescent="0.35">
      <c r="B1169" s="46"/>
      <c r="C1169" s="46"/>
      <c r="D1169" s="46"/>
      <c r="E1169" s="46"/>
      <c r="F1169" s="46"/>
      <c r="G1169" s="79"/>
    </row>
    <row r="1170" spans="2:7" x14ac:dyDescent="0.35">
      <c r="B1170" s="46"/>
      <c r="C1170" s="46"/>
      <c r="D1170" s="46"/>
      <c r="E1170" s="46"/>
      <c r="F1170" s="46"/>
      <c r="G1170" s="79"/>
    </row>
    <row r="1171" spans="2:7" x14ac:dyDescent="0.35">
      <c r="B1171" s="46"/>
      <c r="C1171" s="46"/>
      <c r="D1171" s="46"/>
      <c r="E1171" s="46"/>
      <c r="F1171" s="46"/>
      <c r="G1171" s="79"/>
    </row>
    <row r="1172" spans="2:7" x14ac:dyDescent="0.35">
      <c r="B1172" s="46"/>
      <c r="C1172" s="46"/>
      <c r="D1172" s="46"/>
      <c r="E1172" s="46"/>
      <c r="F1172" s="46"/>
      <c r="G1172" s="79"/>
    </row>
    <row r="1173" spans="2:7" x14ac:dyDescent="0.35">
      <c r="B1173" s="46"/>
      <c r="C1173" s="46"/>
      <c r="D1173" s="46"/>
      <c r="E1173" s="46"/>
      <c r="F1173" s="46"/>
      <c r="G1173" s="79"/>
    </row>
    <row r="1174" spans="2:7" x14ac:dyDescent="0.35">
      <c r="B1174" s="46"/>
      <c r="C1174" s="46"/>
      <c r="D1174" s="46"/>
      <c r="E1174" s="46"/>
      <c r="F1174" s="46"/>
      <c r="G1174" s="79"/>
    </row>
    <row r="1175" spans="2:7" x14ac:dyDescent="0.35">
      <c r="B1175" s="46"/>
      <c r="C1175" s="46"/>
      <c r="D1175" s="46"/>
      <c r="E1175" s="46"/>
      <c r="F1175" s="46"/>
      <c r="G1175" s="79"/>
    </row>
    <row r="1176" spans="2:7" x14ac:dyDescent="0.35">
      <c r="B1176" s="46"/>
      <c r="C1176" s="46"/>
      <c r="D1176" s="46"/>
      <c r="E1176" s="46"/>
      <c r="F1176" s="46"/>
      <c r="G1176" s="79"/>
    </row>
    <row r="1177" spans="2:7" x14ac:dyDescent="0.35">
      <c r="B1177" s="46"/>
      <c r="C1177" s="46"/>
      <c r="D1177" s="46"/>
      <c r="E1177" s="46"/>
      <c r="F1177" s="46"/>
      <c r="G1177" s="79"/>
    </row>
    <row r="1178" spans="2:7" x14ac:dyDescent="0.35">
      <c r="B1178" s="46"/>
      <c r="C1178" s="46"/>
      <c r="D1178" s="46"/>
      <c r="E1178" s="46"/>
      <c r="F1178" s="46"/>
      <c r="G1178" s="79"/>
    </row>
    <row r="1179" spans="2:7" x14ac:dyDescent="0.35">
      <c r="B1179" s="46"/>
      <c r="C1179" s="46"/>
      <c r="D1179" s="46"/>
      <c r="E1179" s="46"/>
      <c r="F1179" s="46"/>
      <c r="G1179" s="79"/>
    </row>
    <row r="1180" spans="2:7" x14ac:dyDescent="0.35">
      <c r="B1180" s="46"/>
      <c r="C1180" s="46"/>
      <c r="D1180" s="46"/>
      <c r="E1180" s="46"/>
      <c r="F1180" s="46"/>
      <c r="G1180" s="79"/>
    </row>
    <row r="1181" spans="2:7" x14ac:dyDescent="0.35">
      <c r="B1181" s="46"/>
      <c r="C1181" s="46"/>
      <c r="D1181" s="46"/>
      <c r="E1181" s="46"/>
      <c r="F1181" s="46"/>
      <c r="G1181" s="79"/>
    </row>
    <row r="1182" spans="2:7" x14ac:dyDescent="0.35">
      <c r="B1182" s="46"/>
      <c r="C1182" s="46"/>
      <c r="D1182" s="46"/>
      <c r="E1182" s="46"/>
      <c r="F1182" s="46"/>
      <c r="G1182" s="79"/>
    </row>
    <row r="1183" spans="2:7" x14ac:dyDescent="0.35">
      <c r="B1183" s="46"/>
      <c r="C1183" s="46"/>
      <c r="D1183" s="46"/>
      <c r="E1183" s="46"/>
      <c r="F1183" s="46"/>
      <c r="G1183" s="79"/>
    </row>
    <row r="1184" spans="2:7" x14ac:dyDescent="0.35">
      <c r="B1184" s="46"/>
      <c r="C1184" s="46"/>
      <c r="D1184" s="46"/>
      <c r="E1184" s="46"/>
      <c r="F1184" s="46"/>
      <c r="G1184" s="79"/>
    </row>
    <row r="1185" spans="2:7" x14ac:dyDescent="0.35">
      <c r="B1185" s="46"/>
      <c r="C1185" s="46"/>
      <c r="D1185" s="46"/>
      <c r="E1185" s="46"/>
      <c r="F1185" s="46"/>
      <c r="G1185" s="79"/>
    </row>
    <row r="1186" spans="2:7" x14ac:dyDescent="0.35">
      <c r="B1186" s="46"/>
      <c r="C1186" s="46"/>
      <c r="D1186" s="46"/>
      <c r="E1186" s="46"/>
      <c r="F1186" s="46"/>
      <c r="G1186" s="79"/>
    </row>
    <row r="1187" spans="2:7" x14ac:dyDescent="0.35">
      <c r="B1187" s="46"/>
      <c r="C1187" s="46"/>
      <c r="D1187" s="46"/>
      <c r="E1187" s="46"/>
      <c r="F1187" s="46"/>
      <c r="G1187" s="79"/>
    </row>
    <row r="1188" spans="2:7" x14ac:dyDescent="0.35">
      <c r="B1188" s="46"/>
      <c r="C1188" s="46"/>
      <c r="D1188" s="46"/>
      <c r="E1188" s="46"/>
      <c r="F1188" s="46"/>
      <c r="G1188" s="79"/>
    </row>
    <row r="1189" spans="2:7" x14ac:dyDescent="0.35">
      <c r="B1189" s="46"/>
      <c r="C1189" s="46"/>
      <c r="D1189" s="46"/>
      <c r="E1189" s="46"/>
      <c r="F1189" s="46"/>
      <c r="G1189" s="79"/>
    </row>
    <row r="1190" spans="2:7" x14ac:dyDescent="0.35">
      <c r="B1190" s="46"/>
      <c r="C1190" s="46"/>
      <c r="D1190" s="46"/>
      <c r="E1190" s="46"/>
      <c r="F1190" s="46"/>
      <c r="G1190" s="79"/>
    </row>
    <row r="1191" spans="2:7" x14ac:dyDescent="0.35">
      <c r="B1191" s="46"/>
      <c r="C1191" s="46"/>
      <c r="D1191" s="46"/>
      <c r="E1191" s="46"/>
      <c r="F1191" s="46"/>
      <c r="G1191" s="79"/>
    </row>
    <row r="1192" spans="2:7" x14ac:dyDescent="0.35">
      <c r="B1192" s="46"/>
      <c r="C1192" s="46"/>
      <c r="D1192" s="46"/>
      <c r="E1192" s="46"/>
      <c r="F1192" s="46"/>
      <c r="G1192" s="79"/>
    </row>
    <row r="1193" spans="2:7" x14ac:dyDescent="0.35">
      <c r="B1193" s="46"/>
      <c r="C1193" s="46"/>
      <c r="D1193" s="46"/>
      <c r="E1193" s="46"/>
      <c r="F1193" s="46"/>
      <c r="G1193" s="79"/>
    </row>
    <row r="1194" spans="2:7" x14ac:dyDescent="0.35">
      <c r="B1194" s="46"/>
      <c r="C1194" s="46"/>
      <c r="D1194" s="46"/>
      <c r="E1194" s="46"/>
      <c r="F1194" s="46"/>
      <c r="G1194" s="79"/>
    </row>
    <row r="1195" spans="2:7" x14ac:dyDescent="0.35">
      <c r="B1195" s="46"/>
      <c r="C1195" s="46"/>
      <c r="D1195" s="46"/>
      <c r="E1195" s="46"/>
      <c r="F1195" s="46"/>
      <c r="G1195" s="79"/>
    </row>
    <row r="1196" spans="2:7" x14ac:dyDescent="0.35">
      <c r="B1196" s="46"/>
      <c r="C1196" s="46"/>
      <c r="D1196" s="46"/>
      <c r="E1196" s="46"/>
      <c r="F1196" s="46"/>
      <c r="G1196" s="79"/>
    </row>
    <row r="1197" spans="2:7" x14ac:dyDescent="0.35">
      <c r="B1197" s="46"/>
      <c r="C1197" s="46"/>
      <c r="D1197" s="46"/>
      <c r="E1197" s="46"/>
      <c r="F1197" s="46"/>
      <c r="G1197" s="79"/>
    </row>
    <row r="1198" spans="2:7" x14ac:dyDescent="0.35">
      <c r="B1198" s="46"/>
      <c r="C1198" s="46"/>
      <c r="D1198" s="46"/>
      <c r="E1198" s="46"/>
      <c r="F1198" s="46"/>
      <c r="G1198" s="79"/>
    </row>
    <row r="1199" spans="2:7" x14ac:dyDescent="0.35">
      <c r="B1199" s="46"/>
      <c r="C1199" s="46"/>
      <c r="D1199" s="46"/>
      <c r="E1199" s="46"/>
      <c r="F1199" s="46"/>
      <c r="G1199" s="79"/>
    </row>
    <row r="1200" spans="2:7" x14ac:dyDescent="0.35">
      <c r="B1200" s="46"/>
      <c r="C1200" s="46"/>
      <c r="D1200" s="46"/>
      <c r="E1200" s="46"/>
      <c r="F1200" s="46"/>
      <c r="G1200" s="79"/>
    </row>
    <row r="1201" spans="2:7" x14ac:dyDescent="0.35">
      <c r="B1201" s="46"/>
      <c r="C1201" s="46"/>
      <c r="D1201" s="46"/>
      <c r="E1201" s="46"/>
      <c r="F1201" s="46"/>
      <c r="G1201" s="79"/>
    </row>
    <row r="1202" spans="2:7" x14ac:dyDescent="0.35">
      <c r="B1202" s="46"/>
      <c r="C1202" s="46"/>
      <c r="D1202" s="46"/>
      <c r="E1202" s="46"/>
      <c r="F1202" s="46"/>
      <c r="G1202" s="79"/>
    </row>
    <row r="1203" spans="2:7" x14ac:dyDescent="0.35">
      <c r="B1203" s="46"/>
      <c r="C1203" s="46"/>
      <c r="D1203" s="46"/>
      <c r="E1203" s="46"/>
      <c r="F1203" s="46"/>
      <c r="G1203" s="79"/>
    </row>
    <row r="1204" spans="2:7" x14ac:dyDescent="0.35">
      <c r="B1204" s="46"/>
      <c r="C1204" s="46"/>
      <c r="D1204" s="46"/>
      <c r="E1204" s="46"/>
      <c r="F1204" s="46"/>
      <c r="G1204" s="79"/>
    </row>
    <row r="1205" spans="2:7" x14ac:dyDescent="0.35">
      <c r="B1205" s="46"/>
      <c r="C1205" s="46"/>
      <c r="D1205" s="46"/>
      <c r="E1205" s="46"/>
      <c r="F1205" s="46"/>
      <c r="G1205" s="79"/>
    </row>
    <row r="1206" spans="2:7" x14ac:dyDescent="0.35">
      <c r="B1206" s="46"/>
      <c r="C1206" s="46"/>
      <c r="D1206" s="46"/>
      <c r="E1206" s="46"/>
      <c r="F1206" s="46"/>
      <c r="G1206" s="79"/>
    </row>
    <row r="1207" spans="2:7" x14ac:dyDescent="0.35">
      <c r="B1207" s="46"/>
      <c r="C1207" s="46"/>
      <c r="D1207" s="46"/>
      <c r="E1207" s="46"/>
      <c r="F1207" s="46"/>
      <c r="G1207" s="79"/>
    </row>
    <row r="1208" spans="2:7" x14ac:dyDescent="0.35">
      <c r="B1208" s="46"/>
      <c r="C1208" s="46"/>
      <c r="D1208" s="46"/>
      <c r="E1208" s="46"/>
      <c r="F1208" s="46"/>
      <c r="G1208" s="79"/>
    </row>
    <row r="1209" spans="2:7" x14ac:dyDescent="0.35">
      <c r="B1209" s="46"/>
      <c r="C1209" s="46"/>
      <c r="D1209" s="46"/>
      <c r="E1209" s="46"/>
      <c r="F1209" s="46"/>
      <c r="G1209" s="79"/>
    </row>
    <row r="1210" spans="2:7" x14ac:dyDescent="0.35">
      <c r="B1210" s="46"/>
      <c r="C1210" s="46"/>
      <c r="D1210" s="46"/>
      <c r="E1210" s="46"/>
      <c r="F1210" s="46"/>
      <c r="G1210" s="79"/>
    </row>
    <row r="1211" spans="2:7" x14ac:dyDescent="0.35">
      <c r="B1211" s="46"/>
      <c r="C1211" s="46"/>
      <c r="D1211" s="46"/>
      <c r="E1211" s="46"/>
      <c r="F1211" s="46"/>
      <c r="G1211" s="79"/>
    </row>
    <row r="1212" spans="2:7" x14ac:dyDescent="0.35">
      <c r="B1212" s="46"/>
      <c r="C1212" s="46"/>
      <c r="D1212" s="46"/>
      <c r="E1212" s="46"/>
      <c r="F1212" s="46"/>
      <c r="G1212" s="79"/>
    </row>
    <row r="1213" spans="2:7" x14ac:dyDescent="0.35">
      <c r="B1213" s="46"/>
      <c r="C1213" s="46"/>
      <c r="D1213" s="46"/>
      <c r="E1213" s="46"/>
      <c r="F1213" s="46"/>
      <c r="G1213" s="79"/>
    </row>
    <row r="1214" spans="2:7" x14ac:dyDescent="0.35">
      <c r="B1214" s="46"/>
      <c r="C1214" s="46"/>
      <c r="D1214" s="46"/>
      <c r="E1214" s="46"/>
      <c r="F1214" s="46"/>
      <c r="G1214" s="79"/>
    </row>
    <row r="1215" spans="2:7" x14ac:dyDescent="0.35">
      <c r="B1215" s="46"/>
      <c r="C1215" s="46"/>
      <c r="D1215" s="46"/>
      <c r="E1215" s="46"/>
      <c r="F1215" s="46"/>
      <c r="G1215" s="79"/>
    </row>
    <row r="1216" spans="2:7" x14ac:dyDescent="0.35">
      <c r="B1216" s="46"/>
      <c r="C1216" s="46"/>
      <c r="D1216" s="46"/>
      <c r="E1216" s="46"/>
      <c r="F1216" s="46"/>
      <c r="G1216" s="79"/>
    </row>
    <row r="1217" spans="2:7" x14ac:dyDescent="0.35">
      <c r="B1217" s="46"/>
      <c r="C1217" s="46"/>
      <c r="D1217" s="46"/>
      <c r="E1217" s="46"/>
      <c r="F1217" s="46"/>
      <c r="G1217" s="79"/>
    </row>
    <row r="1218" spans="2:7" x14ac:dyDescent="0.35">
      <c r="B1218" s="46"/>
      <c r="C1218" s="46"/>
      <c r="D1218" s="46"/>
      <c r="E1218" s="46"/>
      <c r="F1218" s="46"/>
      <c r="G1218" s="79"/>
    </row>
    <row r="1219" spans="2:7" x14ac:dyDescent="0.35">
      <c r="B1219" s="46"/>
      <c r="C1219" s="46"/>
      <c r="D1219" s="46"/>
      <c r="E1219" s="46"/>
      <c r="F1219" s="46"/>
      <c r="G1219" s="79"/>
    </row>
    <row r="1220" spans="2:7" x14ac:dyDescent="0.35">
      <c r="B1220" s="46"/>
      <c r="C1220" s="46"/>
      <c r="D1220" s="46"/>
      <c r="E1220" s="46"/>
      <c r="F1220" s="46"/>
      <c r="G1220" s="79"/>
    </row>
    <row r="1221" spans="2:7" x14ac:dyDescent="0.35">
      <c r="B1221" s="46"/>
      <c r="C1221" s="46"/>
      <c r="D1221" s="46"/>
      <c r="E1221" s="46"/>
      <c r="F1221" s="46"/>
      <c r="G1221" s="79"/>
    </row>
    <row r="1222" spans="2:7" x14ac:dyDescent="0.35">
      <c r="B1222" s="46"/>
      <c r="C1222" s="46"/>
      <c r="D1222" s="46"/>
      <c r="E1222" s="46"/>
      <c r="F1222" s="46"/>
      <c r="G1222" s="79"/>
    </row>
    <row r="1223" spans="2:7" x14ac:dyDescent="0.35">
      <c r="B1223" s="46"/>
      <c r="C1223" s="46"/>
      <c r="D1223" s="46"/>
      <c r="E1223" s="46"/>
      <c r="F1223" s="46"/>
      <c r="G1223" s="79"/>
    </row>
    <row r="1224" spans="2:7" x14ac:dyDescent="0.35">
      <c r="B1224" s="46"/>
      <c r="C1224" s="46"/>
      <c r="D1224" s="46"/>
      <c r="E1224" s="46"/>
      <c r="F1224" s="46"/>
      <c r="G1224" s="79"/>
    </row>
    <row r="1225" spans="2:7" x14ac:dyDescent="0.35">
      <c r="B1225" s="46"/>
      <c r="C1225" s="46"/>
      <c r="D1225" s="46"/>
      <c r="E1225" s="46"/>
      <c r="F1225" s="46"/>
      <c r="G1225" s="79"/>
    </row>
    <row r="1226" spans="2:7" x14ac:dyDescent="0.35">
      <c r="B1226" s="46"/>
      <c r="C1226" s="46"/>
      <c r="D1226" s="46"/>
      <c r="E1226" s="46"/>
      <c r="F1226" s="46"/>
      <c r="G1226" s="79"/>
    </row>
    <row r="1227" spans="2:7" x14ac:dyDescent="0.35">
      <c r="B1227" s="46"/>
      <c r="C1227" s="46"/>
      <c r="D1227" s="46"/>
      <c r="E1227" s="46"/>
      <c r="F1227" s="46"/>
      <c r="G1227" s="79"/>
    </row>
    <row r="1228" spans="2:7" x14ac:dyDescent="0.35">
      <c r="B1228" s="46"/>
      <c r="C1228" s="46"/>
      <c r="D1228" s="46"/>
      <c r="E1228" s="46"/>
      <c r="F1228" s="46"/>
      <c r="G1228" s="79"/>
    </row>
    <row r="1229" spans="2:7" x14ac:dyDescent="0.35">
      <c r="B1229" s="46"/>
      <c r="C1229" s="46"/>
      <c r="D1229" s="46"/>
      <c r="E1229" s="46"/>
      <c r="F1229" s="46"/>
      <c r="G1229" s="79"/>
    </row>
    <row r="1230" spans="2:7" x14ac:dyDescent="0.35">
      <c r="B1230" s="46"/>
      <c r="C1230" s="46"/>
      <c r="D1230" s="46"/>
      <c r="E1230" s="46"/>
      <c r="F1230" s="46"/>
      <c r="G1230" s="79"/>
    </row>
    <row r="1231" spans="2:7" x14ac:dyDescent="0.35">
      <c r="B1231" s="46"/>
      <c r="C1231" s="46"/>
      <c r="D1231" s="46"/>
      <c r="E1231" s="46"/>
      <c r="F1231" s="46"/>
      <c r="G1231" s="79"/>
    </row>
    <row r="1232" spans="2:7" x14ac:dyDescent="0.35">
      <c r="B1232" s="46"/>
      <c r="C1232" s="46"/>
      <c r="D1232" s="46"/>
      <c r="E1232" s="46"/>
      <c r="F1232" s="46"/>
      <c r="G1232" s="79"/>
    </row>
    <row r="1233" spans="2:7" x14ac:dyDescent="0.35">
      <c r="B1233" s="46"/>
      <c r="C1233" s="46"/>
      <c r="D1233" s="46"/>
      <c r="E1233" s="46"/>
      <c r="F1233" s="46"/>
      <c r="G1233" s="79"/>
    </row>
    <row r="1234" spans="2:7" x14ac:dyDescent="0.35">
      <c r="B1234" s="46"/>
      <c r="C1234" s="46"/>
      <c r="D1234" s="46"/>
      <c r="E1234" s="46"/>
      <c r="F1234" s="46"/>
      <c r="G1234" s="79"/>
    </row>
    <row r="1235" spans="2:7" x14ac:dyDescent="0.35">
      <c r="B1235" s="46"/>
      <c r="C1235" s="46"/>
      <c r="D1235" s="46"/>
      <c r="E1235" s="46"/>
      <c r="F1235" s="46"/>
      <c r="G1235" s="79"/>
    </row>
    <row r="1236" spans="2:7" x14ac:dyDescent="0.35">
      <c r="B1236" s="46"/>
      <c r="C1236" s="46"/>
      <c r="D1236" s="46"/>
      <c r="E1236" s="46"/>
      <c r="F1236" s="46"/>
      <c r="G1236" s="79"/>
    </row>
    <row r="1237" spans="2:7" x14ac:dyDescent="0.35">
      <c r="B1237" s="46"/>
      <c r="C1237" s="46"/>
      <c r="D1237" s="46"/>
      <c r="E1237" s="46"/>
      <c r="F1237" s="46"/>
      <c r="G1237" s="79"/>
    </row>
    <row r="1238" spans="2:7" x14ac:dyDescent="0.35">
      <c r="B1238" s="46"/>
      <c r="C1238" s="46"/>
      <c r="D1238" s="46"/>
      <c r="E1238" s="46"/>
      <c r="F1238" s="46"/>
      <c r="G1238" s="79"/>
    </row>
    <row r="1239" spans="2:7" x14ac:dyDescent="0.35">
      <c r="B1239" s="46"/>
      <c r="C1239" s="46"/>
      <c r="D1239" s="46"/>
      <c r="E1239" s="46"/>
      <c r="F1239" s="46"/>
      <c r="G1239" s="79"/>
    </row>
    <row r="1240" spans="2:7" x14ac:dyDescent="0.35">
      <c r="B1240" s="46"/>
      <c r="C1240" s="46"/>
      <c r="D1240" s="46"/>
      <c r="E1240" s="46"/>
      <c r="F1240" s="46"/>
      <c r="G1240" s="79"/>
    </row>
    <row r="1241" spans="2:7" x14ac:dyDescent="0.35">
      <c r="B1241" s="46"/>
      <c r="C1241" s="46"/>
      <c r="D1241" s="46"/>
      <c r="E1241" s="46"/>
      <c r="F1241" s="46"/>
      <c r="G1241" s="79"/>
    </row>
    <row r="1242" spans="2:7" x14ac:dyDescent="0.35">
      <c r="B1242" s="46"/>
      <c r="C1242" s="46"/>
      <c r="D1242" s="46"/>
      <c r="E1242" s="46"/>
      <c r="F1242" s="46"/>
      <c r="G1242" s="79"/>
    </row>
    <row r="1243" spans="2:7" x14ac:dyDescent="0.35">
      <c r="B1243" s="46"/>
      <c r="C1243" s="46"/>
      <c r="D1243" s="46"/>
      <c r="E1243" s="46"/>
      <c r="F1243" s="46"/>
      <c r="G1243" s="79"/>
    </row>
    <row r="1244" spans="2:7" x14ac:dyDescent="0.35">
      <c r="B1244" s="46"/>
      <c r="C1244" s="46"/>
      <c r="D1244" s="46"/>
      <c r="E1244" s="46"/>
      <c r="F1244" s="46"/>
      <c r="G1244" s="79"/>
    </row>
    <row r="1245" spans="2:7" x14ac:dyDescent="0.35">
      <c r="B1245" s="46"/>
      <c r="C1245" s="46"/>
      <c r="D1245" s="46"/>
      <c r="E1245" s="46"/>
      <c r="F1245" s="46"/>
      <c r="G1245" s="79"/>
    </row>
    <row r="1246" spans="2:7" x14ac:dyDescent="0.35">
      <c r="B1246" s="46"/>
      <c r="C1246" s="46"/>
      <c r="D1246" s="46"/>
      <c r="E1246" s="46"/>
      <c r="F1246" s="46"/>
      <c r="G1246" s="79"/>
    </row>
    <row r="1247" spans="2:7" x14ac:dyDescent="0.35">
      <c r="B1247" s="46"/>
      <c r="C1247" s="46"/>
      <c r="D1247" s="46"/>
      <c r="E1247" s="46"/>
      <c r="F1247" s="46"/>
      <c r="G1247" s="79"/>
    </row>
    <row r="1248" spans="2:7" x14ac:dyDescent="0.35">
      <c r="B1248" s="46"/>
      <c r="C1248" s="46"/>
      <c r="D1248" s="46"/>
      <c r="E1248" s="46"/>
      <c r="F1248" s="46"/>
      <c r="G1248" s="79"/>
    </row>
    <row r="1249" spans="2:7" x14ac:dyDescent="0.35">
      <c r="B1249" s="46"/>
      <c r="C1249" s="46"/>
      <c r="D1249" s="46"/>
      <c r="E1249" s="46"/>
      <c r="F1249" s="46"/>
      <c r="G1249" s="79"/>
    </row>
    <row r="1250" spans="2:7" x14ac:dyDescent="0.35">
      <c r="B1250" s="46"/>
      <c r="C1250" s="46"/>
      <c r="D1250" s="46"/>
      <c r="E1250" s="46"/>
      <c r="F1250" s="46"/>
      <c r="G1250" s="79"/>
    </row>
    <row r="1251" spans="2:7" x14ac:dyDescent="0.35">
      <c r="B1251" s="46"/>
      <c r="C1251" s="46"/>
      <c r="D1251" s="46"/>
      <c r="E1251" s="46"/>
      <c r="F1251" s="46"/>
      <c r="G1251" s="79"/>
    </row>
    <row r="1252" spans="2:7" x14ac:dyDescent="0.35">
      <c r="B1252" s="46"/>
      <c r="C1252" s="46"/>
      <c r="D1252" s="46"/>
      <c r="E1252" s="46"/>
      <c r="F1252" s="46"/>
      <c r="G1252" s="79"/>
    </row>
    <row r="1253" spans="2:7" x14ac:dyDescent="0.35">
      <c r="B1253" s="46"/>
      <c r="C1253" s="46"/>
      <c r="D1253" s="46"/>
      <c r="E1253" s="46"/>
      <c r="F1253" s="46"/>
      <c r="G1253" s="79"/>
    </row>
    <row r="1254" spans="2:7" x14ac:dyDescent="0.35">
      <c r="B1254" s="46"/>
      <c r="C1254" s="46"/>
      <c r="D1254" s="46"/>
      <c r="E1254" s="46"/>
      <c r="F1254" s="46"/>
      <c r="G1254" s="79"/>
    </row>
    <row r="1255" spans="2:7" x14ac:dyDescent="0.35">
      <c r="B1255" s="46"/>
      <c r="C1255" s="46"/>
      <c r="D1255" s="46"/>
      <c r="E1255" s="46"/>
      <c r="F1255" s="46"/>
      <c r="G1255" s="79"/>
    </row>
    <row r="1256" spans="2:7" x14ac:dyDescent="0.35">
      <c r="B1256" s="46"/>
      <c r="C1256" s="46"/>
      <c r="D1256" s="46"/>
      <c r="E1256" s="46"/>
      <c r="F1256" s="46"/>
      <c r="G1256" s="79"/>
    </row>
    <row r="1257" spans="2:7" x14ac:dyDescent="0.35">
      <c r="B1257" s="46"/>
      <c r="C1257" s="46"/>
      <c r="D1257" s="46"/>
      <c r="E1257" s="46"/>
      <c r="F1257" s="46"/>
      <c r="G1257" s="79"/>
    </row>
    <row r="1258" spans="2:7" x14ac:dyDescent="0.35">
      <c r="B1258" s="46"/>
      <c r="C1258" s="46"/>
      <c r="D1258" s="46"/>
      <c r="E1258" s="46"/>
      <c r="F1258" s="46"/>
      <c r="G1258" s="79"/>
    </row>
    <row r="1259" spans="2:7" x14ac:dyDescent="0.35">
      <c r="B1259" s="46"/>
      <c r="C1259" s="46"/>
      <c r="D1259" s="46"/>
      <c r="E1259" s="46"/>
      <c r="F1259" s="46"/>
      <c r="G1259" s="79"/>
    </row>
    <row r="1260" spans="2:7" x14ac:dyDescent="0.35">
      <c r="B1260" s="46"/>
      <c r="C1260" s="46"/>
      <c r="D1260" s="46"/>
      <c r="E1260" s="46"/>
      <c r="F1260" s="46"/>
      <c r="G1260" s="79"/>
    </row>
    <row r="1261" spans="2:7" x14ac:dyDescent="0.35">
      <c r="B1261" s="46"/>
      <c r="C1261" s="46"/>
      <c r="D1261" s="46"/>
      <c r="E1261" s="46"/>
      <c r="F1261" s="46"/>
      <c r="G1261" s="79"/>
    </row>
    <row r="1262" spans="2:7" x14ac:dyDescent="0.35">
      <c r="B1262" s="46"/>
      <c r="C1262" s="46"/>
      <c r="D1262" s="46"/>
      <c r="E1262" s="46"/>
      <c r="F1262" s="46"/>
      <c r="G1262" s="79"/>
    </row>
    <row r="1263" spans="2:7" x14ac:dyDescent="0.35">
      <c r="B1263" s="46"/>
      <c r="C1263" s="46"/>
      <c r="D1263" s="46"/>
      <c r="E1263" s="46"/>
      <c r="F1263" s="46"/>
      <c r="G1263" s="79"/>
    </row>
    <row r="1264" spans="2:7" x14ac:dyDescent="0.35">
      <c r="B1264" s="46"/>
      <c r="C1264" s="46"/>
      <c r="D1264" s="46"/>
      <c r="E1264" s="46"/>
      <c r="F1264" s="46"/>
      <c r="G1264" s="79"/>
    </row>
    <row r="1265" spans="2:7" x14ac:dyDescent="0.35">
      <c r="B1265" s="46"/>
      <c r="C1265" s="46"/>
      <c r="D1265" s="46"/>
      <c r="E1265" s="46"/>
      <c r="F1265" s="46"/>
      <c r="G1265" s="79"/>
    </row>
    <row r="1266" spans="2:7" x14ac:dyDescent="0.35">
      <c r="B1266" s="46"/>
      <c r="C1266" s="46"/>
      <c r="D1266" s="46"/>
      <c r="E1266" s="46"/>
      <c r="F1266" s="46"/>
      <c r="G1266" s="79"/>
    </row>
    <row r="1267" spans="2:7" x14ac:dyDescent="0.35">
      <c r="B1267" s="46"/>
      <c r="C1267" s="46"/>
      <c r="D1267" s="46"/>
      <c r="E1267" s="46"/>
      <c r="F1267" s="46"/>
      <c r="G1267" s="79"/>
    </row>
    <row r="1268" spans="2:7" x14ac:dyDescent="0.35">
      <c r="B1268" s="46"/>
      <c r="C1268" s="46"/>
      <c r="D1268" s="46"/>
      <c r="E1268" s="46"/>
      <c r="F1268" s="46"/>
      <c r="G1268" s="79"/>
    </row>
    <row r="1269" spans="2:7" x14ac:dyDescent="0.35">
      <c r="B1269" s="46"/>
      <c r="C1269" s="46"/>
      <c r="D1269" s="46"/>
      <c r="E1269" s="46"/>
      <c r="F1269" s="46"/>
      <c r="G1269" s="79"/>
    </row>
    <row r="1270" spans="2:7" x14ac:dyDescent="0.35">
      <c r="B1270" s="46"/>
      <c r="C1270" s="46"/>
      <c r="D1270" s="46"/>
      <c r="E1270" s="46"/>
      <c r="F1270" s="46"/>
      <c r="G1270" s="79"/>
    </row>
    <row r="1271" spans="2:7" x14ac:dyDescent="0.35">
      <c r="B1271" s="46"/>
      <c r="C1271" s="46"/>
      <c r="D1271" s="46"/>
      <c r="E1271" s="46"/>
      <c r="F1271" s="46"/>
      <c r="G1271" s="79"/>
    </row>
    <row r="1272" spans="2:7" x14ac:dyDescent="0.35">
      <c r="B1272" s="46"/>
      <c r="C1272" s="46"/>
      <c r="D1272" s="46"/>
      <c r="E1272" s="46"/>
      <c r="F1272" s="46"/>
      <c r="G1272" s="79"/>
    </row>
    <row r="1273" spans="2:7" x14ac:dyDescent="0.35">
      <c r="B1273" s="46"/>
      <c r="C1273" s="46"/>
      <c r="D1273" s="46"/>
      <c r="E1273" s="46"/>
      <c r="F1273" s="46"/>
      <c r="G1273" s="79"/>
    </row>
    <row r="1274" spans="2:7" x14ac:dyDescent="0.35">
      <c r="B1274" s="46"/>
      <c r="C1274" s="46"/>
      <c r="D1274" s="46"/>
      <c r="E1274" s="46"/>
      <c r="F1274" s="46"/>
      <c r="G1274" s="79"/>
    </row>
    <row r="1275" spans="2:7" x14ac:dyDescent="0.35">
      <c r="B1275" s="46"/>
      <c r="C1275" s="46"/>
      <c r="D1275" s="46"/>
      <c r="E1275" s="46"/>
      <c r="F1275" s="46"/>
      <c r="G1275" s="79"/>
    </row>
    <row r="1276" spans="2:7" x14ac:dyDescent="0.35">
      <c r="B1276" s="46"/>
      <c r="C1276" s="46"/>
      <c r="D1276" s="46"/>
      <c r="E1276" s="46"/>
      <c r="F1276" s="46"/>
      <c r="G1276" s="79"/>
    </row>
    <row r="1277" spans="2:7" x14ac:dyDescent="0.35">
      <c r="B1277" s="46"/>
      <c r="C1277" s="46"/>
      <c r="D1277" s="46"/>
      <c r="E1277" s="46"/>
      <c r="F1277" s="46"/>
      <c r="G1277" s="79"/>
    </row>
    <row r="1278" spans="2:7" x14ac:dyDescent="0.35">
      <c r="B1278" s="46"/>
      <c r="C1278" s="46"/>
      <c r="D1278" s="46"/>
      <c r="E1278" s="46"/>
      <c r="F1278" s="46"/>
      <c r="G1278" s="79"/>
    </row>
    <row r="1279" spans="2:7" x14ac:dyDescent="0.35">
      <c r="B1279" s="46"/>
      <c r="C1279" s="46"/>
      <c r="D1279" s="46"/>
      <c r="E1279" s="46"/>
      <c r="F1279" s="46"/>
      <c r="G1279" s="79"/>
    </row>
    <row r="1280" spans="2:7" x14ac:dyDescent="0.35">
      <c r="B1280" s="46"/>
      <c r="C1280" s="46"/>
      <c r="D1280" s="46"/>
      <c r="E1280" s="46"/>
      <c r="F1280" s="46"/>
      <c r="G1280" s="79"/>
    </row>
    <row r="1281" spans="2:7" x14ac:dyDescent="0.35">
      <c r="B1281" s="46"/>
      <c r="C1281" s="46"/>
      <c r="D1281" s="46"/>
      <c r="E1281" s="46"/>
      <c r="F1281" s="46"/>
      <c r="G1281" s="79"/>
    </row>
    <row r="1282" spans="2:7" x14ac:dyDescent="0.35">
      <c r="B1282" s="46"/>
      <c r="C1282" s="46"/>
      <c r="D1282" s="46"/>
      <c r="E1282" s="46"/>
      <c r="F1282" s="46"/>
      <c r="G1282" s="79"/>
    </row>
    <row r="1283" spans="2:7" x14ac:dyDescent="0.35">
      <c r="B1283" s="46"/>
      <c r="C1283" s="46"/>
      <c r="D1283" s="46"/>
      <c r="E1283" s="46"/>
      <c r="F1283" s="46"/>
      <c r="G1283" s="79"/>
    </row>
    <row r="1284" spans="2:7" x14ac:dyDescent="0.35">
      <c r="B1284" s="46"/>
      <c r="C1284" s="46"/>
      <c r="D1284" s="46"/>
      <c r="E1284" s="46"/>
      <c r="F1284" s="46"/>
      <c r="G1284" s="79"/>
    </row>
    <row r="1285" spans="2:7" x14ac:dyDescent="0.35">
      <c r="B1285" s="46"/>
      <c r="C1285" s="46"/>
      <c r="D1285" s="46"/>
      <c r="E1285" s="46"/>
      <c r="F1285" s="46"/>
      <c r="G1285" s="79"/>
    </row>
    <row r="1286" spans="2:7" x14ac:dyDescent="0.35">
      <c r="B1286" s="46"/>
      <c r="C1286" s="46"/>
      <c r="D1286" s="46"/>
      <c r="E1286" s="46"/>
      <c r="F1286" s="46"/>
      <c r="G1286" s="79"/>
    </row>
    <row r="1287" spans="2:7" x14ac:dyDescent="0.35">
      <c r="B1287" s="46"/>
      <c r="C1287" s="46"/>
      <c r="D1287" s="46"/>
      <c r="E1287" s="46"/>
      <c r="F1287" s="46"/>
      <c r="G1287" s="79"/>
    </row>
    <row r="1288" spans="2:7" x14ac:dyDescent="0.35">
      <c r="B1288" s="46"/>
      <c r="C1288" s="46"/>
      <c r="D1288" s="46"/>
      <c r="E1288" s="46"/>
      <c r="F1288" s="46"/>
      <c r="G1288" s="79"/>
    </row>
    <row r="1289" spans="2:7" x14ac:dyDescent="0.35">
      <c r="B1289" s="46"/>
      <c r="C1289" s="46"/>
      <c r="D1289" s="46"/>
      <c r="E1289" s="46"/>
      <c r="F1289" s="46"/>
      <c r="G1289" s="79"/>
    </row>
    <row r="1290" spans="2:7" x14ac:dyDescent="0.35">
      <c r="B1290" s="46"/>
      <c r="C1290" s="46"/>
      <c r="D1290" s="46"/>
      <c r="E1290" s="46"/>
      <c r="F1290" s="46"/>
      <c r="G1290" s="79"/>
    </row>
    <row r="1291" spans="2:7" x14ac:dyDescent="0.35">
      <c r="B1291" s="46"/>
      <c r="C1291" s="46"/>
      <c r="D1291" s="46"/>
      <c r="E1291" s="46"/>
      <c r="F1291" s="46"/>
      <c r="G1291" s="79"/>
    </row>
    <row r="1292" spans="2:7" x14ac:dyDescent="0.35">
      <c r="B1292" s="46"/>
      <c r="C1292" s="46"/>
      <c r="D1292" s="46"/>
      <c r="E1292" s="46"/>
      <c r="F1292" s="46"/>
      <c r="G1292" s="79"/>
    </row>
    <row r="1293" spans="2:7" x14ac:dyDescent="0.35">
      <c r="B1293" s="46"/>
      <c r="C1293" s="46"/>
      <c r="D1293" s="46"/>
      <c r="E1293" s="46"/>
      <c r="F1293" s="46"/>
      <c r="G1293" s="79"/>
    </row>
    <row r="1294" spans="2:7" x14ac:dyDescent="0.35">
      <c r="B1294" s="46"/>
      <c r="C1294" s="46"/>
      <c r="D1294" s="46"/>
      <c r="E1294" s="46"/>
      <c r="F1294" s="46"/>
      <c r="G1294" s="79"/>
    </row>
    <row r="1295" spans="2:7" x14ac:dyDescent="0.35">
      <c r="B1295" s="46"/>
      <c r="C1295" s="46"/>
      <c r="D1295" s="46"/>
      <c r="E1295" s="46"/>
      <c r="F1295" s="46"/>
      <c r="G1295" s="79"/>
    </row>
    <row r="1296" spans="2:7" x14ac:dyDescent="0.35">
      <c r="B1296" s="46"/>
      <c r="C1296" s="46"/>
      <c r="D1296" s="46"/>
      <c r="E1296" s="46"/>
      <c r="F1296" s="46"/>
      <c r="G1296" s="79"/>
    </row>
    <row r="1297" spans="2:7" x14ac:dyDescent="0.35">
      <c r="B1297" s="46"/>
      <c r="C1297" s="46"/>
      <c r="D1297" s="46"/>
      <c r="E1297" s="46"/>
      <c r="F1297" s="46"/>
      <c r="G1297" s="79"/>
    </row>
    <row r="1298" spans="2:7" x14ac:dyDescent="0.35">
      <c r="B1298" s="46"/>
      <c r="C1298" s="46"/>
      <c r="D1298" s="46"/>
      <c r="E1298" s="46"/>
      <c r="F1298" s="46"/>
      <c r="G1298" s="79"/>
    </row>
    <row r="1299" spans="2:7" x14ac:dyDescent="0.35">
      <c r="B1299" s="46"/>
      <c r="C1299" s="46"/>
      <c r="D1299" s="46"/>
      <c r="E1299" s="46"/>
      <c r="F1299" s="46"/>
      <c r="G1299" s="79"/>
    </row>
    <row r="1300" spans="2:7" x14ac:dyDescent="0.35">
      <c r="B1300" s="46"/>
      <c r="C1300" s="46"/>
      <c r="D1300" s="46"/>
      <c r="E1300" s="46"/>
      <c r="F1300" s="46"/>
      <c r="G1300" s="79"/>
    </row>
    <row r="1301" spans="2:7" x14ac:dyDescent="0.35">
      <c r="B1301" s="46"/>
      <c r="C1301" s="46"/>
      <c r="D1301" s="46"/>
      <c r="E1301" s="46"/>
      <c r="F1301" s="46"/>
      <c r="G1301" s="79"/>
    </row>
    <row r="1302" spans="2:7" x14ac:dyDescent="0.35">
      <c r="B1302" s="46"/>
      <c r="C1302" s="46"/>
      <c r="D1302" s="46"/>
      <c r="E1302" s="46"/>
      <c r="F1302" s="46"/>
      <c r="G1302" s="79"/>
    </row>
    <row r="1303" spans="2:7" x14ac:dyDescent="0.35">
      <c r="B1303" s="46"/>
      <c r="C1303" s="46"/>
      <c r="D1303" s="46"/>
      <c r="E1303" s="46"/>
      <c r="F1303" s="46"/>
      <c r="G1303" s="79"/>
    </row>
    <row r="1304" spans="2:7" x14ac:dyDescent="0.35">
      <c r="B1304" s="46"/>
      <c r="C1304" s="46"/>
      <c r="D1304" s="46"/>
      <c r="E1304" s="46"/>
      <c r="F1304" s="46"/>
      <c r="G1304" s="79"/>
    </row>
    <row r="1305" spans="2:7" x14ac:dyDescent="0.35">
      <c r="B1305" s="46"/>
      <c r="C1305" s="46"/>
      <c r="D1305" s="46"/>
      <c r="E1305" s="46"/>
      <c r="F1305" s="46"/>
      <c r="G1305" s="79"/>
    </row>
    <row r="1306" spans="2:7" x14ac:dyDescent="0.35">
      <c r="B1306" s="46"/>
      <c r="C1306" s="46"/>
      <c r="D1306" s="46"/>
      <c r="E1306" s="46"/>
      <c r="F1306" s="46"/>
      <c r="G1306" s="79"/>
    </row>
    <row r="1307" spans="2:7" x14ac:dyDescent="0.35">
      <c r="B1307" s="46"/>
      <c r="C1307" s="46"/>
      <c r="D1307" s="46"/>
      <c r="E1307" s="46"/>
      <c r="F1307" s="46"/>
      <c r="G1307" s="79"/>
    </row>
    <row r="1308" spans="2:7" x14ac:dyDescent="0.35">
      <c r="B1308" s="46"/>
      <c r="C1308" s="46"/>
      <c r="D1308" s="46"/>
      <c r="E1308" s="46"/>
      <c r="F1308" s="46"/>
      <c r="G1308" s="79"/>
    </row>
    <row r="1309" spans="2:7" x14ac:dyDescent="0.35">
      <c r="B1309" s="46"/>
      <c r="C1309" s="46"/>
      <c r="D1309" s="46"/>
      <c r="E1309" s="46"/>
      <c r="F1309" s="46"/>
      <c r="G1309" s="79"/>
    </row>
    <row r="1310" spans="2:7" x14ac:dyDescent="0.35">
      <c r="B1310" s="46"/>
      <c r="C1310" s="46"/>
      <c r="D1310" s="46"/>
      <c r="E1310" s="46"/>
      <c r="F1310" s="46"/>
      <c r="G1310" s="79"/>
    </row>
    <row r="1311" spans="2:7" x14ac:dyDescent="0.35">
      <c r="B1311" s="46"/>
      <c r="C1311" s="46"/>
      <c r="D1311" s="46"/>
      <c r="E1311" s="46"/>
      <c r="F1311" s="46"/>
      <c r="G1311" s="79"/>
    </row>
    <row r="1312" spans="2:7" x14ac:dyDescent="0.35">
      <c r="B1312" s="46"/>
      <c r="C1312" s="46"/>
      <c r="D1312" s="46"/>
      <c r="E1312" s="46"/>
      <c r="F1312" s="46"/>
      <c r="G1312" s="79"/>
    </row>
    <row r="1313" spans="2:7" x14ac:dyDescent="0.35">
      <c r="B1313" s="46"/>
      <c r="C1313" s="46"/>
      <c r="D1313" s="46"/>
      <c r="E1313" s="46"/>
      <c r="F1313" s="46"/>
      <c r="G1313" s="79"/>
    </row>
    <row r="1314" spans="2:7" x14ac:dyDescent="0.35">
      <c r="B1314" s="46"/>
      <c r="C1314" s="46"/>
      <c r="D1314" s="46"/>
      <c r="E1314" s="46"/>
      <c r="F1314" s="46"/>
      <c r="G1314" s="79"/>
    </row>
    <row r="1315" spans="2:7" x14ac:dyDescent="0.35">
      <c r="B1315" s="46"/>
      <c r="C1315" s="46"/>
      <c r="D1315" s="46"/>
      <c r="E1315" s="46"/>
      <c r="F1315" s="46"/>
      <c r="G1315" s="79"/>
    </row>
    <row r="1316" spans="2:7" x14ac:dyDescent="0.35">
      <c r="B1316" s="46"/>
      <c r="C1316" s="46"/>
      <c r="D1316" s="46"/>
      <c r="E1316" s="46"/>
      <c r="F1316" s="46"/>
      <c r="G1316" s="79"/>
    </row>
    <row r="1317" spans="2:7" x14ac:dyDescent="0.35">
      <c r="B1317" s="46"/>
      <c r="C1317" s="46"/>
      <c r="D1317" s="46"/>
      <c r="E1317" s="46"/>
      <c r="F1317" s="46"/>
      <c r="G1317" s="79"/>
    </row>
    <row r="1318" spans="2:7" x14ac:dyDescent="0.35">
      <c r="B1318" s="46"/>
      <c r="C1318" s="46"/>
      <c r="D1318" s="46"/>
      <c r="E1318" s="46"/>
      <c r="F1318" s="46"/>
      <c r="G1318" s="79"/>
    </row>
    <row r="1319" spans="2:7" x14ac:dyDescent="0.35">
      <c r="B1319" s="46"/>
      <c r="C1319" s="46"/>
      <c r="D1319" s="46"/>
      <c r="E1319" s="46"/>
      <c r="F1319" s="46"/>
      <c r="G1319" s="79"/>
    </row>
    <row r="1320" spans="2:7" x14ac:dyDescent="0.35">
      <c r="B1320" s="46"/>
      <c r="C1320" s="46"/>
      <c r="D1320" s="46"/>
      <c r="E1320" s="46"/>
      <c r="F1320" s="46"/>
      <c r="G1320" s="79"/>
    </row>
    <row r="1321" spans="2:7" x14ac:dyDescent="0.35">
      <c r="B1321" s="46"/>
      <c r="C1321" s="46"/>
      <c r="D1321" s="46"/>
      <c r="E1321" s="46"/>
      <c r="F1321" s="46"/>
      <c r="G1321" s="79"/>
    </row>
    <row r="1322" spans="2:7" x14ac:dyDescent="0.35">
      <c r="B1322" s="46"/>
      <c r="C1322" s="46"/>
      <c r="D1322" s="46"/>
      <c r="E1322" s="46"/>
      <c r="F1322" s="46"/>
      <c r="G1322" s="79"/>
    </row>
    <row r="1323" spans="2:7" x14ac:dyDescent="0.35">
      <c r="B1323" s="46"/>
      <c r="C1323" s="46"/>
      <c r="D1323" s="46"/>
      <c r="E1323" s="46"/>
      <c r="F1323" s="46"/>
      <c r="G1323" s="79"/>
    </row>
    <row r="1324" spans="2:7" x14ac:dyDescent="0.35">
      <c r="B1324" s="46"/>
      <c r="C1324" s="46"/>
      <c r="D1324" s="46"/>
      <c r="E1324" s="46"/>
      <c r="F1324" s="46"/>
      <c r="G1324" s="79"/>
    </row>
    <row r="1325" spans="2:7" x14ac:dyDescent="0.35">
      <c r="B1325" s="46"/>
      <c r="C1325" s="46"/>
      <c r="D1325" s="46"/>
      <c r="E1325" s="46"/>
      <c r="F1325" s="46"/>
      <c r="G1325" s="79"/>
    </row>
    <row r="1326" spans="2:7" x14ac:dyDescent="0.35">
      <c r="B1326" s="46"/>
      <c r="C1326" s="46"/>
      <c r="D1326" s="46"/>
      <c r="E1326" s="46"/>
      <c r="F1326" s="46"/>
      <c r="G1326" s="79"/>
    </row>
    <row r="1327" spans="2:7" x14ac:dyDescent="0.35">
      <c r="B1327" s="46"/>
      <c r="C1327" s="46"/>
      <c r="D1327" s="46"/>
      <c r="E1327" s="46"/>
      <c r="F1327" s="46"/>
      <c r="G1327" s="79"/>
    </row>
    <row r="1328" spans="2:7" x14ac:dyDescent="0.35">
      <c r="B1328" s="46"/>
      <c r="C1328" s="46"/>
      <c r="D1328" s="46"/>
      <c r="E1328" s="46"/>
      <c r="F1328" s="46"/>
      <c r="G1328" s="79"/>
    </row>
    <row r="1329" spans="2:7" x14ac:dyDescent="0.35">
      <c r="B1329" s="46"/>
      <c r="C1329" s="46"/>
      <c r="D1329" s="46"/>
      <c r="E1329" s="46"/>
      <c r="F1329" s="46"/>
      <c r="G1329" s="79"/>
    </row>
    <row r="1330" spans="2:7" x14ac:dyDescent="0.35">
      <c r="B1330" s="46"/>
      <c r="C1330" s="46"/>
      <c r="D1330" s="46"/>
      <c r="E1330" s="46"/>
      <c r="F1330" s="46"/>
      <c r="G1330" s="79"/>
    </row>
    <row r="1331" spans="2:7" x14ac:dyDescent="0.35">
      <c r="B1331" s="46"/>
      <c r="C1331" s="46"/>
      <c r="D1331" s="46"/>
      <c r="E1331" s="46"/>
      <c r="F1331" s="46"/>
      <c r="G1331" s="79"/>
    </row>
    <row r="1332" spans="2:7" x14ac:dyDescent="0.35">
      <c r="B1332" s="46"/>
      <c r="C1332" s="46"/>
      <c r="D1332" s="46"/>
      <c r="E1332" s="46"/>
      <c r="F1332" s="46"/>
      <c r="G1332" s="79"/>
    </row>
    <row r="1333" spans="2:7" x14ac:dyDescent="0.35">
      <c r="B1333" s="46"/>
      <c r="C1333" s="46"/>
      <c r="D1333" s="46"/>
      <c r="E1333" s="46"/>
      <c r="F1333" s="46"/>
      <c r="G1333" s="79"/>
    </row>
    <row r="1334" spans="2:7" x14ac:dyDescent="0.35">
      <c r="B1334" s="46"/>
      <c r="C1334" s="46"/>
      <c r="D1334" s="46"/>
      <c r="E1334" s="46"/>
      <c r="F1334" s="46"/>
      <c r="G1334" s="79"/>
    </row>
    <row r="1335" spans="2:7" x14ac:dyDescent="0.35">
      <c r="B1335" s="46"/>
      <c r="C1335" s="46"/>
      <c r="D1335" s="46"/>
      <c r="E1335" s="46"/>
      <c r="F1335" s="46"/>
      <c r="G1335" s="79"/>
    </row>
    <row r="1336" spans="2:7" x14ac:dyDescent="0.35">
      <c r="B1336" s="46"/>
      <c r="C1336" s="46"/>
      <c r="D1336" s="46"/>
      <c r="E1336" s="46"/>
      <c r="F1336" s="46"/>
      <c r="G1336" s="79"/>
    </row>
    <row r="1337" spans="2:7" x14ac:dyDescent="0.35">
      <c r="B1337" s="46"/>
      <c r="C1337" s="46"/>
      <c r="D1337" s="46"/>
      <c r="E1337" s="46"/>
      <c r="F1337" s="46"/>
      <c r="G1337" s="79"/>
    </row>
    <row r="1338" spans="2:7" x14ac:dyDescent="0.35">
      <c r="B1338" s="46"/>
      <c r="C1338" s="46"/>
      <c r="D1338" s="46"/>
      <c r="E1338" s="46"/>
      <c r="F1338" s="46"/>
      <c r="G1338" s="79"/>
    </row>
    <row r="1339" spans="2:7" x14ac:dyDescent="0.35">
      <c r="B1339" s="46"/>
      <c r="C1339" s="46"/>
      <c r="D1339" s="46"/>
      <c r="E1339" s="46"/>
      <c r="F1339" s="46"/>
      <c r="G1339" s="79"/>
    </row>
    <row r="1340" spans="2:7" x14ac:dyDescent="0.35">
      <c r="B1340" s="46"/>
      <c r="C1340" s="46"/>
      <c r="D1340" s="46"/>
      <c r="E1340" s="46"/>
      <c r="F1340" s="46"/>
      <c r="G1340" s="79"/>
    </row>
    <row r="1341" spans="2:7" x14ac:dyDescent="0.35">
      <c r="B1341" s="46"/>
      <c r="C1341" s="46"/>
      <c r="D1341" s="46"/>
      <c r="E1341" s="46"/>
      <c r="F1341" s="46"/>
      <c r="G1341" s="79"/>
    </row>
    <row r="1342" spans="2:7" x14ac:dyDescent="0.35">
      <c r="B1342" s="46"/>
      <c r="C1342" s="46"/>
      <c r="D1342" s="46"/>
      <c r="E1342" s="46"/>
      <c r="F1342" s="46"/>
      <c r="G1342" s="79"/>
    </row>
    <row r="1343" spans="2:7" x14ac:dyDescent="0.35">
      <c r="B1343" s="46"/>
      <c r="C1343" s="46"/>
      <c r="D1343" s="46"/>
      <c r="E1343" s="46"/>
      <c r="F1343" s="46"/>
      <c r="G1343" s="79"/>
    </row>
    <row r="1344" spans="2:7" x14ac:dyDescent="0.35">
      <c r="B1344" s="46"/>
      <c r="C1344" s="46"/>
      <c r="D1344" s="46"/>
      <c r="E1344" s="46"/>
      <c r="F1344" s="46"/>
      <c r="G1344" s="79"/>
    </row>
    <row r="1345" spans="2:7" x14ac:dyDescent="0.35">
      <c r="B1345" s="46"/>
      <c r="C1345" s="46"/>
      <c r="D1345" s="46"/>
      <c r="E1345" s="46"/>
      <c r="F1345" s="46"/>
      <c r="G1345" s="79"/>
    </row>
    <row r="1346" spans="2:7" x14ac:dyDescent="0.35">
      <c r="B1346" s="46"/>
      <c r="C1346" s="46"/>
      <c r="D1346" s="46"/>
      <c r="E1346" s="46"/>
      <c r="F1346" s="46"/>
      <c r="G1346" s="79"/>
    </row>
    <row r="1347" spans="2:7" x14ac:dyDescent="0.35">
      <c r="B1347" s="46"/>
      <c r="C1347" s="46"/>
      <c r="D1347" s="46"/>
      <c r="E1347" s="46"/>
      <c r="F1347" s="46"/>
      <c r="G1347" s="79"/>
    </row>
    <row r="1348" spans="2:7" x14ac:dyDescent="0.35">
      <c r="B1348" s="46"/>
      <c r="C1348" s="46"/>
      <c r="D1348" s="46"/>
      <c r="E1348" s="46"/>
      <c r="F1348" s="46"/>
      <c r="G1348" s="79"/>
    </row>
    <row r="1349" spans="2:7" x14ac:dyDescent="0.35">
      <c r="B1349" s="46"/>
      <c r="C1349" s="46"/>
      <c r="D1349" s="46"/>
      <c r="E1349" s="46"/>
      <c r="F1349" s="46"/>
      <c r="G1349" s="79"/>
    </row>
    <row r="1350" spans="2:7" x14ac:dyDescent="0.35">
      <c r="B1350" s="46"/>
      <c r="C1350" s="46"/>
      <c r="D1350" s="46"/>
      <c r="E1350" s="46"/>
      <c r="F1350" s="46"/>
      <c r="G1350" s="79"/>
    </row>
    <row r="1351" spans="2:7" x14ac:dyDescent="0.35">
      <c r="B1351" s="46"/>
      <c r="C1351" s="46"/>
      <c r="D1351" s="46"/>
      <c r="E1351" s="46"/>
      <c r="F1351" s="46"/>
      <c r="G1351" s="79"/>
    </row>
    <row r="1352" spans="2:7" x14ac:dyDescent="0.35">
      <c r="B1352" s="46"/>
      <c r="C1352" s="46"/>
      <c r="D1352" s="46"/>
      <c r="E1352" s="46"/>
      <c r="F1352" s="46"/>
      <c r="G1352" s="79"/>
    </row>
    <row r="1353" spans="2:7" x14ac:dyDescent="0.35">
      <c r="B1353" s="46"/>
      <c r="C1353" s="46"/>
      <c r="D1353" s="46"/>
      <c r="E1353" s="46"/>
      <c r="F1353" s="46"/>
      <c r="G1353" s="79"/>
    </row>
    <row r="1354" spans="2:7" x14ac:dyDescent="0.35">
      <c r="B1354" s="46"/>
      <c r="C1354" s="46"/>
      <c r="D1354" s="46"/>
      <c r="E1354" s="46"/>
      <c r="F1354" s="46"/>
      <c r="G1354" s="79"/>
    </row>
    <row r="1355" spans="2:7" x14ac:dyDescent="0.35">
      <c r="B1355" s="46"/>
      <c r="C1355" s="46"/>
      <c r="D1355" s="46"/>
      <c r="E1355" s="46"/>
      <c r="F1355" s="46"/>
      <c r="G1355" s="79"/>
    </row>
    <row r="1356" spans="2:7" x14ac:dyDescent="0.35">
      <c r="B1356" s="46"/>
      <c r="C1356" s="46"/>
      <c r="D1356" s="46"/>
      <c r="E1356" s="46"/>
      <c r="F1356" s="46"/>
      <c r="G1356" s="79"/>
    </row>
    <row r="1357" spans="2:7" x14ac:dyDescent="0.35">
      <c r="B1357" s="46"/>
      <c r="C1357" s="46"/>
      <c r="D1357" s="46"/>
      <c r="E1357" s="46"/>
      <c r="F1357" s="46"/>
      <c r="G1357" s="79"/>
    </row>
    <row r="1358" spans="2:7" x14ac:dyDescent="0.35">
      <c r="B1358" s="46"/>
      <c r="C1358" s="46"/>
      <c r="D1358" s="46"/>
      <c r="E1358" s="46"/>
      <c r="F1358" s="46"/>
      <c r="G1358" s="79"/>
    </row>
    <row r="1359" spans="2:7" x14ac:dyDescent="0.35">
      <c r="B1359" s="46"/>
      <c r="C1359" s="46"/>
      <c r="D1359" s="46"/>
      <c r="E1359" s="46"/>
      <c r="F1359" s="46"/>
      <c r="G1359" s="79"/>
    </row>
    <row r="1360" spans="2:7" x14ac:dyDescent="0.35">
      <c r="B1360" s="46"/>
      <c r="C1360" s="46"/>
      <c r="D1360" s="46"/>
      <c r="E1360" s="46"/>
      <c r="F1360" s="46"/>
      <c r="G1360" s="79"/>
    </row>
    <row r="1361" spans="2:7" x14ac:dyDescent="0.35">
      <c r="B1361" s="46"/>
      <c r="C1361" s="46"/>
      <c r="D1361" s="46"/>
      <c r="E1361" s="46"/>
      <c r="F1361" s="46"/>
      <c r="G1361" s="79"/>
    </row>
    <row r="1362" spans="2:7" x14ac:dyDescent="0.35">
      <c r="B1362" s="46"/>
      <c r="C1362" s="46"/>
      <c r="D1362" s="46"/>
      <c r="E1362" s="46"/>
      <c r="F1362" s="46"/>
      <c r="G1362" s="79"/>
    </row>
    <row r="1363" spans="2:7" x14ac:dyDescent="0.35">
      <c r="B1363" s="46"/>
      <c r="C1363" s="46"/>
      <c r="D1363" s="46"/>
      <c r="E1363" s="46"/>
      <c r="F1363" s="46"/>
      <c r="G1363" s="79"/>
    </row>
    <row r="1364" spans="2:7" x14ac:dyDescent="0.35">
      <c r="B1364" s="46"/>
      <c r="C1364" s="46"/>
      <c r="D1364" s="46"/>
      <c r="E1364" s="46"/>
      <c r="F1364" s="46"/>
      <c r="G1364" s="79"/>
    </row>
    <row r="1365" spans="2:7" x14ac:dyDescent="0.35">
      <c r="B1365" s="46"/>
      <c r="C1365" s="46"/>
      <c r="D1365" s="46"/>
      <c r="E1365" s="46"/>
      <c r="F1365" s="46"/>
      <c r="G1365" s="79"/>
    </row>
    <row r="1366" spans="2:7" x14ac:dyDescent="0.35">
      <c r="B1366" s="46"/>
      <c r="C1366" s="46"/>
      <c r="D1366" s="46"/>
      <c r="E1366" s="46"/>
      <c r="F1366" s="46"/>
      <c r="G1366" s="79"/>
    </row>
    <row r="1367" spans="2:7" x14ac:dyDescent="0.35">
      <c r="B1367" s="46"/>
      <c r="C1367" s="46"/>
      <c r="D1367" s="46"/>
      <c r="E1367" s="46"/>
      <c r="F1367" s="46"/>
      <c r="G1367" s="79"/>
    </row>
    <row r="1368" spans="2:7" x14ac:dyDescent="0.35">
      <c r="B1368" s="46"/>
      <c r="C1368" s="46"/>
      <c r="D1368" s="46"/>
      <c r="E1368" s="46"/>
      <c r="F1368" s="46"/>
      <c r="G1368" s="79"/>
    </row>
    <row r="1369" spans="2:7" x14ac:dyDescent="0.35">
      <c r="B1369" s="46"/>
      <c r="C1369" s="46"/>
      <c r="D1369" s="46"/>
      <c r="E1369" s="46"/>
      <c r="F1369" s="46"/>
      <c r="G1369" s="79"/>
    </row>
    <row r="1370" spans="2:7" x14ac:dyDescent="0.35">
      <c r="B1370" s="46"/>
      <c r="C1370" s="46"/>
      <c r="D1370" s="46"/>
      <c r="E1370" s="46"/>
      <c r="F1370" s="46"/>
      <c r="G1370" s="79"/>
    </row>
    <row r="1371" spans="2:7" x14ac:dyDescent="0.35">
      <c r="B1371" s="46"/>
      <c r="C1371" s="46"/>
      <c r="D1371" s="46"/>
      <c r="E1371" s="46"/>
      <c r="F1371" s="46"/>
      <c r="G1371" s="79"/>
    </row>
    <row r="1372" spans="2:7" x14ac:dyDescent="0.35">
      <c r="B1372" s="46"/>
      <c r="C1372" s="46"/>
      <c r="D1372" s="46"/>
      <c r="E1372" s="46"/>
      <c r="F1372" s="46"/>
      <c r="G1372" s="79"/>
    </row>
    <row r="1373" spans="2:7" x14ac:dyDescent="0.35">
      <c r="B1373" s="46"/>
      <c r="C1373" s="46"/>
      <c r="D1373" s="46"/>
      <c r="E1373" s="46"/>
      <c r="F1373" s="46"/>
      <c r="G1373" s="79"/>
    </row>
    <row r="1374" spans="2:7" x14ac:dyDescent="0.35">
      <c r="B1374" s="46"/>
      <c r="C1374" s="46"/>
      <c r="D1374" s="46"/>
      <c r="E1374" s="46"/>
      <c r="F1374" s="46"/>
      <c r="G1374" s="79"/>
    </row>
    <row r="1375" spans="2:7" x14ac:dyDescent="0.35">
      <c r="B1375" s="46"/>
      <c r="C1375" s="46"/>
      <c r="D1375" s="46"/>
      <c r="E1375" s="46"/>
      <c r="F1375" s="46"/>
      <c r="G1375" s="79"/>
    </row>
    <row r="1376" spans="2:7" x14ac:dyDescent="0.35">
      <c r="B1376" s="46"/>
      <c r="C1376" s="46"/>
      <c r="D1376" s="46"/>
      <c r="E1376" s="46"/>
      <c r="F1376" s="46"/>
      <c r="G1376" s="79"/>
    </row>
    <row r="1377" spans="2:7" x14ac:dyDescent="0.35">
      <c r="B1377" s="46"/>
      <c r="C1377" s="46"/>
      <c r="D1377" s="46"/>
      <c r="E1377" s="46"/>
      <c r="F1377" s="46"/>
      <c r="G1377" s="79"/>
    </row>
    <row r="1378" spans="2:7" x14ac:dyDescent="0.35">
      <c r="B1378" s="46"/>
      <c r="C1378" s="46"/>
      <c r="D1378" s="46"/>
      <c r="E1378" s="46"/>
      <c r="F1378" s="46"/>
      <c r="G1378" s="79"/>
    </row>
    <row r="1379" spans="2:7" x14ac:dyDescent="0.35">
      <c r="B1379" s="46"/>
      <c r="C1379" s="46"/>
      <c r="D1379" s="46"/>
      <c r="E1379" s="46"/>
      <c r="F1379" s="46"/>
      <c r="G1379" s="79"/>
    </row>
    <row r="1380" spans="2:7" x14ac:dyDescent="0.35">
      <c r="B1380" s="46"/>
      <c r="C1380" s="46"/>
      <c r="D1380" s="46"/>
      <c r="E1380" s="46"/>
      <c r="F1380" s="46"/>
      <c r="G1380" s="79"/>
    </row>
    <row r="1381" spans="2:7" x14ac:dyDescent="0.35">
      <c r="B1381" s="46"/>
      <c r="C1381" s="46"/>
      <c r="D1381" s="46"/>
      <c r="E1381" s="46"/>
      <c r="F1381" s="46"/>
      <c r="G1381" s="79"/>
    </row>
    <row r="1382" spans="2:7" x14ac:dyDescent="0.35">
      <c r="B1382" s="46"/>
      <c r="C1382" s="46"/>
      <c r="D1382" s="46"/>
      <c r="E1382" s="46"/>
      <c r="F1382" s="46"/>
      <c r="G1382" s="79"/>
    </row>
    <row r="1383" spans="2:7" x14ac:dyDescent="0.35">
      <c r="B1383" s="46"/>
      <c r="C1383" s="46"/>
      <c r="D1383" s="46"/>
      <c r="E1383" s="46"/>
      <c r="F1383" s="46"/>
      <c r="G1383" s="79"/>
    </row>
    <row r="1384" spans="2:7" x14ac:dyDescent="0.35">
      <c r="B1384" s="46"/>
      <c r="C1384" s="46"/>
      <c r="D1384" s="46"/>
      <c r="E1384" s="46"/>
      <c r="F1384" s="46"/>
      <c r="G1384" s="79"/>
    </row>
    <row r="1385" spans="2:7" x14ac:dyDescent="0.35">
      <c r="B1385" s="46"/>
      <c r="C1385" s="46"/>
      <c r="D1385" s="46"/>
      <c r="E1385" s="46"/>
      <c r="F1385" s="46"/>
      <c r="G1385" s="79"/>
    </row>
    <row r="1386" spans="2:7" x14ac:dyDescent="0.35">
      <c r="B1386" s="46"/>
      <c r="C1386" s="46"/>
      <c r="D1386" s="46"/>
      <c r="E1386" s="46"/>
      <c r="F1386" s="46"/>
      <c r="G1386" s="79"/>
    </row>
    <row r="1387" spans="2:7" x14ac:dyDescent="0.35">
      <c r="B1387" s="46"/>
      <c r="C1387" s="46"/>
      <c r="D1387" s="46"/>
      <c r="E1387" s="46"/>
      <c r="F1387" s="46"/>
      <c r="G1387" s="79"/>
    </row>
    <row r="1388" spans="2:7" x14ac:dyDescent="0.35">
      <c r="B1388" s="46"/>
      <c r="C1388" s="46"/>
      <c r="D1388" s="46"/>
      <c r="E1388" s="46"/>
      <c r="F1388" s="46"/>
      <c r="G1388" s="79"/>
    </row>
    <row r="1389" spans="2:7" x14ac:dyDescent="0.35">
      <c r="B1389" s="46"/>
      <c r="C1389" s="46"/>
      <c r="D1389" s="46"/>
      <c r="E1389" s="46"/>
      <c r="F1389" s="46"/>
      <c r="G1389" s="79"/>
    </row>
    <row r="1390" spans="2:7" x14ac:dyDescent="0.35">
      <c r="B1390" s="46"/>
      <c r="C1390" s="46"/>
      <c r="D1390" s="46"/>
      <c r="E1390" s="46"/>
      <c r="F1390" s="46"/>
      <c r="G1390" s="79"/>
    </row>
    <row r="1391" spans="2:7" x14ac:dyDescent="0.35">
      <c r="B1391" s="46"/>
      <c r="C1391" s="46"/>
      <c r="D1391" s="46"/>
      <c r="E1391" s="46"/>
      <c r="F1391" s="46"/>
      <c r="G1391" s="79"/>
    </row>
    <row r="1392" spans="2:7" x14ac:dyDescent="0.35">
      <c r="B1392" s="46"/>
      <c r="C1392" s="46"/>
      <c r="D1392" s="46"/>
      <c r="E1392" s="46"/>
      <c r="F1392" s="46"/>
      <c r="G1392" s="79"/>
    </row>
    <row r="1393" spans="2:7" x14ac:dyDescent="0.35">
      <c r="B1393" s="46"/>
      <c r="C1393" s="46"/>
      <c r="D1393" s="46"/>
      <c r="E1393" s="46"/>
      <c r="F1393" s="46"/>
      <c r="G1393" s="79"/>
    </row>
    <row r="1394" spans="2:7" x14ac:dyDescent="0.35">
      <c r="B1394" s="46"/>
      <c r="C1394" s="46"/>
      <c r="D1394" s="46"/>
      <c r="E1394" s="46"/>
      <c r="F1394" s="46"/>
      <c r="G1394" s="79"/>
    </row>
    <row r="1395" spans="2:7" x14ac:dyDescent="0.35">
      <c r="B1395" s="46"/>
      <c r="C1395" s="46"/>
      <c r="D1395" s="46"/>
      <c r="E1395" s="46"/>
      <c r="F1395" s="46"/>
      <c r="G1395" s="79"/>
    </row>
    <row r="1396" spans="2:7" x14ac:dyDescent="0.35">
      <c r="B1396" s="46"/>
      <c r="C1396" s="46"/>
      <c r="D1396" s="46"/>
      <c r="E1396" s="46"/>
      <c r="F1396" s="46"/>
      <c r="G1396" s="79"/>
    </row>
    <row r="1397" spans="2:7" x14ac:dyDescent="0.35">
      <c r="B1397" s="46"/>
      <c r="C1397" s="46"/>
      <c r="D1397" s="46"/>
      <c r="E1397" s="46"/>
      <c r="F1397" s="46"/>
      <c r="G1397" s="79"/>
    </row>
    <row r="1398" spans="2:7" x14ac:dyDescent="0.35">
      <c r="B1398" s="46"/>
      <c r="C1398" s="46"/>
      <c r="D1398" s="46"/>
      <c r="E1398" s="46"/>
      <c r="F1398" s="46"/>
      <c r="G1398" s="79"/>
    </row>
    <row r="1399" spans="2:7" x14ac:dyDescent="0.35">
      <c r="B1399" s="46"/>
      <c r="C1399" s="46"/>
      <c r="D1399" s="46"/>
      <c r="E1399" s="46"/>
      <c r="F1399" s="46"/>
      <c r="G1399" s="79"/>
    </row>
    <row r="1400" spans="2:7" x14ac:dyDescent="0.35">
      <c r="B1400" s="46"/>
      <c r="C1400" s="46"/>
      <c r="D1400" s="46"/>
      <c r="E1400" s="46"/>
      <c r="F1400" s="46"/>
      <c r="G1400" s="79"/>
    </row>
    <row r="1401" spans="2:7" x14ac:dyDescent="0.35">
      <c r="B1401" s="46"/>
      <c r="C1401" s="46"/>
      <c r="D1401" s="46"/>
      <c r="E1401" s="46"/>
      <c r="F1401" s="46"/>
      <c r="G1401" s="79"/>
    </row>
    <row r="1402" spans="2:7" x14ac:dyDescent="0.35">
      <c r="B1402" s="46"/>
      <c r="C1402" s="46"/>
      <c r="D1402" s="46"/>
      <c r="E1402" s="46"/>
      <c r="F1402" s="46"/>
      <c r="G1402" s="79"/>
    </row>
    <row r="1403" spans="2:7" x14ac:dyDescent="0.35">
      <c r="B1403" s="46"/>
      <c r="C1403" s="46"/>
      <c r="D1403" s="46"/>
      <c r="E1403" s="46"/>
      <c r="F1403" s="46"/>
      <c r="G1403" s="79"/>
    </row>
    <row r="1404" spans="2:7" x14ac:dyDescent="0.35">
      <c r="B1404" s="46"/>
      <c r="C1404" s="46"/>
      <c r="D1404" s="46"/>
      <c r="E1404" s="46"/>
      <c r="F1404" s="46"/>
      <c r="G1404" s="79"/>
    </row>
    <row r="1405" spans="2:7" x14ac:dyDescent="0.35">
      <c r="B1405" s="46"/>
      <c r="C1405" s="46"/>
      <c r="D1405" s="46"/>
      <c r="E1405" s="46"/>
      <c r="F1405" s="46"/>
      <c r="G1405" s="79"/>
    </row>
    <row r="1406" spans="2:7" x14ac:dyDescent="0.35">
      <c r="B1406" s="46"/>
      <c r="C1406" s="46"/>
      <c r="D1406" s="46"/>
      <c r="E1406" s="46"/>
      <c r="F1406" s="46"/>
      <c r="G1406" s="79"/>
    </row>
    <row r="1407" spans="2:7" x14ac:dyDescent="0.35">
      <c r="B1407" s="46"/>
      <c r="C1407" s="46"/>
      <c r="D1407" s="46"/>
      <c r="E1407" s="46"/>
      <c r="F1407" s="46"/>
      <c r="G1407" s="79"/>
    </row>
    <row r="1408" spans="2:7" x14ac:dyDescent="0.35">
      <c r="B1408" s="46"/>
      <c r="C1408" s="46"/>
      <c r="D1408" s="46"/>
      <c r="E1408" s="46"/>
      <c r="F1408" s="46"/>
      <c r="G1408" s="79"/>
    </row>
    <row r="1409" spans="2:7" x14ac:dyDescent="0.35">
      <c r="B1409" s="46"/>
      <c r="C1409" s="46"/>
      <c r="D1409" s="46"/>
      <c r="E1409" s="46"/>
      <c r="F1409" s="46"/>
      <c r="G1409" s="79"/>
    </row>
    <row r="1410" spans="2:7" x14ac:dyDescent="0.35">
      <c r="B1410" s="46"/>
      <c r="C1410" s="46"/>
      <c r="D1410" s="46"/>
      <c r="E1410" s="46"/>
      <c r="F1410" s="46"/>
      <c r="G1410" s="79"/>
    </row>
    <row r="1411" spans="2:7" x14ac:dyDescent="0.35">
      <c r="B1411" s="46"/>
      <c r="C1411" s="46"/>
      <c r="D1411" s="46"/>
      <c r="E1411" s="46"/>
      <c r="F1411" s="46"/>
      <c r="G1411" s="79"/>
    </row>
    <row r="1412" spans="2:7" x14ac:dyDescent="0.35">
      <c r="B1412" s="46"/>
      <c r="C1412" s="46"/>
      <c r="D1412" s="46"/>
      <c r="E1412" s="46"/>
      <c r="F1412" s="46"/>
      <c r="G1412" s="79"/>
    </row>
    <row r="1413" spans="2:7" x14ac:dyDescent="0.35">
      <c r="B1413" s="46"/>
      <c r="C1413" s="46"/>
      <c r="D1413" s="46"/>
      <c r="E1413" s="46"/>
      <c r="F1413" s="46"/>
      <c r="G1413" s="79"/>
    </row>
    <row r="1414" spans="2:7" x14ac:dyDescent="0.35">
      <c r="B1414" s="46"/>
      <c r="C1414" s="46"/>
      <c r="D1414" s="46"/>
      <c r="E1414" s="46"/>
      <c r="F1414" s="46"/>
      <c r="G1414" s="79"/>
    </row>
    <row r="1415" spans="2:7" x14ac:dyDescent="0.35">
      <c r="B1415" s="46"/>
      <c r="C1415" s="46"/>
      <c r="D1415" s="46"/>
      <c r="E1415" s="46"/>
      <c r="F1415" s="46"/>
      <c r="G1415" s="79"/>
    </row>
    <row r="1416" spans="2:7" x14ac:dyDescent="0.35">
      <c r="B1416" s="46"/>
      <c r="C1416" s="46"/>
      <c r="D1416" s="46"/>
      <c r="E1416" s="46"/>
      <c r="F1416" s="46"/>
      <c r="G1416" s="79"/>
    </row>
    <row r="1417" spans="2:7" x14ac:dyDescent="0.35">
      <c r="B1417" s="46"/>
      <c r="C1417" s="46"/>
      <c r="D1417" s="46"/>
      <c r="E1417" s="46"/>
      <c r="F1417" s="46"/>
      <c r="G1417" s="79"/>
    </row>
    <row r="1418" spans="2:7" x14ac:dyDescent="0.35">
      <c r="B1418" s="46"/>
      <c r="C1418" s="46"/>
      <c r="D1418" s="46"/>
      <c r="E1418" s="46"/>
      <c r="F1418" s="46"/>
      <c r="G1418" s="79"/>
    </row>
    <row r="1419" spans="2:7" x14ac:dyDescent="0.35">
      <c r="B1419" s="46"/>
      <c r="C1419" s="46"/>
      <c r="D1419" s="46"/>
      <c r="E1419" s="46"/>
      <c r="F1419" s="46"/>
      <c r="G1419" s="79"/>
    </row>
    <row r="1420" spans="2:7" x14ac:dyDescent="0.35">
      <c r="B1420" s="46"/>
      <c r="C1420" s="46"/>
      <c r="D1420" s="46"/>
      <c r="E1420" s="46"/>
      <c r="F1420" s="46"/>
      <c r="G1420" s="79"/>
    </row>
    <row r="1421" spans="2:7" x14ac:dyDescent="0.35">
      <c r="B1421" s="46"/>
      <c r="C1421" s="46"/>
      <c r="D1421" s="46"/>
      <c r="E1421" s="46"/>
      <c r="F1421" s="46"/>
      <c r="G1421" s="79"/>
    </row>
    <row r="1422" spans="2:7" x14ac:dyDescent="0.35">
      <c r="B1422" s="46"/>
      <c r="C1422" s="46"/>
      <c r="D1422" s="46"/>
      <c r="E1422" s="46"/>
      <c r="F1422" s="46"/>
      <c r="G1422" s="79"/>
    </row>
    <row r="1423" spans="2:7" x14ac:dyDescent="0.35">
      <c r="B1423" s="46"/>
      <c r="C1423" s="46"/>
      <c r="D1423" s="46"/>
      <c r="E1423" s="46"/>
      <c r="F1423" s="46"/>
      <c r="G1423" s="79"/>
    </row>
    <row r="1424" spans="2:7" x14ac:dyDescent="0.35">
      <c r="B1424" s="46"/>
      <c r="C1424" s="46"/>
      <c r="D1424" s="46"/>
      <c r="E1424" s="46"/>
      <c r="F1424" s="46"/>
      <c r="G1424" s="79"/>
    </row>
    <row r="1425" spans="2:7" x14ac:dyDescent="0.35">
      <c r="B1425" s="46"/>
      <c r="C1425" s="46"/>
      <c r="D1425" s="46"/>
      <c r="E1425" s="46"/>
      <c r="F1425" s="46"/>
      <c r="G1425" s="79"/>
    </row>
    <row r="1426" spans="2:7" x14ac:dyDescent="0.35">
      <c r="B1426" s="46"/>
      <c r="C1426" s="46"/>
      <c r="D1426" s="46"/>
      <c r="E1426" s="46"/>
      <c r="F1426" s="46"/>
      <c r="G1426" s="79"/>
    </row>
    <row r="1427" spans="2:7" x14ac:dyDescent="0.35">
      <c r="B1427" s="46"/>
      <c r="C1427" s="46"/>
      <c r="D1427" s="46"/>
      <c r="E1427" s="46"/>
      <c r="F1427" s="46"/>
      <c r="G1427" s="79"/>
    </row>
    <row r="1428" spans="2:7" x14ac:dyDescent="0.35">
      <c r="B1428" s="46"/>
      <c r="C1428" s="46"/>
      <c r="D1428" s="46"/>
      <c r="E1428" s="46"/>
      <c r="F1428" s="46"/>
      <c r="G1428" s="79"/>
    </row>
    <row r="1429" spans="2:7" x14ac:dyDescent="0.35">
      <c r="B1429" s="46"/>
      <c r="C1429" s="46"/>
      <c r="D1429" s="46"/>
      <c r="E1429" s="46"/>
      <c r="F1429" s="46"/>
      <c r="G1429" s="79"/>
    </row>
    <row r="1430" spans="2:7" x14ac:dyDescent="0.35">
      <c r="B1430" s="46"/>
      <c r="C1430" s="46"/>
      <c r="D1430" s="46"/>
      <c r="E1430" s="46"/>
      <c r="F1430" s="46"/>
      <c r="G1430" s="79"/>
    </row>
    <row r="1431" spans="2:7" x14ac:dyDescent="0.35">
      <c r="B1431" s="46"/>
      <c r="C1431" s="46"/>
      <c r="D1431" s="46"/>
      <c r="E1431" s="46"/>
      <c r="F1431" s="46"/>
      <c r="G1431" s="79"/>
    </row>
    <row r="1432" spans="2:7" x14ac:dyDescent="0.35">
      <c r="B1432" s="46"/>
      <c r="C1432" s="46"/>
      <c r="D1432" s="46"/>
      <c r="E1432" s="46"/>
      <c r="F1432" s="46"/>
      <c r="G1432" s="79"/>
    </row>
    <row r="1433" spans="2:7" x14ac:dyDescent="0.35">
      <c r="B1433" s="46"/>
      <c r="C1433" s="46"/>
      <c r="D1433" s="46"/>
      <c r="E1433" s="46"/>
      <c r="F1433" s="46"/>
      <c r="G1433" s="79"/>
    </row>
    <row r="1434" spans="2:7" x14ac:dyDescent="0.35">
      <c r="B1434" s="46"/>
      <c r="C1434" s="46"/>
      <c r="D1434" s="46"/>
      <c r="E1434" s="46"/>
      <c r="F1434" s="46"/>
      <c r="G1434" s="79"/>
    </row>
    <row r="1435" spans="2:7" x14ac:dyDescent="0.35">
      <c r="B1435" s="46"/>
      <c r="C1435" s="46"/>
      <c r="D1435" s="46"/>
      <c r="E1435" s="46"/>
      <c r="F1435" s="46"/>
      <c r="G1435" s="79"/>
    </row>
    <row r="1436" spans="2:7" x14ac:dyDescent="0.35">
      <c r="B1436" s="46"/>
      <c r="C1436" s="46"/>
      <c r="D1436" s="46"/>
      <c r="E1436" s="46"/>
      <c r="F1436" s="46"/>
      <c r="G1436" s="79"/>
    </row>
    <row r="1437" spans="2:7" x14ac:dyDescent="0.35">
      <c r="B1437" s="46"/>
      <c r="C1437" s="46"/>
      <c r="D1437" s="46"/>
      <c r="E1437" s="46"/>
      <c r="F1437" s="46"/>
      <c r="G1437" s="79"/>
    </row>
    <row r="1438" spans="2:7" x14ac:dyDescent="0.35">
      <c r="B1438" s="46"/>
      <c r="C1438" s="46"/>
      <c r="D1438" s="46"/>
      <c r="E1438" s="46"/>
      <c r="F1438" s="46"/>
      <c r="G1438" s="79"/>
    </row>
    <row r="1439" spans="2:7" x14ac:dyDescent="0.35">
      <c r="B1439" s="46"/>
      <c r="C1439" s="46"/>
      <c r="D1439" s="46"/>
      <c r="E1439" s="46"/>
      <c r="F1439" s="46"/>
      <c r="G1439" s="79"/>
    </row>
    <row r="1440" spans="2:7" x14ac:dyDescent="0.35">
      <c r="B1440" s="46"/>
      <c r="C1440" s="46"/>
      <c r="D1440" s="46"/>
      <c r="E1440" s="46"/>
      <c r="F1440" s="46"/>
      <c r="G1440" s="79"/>
    </row>
    <row r="1441" spans="2:7" x14ac:dyDescent="0.35">
      <c r="B1441" s="46"/>
      <c r="C1441" s="46"/>
      <c r="D1441" s="46"/>
      <c r="E1441" s="46"/>
      <c r="F1441" s="46"/>
      <c r="G1441" s="79"/>
    </row>
    <row r="1442" spans="2:7" x14ac:dyDescent="0.35">
      <c r="B1442" s="46"/>
      <c r="C1442" s="46"/>
      <c r="D1442" s="46"/>
      <c r="E1442" s="46"/>
      <c r="F1442" s="46"/>
      <c r="G1442" s="79"/>
    </row>
    <row r="1443" spans="2:7" x14ac:dyDescent="0.35">
      <c r="B1443" s="46"/>
      <c r="C1443" s="46"/>
      <c r="D1443" s="46"/>
      <c r="E1443" s="46"/>
      <c r="F1443" s="46"/>
      <c r="G1443" s="79"/>
    </row>
    <row r="1444" spans="2:7" x14ac:dyDescent="0.35">
      <c r="B1444" s="46"/>
      <c r="C1444" s="46"/>
      <c r="D1444" s="46"/>
      <c r="E1444" s="46"/>
      <c r="F1444" s="46"/>
      <c r="G1444" s="79"/>
    </row>
    <row r="1445" spans="2:7" x14ac:dyDescent="0.35">
      <c r="B1445" s="46"/>
      <c r="C1445" s="46"/>
      <c r="D1445" s="46"/>
      <c r="E1445" s="46"/>
      <c r="F1445" s="46"/>
      <c r="G1445" s="79"/>
    </row>
    <row r="1446" spans="2:7" x14ac:dyDescent="0.35">
      <c r="B1446" s="46"/>
      <c r="C1446" s="46"/>
      <c r="D1446" s="46"/>
      <c r="E1446" s="46"/>
      <c r="F1446" s="46"/>
      <c r="G1446" s="79"/>
    </row>
    <row r="1447" spans="2:7" x14ac:dyDescent="0.35">
      <c r="B1447" s="46"/>
      <c r="C1447" s="46"/>
      <c r="D1447" s="46"/>
      <c r="E1447" s="46"/>
      <c r="F1447" s="46"/>
      <c r="G1447" s="79"/>
    </row>
    <row r="1448" spans="2:7" x14ac:dyDescent="0.35">
      <c r="B1448" s="46"/>
      <c r="C1448" s="46"/>
      <c r="D1448" s="46"/>
      <c r="E1448" s="46"/>
      <c r="F1448" s="46"/>
      <c r="G1448" s="79"/>
    </row>
    <row r="1449" spans="2:7" x14ac:dyDescent="0.35">
      <c r="B1449" s="46"/>
      <c r="C1449" s="46"/>
      <c r="D1449" s="46"/>
      <c r="E1449" s="46"/>
      <c r="F1449" s="46"/>
      <c r="G1449" s="79"/>
    </row>
    <row r="1450" spans="2:7" x14ac:dyDescent="0.35">
      <c r="B1450" s="46"/>
      <c r="C1450" s="46"/>
      <c r="D1450" s="46"/>
      <c r="E1450" s="46"/>
      <c r="F1450" s="46"/>
      <c r="G1450" s="79"/>
    </row>
    <row r="1451" spans="2:7" x14ac:dyDescent="0.35">
      <c r="B1451" s="46"/>
      <c r="C1451" s="46"/>
      <c r="D1451" s="46"/>
      <c r="E1451" s="46"/>
      <c r="F1451" s="46"/>
      <c r="G1451" s="79"/>
    </row>
    <row r="1452" spans="2:7" x14ac:dyDescent="0.35">
      <c r="B1452" s="46"/>
      <c r="C1452" s="46"/>
      <c r="D1452" s="46"/>
      <c r="E1452" s="46"/>
      <c r="F1452" s="46"/>
      <c r="G1452" s="79"/>
    </row>
    <row r="1453" spans="2:7" x14ac:dyDescent="0.35">
      <c r="B1453" s="46"/>
      <c r="C1453" s="46"/>
      <c r="D1453" s="46"/>
      <c r="E1453" s="46"/>
      <c r="F1453" s="46"/>
      <c r="G1453" s="79"/>
    </row>
    <row r="1454" spans="2:7" x14ac:dyDescent="0.35">
      <c r="B1454" s="46"/>
      <c r="C1454" s="46"/>
      <c r="D1454" s="46"/>
      <c r="E1454" s="46"/>
      <c r="F1454" s="46"/>
      <c r="G1454" s="79"/>
    </row>
    <row r="1455" spans="2:7" x14ac:dyDescent="0.35">
      <c r="B1455" s="46"/>
      <c r="C1455" s="46"/>
      <c r="D1455" s="46"/>
      <c r="E1455" s="46"/>
      <c r="F1455" s="46"/>
      <c r="G1455" s="79"/>
    </row>
    <row r="1456" spans="2:7" x14ac:dyDescent="0.35">
      <c r="B1456" s="46"/>
      <c r="C1456" s="46"/>
      <c r="D1456" s="46"/>
      <c r="E1456" s="46"/>
      <c r="F1456" s="46"/>
      <c r="G1456" s="79"/>
    </row>
    <row r="1457" spans="2:7" x14ac:dyDescent="0.35">
      <c r="B1457" s="46"/>
      <c r="C1457" s="46"/>
      <c r="D1457" s="46"/>
      <c r="E1457" s="46"/>
      <c r="F1457" s="46"/>
      <c r="G1457" s="79"/>
    </row>
    <row r="1458" spans="2:7" x14ac:dyDescent="0.35">
      <c r="B1458" s="46"/>
      <c r="C1458" s="46"/>
      <c r="D1458" s="46"/>
      <c r="E1458" s="46"/>
      <c r="F1458" s="46"/>
      <c r="G1458" s="79"/>
    </row>
    <row r="1459" spans="2:7" x14ac:dyDescent="0.35">
      <c r="B1459" s="46"/>
      <c r="C1459" s="46"/>
      <c r="D1459" s="46"/>
      <c r="E1459" s="46"/>
      <c r="F1459" s="46"/>
      <c r="G1459" s="79"/>
    </row>
    <row r="1460" spans="2:7" x14ac:dyDescent="0.35">
      <c r="B1460" s="46"/>
      <c r="C1460" s="46"/>
      <c r="D1460" s="46"/>
      <c r="E1460" s="46"/>
      <c r="F1460" s="46"/>
      <c r="G1460" s="79"/>
    </row>
    <row r="1461" spans="2:7" x14ac:dyDescent="0.35">
      <c r="B1461" s="46"/>
      <c r="C1461" s="46"/>
      <c r="D1461" s="46"/>
      <c r="E1461" s="46"/>
      <c r="F1461" s="46"/>
      <c r="G1461" s="79"/>
    </row>
    <row r="1462" spans="2:7" x14ac:dyDescent="0.35">
      <c r="B1462" s="46"/>
      <c r="C1462" s="46"/>
      <c r="D1462" s="46"/>
      <c r="E1462" s="46"/>
      <c r="F1462" s="46"/>
      <c r="G1462" s="79"/>
    </row>
    <row r="1463" spans="2:7" x14ac:dyDescent="0.35">
      <c r="B1463" s="46"/>
      <c r="C1463" s="46"/>
      <c r="D1463" s="46"/>
      <c r="E1463" s="46"/>
      <c r="F1463" s="46"/>
      <c r="G1463" s="79"/>
    </row>
    <row r="1464" spans="2:7" x14ac:dyDescent="0.35">
      <c r="B1464" s="46"/>
      <c r="C1464" s="46"/>
      <c r="D1464" s="46"/>
      <c r="E1464" s="46"/>
      <c r="F1464" s="46"/>
      <c r="G1464" s="79"/>
    </row>
    <row r="1465" spans="2:7" x14ac:dyDescent="0.35">
      <c r="B1465" s="46"/>
      <c r="C1465" s="46"/>
      <c r="D1465" s="46"/>
      <c r="E1465" s="46"/>
      <c r="F1465" s="46"/>
      <c r="G1465" s="79"/>
    </row>
    <row r="1466" spans="2:7" x14ac:dyDescent="0.35">
      <c r="B1466" s="46"/>
      <c r="C1466" s="46"/>
      <c r="D1466" s="46"/>
      <c r="E1466" s="46"/>
      <c r="F1466" s="46"/>
      <c r="G1466" s="79"/>
    </row>
    <row r="1467" spans="2:7" x14ac:dyDescent="0.35">
      <c r="B1467" s="46"/>
      <c r="C1467" s="46"/>
      <c r="D1467" s="46"/>
      <c r="E1467" s="46"/>
      <c r="F1467" s="46"/>
      <c r="G1467" s="79"/>
    </row>
    <row r="1468" spans="2:7" x14ac:dyDescent="0.35">
      <c r="B1468" s="46"/>
      <c r="C1468" s="46"/>
      <c r="D1468" s="46"/>
      <c r="E1468" s="46"/>
      <c r="F1468" s="46"/>
      <c r="G1468" s="79"/>
    </row>
    <row r="1469" spans="2:7" x14ac:dyDescent="0.35">
      <c r="B1469" s="46"/>
      <c r="C1469" s="46"/>
      <c r="D1469" s="46"/>
      <c r="E1469" s="46"/>
      <c r="F1469" s="46"/>
      <c r="G1469" s="79"/>
    </row>
    <row r="1470" spans="2:7" x14ac:dyDescent="0.35">
      <c r="B1470" s="46"/>
      <c r="C1470" s="46"/>
      <c r="D1470" s="46"/>
      <c r="E1470" s="46"/>
      <c r="F1470" s="46"/>
      <c r="G1470" s="79"/>
    </row>
    <row r="1471" spans="2:7" x14ac:dyDescent="0.35">
      <c r="B1471" s="46"/>
      <c r="C1471" s="46"/>
      <c r="D1471" s="46"/>
      <c r="E1471" s="46"/>
      <c r="F1471" s="46"/>
      <c r="G1471" s="79"/>
    </row>
    <row r="1472" spans="2:7" x14ac:dyDescent="0.35">
      <c r="B1472" s="46"/>
      <c r="C1472" s="46"/>
      <c r="D1472" s="46"/>
      <c r="E1472" s="46"/>
      <c r="F1472" s="46"/>
      <c r="G1472" s="79"/>
    </row>
    <row r="1473" spans="2:7" x14ac:dyDescent="0.35">
      <c r="B1473" s="46"/>
      <c r="C1473" s="46"/>
      <c r="D1473" s="46"/>
      <c r="E1473" s="46"/>
      <c r="F1473" s="46"/>
      <c r="G1473" s="79"/>
    </row>
    <row r="1474" spans="2:7" x14ac:dyDescent="0.35">
      <c r="B1474" s="46"/>
      <c r="C1474" s="46"/>
      <c r="D1474" s="46"/>
      <c r="E1474" s="46"/>
      <c r="F1474" s="46"/>
      <c r="G1474" s="79"/>
    </row>
    <row r="1475" spans="2:7" x14ac:dyDescent="0.35">
      <c r="B1475" s="46"/>
      <c r="C1475" s="46"/>
      <c r="D1475" s="46"/>
      <c r="E1475" s="46"/>
      <c r="F1475" s="46"/>
      <c r="G1475" s="79"/>
    </row>
    <row r="1476" spans="2:7" x14ac:dyDescent="0.35">
      <c r="B1476" s="46"/>
      <c r="C1476" s="46"/>
      <c r="D1476" s="46"/>
      <c r="E1476" s="46"/>
      <c r="F1476" s="46"/>
      <c r="G1476" s="79"/>
    </row>
    <row r="1477" spans="2:7" x14ac:dyDescent="0.35">
      <c r="B1477" s="46"/>
      <c r="C1477" s="46"/>
      <c r="D1477" s="46"/>
      <c r="E1477" s="46"/>
      <c r="F1477" s="46"/>
      <c r="G1477" s="79"/>
    </row>
    <row r="1478" spans="2:7" x14ac:dyDescent="0.35">
      <c r="B1478" s="46"/>
      <c r="C1478" s="46"/>
      <c r="D1478" s="46"/>
      <c r="E1478" s="46"/>
      <c r="F1478" s="46"/>
      <c r="G1478" s="79"/>
    </row>
    <row r="1479" spans="2:7" x14ac:dyDescent="0.35">
      <c r="B1479" s="46"/>
      <c r="C1479" s="46"/>
      <c r="D1479" s="46"/>
      <c r="E1479" s="46"/>
      <c r="F1479" s="46"/>
      <c r="G1479" s="79"/>
    </row>
    <row r="1480" spans="2:7" x14ac:dyDescent="0.35">
      <c r="B1480" s="46"/>
      <c r="C1480" s="46"/>
      <c r="D1480" s="46"/>
      <c r="E1480" s="46"/>
      <c r="F1480" s="46"/>
      <c r="G1480" s="79"/>
    </row>
    <row r="1481" spans="2:7" x14ac:dyDescent="0.35">
      <c r="B1481" s="46"/>
      <c r="C1481" s="46"/>
      <c r="D1481" s="46"/>
      <c r="E1481" s="46"/>
      <c r="F1481" s="46"/>
      <c r="G1481" s="79"/>
    </row>
    <row r="1482" spans="2:7" x14ac:dyDescent="0.35">
      <c r="B1482" s="46"/>
      <c r="C1482" s="46"/>
      <c r="D1482" s="46"/>
      <c r="E1482" s="46"/>
      <c r="F1482" s="46"/>
      <c r="G1482" s="79"/>
    </row>
    <row r="1483" spans="2:7" x14ac:dyDescent="0.35">
      <c r="B1483" s="46"/>
      <c r="C1483" s="46"/>
      <c r="D1483" s="46"/>
      <c r="E1483" s="46"/>
      <c r="F1483" s="46"/>
      <c r="G1483" s="79"/>
    </row>
    <row r="1484" spans="2:7" x14ac:dyDescent="0.35">
      <c r="B1484" s="46"/>
      <c r="C1484" s="46"/>
      <c r="D1484" s="46"/>
      <c r="E1484" s="46"/>
      <c r="F1484" s="46"/>
      <c r="G1484" s="79"/>
    </row>
    <row r="1485" spans="2:7" x14ac:dyDescent="0.35">
      <c r="B1485" s="46"/>
      <c r="C1485" s="46"/>
      <c r="D1485" s="46"/>
      <c r="E1485" s="46"/>
      <c r="F1485" s="46"/>
      <c r="G1485" s="79"/>
    </row>
    <row r="1486" spans="2:7" x14ac:dyDescent="0.35">
      <c r="B1486" s="46"/>
      <c r="C1486" s="46"/>
      <c r="D1486" s="46"/>
      <c r="E1486" s="46"/>
      <c r="F1486" s="46"/>
      <c r="G1486" s="79"/>
    </row>
    <row r="1487" spans="2:7" x14ac:dyDescent="0.35">
      <c r="B1487" s="46"/>
      <c r="C1487" s="46"/>
      <c r="D1487" s="46"/>
      <c r="E1487" s="46"/>
      <c r="F1487" s="46"/>
      <c r="G1487" s="79"/>
    </row>
    <row r="1488" spans="2:7" x14ac:dyDescent="0.35">
      <c r="B1488" s="46"/>
      <c r="C1488" s="46"/>
      <c r="D1488" s="46"/>
      <c r="E1488" s="46"/>
      <c r="F1488" s="46"/>
      <c r="G1488" s="79"/>
    </row>
    <row r="1489" spans="2:7" x14ac:dyDescent="0.35">
      <c r="B1489" s="46"/>
      <c r="C1489" s="46"/>
      <c r="D1489" s="46"/>
      <c r="E1489" s="46"/>
      <c r="F1489" s="46"/>
      <c r="G1489" s="79"/>
    </row>
    <row r="1490" spans="2:7" x14ac:dyDescent="0.35">
      <c r="B1490" s="46"/>
      <c r="C1490" s="46"/>
      <c r="D1490" s="46"/>
      <c r="E1490" s="46"/>
      <c r="F1490" s="46"/>
      <c r="G1490" s="79"/>
    </row>
    <row r="1491" spans="2:7" x14ac:dyDescent="0.35">
      <c r="B1491" s="46"/>
      <c r="C1491" s="46"/>
      <c r="D1491" s="46"/>
      <c r="E1491" s="46"/>
      <c r="F1491" s="46"/>
      <c r="G1491" s="79"/>
    </row>
    <row r="1492" spans="2:7" x14ac:dyDescent="0.35">
      <c r="B1492" s="46"/>
      <c r="C1492" s="46"/>
      <c r="D1492" s="46"/>
      <c r="E1492" s="46"/>
      <c r="F1492" s="46"/>
      <c r="G1492" s="79"/>
    </row>
    <row r="1493" spans="2:7" x14ac:dyDescent="0.35">
      <c r="B1493" s="46"/>
      <c r="C1493" s="46"/>
      <c r="D1493" s="46"/>
      <c r="E1493" s="46"/>
      <c r="F1493" s="46"/>
      <c r="G1493" s="79"/>
    </row>
    <row r="1494" spans="2:7" x14ac:dyDescent="0.35">
      <c r="B1494" s="46"/>
      <c r="C1494" s="46"/>
      <c r="D1494" s="46"/>
      <c r="E1494" s="46"/>
      <c r="F1494" s="46"/>
      <c r="G1494" s="79"/>
    </row>
    <row r="1495" spans="2:7" x14ac:dyDescent="0.35">
      <c r="B1495" s="46"/>
      <c r="C1495" s="46"/>
      <c r="D1495" s="46"/>
      <c r="E1495" s="46"/>
      <c r="F1495" s="46"/>
      <c r="G1495" s="79"/>
    </row>
    <row r="1496" spans="2:7" x14ac:dyDescent="0.35">
      <c r="B1496" s="46"/>
      <c r="C1496" s="46"/>
      <c r="D1496" s="46"/>
      <c r="E1496" s="46"/>
      <c r="F1496" s="46"/>
      <c r="G1496" s="79"/>
    </row>
    <row r="1497" spans="2:7" x14ac:dyDescent="0.35">
      <c r="B1497" s="46"/>
      <c r="C1497" s="46"/>
      <c r="D1497" s="46"/>
      <c r="E1497" s="46"/>
      <c r="F1497" s="46"/>
      <c r="G1497" s="79"/>
    </row>
    <row r="1498" spans="2:7" x14ac:dyDescent="0.35">
      <c r="B1498" s="46"/>
      <c r="C1498" s="46"/>
      <c r="D1498" s="46"/>
      <c r="E1498" s="46"/>
      <c r="F1498" s="46"/>
      <c r="G1498" s="79"/>
    </row>
    <row r="1499" spans="2:7" x14ac:dyDescent="0.35">
      <c r="B1499" s="46"/>
      <c r="C1499" s="46"/>
      <c r="D1499" s="46"/>
      <c r="E1499" s="46"/>
      <c r="F1499" s="46"/>
      <c r="G1499" s="79"/>
    </row>
    <row r="1500" spans="2:7" x14ac:dyDescent="0.35">
      <c r="B1500" s="46"/>
      <c r="C1500" s="46"/>
      <c r="D1500" s="46"/>
      <c r="E1500" s="46"/>
      <c r="F1500" s="46"/>
      <c r="G1500" s="79"/>
    </row>
    <row r="1501" spans="2:7" x14ac:dyDescent="0.35">
      <c r="B1501" s="46"/>
      <c r="C1501" s="46"/>
      <c r="D1501" s="46"/>
      <c r="E1501" s="46"/>
      <c r="F1501" s="46"/>
      <c r="G1501" s="79"/>
    </row>
    <row r="1502" spans="2:7" x14ac:dyDescent="0.35">
      <c r="B1502" s="46"/>
      <c r="C1502" s="46"/>
      <c r="D1502" s="46"/>
      <c r="E1502" s="46"/>
      <c r="F1502" s="46"/>
      <c r="G1502" s="79"/>
    </row>
    <row r="1503" spans="2:7" x14ac:dyDescent="0.35">
      <c r="B1503" s="46"/>
      <c r="C1503" s="46"/>
      <c r="D1503" s="46"/>
      <c r="E1503" s="46"/>
      <c r="F1503" s="46"/>
      <c r="G1503" s="79"/>
    </row>
    <row r="1504" spans="2:7" x14ac:dyDescent="0.35">
      <c r="B1504" s="46"/>
      <c r="C1504" s="46"/>
      <c r="D1504" s="46"/>
      <c r="E1504" s="46"/>
      <c r="F1504" s="46"/>
      <c r="G1504" s="79"/>
    </row>
    <row r="1505" spans="2:7" x14ac:dyDescent="0.35">
      <c r="B1505" s="46"/>
      <c r="C1505" s="46"/>
      <c r="D1505" s="46"/>
      <c r="E1505" s="46"/>
      <c r="F1505" s="46"/>
      <c r="G1505" s="79"/>
    </row>
    <row r="1506" spans="2:7" x14ac:dyDescent="0.35">
      <c r="B1506" s="46"/>
      <c r="C1506" s="46"/>
      <c r="D1506" s="46"/>
      <c r="E1506" s="46"/>
      <c r="F1506" s="46"/>
      <c r="G1506" s="79"/>
    </row>
    <row r="1507" spans="2:7" x14ac:dyDescent="0.35">
      <c r="B1507" s="46"/>
      <c r="C1507" s="46"/>
      <c r="D1507" s="46"/>
      <c r="E1507" s="46"/>
      <c r="F1507" s="46"/>
      <c r="G1507" s="79"/>
    </row>
    <row r="1508" spans="2:7" x14ac:dyDescent="0.35">
      <c r="B1508" s="46"/>
      <c r="C1508" s="46"/>
      <c r="D1508" s="46"/>
      <c r="E1508" s="46"/>
      <c r="F1508" s="46"/>
      <c r="G1508" s="79"/>
    </row>
    <row r="1509" spans="2:7" x14ac:dyDescent="0.35">
      <c r="B1509" s="46"/>
      <c r="C1509" s="46"/>
      <c r="D1509" s="46"/>
      <c r="E1509" s="46"/>
      <c r="F1509" s="46"/>
      <c r="G1509" s="79"/>
    </row>
    <row r="1510" spans="2:7" x14ac:dyDescent="0.35">
      <c r="B1510" s="46"/>
      <c r="C1510" s="46"/>
      <c r="D1510" s="46"/>
      <c r="E1510" s="46"/>
      <c r="F1510" s="46"/>
      <c r="G1510" s="79"/>
    </row>
    <row r="1511" spans="2:7" x14ac:dyDescent="0.35">
      <c r="B1511" s="46"/>
      <c r="C1511" s="46"/>
      <c r="D1511" s="46"/>
      <c r="E1511" s="46"/>
      <c r="F1511" s="46"/>
      <c r="G1511" s="79"/>
    </row>
    <row r="1512" spans="2:7" x14ac:dyDescent="0.35">
      <c r="B1512" s="46"/>
      <c r="C1512" s="46"/>
      <c r="D1512" s="46"/>
      <c r="E1512" s="46"/>
      <c r="F1512" s="46"/>
      <c r="G1512" s="79"/>
    </row>
    <row r="1513" spans="2:7" x14ac:dyDescent="0.35">
      <c r="B1513" s="46"/>
      <c r="C1513" s="46"/>
      <c r="D1513" s="46"/>
      <c r="E1513" s="46"/>
      <c r="F1513" s="46"/>
      <c r="G1513" s="79"/>
    </row>
    <row r="1514" spans="2:7" x14ac:dyDescent="0.35">
      <c r="B1514" s="46"/>
      <c r="C1514" s="46"/>
      <c r="D1514" s="46"/>
      <c r="E1514" s="46"/>
      <c r="F1514" s="46"/>
      <c r="G1514" s="79"/>
    </row>
    <row r="1515" spans="2:7" x14ac:dyDescent="0.35">
      <c r="B1515" s="46"/>
      <c r="C1515" s="46"/>
      <c r="D1515" s="46"/>
      <c r="E1515" s="46"/>
      <c r="F1515" s="46"/>
      <c r="G1515" s="79"/>
    </row>
    <row r="1516" spans="2:7" x14ac:dyDescent="0.35">
      <c r="B1516" s="46"/>
      <c r="C1516" s="46"/>
      <c r="D1516" s="46"/>
      <c r="E1516" s="46"/>
      <c r="F1516" s="46"/>
      <c r="G1516" s="79"/>
    </row>
    <row r="1517" spans="2:7" x14ac:dyDescent="0.35">
      <c r="B1517" s="46"/>
      <c r="C1517" s="46"/>
      <c r="D1517" s="46"/>
      <c r="E1517" s="46"/>
      <c r="F1517" s="46"/>
      <c r="G1517" s="79"/>
    </row>
    <row r="1518" spans="2:7" x14ac:dyDescent="0.35">
      <c r="B1518" s="46"/>
      <c r="C1518" s="46"/>
      <c r="D1518" s="46"/>
      <c r="E1518" s="46"/>
      <c r="F1518" s="46"/>
      <c r="G1518" s="79"/>
    </row>
    <row r="1519" spans="2:7" x14ac:dyDescent="0.35">
      <c r="B1519" s="46"/>
      <c r="C1519" s="46"/>
      <c r="D1519" s="46"/>
      <c r="E1519" s="46"/>
      <c r="F1519" s="46"/>
      <c r="G1519" s="79"/>
    </row>
    <row r="1520" spans="2:7" x14ac:dyDescent="0.35">
      <c r="B1520" s="46"/>
      <c r="C1520" s="46"/>
      <c r="D1520" s="46"/>
      <c r="E1520" s="46"/>
      <c r="F1520" s="46"/>
      <c r="G1520" s="79"/>
    </row>
    <row r="1521" spans="2:7" x14ac:dyDescent="0.35">
      <c r="B1521" s="46"/>
      <c r="C1521" s="46"/>
      <c r="D1521" s="46"/>
      <c r="E1521" s="46"/>
      <c r="F1521" s="46"/>
      <c r="G1521" s="79"/>
    </row>
    <row r="1522" spans="2:7" x14ac:dyDescent="0.35">
      <c r="B1522" s="46"/>
      <c r="C1522" s="46"/>
      <c r="D1522" s="46"/>
      <c r="E1522" s="46"/>
      <c r="F1522" s="46"/>
      <c r="G1522" s="79"/>
    </row>
    <row r="1523" spans="2:7" x14ac:dyDescent="0.35">
      <c r="B1523" s="46"/>
      <c r="C1523" s="46"/>
      <c r="D1523" s="46"/>
      <c r="E1523" s="46"/>
      <c r="F1523" s="46"/>
      <c r="G1523" s="79"/>
    </row>
    <row r="1524" spans="2:7" x14ac:dyDescent="0.35">
      <c r="B1524" s="46"/>
      <c r="C1524" s="46"/>
      <c r="D1524" s="46"/>
      <c r="E1524" s="46"/>
      <c r="F1524" s="46"/>
      <c r="G1524" s="79"/>
    </row>
    <row r="1525" spans="2:7" x14ac:dyDescent="0.35">
      <c r="B1525" s="46"/>
      <c r="C1525" s="46"/>
      <c r="D1525" s="46"/>
      <c r="E1525" s="46"/>
      <c r="F1525" s="46"/>
      <c r="G1525" s="79"/>
    </row>
    <row r="1526" spans="2:7" x14ac:dyDescent="0.35">
      <c r="B1526" s="46"/>
      <c r="C1526" s="46"/>
      <c r="D1526" s="46"/>
      <c r="E1526" s="46"/>
      <c r="F1526" s="46"/>
      <c r="G1526" s="79"/>
    </row>
    <row r="1527" spans="2:7" x14ac:dyDescent="0.35">
      <c r="B1527" s="46"/>
      <c r="C1527" s="46"/>
      <c r="D1527" s="46"/>
      <c r="E1527" s="46"/>
      <c r="F1527" s="46"/>
      <c r="G1527" s="79"/>
    </row>
    <row r="1528" spans="2:7" x14ac:dyDescent="0.35">
      <c r="B1528" s="46"/>
      <c r="C1528" s="46"/>
      <c r="D1528" s="46"/>
      <c r="E1528" s="46"/>
      <c r="F1528" s="46"/>
      <c r="G1528" s="79"/>
    </row>
    <row r="1529" spans="2:7" x14ac:dyDescent="0.35">
      <c r="B1529" s="46"/>
      <c r="C1529" s="46"/>
      <c r="D1529" s="46"/>
      <c r="E1529" s="46"/>
      <c r="F1529" s="46"/>
      <c r="G1529" s="79"/>
    </row>
    <row r="1530" spans="2:7" x14ac:dyDescent="0.35">
      <c r="B1530" s="46"/>
      <c r="C1530" s="46"/>
      <c r="D1530" s="46"/>
      <c r="E1530" s="46"/>
      <c r="F1530" s="46"/>
      <c r="G1530" s="79"/>
    </row>
    <row r="1531" spans="2:7" x14ac:dyDescent="0.35">
      <c r="B1531" s="46"/>
      <c r="C1531" s="46"/>
      <c r="D1531" s="46"/>
      <c r="E1531" s="46"/>
      <c r="F1531" s="46"/>
      <c r="G1531" s="79"/>
    </row>
    <row r="1532" spans="2:7" x14ac:dyDescent="0.35">
      <c r="B1532" s="46"/>
      <c r="C1532" s="46"/>
      <c r="D1532" s="46"/>
      <c r="E1532" s="46"/>
      <c r="F1532" s="46"/>
      <c r="G1532" s="79"/>
    </row>
    <row r="1533" spans="2:7" x14ac:dyDescent="0.35">
      <c r="B1533" s="46"/>
      <c r="C1533" s="46"/>
      <c r="D1533" s="46"/>
      <c r="E1533" s="46"/>
      <c r="F1533" s="46"/>
      <c r="G1533" s="79"/>
    </row>
    <row r="1534" spans="2:7" x14ac:dyDescent="0.35">
      <c r="B1534" s="46"/>
      <c r="C1534" s="46"/>
      <c r="D1534" s="46"/>
      <c r="E1534" s="46"/>
      <c r="F1534" s="46"/>
      <c r="G1534" s="79"/>
    </row>
    <row r="1535" spans="2:7" x14ac:dyDescent="0.35">
      <c r="B1535" s="46"/>
      <c r="C1535" s="46"/>
      <c r="D1535" s="46"/>
      <c r="E1535" s="46"/>
      <c r="F1535" s="46"/>
      <c r="G1535" s="79"/>
    </row>
    <row r="1536" spans="2:7" x14ac:dyDescent="0.35">
      <c r="B1536" s="46"/>
      <c r="C1536" s="46"/>
      <c r="D1536" s="46"/>
      <c r="E1536" s="46"/>
      <c r="F1536" s="46"/>
      <c r="G1536" s="79"/>
    </row>
    <row r="1537" spans="2:7" x14ac:dyDescent="0.35">
      <c r="B1537" s="46"/>
      <c r="C1537" s="46"/>
      <c r="D1537" s="46"/>
      <c r="E1537" s="46"/>
      <c r="F1537" s="46"/>
      <c r="G1537" s="79"/>
    </row>
    <row r="1538" spans="2:7" x14ac:dyDescent="0.35">
      <c r="B1538" s="46"/>
      <c r="C1538" s="46"/>
      <c r="D1538" s="46"/>
      <c r="E1538" s="46"/>
      <c r="F1538" s="46"/>
      <c r="G1538" s="79"/>
    </row>
    <row r="1539" spans="2:7" x14ac:dyDescent="0.35">
      <c r="B1539" s="46"/>
      <c r="C1539" s="46"/>
      <c r="D1539" s="46"/>
      <c r="E1539" s="46"/>
      <c r="F1539" s="46"/>
      <c r="G1539" s="79"/>
    </row>
    <row r="1540" spans="2:7" x14ac:dyDescent="0.35">
      <c r="B1540" s="46"/>
      <c r="C1540" s="46"/>
      <c r="D1540" s="46"/>
      <c r="E1540" s="46"/>
      <c r="F1540" s="46"/>
      <c r="G1540" s="79"/>
    </row>
    <row r="1541" spans="2:7" x14ac:dyDescent="0.35">
      <c r="B1541" s="46"/>
      <c r="C1541" s="46"/>
      <c r="D1541" s="46"/>
      <c r="E1541" s="46"/>
      <c r="F1541" s="46"/>
      <c r="G1541" s="79"/>
    </row>
    <row r="1542" spans="2:7" x14ac:dyDescent="0.35">
      <c r="B1542" s="46"/>
      <c r="C1542" s="46"/>
      <c r="D1542" s="46"/>
      <c r="E1542" s="46"/>
      <c r="F1542" s="46"/>
      <c r="G1542" s="79"/>
    </row>
    <row r="1543" spans="2:7" x14ac:dyDescent="0.35">
      <c r="B1543" s="46"/>
      <c r="C1543" s="46"/>
      <c r="D1543" s="46"/>
      <c r="E1543" s="46"/>
      <c r="F1543" s="46"/>
      <c r="G1543" s="79"/>
    </row>
    <row r="1544" spans="2:7" x14ac:dyDescent="0.35">
      <c r="B1544" s="46"/>
      <c r="C1544" s="46"/>
      <c r="D1544" s="46"/>
      <c r="E1544" s="46"/>
      <c r="F1544" s="46"/>
      <c r="G1544" s="79"/>
    </row>
    <row r="1545" spans="2:7" x14ac:dyDescent="0.35">
      <c r="B1545" s="46"/>
      <c r="C1545" s="46"/>
      <c r="D1545" s="46"/>
      <c r="E1545" s="46"/>
      <c r="F1545" s="46"/>
      <c r="G1545" s="79"/>
    </row>
    <row r="1546" spans="2:7" x14ac:dyDescent="0.35">
      <c r="B1546" s="46"/>
      <c r="C1546" s="46"/>
      <c r="D1546" s="46"/>
      <c r="E1546" s="46"/>
      <c r="F1546" s="46"/>
      <c r="G1546" s="79"/>
    </row>
    <row r="1547" spans="2:7" x14ac:dyDescent="0.35">
      <c r="B1547" s="46"/>
      <c r="C1547" s="46"/>
      <c r="D1547" s="46"/>
      <c r="E1547" s="46"/>
      <c r="F1547" s="46"/>
      <c r="G1547" s="79"/>
    </row>
    <row r="1548" spans="2:7" x14ac:dyDescent="0.35">
      <c r="B1548" s="46"/>
      <c r="C1548" s="46"/>
      <c r="D1548" s="46"/>
      <c r="E1548" s="46"/>
      <c r="F1548" s="46"/>
      <c r="G1548" s="79"/>
    </row>
    <row r="1549" spans="2:7" x14ac:dyDescent="0.35">
      <c r="B1549" s="46"/>
      <c r="C1549" s="46"/>
      <c r="D1549" s="46"/>
      <c r="E1549" s="46"/>
      <c r="F1549" s="46"/>
      <c r="G1549" s="79"/>
    </row>
    <row r="1550" spans="2:7" x14ac:dyDescent="0.35">
      <c r="B1550" s="46"/>
      <c r="C1550" s="46"/>
      <c r="D1550" s="46"/>
      <c r="E1550" s="46"/>
      <c r="F1550" s="46"/>
      <c r="G1550" s="79"/>
    </row>
    <row r="1551" spans="2:7" x14ac:dyDescent="0.35">
      <c r="B1551" s="46"/>
      <c r="C1551" s="46"/>
      <c r="D1551" s="46"/>
      <c r="E1551" s="46"/>
      <c r="F1551" s="46"/>
      <c r="G1551" s="79"/>
    </row>
    <row r="1552" spans="2:7" x14ac:dyDescent="0.35">
      <c r="B1552" s="46"/>
      <c r="C1552" s="46"/>
      <c r="D1552" s="46"/>
      <c r="E1552" s="46"/>
      <c r="F1552" s="46"/>
      <c r="G1552" s="79"/>
    </row>
    <row r="1553" spans="2:7" x14ac:dyDescent="0.35">
      <c r="B1553" s="46"/>
      <c r="C1553" s="46"/>
      <c r="D1553" s="46"/>
      <c r="E1553" s="46"/>
      <c r="F1553" s="46"/>
      <c r="G1553" s="79"/>
    </row>
    <row r="1554" spans="2:7" x14ac:dyDescent="0.35">
      <c r="B1554" s="46"/>
      <c r="C1554" s="46"/>
      <c r="D1554" s="46"/>
      <c r="E1554" s="46"/>
      <c r="F1554" s="46"/>
      <c r="G1554" s="79"/>
    </row>
    <row r="1555" spans="2:7" x14ac:dyDescent="0.35">
      <c r="B1555" s="46"/>
      <c r="C1555" s="46"/>
      <c r="D1555" s="46"/>
      <c r="E1555" s="46"/>
      <c r="F1555" s="46"/>
      <c r="G1555" s="79"/>
    </row>
    <row r="1556" spans="2:7" x14ac:dyDescent="0.35">
      <c r="B1556" s="46"/>
      <c r="C1556" s="46"/>
      <c r="D1556" s="46"/>
      <c r="E1556" s="46"/>
      <c r="F1556" s="46"/>
      <c r="G1556" s="79"/>
    </row>
    <row r="1557" spans="2:7" x14ac:dyDescent="0.35">
      <c r="B1557" s="46"/>
      <c r="C1557" s="46"/>
      <c r="D1557" s="46"/>
      <c r="E1557" s="46"/>
      <c r="F1557" s="46"/>
      <c r="G1557" s="79"/>
    </row>
    <row r="1558" spans="2:7" x14ac:dyDescent="0.35">
      <c r="B1558" s="46"/>
      <c r="C1558" s="46"/>
      <c r="D1558" s="46"/>
      <c r="E1558" s="46"/>
      <c r="F1558" s="46"/>
      <c r="G1558" s="79"/>
    </row>
    <row r="1559" spans="2:7" x14ac:dyDescent="0.35">
      <c r="B1559" s="46"/>
      <c r="C1559" s="46"/>
      <c r="D1559" s="46"/>
      <c r="E1559" s="46"/>
      <c r="F1559" s="46"/>
      <c r="G1559" s="79"/>
    </row>
    <row r="1560" spans="2:7" x14ac:dyDescent="0.35">
      <c r="B1560" s="46"/>
      <c r="C1560" s="46"/>
      <c r="D1560" s="46"/>
      <c r="E1560" s="46"/>
      <c r="F1560" s="46"/>
      <c r="G1560" s="79"/>
    </row>
    <row r="1561" spans="2:7" x14ac:dyDescent="0.35">
      <c r="B1561" s="46"/>
      <c r="C1561" s="46"/>
      <c r="D1561" s="46"/>
      <c r="E1561" s="46"/>
      <c r="F1561" s="46"/>
      <c r="G1561" s="79"/>
    </row>
    <row r="1562" spans="2:7" x14ac:dyDescent="0.35">
      <c r="B1562" s="46"/>
      <c r="C1562" s="46"/>
      <c r="D1562" s="46"/>
      <c r="E1562" s="46"/>
      <c r="F1562" s="46"/>
      <c r="G1562" s="79"/>
    </row>
    <row r="1563" spans="2:7" x14ac:dyDescent="0.35">
      <c r="B1563" s="46"/>
      <c r="C1563" s="46"/>
      <c r="D1563" s="46"/>
      <c r="E1563" s="46"/>
      <c r="F1563" s="46"/>
      <c r="G1563" s="79"/>
    </row>
    <row r="1564" spans="2:7" x14ac:dyDescent="0.35">
      <c r="B1564" s="46"/>
      <c r="C1564" s="46"/>
      <c r="D1564" s="46"/>
      <c r="E1564" s="46"/>
      <c r="F1564" s="46"/>
      <c r="G1564" s="79"/>
    </row>
    <row r="1565" spans="2:7" x14ac:dyDescent="0.35">
      <c r="B1565" s="46"/>
      <c r="C1565" s="46"/>
      <c r="D1565" s="46"/>
      <c r="E1565" s="46"/>
      <c r="F1565" s="46"/>
      <c r="G1565" s="79"/>
    </row>
    <row r="1566" spans="2:7" x14ac:dyDescent="0.35">
      <c r="B1566" s="46"/>
      <c r="C1566" s="46"/>
      <c r="D1566" s="46"/>
      <c r="E1566" s="46"/>
      <c r="F1566" s="46"/>
      <c r="G1566" s="79"/>
    </row>
    <row r="1567" spans="2:7" x14ac:dyDescent="0.35">
      <c r="B1567" s="46"/>
      <c r="C1567" s="46"/>
      <c r="D1567" s="46"/>
      <c r="E1567" s="46"/>
      <c r="F1567" s="46"/>
      <c r="G1567" s="79"/>
    </row>
    <row r="1568" spans="2:7" x14ac:dyDescent="0.35">
      <c r="B1568" s="46"/>
      <c r="C1568" s="46"/>
      <c r="D1568" s="46"/>
      <c r="E1568" s="46"/>
      <c r="F1568" s="46"/>
      <c r="G1568" s="79"/>
    </row>
    <row r="1569" spans="2:7" x14ac:dyDescent="0.35">
      <c r="B1569" s="46"/>
      <c r="C1569" s="46"/>
      <c r="D1569" s="46"/>
      <c r="E1569" s="46"/>
      <c r="F1569" s="46"/>
      <c r="G1569" s="79"/>
    </row>
    <row r="1570" spans="2:7" x14ac:dyDescent="0.35">
      <c r="B1570" s="46"/>
      <c r="C1570" s="46"/>
      <c r="D1570" s="46"/>
      <c r="E1570" s="46"/>
      <c r="F1570" s="46"/>
      <c r="G1570" s="79"/>
    </row>
    <row r="1571" spans="2:7" x14ac:dyDescent="0.35">
      <c r="B1571" s="46"/>
      <c r="C1571" s="46"/>
      <c r="D1571" s="46"/>
      <c r="E1571" s="46"/>
      <c r="F1571" s="46"/>
      <c r="G1571" s="79"/>
    </row>
    <row r="1572" spans="2:7" x14ac:dyDescent="0.35">
      <c r="B1572" s="46"/>
      <c r="C1572" s="46"/>
      <c r="D1572" s="46"/>
      <c r="E1572" s="46"/>
      <c r="F1572" s="46"/>
      <c r="G1572" s="79"/>
    </row>
    <row r="1573" spans="2:7" x14ac:dyDescent="0.35">
      <c r="B1573" s="46"/>
      <c r="C1573" s="46"/>
      <c r="D1573" s="46"/>
      <c r="E1573" s="46"/>
      <c r="F1573" s="46"/>
      <c r="G1573" s="79"/>
    </row>
    <row r="1574" spans="2:7" x14ac:dyDescent="0.35">
      <c r="B1574" s="46"/>
      <c r="C1574" s="46"/>
      <c r="D1574" s="46"/>
      <c r="E1574" s="46"/>
      <c r="F1574" s="46"/>
      <c r="G1574" s="79"/>
    </row>
    <row r="1575" spans="2:7" x14ac:dyDescent="0.35">
      <c r="B1575" s="46"/>
      <c r="C1575" s="46"/>
      <c r="D1575" s="46"/>
      <c r="E1575" s="46"/>
      <c r="F1575" s="46"/>
      <c r="G1575" s="79"/>
    </row>
    <row r="1576" spans="2:7" x14ac:dyDescent="0.35">
      <c r="B1576" s="46"/>
      <c r="C1576" s="46"/>
      <c r="D1576" s="46"/>
      <c r="E1576" s="46"/>
      <c r="F1576" s="46"/>
      <c r="G1576" s="79"/>
    </row>
    <row r="1577" spans="2:7" x14ac:dyDescent="0.35">
      <c r="B1577" s="46"/>
      <c r="C1577" s="46"/>
      <c r="D1577" s="46"/>
      <c r="E1577" s="46"/>
      <c r="F1577" s="46"/>
      <c r="G1577" s="79"/>
    </row>
    <row r="1578" spans="2:7" x14ac:dyDescent="0.35">
      <c r="B1578" s="46"/>
      <c r="C1578" s="46"/>
      <c r="D1578" s="46"/>
      <c r="E1578" s="46"/>
      <c r="F1578" s="46"/>
      <c r="G1578" s="79"/>
    </row>
    <row r="1579" spans="2:7" x14ac:dyDescent="0.35">
      <c r="B1579" s="46"/>
      <c r="C1579" s="46"/>
      <c r="D1579" s="46"/>
      <c r="E1579" s="46"/>
      <c r="F1579" s="46"/>
      <c r="G1579" s="79"/>
    </row>
    <row r="1580" spans="2:7" x14ac:dyDescent="0.35">
      <c r="B1580" s="46"/>
      <c r="C1580" s="46"/>
      <c r="D1580" s="46"/>
      <c r="E1580" s="46"/>
      <c r="F1580" s="46"/>
      <c r="G1580" s="79"/>
    </row>
    <row r="1581" spans="2:7" x14ac:dyDescent="0.35">
      <c r="B1581" s="46"/>
      <c r="C1581" s="46"/>
      <c r="D1581" s="46"/>
      <c r="E1581" s="46"/>
      <c r="F1581" s="46"/>
      <c r="G1581" s="79"/>
    </row>
    <row r="1582" spans="2:7" x14ac:dyDescent="0.35">
      <c r="B1582" s="46"/>
      <c r="C1582" s="46"/>
      <c r="D1582" s="46"/>
      <c r="E1582" s="46"/>
      <c r="F1582" s="46"/>
      <c r="G1582" s="79"/>
    </row>
    <row r="1583" spans="2:7" x14ac:dyDescent="0.35">
      <c r="B1583" s="46"/>
      <c r="C1583" s="46"/>
      <c r="D1583" s="46"/>
      <c r="E1583" s="46"/>
      <c r="F1583" s="46"/>
      <c r="G1583" s="79"/>
    </row>
    <row r="1584" spans="2:7" x14ac:dyDescent="0.35">
      <c r="B1584" s="46"/>
      <c r="C1584" s="46"/>
      <c r="D1584" s="46"/>
      <c r="E1584" s="46"/>
      <c r="F1584" s="46"/>
      <c r="G1584" s="79"/>
    </row>
    <row r="1585" spans="2:7" x14ac:dyDescent="0.35">
      <c r="B1585" s="46"/>
      <c r="C1585" s="46"/>
      <c r="D1585" s="46"/>
      <c r="E1585" s="46"/>
      <c r="F1585" s="46"/>
      <c r="G1585" s="79"/>
    </row>
    <row r="1586" spans="2:7" x14ac:dyDescent="0.35">
      <c r="B1586" s="46"/>
      <c r="C1586" s="46"/>
      <c r="D1586" s="46"/>
      <c r="E1586" s="46"/>
      <c r="F1586" s="46"/>
      <c r="G1586" s="79"/>
    </row>
    <row r="1587" spans="2:7" x14ac:dyDescent="0.35">
      <c r="B1587" s="46"/>
      <c r="C1587" s="46"/>
      <c r="D1587" s="46"/>
      <c r="E1587" s="46"/>
      <c r="F1587" s="46"/>
      <c r="G1587" s="79"/>
    </row>
    <row r="1588" spans="2:7" x14ac:dyDescent="0.35">
      <c r="B1588" s="46"/>
      <c r="C1588" s="46"/>
      <c r="D1588" s="46"/>
      <c r="E1588" s="46"/>
      <c r="F1588" s="46"/>
      <c r="G1588" s="79"/>
    </row>
    <row r="1589" spans="2:7" x14ac:dyDescent="0.35">
      <c r="B1589" s="46"/>
      <c r="C1589" s="46"/>
      <c r="D1589" s="46"/>
      <c r="E1589" s="46"/>
      <c r="F1589" s="46"/>
      <c r="G1589" s="79"/>
    </row>
    <row r="1590" spans="2:7" x14ac:dyDescent="0.35">
      <c r="B1590" s="46"/>
      <c r="C1590" s="46"/>
      <c r="D1590" s="46"/>
      <c r="E1590" s="46"/>
      <c r="F1590" s="46"/>
      <c r="G1590" s="79"/>
    </row>
    <row r="1591" spans="2:7" x14ac:dyDescent="0.35">
      <c r="B1591" s="46"/>
      <c r="C1591" s="46"/>
      <c r="D1591" s="46"/>
      <c r="E1591" s="46"/>
      <c r="F1591" s="46"/>
      <c r="G1591" s="79"/>
    </row>
    <row r="1592" spans="2:7" x14ac:dyDescent="0.35">
      <c r="B1592" s="46"/>
      <c r="C1592" s="46"/>
      <c r="D1592" s="46"/>
      <c r="E1592" s="46"/>
      <c r="F1592" s="46"/>
      <c r="G1592" s="79"/>
    </row>
    <row r="1593" spans="2:7" x14ac:dyDescent="0.35">
      <c r="B1593" s="46"/>
      <c r="C1593" s="46"/>
      <c r="D1593" s="46"/>
      <c r="E1593" s="46"/>
      <c r="F1593" s="46"/>
      <c r="G1593" s="79"/>
    </row>
    <row r="1594" spans="2:7" x14ac:dyDescent="0.35">
      <c r="B1594" s="46"/>
      <c r="C1594" s="46"/>
      <c r="D1594" s="46"/>
      <c r="E1594" s="46"/>
      <c r="F1594" s="46"/>
      <c r="G1594" s="79"/>
    </row>
    <row r="1595" spans="2:7" x14ac:dyDescent="0.35">
      <c r="B1595" s="46"/>
      <c r="C1595" s="46"/>
      <c r="D1595" s="46"/>
      <c r="E1595" s="46"/>
      <c r="F1595" s="46"/>
      <c r="G1595" s="79"/>
    </row>
    <row r="1596" spans="2:7" x14ac:dyDescent="0.35">
      <c r="B1596" s="46"/>
      <c r="C1596" s="46"/>
      <c r="D1596" s="46"/>
      <c r="E1596" s="46"/>
      <c r="F1596" s="46"/>
      <c r="G1596" s="79"/>
    </row>
    <row r="1597" spans="2:7" x14ac:dyDescent="0.35">
      <c r="B1597" s="46"/>
      <c r="C1597" s="46"/>
      <c r="D1597" s="46"/>
      <c r="E1597" s="46"/>
      <c r="F1597" s="46"/>
      <c r="G1597" s="79"/>
    </row>
    <row r="1598" spans="2:7" x14ac:dyDescent="0.35">
      <c r="B1598" s="46"/>
      <c r="C1598" s="46"/>
      <c r="D1598" s="46"/>
      <c r="E1598" s="46"/>
      <c r="F1598" s="46"/>
      <c r="G1598" s="79"/>
    </row>
    <row r="1599" spans="2:7" x14ac:dyDescent="0.35">
      <c r="B1599" s="46"/>
      <c r="C1599" s="46"/>
      <c r="D1599" s="46"/>
      <c r="E1599" s="46"/>
      <c r="F1599" s="46"/>
      <c r="G1599" s="79"/>
    </row>
    <row r="1600" spans="2:7" x14ac:dyDescent="0.35">
      <c r="B1600" s="46"/>
      <c r="C1600" s="46"/>
      <c r="D1600" s="46"/>
      <c r="E1600" s="46"/>
      <c r="F1600" s="46"/>
      <c r="G1600" s="79"/>
    </row>
    <row r="1601" spans="2:7" x14ac:dyDescent="0.35">
      <c r="B1601" s="46"/>
      <c r="C1601" s="46"/>
      <c r="D1601" s="46"/>
      <c r="E1601" s="46"/>
      <c r="F1601" s="46"/>
      <c r="G1601" s="79"/>
    </row>
    <row r="1602" spans="2:7" x14ac:dyDescent="0.35">
      <c r="B1602" s="46"/>
      <c r="C1602" s="46"/>
      <c r="D1602" s="46"/>
      <c r="E1602" s="46"/>
      <c r="F1602" s="46"/>
      <c r="G1602" s="79"/>
    </row>
    <row r="1603" spans="2:7" x14ac:dyDescent="0.35">
      <c r="B1603" s="46"/>
      <c r="C1603" s="46"/>
      <c r="D1603" s="46"/>
      <c r="E1603" s="46"/>
      <c r="F1603" s="46"/>
      <c r="G1603" s="79"/>
    </row>
    <row r="1604" spans="2:7" x14ac:dyDescent="0.35">
      <c r="B1604" s="46"/>
      <c r="C1604" s="46"/>
      <c r="D1604" s="46"/>
      <c r="E1604" s="46"/>
      <c r="F1604" s="46"/>
      <c r="G1604" s="79"/>
    </row>
    <row r="1605" spans="2:7" x14ac:dyDescent="0.35">
      <c r="B1605" s="46"/>
      <c r="C1605" s="46"/>
      <c r="D1605" s="46"/>
      <c r="E1605" s="46"/>
      <c r="F1605" s="46"/>
      <c r="G1605" s="79"/>
    </row>
    <row r="1606" spans="2:7" x14ac:dyDescent="0.35">
      <c r="B1606" s="46"/>
      <c r="C1606" s="46"/>
      <c r="D1606" s="46"/>
      <c r="E1606" s="46"/>
      <c r="F1606" s="46"/>
      <c r="G1606" s="79"/>
    </row>
    <row r="1607" spans="2:7" x14ac:dyDescent="0.35">
      <c r="B1607" s="46"/>
      <c r="C1607" s="46"/>
      <c r="D1607" s="46"/>
      <c r="E1607" s="46"/>
      <c r="F1607" s="46"/>
      <c r="G1607" s="79"/>
    </row>
    <row r="1608" spans="2:7" x14ac:dyDescent="0.35">
      <c r="B1608" s="46"/>
      <c r="C1608" s="46"/>
      <c r="D1608" s="46"/>
      <c r="E1608" s="46"/>
      <c r="F1608" s="46"/>
      <c r="G1608" s="79"/>
    </row>
    <row r="1609" spans="2:7" x14ac:dyDescent="0.35">
      <c r="B1609" s="46"/>
      <c r="C1609" s="46"/>
      <c r="D1609" s="46"/>
      <c r="E1609" s="46"/>
      <c r="F1609" s="46"/>
      <c r="G1609" s="79"/>
    </row>
    <row r="1610" spans="2:7" x14ac:dyDescent="0.35">
      <c r="B1610" s="46"/>
      <c r="C1610" s="46"/>
      <c r="D1610" s="46"/>
      <c r="E1610" s="46"/>
      <c r="F1610" s="46"/>
      <c r="G1610" s="79"/>
    </row>
    <row r="1611" spans="2:7" x14ac:dyDescent="0.35">
      <c r="B1611" s="46"/>
      <c r="C1611" s="46"/>
      <c r="D1611" s="46"/>
      <c r="E1611" s="46"/>
      <c r="F1611" s="46"/>
      <c r="G1611" s="79"/>
    </row>
    <row r="1612" spans="2:7" x14ac:dyDescent="0.35">
      <c r="B1612" s="46"/>
      <c r="C1612" s="46"/>
      <c r="D1612" s="46"/>
      <c r="E1612" s="46"/>
      <c r="F1612" s="46"/>
      <c r="G1612" s="79"/>
    </row>
    <row r="1613" spans="2:7" x14ac:dyDescent="0.35">
      <c r="B1613" s="46"/>
      <c r="C1613" s="46"/>
      <c r="D1613" s="46"/>
      <c r="E1613" s="46"/>
      <c r="F1613" s="46"/>
      <c r="G1613" s="79"/>
    </row>
    <row r="1614" spans="2:7" x14ac:dyDescent="0.35">
      <c r="B1614" s="46"/>
      <c r="C1614" s="46"/>
      <c r="D1614" s="46"/>
      <c r="E1614" s="46"/>
      <c r="F1614" s="46"/>
      <c r="G1614" s="79"/>
    </row>
    <row r="1615" spans="2:7" x14ac:dyDescent="0.35">
      <c r="B1615" s="46"/>
      <c r="C1615" s="46"/>
      <c r="D1615" s="46"/>
      <c r="E1615" s="46"/>
      <c r="F1615" s="46"/>
      <c r="G1615" s="79"/>
    </row>
    <row r="1616" spans="2:7" x14ac:dyDescent="0.35">
      <c r="B1616" s="46"/>
      <c r="C1616" s="46"/>
      <c r="D1616" s="46"/>
      <c r="E1616" s="46"/>
      <c r="F1616" s="46"/>
      <c r="G1616" s="79"/>
    </row>
    <row r="1617" spans="2:7" x14ac:dyDescent="0.35">
      <c r="B1617" s="46"/>
      <c r="C1617" s="46"/>
      <c r="D1617" s="46"/>
      <c r="E1617" s="46"/>
      <c r="F1617" s="46"/>
      <c r="G1617" s="79"/>
    </row>
    <row r="1618" spans="2:7" x14ac:dyDescent="0.35">
      <c r="B1618" s="46"/>
      <c r="C1618" s="46"/>
      <c r="D1618" s="46"/>
      <c r="E1618" s="46"/>
      <c r="F1618" s="46"/>
      <c r="G1618" s="79"/>
    </row>
    <row r="1619" spans="2:7" x14ac:dyDescent="0.35">
      <c r="B1619" s="46"/>
      <c r="C1619" s="46"/>
      <c r="D1619" s="46"/>
      <c r="E1619" s="46"/>
      <c r="F1619" s="46"/>
      <c r="G1619" s="79"/>
    </row>
    <row r="1620" spans="2:7" x14ac:dyDescent="0.35">
      <c r="B1620" s="46"/>
      <c r="C1620" s="46"/>
      <c r="D1620" s="46"/>
      <c r="E1620" s="46"/>
      <c r="F1620" s="46"/>
      <c r="G1620" s="79"/>
    </row>
    <row r="1621" spans="2:7" x14ac:dyDescent="0.35">
      <c r="B1621" s="46"/>
      <c r="C1621" s="46"/>
      <c r="D1621" s="46"/>
      <c r="E1621" s="46"/>
      <c r="F1621" s="46"/>
      <c r="G1621" s="79"/>
    </row>
    <row r="1622" spans="2:7" x14ac:dyDescent="0.35">
      <c r="B1622" s="46"/>
      <c r="C1622" s="46"/>
      <c r="D1622" s="46"/>
      <c r="E1622" s="46"/>
      <c r="F1622" s="46"/>
      <c r="G1622" s="79"/>
    </row>
    <row r="1623" spans="2:7" x14ac:dyDescent="0.35">
      <c r="B1623" s="46"/>
      <c r="C1623" s="46"/>
      <c r="D1623" s="46"/>
      <c r="E1623" s="46"/>
      <c r="F1623" s="46"/>
      <c r="G1623" s="79"/>
    </row>
    <row r="1624" spans="2:7" x14ac:dyDescent="0.35">
      <c r="B1624" s="46"/>
      <c r="C1624" s="46"/>
      <c r="D1624" s="46"/>
      <c r="E1624" s="46"/>
      <c r="F1624" s="46"/>
      <c r="G1624" s="79"/>
    </row>
    <row r="1625" spans="2:7" x14ac:dyDescent="0.35">
      <c r="B1625" s="46"/>
      <c r="C1625" s="46"/>
      <c r="D1625" s="46"/>
      <c r="E1625" s="46"/>
      <c r="F1625" s="46"/>
      <c r="G1625" s="79"/>
    </row>
    <row r="1626" spans="2:7" x14ac:dyDescent="0.35">
      <c r="B1626" s="46"/>
      <c r="C1626" s="46"/>
      <c r="D1626" s="46"/>
      <c r="E1626" s="46"/>
      <c r="F1626" s="46"/>
      <c r="G1626" s="79"/>
    </row>
    <row r="1627" spans="2:7" x14ac:dyDescent="0.35">
      <c r="B1627" s="46"/>
      <c r="C1627" s="46"/>
      <c r="D1627" s="46"/>
      <c r="E1627" s="46"/>
      <c r="F1627" s="46"/>
      <c r="G1627" s="79"/>
    </row>
    <row r="1628" spans="2:7" x14ac:dyDescent="0.35">
      <c r="B1628" s="46"/>
      <c r="C1628" s="46"/>
      <c r="D1628" s="46"/>
      <c r="E1628" s="46"/>
      <c r="F1628" s="46"/>
      <c r="G1628" s="79"/>
    </row>
    <row r="1629" spans="2:7" x14ac:dyDescent="0.35">
      <c r="B1629" s="46"/>
      <c r="C1629" s="46"/>
      <c r="D1629" s="46"/>
      <c r="E1629" s="46"/>
      <c r="F1629" s="46"/>
      <c r="G1629" s="79"/>
    </row>
    <row r="1630" spans="2:7" x14ac:dyDescent="0.35">
      <c r="B1630" s="46"/>
      <c r="C1630" s="46"/>
      <c r="D1630" s="46"/>
      <c r="E1630" s="46"/>
      <c r="F1630" s="46"/>
      <c r="G1630" s="79"/>
    </row>
    <row r="1631" spans="2:7" x14ac:dyDescent="0.35">
      <c r="B1631" s="46"/>
      <c r="C1631" s="46"/>
      <c r="D1631" s="46"/>
      <c r="E1631" s="46"/>
      <c r="F1631" s="46"/>
      <c r="G1631" s="79"/>
    </row>
    <row r="1632" spans="2:7" x14ac:dyDescent="0.35">
      <c r="B1632" s="46"/>
      <c r="C1632" s="46"/>
      <c r="D1632" s="46"/>
      <c r="E1632" s="46"/>
      <c r="F1632" s="46"/>
      <c r="G1632" s="79"/>
    </row>
    <row r="1633" spans="2:7" x14ac:dyDescent="0.35">
      <c r="B1633" s="46"/>
      <c r="C1633" s="46"/>
      <c r="D1633" s="46"/>
      <c r="E1633" s="46"/>
      <c r="F1633" s="46"/>
      <c r="G1633" s="79"/>
    </row>
    <row r="1634" spans="2:7" x14ac:dyDescent="0.35">
      <c r="B1634" s="46"/>
      <c r="C1634" s="46"/>
      <c r="D1634" s="46"/>
      <c r="E1634" s="46"/>
      <c r="F1634" s="46"/>
      <c r="G1634" s="79"/>
    </row>
    <row r="1635" spans="2:7" x14ac:dyDescent="0.35">
      <c r="B1635" s="46"/>
      <c r="C1635" s="46"/>
      <c r="D1635" s="46"/>
      <c r="E1635" s="46"/>
      <c r="F1635" s="46"/>
      <c r="G1635" s="79"/>
    </row>
    <row r="1636" spans="2:7" x14ac:dyDescent="0.35">
      <c r="B1636" s="46"/>
      <c r="C1636" s="46"/>
      <c r="D1636" s="46"/>
      <c r="E1636" s="46"/>
      <c r="F1636" s="46"/>
      <c r="G1636" s="79"/>
    </row>
    <row r="1637" spans="2:7" x14ac:dyDescent="0.35">
      <c r="B1637" s="46"/>
      <c r="C1637" s="46"/>
      <c r="D1637" s="46"/>
      <c r="E1637" s="46"/>
      <c r="F1637" s="46"/>
      <c r="G1637" s="79"/>
    </row>
    <row r="1638" spans="2:7" x14ac:dyDescent="0.35">
      <c r="B1638" s="46"/>
      <c r="C1638" s="46"/>
      <c r="D1638" s="46"/>
      <c r="E1638" s="46"/>
      <c r="F1638" s="46"/>
      <c r="G1638" s="79"/>
    </row>
    <row r="1639" spans="2:7" x14ac:dyDescent="0.35">
      <c r="B1639" s="46"/>
      <c r="C1639" s="46"/>
      <c r="D1639" s="46"/>
      <c r="E1639" s="46"/>
      <c r="F1639" s="46"/>
      <c r="G1639" s="79"/>
    </row>
    <row r="1640" spans="2:7" x14ac:dyDescent="0.35">
      <c r="B1640" s="46"/>
      <c r="C1640" s="46"/>
      <c r="D1640" s="46"/>
      <c r="E1640" s="46"/>
      <c r="F1640" s="46"/>
      <c r="G1640" s="79"/>
    </row>
    <row r="1641" spans="2:7" x14ac:dyDescent="0.35">
      <c r="B1641" s="46"/>
      <c r="C1641" s="46"/>
      <c r="D1641" s="46"/>
      <c r="E1641" s="46"/>
      <c r="F1641" s="46"/>
      <c r="G1641" s="79"/>
    </row>
    <row r="1642" spans="2:7" x14ac:dyDescent="0.35">
      <c r="B1642" s="46"/>
      <c r="C1642" s="46"/>
      <c r="D1642" s="46"/>
      <c r="E1642" s="46"/>
      <c r="F1642" s="46"/>
      <c r="G1642" s="79"/>
    </row>
    <row r="1643" spans="2:7" x14ac:dyDescent="0.35">
      <c r="B1643" s="46"/>
      <c r="C1643" s="46"/>
      <c r="D1643" s="46"/>
      <c r="E1643" s="46"/>
      <c r="F1643" s="46"/>
      <c r="G1643" s="79"/>
    </row>
    <row r="1644" spans="2:7" x14ac:dyDescent="0.35">
      <c r="B1644" s="46"/>
      <c r="C1644" s="46"/>
      <c r="D1644" s="46"/>
      <c r="E1644" s="46"/>
      <c r="F1644" s="46"/>
      <c r="G1644" s="79"/>
    </row>
    <row r="1645" spans="2:7" x14ac:dyDescent="0.35">
      <c r="B1645" s="46"/>
      <c r="C1645" s="46"/>
      <c r="D1645" s="46"/>
      <c r="E1645" s="46"/>
      <c r="F1645" s="46"/>
      <c r="G1645" s="79"/>
    </row>
    <row r="1646" spans="2:7" x14ac:dyDescent="0.35">
      <c r="B1646" s="46"/>
      <c r="C1646" s="46"/>
      <c r="D1646" s="46"/>
      <c r="E1646" s="46"/>
      <c r="F1646" s="46"/>
      <c r="G1646" s="79"/>
    </row>
    <row r="1647" spans="2:7" x14ac:dyDescent="0.35">
      <c r="B1647" s="46"/>
      <c r="C1647" s="46"/>
      <c r="D1647" s="46"/>
      <c r="E1647" s="46"/>
      <c r="F1647" s="46"/>
      <c r="G1647" s="79"/>
    </row>
    <row r="1648" spans="2:7" x14ac:dyDescent="0.35">
      <c r="B1648" s="46"/>
      <c r="C1648" s="46"/>
      <c r="D1648" s="46"/>
      <c r="E1648" s="46"/>
      <c r="F1648" s="46"/>
      <c r="G1648" s="79"/>
    </row>
    <row r="1649" spans="2:7" x14ac:dyDescent="0.35">
      <c r="B1649" s="46"/>
      <c r="C1649" s="46"/>
      <c r="D1649" s="46"/>
      <c r="E1649" s="46"/>
      <c r="F1649" s="46"/>
      <c r="G1649" s="79"/>
    </row>
    <row r="1650" spans="2:7" x14ac:dyDescent="0.35">
      <c r="B1650" s="46"/>
      <c r="C1650" s="46"/>
      <c r="D1650" s="46"/>
      <c r="E1650" s="46"/>
      <c r="F1650" s="46"/>
      <c r="G1650" s="79"/>
    </row>
    <row r="1651" spans="2:7" x14ac:dyDescent="0.35">
      <c r="B1651" s="46"/>
      <c r="C1651" s="46"/>
      <c r="D1651" s="46"/>
      <c r="E1651" s="46"/>
      <c r="F1651" s="46"/>
      <c r="G1651" s="79"/>
    </row>
    <row r="1652" spans="2:7" x14ac:dyDescent="0.35">
      <c r="B1652" s="46"/>
      <c r="C1652" s="46"/>
      <c r="D1652" s="46"/>
      <c r="E1652" s="46"/>
      <c r="F1652" s="46"/>
      <c r="G1652" s="79"/>
    </row>
    <row r="1653" spans="2:7" x14ac:dyDescent="0.35">
      <c r="B1653" s="46"/>
      <c r="C1653" s="46"/>
      <c r="D1653" s="46"/>
      <c r="E1653" s="46"/>
      <c r="F1653" s="46"/>
      <c r="G1653" s="79"/>
    </row>
    <row r="1654" spans="2:7" x14ac:dyDescent="0.35">
      <c r="B1654" s="46"/>
      <c r="C1654" s="46"/>
      <c r="D1654" s="46"/>
      <c r="E1654" s="46"/>
      <c r="F1654" s="46"/>
      <c r="G1654" s="79"/>
    </row>
    <row r="1655" spans="2:7" x14ac:dyDescent="0.35">
      <c r="B1655" s="46"/>
      <c r="C1655" s="46"/>
      <c r="D1655" s="46"/>
      <c r="E1655" s="46"/>
      <c r="F1655" s="46"/>
      <c r="G1655" s="79"/>
    </row>
    <row r="1656" spans="2:7" x14ac:dyDescent="0.35">
      <c r="B1656" s="46"/>
      <c r="C1656" s="46"/>
      <c r="D1656" s="46"/>
      <c r="E1656" s="46"/>
      <c r="F1656" s="46"/>
      <c r="G1656" s="79"/>
    </row>
    <row r="1657" spans="2:7" x14ac:dyDescent="0.35">
      <c r="B1657" s="46"/>
      <c r="C1657" s="46"/>
      <c r="D1657" s="46"/>
      <c r="E1657" s="46"/>
      <c r="F1657" s="46"/>
      <c r="G1657" s="79"/>
    </row>
    <row r="1658" spans="2:7" x14ac:dyDescent="0.35">
      <c r="B1658" s="46"/>
      <c r="C1658" s="46"/>
      <c r="D1658" s="46"/>
      <c r="E1658" s="46"/>
      <c r="F1658" s="46"/>
      <c r="G1658" s="79"/>
    </row>
    <row r="1659" spans="2:7" x14ac:dyDescent="0.35">
      <c r="B1659" s="46"/>
      <c r="C1659" s="46"/>
      <c r="D1659" s="46"/>
      <c r="E1659" s="46"/>
      <c r="F1659" s="46"/>
      <c r="G1659" s="79"/>
    </row>
    <row r="1660" spans="2:7" x14ac:dyDescent="0.35">
      <c r="B1660" s="46"/>
      <c r="C1660" s="46"/>
      <c r="D1660" s="46"/>
      <c r="E1660" s="46"/>
      <c r="F1660" s="46"/>
      <c r="G1660" s="79"/>
    </row>
    <row r="1661" spans="2:7" x14ac:dyDescent="0.35">
      <c r="B1661" s="46"/>
      <c r="C1661" s="46"/>
      <c r="D1661" s="46"/>
      <c r="E1661" s="46"/>
      <c r="F1661" s="46"/>
      <c r="G1661" s="79"/>
    </row>
    <row r="1662" spans="2:7" x14ac:dyDescent="0.35">
      <c r="B1662" s="46"/>
      <c r="C1662" s="46"/>
      <c r="D1662" s="46"/>
      <c r="E1662" s="46"/>
      <c r="F1662" s="46"/>
      <c r="G1662" s="79"/>
    </row>
    <row r="1663" spans="2:7" x14ac:dyDescent="0.35">
      <c r="B1663" s="46"/>
      <c r="C1663" s="46"/>
      <c r="D1663" s="46"/>
      <c r="E1663" s="46"/>
      <c r="F1663" s="46"/>
      <c r="G1663" s="79"/>
    </row>
    <row r="1664" spans="2:7" x14ac:dyDescent="0.35">
      <c r="B1664" s="46"/>
      <c r="C1664" s="46"/>
      <c r="D1664" s="46"/>
      <c r="E1664" s="46"/>
      <c r="F1664" s="46"/>
      <c r="G1664" s="79"/>
    </row>
    <row r="1665" spans="2:7" x14ac:dyDescent="0.35">
      <c r="B1665" s="46"/>
      <c r="C1665" s="46"/>
      <c r="D1665" s="46"/>
      <c r="E1665" s="46"/>
      <c r="F1665" s="46"/>
      <c r="G1665" s="79"/>
    </row>
    <row r="1666" spans="2:7" x14ac:dyDescent="0.35">
      <c r="B1666" s="46"/>
      <c r="C1666" s="46"/>
      <c r="D1666" s="46"/>
      <c r="E1666" s="46"/>
      <c r="F1666" s="46"/>
      <c r="G1666" s="79"/>
    </row>
    <row r="1667" spans="2:7" x14ac:dyDescent="0.35">
      <c r="B1667" s="46"/>
      <c r="C1667" s="46"/>
      <c r="D1667" s="46"/>
      <c r="E1667" s="46"/>
      <c r="F1667" s="46"/>
      <c r="G1667" s="79"/>
    </row>
    <row r="1668" spans="2:7" x14ac:dyDescent="0.35">
      <c r="B1668" s="46"/>
      <c r="C1668" s="46"/>
      <c r="D1668" s="46"/>
      <c r="E1668" s="46"/>
      <c r="F1668" s="46"/>
      <c r="G1668" s="79"/>
    </row>
    <row r="1669" spans="2:7" x14ac:dyDescent="0.35">
      <c r="B1669" s="46"/>
      <c r="C1669" s="46"/>
      <c r="D1669" s="46"/>
      <c r="E1669" s="46"/>
      <c r="F1669" s="46"/>
      <c r="G1669" s="79"/>
    </row>
    <row r="1670" spans="2:7" x14ac:dyDescent="0.35">
      <c r="B1670" s="46"/>
      <c r="C1670" s="46"/>
      <c r="D1670" s="46"/>
      <c r="E1670" s="46"/>
      <c r="F1670" s="46"/>
      <c r="G1670" s="79"/>
    </row>
    <row r="1671" spans="2:7" x14ac:dyDescent="0.35">
      <c r="B1671" s="46"/>
      <c r="C1671" s="46"/>
      <c r="D1671" s="46"/>
      <c r="E1671" s="46"/>
      <c r="F1671" s="46"/>
      <c r="G1671" s="79"/>
    </row>
    <row r="1672" spans="2:7" x14ac:dyDescent="0.35">
      <c r="B1672" s="46"/>
      <c r="C1672" s="46"/>
      <c r="D1672" s="46"/>
      <c r="E1672" s="46"/>
      <c r="F1672" s="46"/>
      <c r="G1672" s="79"/>
    </row>
    <row r="1673" spans="2:7" x14ac:dyDescent="0.35">
      <c r="B1673" s="46"/>
      <c r="C1673" s="46"/>
      <c r="D1673" s="46"/>
      <c r="E1673" s="46"/>
      <c r="F1673" s="46"/>
      <c r="G1673" s="79"/>
    </row>
    <row r="1674" spans="2:7" x14ac:dyDescent="0.35">
      <c r="B1674" s="46"/>
      <c r="C1674" s="46"/>
      <c r="D1674" s="46"/>
      <c r="E1674" s="46"/>
      <c r="F1674" s="46"/>
      <c r="G1674" s="79"/>
    </row>
    <row r="1675" spans="2:7" x14ac:dyDescent="0.35">
      <c r="B1675" s="46"/>
      <c r="C1675" s="46"/>
      <c r="D1675" s="46"/>
      <c r="E1675" s="46"/>
      <c r="F1675" s="46"/>
      <c r="G1675" s="79"/>
    </row>
    <row r="1676" spans="2:7" x14ac:dyDescent="0.35">
      <c r="B1676" s="46"/>
      <c r="C1676" s="46"/>
      <c r="D1676" s="46"/>
      <c r="E1676" s="46"/>
      <c r="F1676" s="46"/>
      <c r="G1676" s="79"/>
    </row>
    <row r="1677" spans="2:7" x14ac:dyDescent="0.35">
      <c r="B1677" s="46"/>
      <c r="C1677" s="46"/>
      <c r="D1677" s="46"/>
      <c r="E1677" s="46"/>
      <c r="F1677" s="46"/>
      <c r="G1677" s="79"/>
    </row>
    <row r="1678" spans="2:7" x14ac:dyDescent="0.35">
      <c r="B1678" s="46"/>
      <c r="C1678" s="46"/>
      <c r="D1678" s="46"/>
      <c r="E1678" s="46"/>
      <c r="F1678" s="46"/>
      <c r="G1678" s="79"/>
    </row>
    <row r="1679" spans="2:7" x14ac:dyDescent="0.35">
      <c r="B1679" s="46"/>
      <c r="C1679" s="46"/>
      <c r="D1679" s="46"/>
      <c r="E1679" s="46"/>
      <c r="F1679" s="46"/>
      <c r="G1679" s="79"/>
    </row>
    <row r="1680" spans="2:7" x14ac:dyDescent="0.35">
      <c r="B1680" s="46"/>
      <c r="C1680" s="46"/>
      <c r="D1680" s="46"/>
      <c r="E1680" s="46"/>
      <c r="F1680" s="46"/>
      <c r="G1680" s="79"/>
    </row>
    <row r="1681" spans="2:7" x14ac:dyDescent="0.35">
      <c r="B1681" s="46"/>
      <c r="C1681" s="46"/>
      <c r="D1681" s="46"/>
      <c r="E1681" s="46"/>
      <c r="F1681" s="46"/>
      <c r="G1681" s="79"/>
    </row>
    <row r="1682" spans="2:7" x14ac:dyDescent="0.35">
      <c r="B1682" s="46"/>
      <c r="C1682" s="46"/>
      <c r="D1682" s="46"/>
      <c r="E1682" s="46"/>
      <c r="F1682" s="46"/>
      <c r="G1682" s="79"/>
    </row>
    <row r="1683" spans="2:7" x14ac:dyDescent="0.35">
      <c r="B1683" s="46"/>
      <c r="C1683" s="46"/>
      <c r="D1683" s="46"/>
      <c r="E1683" s="46"/>
      <c r="F1683" s="46"/>
      <c r="G1683" s="79"/>
    </row>
    <row r="1684" spans="2:7" x14ac:dyDescent="0.35">
      <c r="B1684" s="46"/>
      <c r="C1684" s="46"/>
      <c r="D1684" s="46"/>
      <c r="E1684" s="46"/>
      <c r="F1684" s="46"/>
      <c r="G1684" s="79"/>
    </row>
    <row r="1685" spans="2:7" x14ac:dyDescent="0.35">
      <c r="B1685" s="46"/>
      <c r="C1685" s="46"/>
      <c r="D1685" s="46"/>
      <c r="E1685" s="46"/>
      <c r="F1685" s="46"/>
      <c r="G1685" s="79"/>
    </row>
    <row r="1686" spans="2:7" x14ac:dyDescent="0.35">
      <c r="B1686" s="46"/>
      <c r="C1686" s="46"/>
      <c r="D1686" s="46"/>
      <c r="E1686" s="46"/>
      <c r="F1686" s="46"/>
      <c r="G1686" s="79"/>
    </row>
    <row r="1687" spans="2:7" x14ac:dyDescent="0.35">
      <c r="B1687" s="46"/>
      <c r="C1687" s="46"/>
      <c r="D1687" s="46"/>
      <c r="E1687" s="46"/>
      <c r="F1687" s="46"/>
      <c r="G1687" s="79"/>
    </row>
    <row r="1688" spans="2:7" x14ac:dyDescent="0.35">
      <c r="B1688" s="46"/>
      <c r="C1688" s="46"/>
      <c r="D1688" s="46"/>
      <c r="E1688" s="46"/>
      <c r="F1688" s="46"/>
      <c r="G1688" s="79"/>
    </row>
    <row r="1689" spans="2:7" x14ac:dyDescent="0.35">
      <c r="B1689" s="46"/>
      <c r="C1689" s="46"/>
      <c r="D1689" s="46"/>
      <c r="E1689" s="46"/>
      <c r="F1689" s="46"/>
      <c r="G1689" s="79"/>
    </row>
    <row r="1690" spans="2:7" x14ac:dyDescent="0.35">
      <c r="B1690" s="46"/>
      <c r="C1690" s="46"/>
      <c r="D1690" s="46"/>
      <c r="E1690" s="46"/>
      <c r="F1690" s="46"/>
      <c r="G1690" s="79"/>
    </row>
    <row r="1691" spans="2:7" x14ac:dyDescent="0.35">
      <c r="B1691" s="46"/>
      <c r="C1691" s="46"/>
      <c r="D1691" s="46"/>
      <c r="E1691" s="46"/>
      <c r="F1691" s="46"/>
      <c r="G1691" s="79"/>
    </row>
    <row r="1692" spans="2:7" x14ac:dyDescent="0.35">
      <c r="B1692" s="46"/>
      <c r="C1692" s="46"/>
      <c r="D1692" s="46"/>
      <c r="E1692" s="46"/>
      <c r="F1692" s="46"/>
      <c r="G1692" s="79"/>
    </row>
    <row r="1693" spans="2:7" x14ac:dyDescent="0.35">
      <c r="B1693" s="46"/>
      <c r="C1693" s="46"/>
      <c r="D1693" s="46"/>
      <c r="E1693" s="46"/>
      <c r="F1693" s="46"/>
      <c r="G1693" s="79"/>
    </row>
    <row r="1694" spans="2:7" x14ac:dyDescent="0.35">
      <c r="B1694" s="46"/>
      <c r="C1694" s="46"/>
      <c r="D1694" s="46"/>
      <c r="E1694" s="46"/>
      <c r="F1694" s="46"/>
      <c r="G1694" s="79"/>
    </row>
    <row r="1695" spans="2:7" x14ac:dyDescent="0.35">
      <c r="B1695" s="46"/>
      <c r="C1695" s="46"/>
      <c r="D1695" s="46"/>
      <c r="E1695" s="46"/>
      <c r="F1695" s="46"/>
      <c r="G1695" s="79"/>
    </row>
    <row r="1696" spans="2:7" x14ac:dyDescent="0.35">
      <c r="B1696" s="46"/>
      <c r="C1696" s="46"/>
      <c r="D1696" s="46"/>
      <c r="E1696" s="46"/>
      <c r="F1696" s="46"/>
      <c r="G1696" s="79"/>
    </row>
    <row r="1697" spans="2:7" x14ac:dyDescent="0.35">
      <c r="B1697" s="46"/>
      <c r="C1697" s="46"/>
      <c r="D1697" s="46"/>
      <c r="E1697" s="46"/>
      <c r="F1697" s="46"/>
      <c r="G1697" s="79"/>
    </row>
    <row r="1698" spans="2:7" x14ac:dyDescent="0.35">
      <c r="B1698" s="46"/>
      <c r="C1698" s="46"/>
      <c r="D1698" s="46"/>
      <c r="E1698" s="46"/>
      <c r="F1698" s="46"/>
      <c r="G1698" s="79"/>
    </row>
    <row r="1699" spans="2:7" x14ac:dyDescent="0.35">
      <c r="B1699" s="46"/>
      <c r="C1699" s="46"/>
      <c r="D1699" s="46"/>
      <c r="E1699" s="46"/>
      <c r="F1699" s="46"/>
      <c r="G1699" s="79"/>
    </row>
    <row r="1700" spans="2:7" x14ac:dyDescent="0.35">
      <c r="B1700" s="46"/>
      <c r="C1700" s="46"/>
      <c r="D1700" s="46"/>
      <c r="E1700" s="46"/>
      <c r="F1700" s="46"/>
      <c r="G1700" s="79"/>
    </row>
    <row r="1701" spans="2:7" x14ac:dyDescent="0.35">
      <c r="B1701" s="46"/>
      <c r="C1701" s="46"/>
      <c r="D1701" s="46"/>
      <c r="E1701" s="46"/>
      <c r="F1701" s="46"/>
      <c r="G1701" s="79"/>
    </row>
    <row r="1702" spans="2:7" x14ac:dyDescent="0.35">
      <c r="B1702" s="46"/>
      <c r="C1702" s="46"/>
      <c r="D1702" s="46"/>
      <c r="E1702" s="46"/>
      <c r="F1702" s="46"/>
      <c r="G1702" s="79"/>
    </row>
    <row r="1703" spans="2:7" x14ac:dyDescent="0.35">
      <c r="B1703" s="46"/>
      <c r="C1703" s="46"/>
      <c r="D1703" s="46"/>
      <c r="E1703" s="46"/>
      <c r="F1703" s="46"/>
      <c r="G1703" s="79"/>
    </row>
    <row r="1704" spans="2:7" x14ac:dyDescent="0.35">
      <c r="B1704" s="46"/>
      <c r="C1704" s="46"/>
      <c r="D1704" s="46"/>
      <c r="E1704" s="46"/>
      <c r="F1704" s="46"/>
      <c r="G1704" s="79"/>
    </row>
    <row r="1705" spans="2:7" x14ac:dyDescent="0.35">
      <c r="B1705" s="46"/>
      <c r="C1705" s="46"/>
      <c r="D1705" s="46"/>
      <c r="E1705" s="46"/>
      <c r="F1705" s="46"/>
      <c r="G1705" s="79"/>
    </row>
    <row r="1706" spans="2:7" x14ac:dyDescent="0.35">
      <c r="B1706" s="46"/>
      <c r="C1706" s="46"/>
      <c r="D1706" s="46"/>
      <c r="E1706" s="46"/>
      <c r="F1706" s="46"/>
      <c r="G1706" s="79"/>
    </row>
    <row r="1707" spans="2:7" x14ac:dyDescent="0.35">
      <c r="B1707" s="46"/>
      <c r="C1707" s="46"/>
      <c r="D1707" s="46"/>
      <c r="E1707" s="46"/>
      <c r="F1707" s="46"/>
      <c r="G1707" s="79"/>
    </row>
    <row r="1708" spans="2:7" x14ac:dyDescent="0.35">
      <c r="B1708" s="46"/>
      <c r="C1708" s="46"/>
      <c r="D1708" s="46"/>
      <c r="E1708" s="46"/>
      <c r="F1708" s="46"/>
      <c r="G1708" s="79"/>
    </row>
    <row r="1709" spans="2:7" x14ac:dyDescent="0.35">
      <c r="B1709" s="46"/>
      <c r="C1709" s="46"/>
      <c r="D1709" s="46"/>
      <c r="E1709" s="46"/>
      <c r="F1709" s="46"/>
      <c r="G1709" s="79"/>
    </row>
    <row r="1710" spans="2:7" x14ac:dyDescent="0.35">
      <c r="B1710" s="46"/>
      <c r="C1710" s="46"/>
      <c r="D1710" s="46"/>
      <c r="E1710" s="46"/>
      <c r="F1710" s="46"/>
      <c r="G1710" s="79"/>
    </row>
    <row r="1711" spans="2:7" x14ac:dyDescent="0.35">
      <c r="B1711" s="46"/>
      <c r="C1711" s="46"/>
      <c r="D1711" s="46"/>
      <c r="E1711" s="46"/>
      <c r="F1711" s="46"/>
      <c r="G1711" s="79"/>
    </row>
    <row r="1712" spans="2:7" x14ac:dyDescent="0.35">
      <c r="B1712" s="46"/>
      <c r="C1712" s="46"/>
      <c r="D1712" s="46"/>
      <c r="E1712" s="46"/>
      <c r="F1712" s="46"/>
      <c r="G1712" s="79"/>
    </row>
    <row r="1713" spans="2:7" x14ac:dyDescent="0.35">
      <c r="B1713" s="46"/>
      <c r="C1713" s="46"/>
      <c r="D1713" s="46"/>
      <c r="E1713" s="46"/>
      <c r="F1713" s="46"/>
      <c r="G1713" s="79"/>
    </row>
    <row r="1714" spans="2:7" x14ac:dyDescent="0.35">
      <c r="B1714" s="46"/>
      <c r="C1714" s="46"/>
      <c r="D1714" s="46"/>
      <c r="E1714" s="46"/>
      <c r="F1714" s="46"/>
      <c r="G1714" s="79"/>
    </row>
    <row r="1715" spans="2:7" x14ac:dyDescent="0.35">
      <c r="B1715" s="46"/>
      <c r="C1715" s="46"/>
      <c r="D1715" s="46"/>
      <c r="E1715" s="46"/>
      <c r="F1715" s="46"/>
      <c r="G1715" s="79"/>
    </row>
    <row r="1716" spans="2:7" x14ac:dyDescent="0.35">
      <c r="B1716" s="46"/>
      <c r="C1716" s="46"/>
      <c r="D1716" s="46"/>
      <c r="E1716" s="46"/>
      <c r="F1716" s="46"/>
      <c r="G1716" s="79"/>
    </row>
    <row r="1717" spans="2:7" x14ac:dyDescent="0.35">
      <c r="B1717" s="46"/>
      <c r="C1717" s="46"/>
      <c r="D1717" s="46"/>
      <c r="E1717" s="46"/>
      <c r="F1717" s="46"/>
      <c r="G1717" s="79"/>
    </row>
    <row r="1718" spans="2:7" x14ac:dyDescent="0.35">
      <c r="B1718" s="46"/>
      <c r="C1718" s="46"/>
      <c r="D1718" s="46"/>
      <c r="E1718" s="46"/>
      <c r="F1718" s="46"/>
      <c r="G1718" s="79"/>
    </row>
    <row r="1719" spans="2:7" x14ac:dyDescent="0.35">
      <c r="B1719" s="46"/>
      <c r="C1719" s="46"/>
      <c r="D1719" s="46"/>
      <c r="E1719" s="46"/>
      <c r="F1719" s="46"/>
      <c r="G1719" s="79"/>
    </row>
    <row r="1720" spans="2:7" x14ac:dyDescent="0.35">
      <c r="B1720" s="46"/>
      <c r="C1720" s="46"/>
      <c r="D1720" s="46"/>
      <c r="E1720" s="46"/>
      <c r="F1720" s="46"/>
      <c r="G1720" s="79"/>
    </row>
    <row r="1721" spans="2:7" x14ac:dyDescent="0.35">
      <c r="B1721" s="46"/>
      <c r="C1721" s="46"/>
      <c r="D1721" s="46"/>
      <c r="E1721" s="46"/>
      <c r="F1721" s="46"/>
      <c r="G1721" s="79"/>
    </row>
    <row r="1722" spans="2:7" x14ac:dyDescent="0.35">
      <c r="B1722" s="46"/>
      <c r="C1722" s="46"/>
      <c r="D1722" s="46"/>
      <c r="E1722" s="46"/>
      <c r="F1722" s="46"/>
      <c r="G1722" s="79"/>
    </row>
    <row r="1723" spans="2:7" x14ac:dyDescent="0.35">
      <c r="B1723" s="46"/>
      <c r="C1723" s="46"/>
      <c r="D1723" s="46"/>
      <c r="E1723" s="46"/>
      <c r="F1723" s="46"/>
      <c r="G1723" s="79"/>
    </row>
    <row r="1724" spans="2:7" x14ac:dyDescent="0.35">
      <c r="B1724" s="46"/>
      <c r="C1724" s="46"/>
      <c r="D1724" s="46"/>
      <c r="E1724" s="46"/>
      <c r="F1724" s="46"/>
      <c r="G1724" s="79"/>
    </row>
    <row r="1725" spans="2:7" x14ac:dyDescent="0.35">
      <c r="B1725" s="46"/>
      <c r="C1725" s="46"/>
      <c r="D1725" s="46"/>
      <c r="E1725" s="46"/>
      <c r="F1725" s="46"/>
      <c r="G1725" s="79"/>
    </row>
    <row r="1726" spans="2:7" x14ac:dyDescent="0.35">
      <c r="B1726" s="46"/>
      <c r="C1726" s="46"/>
      <c r="D1726" s="46"/>
      <c r="E1726" s="46"/>
      <c r="F1726" s="46"/>
      <c r="G1726" s="79"/>
    </row>
    <row r="1727" spans="2:7" x14ac:dyDescent="0.35">
      <c r="B1727" s="46"/>
      <c r="C1727" s="46"/>
      <c r="D1727" s="46"/>
      <c r="E1727" s="46"/>
      <c r="F1727" s="46"/>
      <c r="G1727" s="79"/>
    </row>
    <row r="1728" spans="2:7" x14ac:dyDescent="0.35">
      <c r="B1728" s="46"/>
      <c r="C1728" s="46"/>
      <c r="D1728" s="46"/>
      <c r="E1728" s="46"/>
      <c r="F1728" s="46"/>
      <c r="G1728" s="79"/>
    </row>
    <row r="1729" spans="2:7" x14ac:dyDescent="0.35">
      <c r="B1729" s="46"/>
      <c r="C1729" s="46"/>
      <c r="D1729" s="46"/>
      <c r="E1729" s="46"/>
      <c r="F1729" s="46"/>
      <c r="G1729" s="79"/>
    </row>
    <row r="1730" spans="2:7" x14ac:dyDescent="0.35">
      <c r="B1730" s="46"/>
      <c r="C1730" s="46"/>
      <c r="D1730" s="46"/>
      <c r="E1730" s="46"/>
      <c r="F1730" s="46"/>
      <c r="G1730" s="79"/>
    </row>
    <row r="1731" spans="2:7" x14ac:dyDescent="0.35">
      <c r="B1731" s="46"/>
      <c r="C1731" s="46"/>
      <c r="D1731" s="46"/>
      <c r="E1731" s="46"/>
      <c r="F1731" s="46"/>
      <c r="G1731" s="79"/>
    </row>
    <row r="1732" spans="2:7" x14ac:dyDescent="0.35">
      <c r="B1732" s="46"/>
      <c r="C1732" s="46"/>
      <c r="D1732" s="46"/>
      <c r="E1732" s="46"/>
      <c r="F1732" s="46"/>
      <c r="G1732" s="79"/>
    </row>
    <row r="1733" spans="2:7" x14ac:dyDescent="0.35">
      <c r="B1733" s="46"/>
      <c r="C1733" s="46"/>
      <c r="D1733" s="46"/>
      <c r="E1733" s="46"/>
      <c r="F1733" s="46"/>
      <c r="G1733" s="79"/>
    </row>
    <row r="1734" spans="2:7" x14ac:dyDescent="0.35">
      <c r="B1734" s="46"/>
      <c r="C1734" s="46"/>
      <c r="D1734" s="46"/>
      <c r="E1734" s="46"/>
      <c r="F1734" s="46"/>
      <c r="G1734" s="79"/>
    </row>
    <row r="1735" spans="2:7" x14ac:dyDescent="0.35">
      <c r="B1735" s="46"/>
      <c r="C1735" s="46"/>
      <c r="D1735" s="46"/>
      <c r="E1735" s="46"/>
      <c r="F1735" s="46"/>
      <c r="G1735" s="79"/>
    </row>
    <row r="1736" spans="2:7" x14ac:dyDescent="0.35">
      <c r="B1736" s="46"/>
      <c r="C1736" s="46"/>
      <c r="D1736" s="46"/>
      <c r="E1736" s="46"/>
      <c r="F1736" s="46"/>
      <c r="G1736" s="79"/>
    </row>
    <row r="1737" spans="2:7" x14ac:dyDescent="0.35">
      <c r="B1737" s="46"/>
      <c r="C1737" s="46"/>
      <c r="D1737" s="46"/>
      <c r="E1737" s="46"/>
      <c r="F1737" s="46"/>
      <c r="G1737" s="79"/>
    </row>
    <row r="1738" spans="2:7" x14ac:dyDescent="0.35">
      <c r="B1738" s="46"/>
      <c r="C1738" s="46"/>
      <c r="D1738" s="46"/>
      <c r="E1738" s="46"/>
      <c r="F1738" s="46"/>
      <c r="G1738" s="79"/>
    </row>
    <row r="1739" spans="2:7" x14ac:dyDescent="0.35">
      <c r="B1739" s="46"/>
      <c r="C1739" s="46"/>
      <c r="D1739" s="46"/>
      <c r="E1739" s="46"/>
      <c r="F1739" s="46"/>
      <c r="G1739" s="79"/>
    </row>
    <row r="1740" spans="2:7" x14ac:dyDescent="0.35">
      <c r="B1740" s="46"/>
      <c r="C1740" s="46"/>
      <c r="D1740" s="46"/>
      <c r="E1740" s="46"/>
      <c r="F1740" s="46"/>
      <c r="G1740" s="79"/>
    </row>
    <row r="1741" spans="2:7" x14ac:dyDescent="0.35">
      <c r="B1741" s="46"/>
      <c r="C1741" s="46"/>
      <c r="D1741" s="46"/>
      <c r="E1741" s="46"/>
      <c r="F1741" s="46"/>
      <c r="G1741" s="79"/>
    </row>
    <row r="1742" spans="2:7" x14ac:dyDescent="0.35">
      <c r="B1742" s="46"/>
      <c r="C1742" s="46"/>
      <c r="D1742" s="46"/>
      <c r="E1742" s="46"/>
      <c r="F1742" s="46"/>
      <c r="G1742" s="79"/>
    </row>
    <row r="1743" spans="2:7" x14ac:dyDescent="0.35">
      <c r="B1743" s="46"/>
      <c r="C1743" s="46"/>
      <c r="D1743" s="46"/>
      <c r="E1743" s="46"/>
      <c r="F1743" s="46"/>
      <c r="G1743" s="79"/>
    </row>
    <row r="1744" spans="2:7" x14ac:dyDescent="0.35">
      <c r="B1744" s="46"/>
      <c r="C1744" s="46"/>
      <c r="D1744" s="46"/>
      <c r="E1744" s="46"/>
      <c r="F1744" s="46"/>
      <c r="G1744" s="79"/>
    </row>
    <row r="1745" spans="2:7" x14ac:dyDescent="0.35">
      <c r="B1745" s="46"/>
      <c r="C1745" s="46"/>
      <c r="D1745" s="46"/>
      <c r="E1745" s="46"/>
      <c r="F1745" s="46"/>
      <c r="G1745" s="79"/>
    </row>
    <row r="1746" spans="2:7" x14ac:dyDescent="0.35">
      <c r="B1746" s="46"/>
      <c r="C1746" s="46"/>
      <c r="D1746" s="46"/>
      <c r="E1746" s="46"/>
      <c r="F1746" s="46"/>
      <c r="G1746" s="79"/>
    </row>
    <row r="1747" spans="2:7" x14ac:dyDescent="0.35">
      <c r="B1747" s="46"/>
      <c r="C1747" s="46"/>
      <c r="D1747" s="46"/>
      <c r="E1747" s="46"/>
      <c r="F1747" s="46"/>
      <c r="G1747" s="79"/>
    </row>
    <row r="1748" spans="2:7" x14ac:dyDescent="0.35">
      <c r="B1748" s="46"/>
      <c r="C1748" s="46"/>
      <c r="D1748" s="46"/>
      <c r="E1748" s="46"/>
      <c r="F1748" s="46"/>
      <c r="G1748" s="79"/>
    </row>
    <row r="1749" spans="2:7" x14ac:dyDescent="0.35">
      <c r="B1749" s="46"/>
      <c r="C1749" s="46"/>
      <c r="D1749" s="46"/>
      <c r="E1749" s="46"/>
      <c r="F1749" s="46"/>
      <c r="G1749" s="79"/>
    </row>
    <row r="1750" spans="2:7" x14ac:dyDescent="0.35">
      <c r="B1750" s="46"/>
      <c r="C1750" s="46"/>
      <c r="D1750" s="46"/>
      <c r="E1750" s="46"/>
      <c r="F1750" s="46"/>
      <c r="G1750" s="79"/>
    </row>
    <row r="1751" spans="2:7" x14ac:dyDescent="0.35">
      <c r="B1751" s="46"/>
      <c r="C1751" s="46"/>
      <c r="D1751" s="46"/>
      <c r="E1751" s="46"/>
      <c r="F1751" s="46"/>
      <c r="G1751" s="79"/>
    </row>
    <row r="1752" spans="2:7" x14ac:dyDescent="0.35">
      <c r="B1752" s="46"/>
      <c r="C1752" s="46"/>
      <c r="D1752" s="46"/>
      <c r="E1752" s="46"/>
      <c r="F1752" s="46"/>
      <c r="G1752" s="79"/>
    </row>
    <row r="1753" spans="2:7" x14ac:dyDescent="0.35">
      <c r="B1753" s="46"/>
      <c r="C1753" s="46"/>
      <c r="D1753" s="46"/>
      <c r="E1753" s="46"/>
      <c r="F1753" s="46"/>
      <c r="G1753" s="79"/>
    </row>
    <row r="1754" spans="2:7" x14ac:dyDescent="0.35">
      <c r="B1754" s="46"/>
      <c r="C1754" s="46"/>
      <c r="D1754" s="46"/>
      <c r="E1754" s="46"/>
      <c r="F1754" s="46"/>
      <c r="G1754" s="79"/>
    </row>
    <row r="1755" spans="2:7" x14ac:dyDescent="0.35">
      <c r="B1755" s="46"/>
      <c r="C1755" s="46"/>
      <c r="D1755" s="46"/>
      <c r="E1755" s="46"/>
      <c r="F1755" s="46"/>
      <c r="G1755" s="79"/>
    </row>
    <row r="1756" spans="2:7" x14ac:dyDescent="0.35">
      <c r="B1756" s="46"/>
      <c r="C1756" s="46"/>
      <c r="D1756" s="46"/>
      <c r="E1756" s="46"/>
      <c r="F1756" s="46"/>
      <c r="G1756" s="79"/>
    </row>
    <row r="1757" spans="2:7" x14ac:dyDescent="0.35">
      <c r="B1757" s="46"/>
      <c r="C1757" s="46"/>
      <c r="D1757" s="46"/>
      <c r="E1757" s="46"/>
      <c r="F1757" s="46"/>
      <c r="G1757" s="79"/>
    </row>
    <row r="1758" spans="2:7" x14ac:dyDescent="0.35">
      <c r="B1758" s="46"/>
      <c r="C1758" s="46"/>
      <c r="D1758" s="46"/>
      <c r="E1758" s="46"/>
      <c r="F1758" s="46"/>
      <c r="G1758" s="79"/>
    </row>
    <row r="1759" spans="2:7" x14ac:dyDescent="0.35">
      <c r="B1759" s="46"/>
      <c r="C1759" s="46"/>
      <c r="D1759" s="46"/>
      <c r="E1759" s="46"/>
      <c r="F1759" s="46"/>
      <c r="G1759" s="79"/>
    </row>
    <row r="1760" spans="2:7" x14ac:dyDescent="0.35">
      <c r="B1760" s="46"/>
      <c r="C1760" s="46"/>
      <c r="D1760" s="46"/>
      <c r="E1760" s="46"/>
      <c r="F1760" s="46"/>
      <c r="G1760" s="79"/>
    </row>
    <row r="1761" spans="2:7" x14ac:dyDescent="0.35">
      <c r="B1761" s="46"/>
      <c r="C1761" s="46"/>
      <c r="D1761" s="46"/>
      <c r="E1761" s="46"/>
      <c r="F1761" s="46"/>
      <c r="G1761" s="79"/>
    </row>
    <row r="1762" spans="2:7" x14ac:dyDescent="0.35">
      <c r="B1762" s="46"/>
      <c r="C1762" s="46"/>
      <c r="D1762" s="46"/>
      <c r="E1762" s="46"/>
      <c r="F1762" s="46"/>
      <c r="G1762" s="79"/>
    </row>
    <row r="1763" spans="2:7" x14ac:dyDescent="0.35">
      <c r="B1763" s="46"/>
      <c r="C1763" s="46"/>
      <c r="D1763" s="46"/>
      <c r="E1763" s="46"/>
      <c r="F1763" s="46"/>
      <c r="G1763" s="79"/>
    </row>
    <row r="1764" spans="2:7" x14ac:dyDescent="0.35">
      <c r="B1764" s="46"/>
      <c r="C1764" s="46"/>
      <c r="D1764" s="46"/>
      <c r="E1764" s="46"/>
      <c r="F1764" s="46"/>
      <c r="G1764" s="79"/>
    </row>
    <row r="1765" spans="2:7" x14ac:dyDescent="0.35">
      <c r="B1765" s="46"/>
      <c r="C1765" s="46"/>
      <c r="D1765" s="46"/>
      <c r="E1765" s="46"/>
      <c r="F1765" s="46"/>
      <c r="G1765" s="79"/>
    </row>
    <row r="1766" spans="2:7" x14ac:dyDescent="0.35">
      <c r="B1766" s="46"/>
      <c r="C1766" s="46"/>
      <c r="D1766" s="46"/>
      <c r="E1766" s="46"/>
      <c r="F1766" s="46"/>
      <c r="G1766" s="79"/>
    </row>
    <row r="1767" spans="2:7" x14ac:dyDescent="0.35">
      <c r="B1767" s="46"/>
      <c r="C1767" s="46"/>
      <c r="D1767" s="46"/>
      <c r="E1767" s="46"/>
      <c r="F1767" s="46"/>
      <c r="G1767" s="79"/>
    </row>
    <row r="1768" spans="2:7" x14ac:dyDescent="0.35">
      <c r="B1768" s="46"/>
      <c r="C1768" s="46"/>
      <c r="D1768" s="46"/>
      <c r="E1768" s="46"/>
      <c r="F1768" s="46"/>
      <c r="G1768" s="79"/>
    </row>
    <row r="1769" spans="2:7" x14ac:dyDescent="0.35">
      <c r="B1769" s="46"/>
      <c r="C1769" s="46"/>
      <c r="D1769" s="46"/>
      <c r="E1769" s="46"/>
      <c r="F1769" s="46"/>
      <c r="G1769" s="79"/>
    </row>
    <row r="1770" spans="2:7" x14ac:dyDescent="0.35">
      <c r="B1770" s="46"/>
      <c r="C1770" s="46"/>
      <c r="D1770" s="46"/>
      <c r="E1770" s="46"/>
      <c r="F1770" s="46"/>
      <c r="G1770" s="79"/>
    </row>
    <row r="1771" spans="2:7" x14ac:dyDescent="0.35">
      <c r="B1771" s="46"/>
      <c r="C1771" s="46"/>
      <c r="D1771" s="46"/>
      <c r="E1771" s="46"/>
      <c r="F1771" s="46"/>
      <c r="G1771" s="79"/>
    </row>
    <row r="1772" spans="2:7" x14ac:dyDescent="0.35">
      <c r="B1772" s="46"/>
      <c r="C1772" s="46"/>
      <c r="D1772" s="46"/>
      <c r="E1772" s="46"/>
      <c r="F1772" s="46"/>
      <c r="G1772" s="79"/>
    </row>
    <row r="1773" spans="2:7" x14ac:dyDescent="0.35">
      <c r="B1773" s="46"/>
      <c r="C1773" s="46"/>
      <c r="D1773" s="46"/>
      <c r="E1773" s="46"/>
      <c r="F1773" s="46"/>
      <c r="G1773" s="79"/>
    </row>
    <row r="1774" spans="2:7" x14ac:dyDescent="0.35">
      <c r="B1774" s="46"/>
      <c r="C1774" s="46"/>
      <c r="D1774" s="46"/>
      <c r="E1774" s="46"/>
      <c r="F1774" s="46"/>
      <c r="G1774" s="79"/>
    </row>
    <row r="1775" spans="2:7" x14ac:dyDescent="0.35">
      <c r="B1775" s="46"/>
      <c r="C1775" s="46"/>
      <c r="D1775" s="46"/>
      <c r="E1775" s="46"/>
      <c r="F1775" s="46"/>
      <c r="G1775" s="79"/>
    </row>
    <row r="1776" spans="2:7" x14ac:dyDescent="0.35">
      <c r="B1776" s="46"/>
      <c r="C1776" s="46"/>
      <c r="D1776" s="46"/>
      <c r="E1776" s="46"/>
      <c r="F1776" s="46"/>
      <c r="G1776" s="79"/>
    </row>
    <row r="1777" spans="2:7" x14ac:dyDescent="0.35">
      <c r="B1777" s="46"/>
      <c r="C1777" s="46"/>
      <c r="D1777" s="46"/>
      <c r="E1777" s="46"/>
      <c r="F1777" s="46"/>
      <c r="G1777" s="79"/>
    </row>
    <row r="1778" spans="2:7" x14ac:dyDescent="0.35">
      <c r="B1778" s="46"/>
      <c r="C1778" s="46"/>
      <c r="D1778" s="46"/>
      <c r="E1778" s="46"/>
      <c r="F1778" s="46"/>
      <c r="G1778" s="79"/>
    </row>
    <row r="1779" spans="2:7" x14ac:dyDescent="0.35">
      <c r="B1779" s="46"/>
      <c r="C1779" s="46"/>
      <c r="D1779" s="46"/>
      <c r="E1779" s="46"/>
      <c r="F1779" s="46"/>
      <c r="G1779" s="79"/>
    </row>
    <row r="1780" spans="2:7" x14ac:dyDescent="0.35">
      <c r="B1780" s="46"/>
      <c r="C1780" s="46"/>
      <c r="D1780" s="46"/>
      <c r="E1780" s="46"/>
      <c r="F1780" s="46"/>
      <c r="G1780" s="79"/>
    </row>
    <row r="1781" spans="2:7" x14ac:dyDescent="0.35">
      <c r="B1781" s="46"/>
      <c r="C1781" s="46"/>
      <c r="D1781" s="46"/>
      <c r="E1781" s="46"/>
      <c r="F1781" s="46"/>
      <c r="G1781" s="79"/>
    </row>
    <row r="1782" spans="2:7" x14ac:dyDescent="0.35">
      <c r="B1782" s="46"/>
      <c r="C1782" s="46"/>
      <c r="D1782" s="46"/>
      <c r="E1782" s="46"/>
      <c r="F1782" s="46"/>
      <c r="G1782" s="79"/>
    </row>
    <row r="1783" spans="2:7" x14ac:dyDescent="0.35">
      <c r="B1783" s="46"/>
      <c r="C1783" s="46"/>
      <c r="D1783" s="46"/>
      <c r="E1783" s="46"/>
      <c r="F1783" s="46"/>
      <c r="G1783" s="79"/>
    </row>
    <row r="1784" spans="2:7" x14ac:dyDescent="0.35">
      <c r="B1784" s="46"/>
      <c r="C1784" s="46"/>
      <c r="D1784" s="46"/>
      <c r="E1784" s="46"/>
      <c r="F1784" s="46"/>
      <c r="G1784" s="79"/>
    </row>
    <row r="1785" spans="2:7" x14ac:dyDescent="0.35">
      <c r="B1785" s="46"/>
      <c r="C1785" s="46"/>
      <c r="D1785" s="46"/>
      <c r="E1785" s="46"/>
      <c r="F1785" s="46"/>
      <c r="G1785" s="79"/>
    </row>
    <row r="1786" spans="2:7" x14ac:dyDescent="0.35">
      <c r="B1786" s="46"/>
      <c r="C1786" s="46"/>
      <c r="D1786" s="46"/>
      <c r="E1786" s="46"/>
      <c r="F1786" s="46"/>
      <c r="G1786" s="79"/>
    </row>
    <row r="1787" spans="2:7" x14ac:dyDescent="0.35">
      <c r="B1787" s="46"/>
      <c r="C1787" s="46"/>
      <c r="D1787" s="46"/>
      <c r="E1787" s="46"/>
      <c r="F1787" s="46"/>
      <c r="G1787" s="79"/>
    </row>
    <row r="1788" spans="2:7" x14ac:dyDescent="0.35">
      <c r="B1788" s="46"/>
      <c r="C1788" s="46"/>
      <c r="D1788" s="46"/>
      <c r="E1788" s="46"/>
      <c r="F1788" s="46"/>
      <c r="G1788" s="79"/>
    </row>
    <row r="1789" spans="2:7" x14ac:dyDescent="0.35">
      <c r="B1789" s="46"/>
      <c r="C1789" s="46"/>
      <c r="D1789" s="46"/>
      <c r="E1789" s="46"/>
      <c r="F1789" s="46"/>
      <c r="G1789" s="79"/>
    </row>
    <row r="1790" spans="2:7" x14ac:dyDescent="0.35">
      <c r="B1790" s="46"/>
      <c r="C1790" s="46"/>
      <c r="D1790" s="46"/>
      <c r="E1790" s="46"/>
      <c r="F1790" s="46"/>
      <c r="G1790" s="79"/>
    </row>
    <row r="1791" spans="2:7" x14ac:dyDescent="0.35">
      <c r="B1791" s="46"/>
      <c r="C1791" s="46"/>
      <c r="D1791" s="46"/>
      <c r="E1791" s="46"/>
      <c r="F1791" s="46"/>
      <c r="G1791" s="79"/>
    </row>
    <row r="1792" spans="2:7" x14ac:dyDescent="0.35">
      <c r="B1792" s="46"/>
      <c r="C1792" s="46"/>
      <c r="D1792" s="46"/>
      <c r="E1792" s="46"/>
      <c r="F1792" s="46"/>
      <c r="G1792" s="79"/>
    </row>
    <row r="1793" spans="2:7" x14ac:dyDescent="0.35">
      <c r="B1793" s="46"/>
      <c r="C1793" s="46"/>
      <c r="D1793" s="46"/>
      <c r="E1793" s="46"/>
      <c r="F1793" s="46"/>
      <c r="G1793" s="79"/>
    </row>
    <row r="1794" spans="2:7" x14ac:dyDescent="0.35">
      <c r="B1794" s="46"/>
      <c r="C1794" s="46"/>
      <c r="D1794" s="46"/>
      <c r="E1794" s="46"/>
      <c r="F1794" s="46"/>
      <c r="G1794" s="79"/>
    </row>
    <row r="1795" spans="2:7" x14ac:dyDescent="0.35">
      <c r="B1795" s="46"/>
      <c r="C1795" s="46"/>
      <c r="D1795" s="46"/>
      <c r="E1795" s="46"/>
      <c r="F1795" s="46"/>
      <c r="G1795" s="79"/>
    </row>
    <row r="1796" spans="2:7" x14ac:dyDescent="0.35">
      <c r="B1796" s="46"/>
      <c r="C1796" s="46"/>
      <c r="D1796" s="46"/>
      <c r="E1796" s="46"/>
      <c r="F1796" s="46"/>
      <c r="G1796" s="79"/>
    </row>
    <row r="1797" spans="2:7" x14ac:dyDescent="0.35">
      <c r="B1797" s="46"/>
      <c r="C1797" s="46"/>
      <c r="D1797" s="46"/>
      <c r="E1797" s="46"/>
      <c r="F1797" s="46"/>
      <c r="G1797" s="79"/>
    </row>
    <row r="1798" spans="2:7" x14ac:dyDescent="0.35">
      <c r="B1798" s="46"/>
      <c r="C1798" s="46"/>
      <c r="D1798" s="46"/>
      <c r="E1798" s="46"/>
      <c r="F1798" s="46"/>
      <c r="G1798" s="79"/>
    </row>
    <row r="1799" spans="2:7" x14ac:dyDescent="0.35">
      <c r="B1799" s="46"/>
      <c r="C1799" s="46"/>
      <c r="D1799" s="46"/>
      <c r="E1799" s="46"/>
      <c r="F1799" s="46"/>
      <c r="G1799" s="79"/>
    </row>
    <row r="1800" spans="2:7" x14ac:dyDescent="0.35">
      <c r="B1800" s="46"/>
      <c r="C1800" s="46"/>
      <c r="D1800" s="46"/>
      <c r="E1800" s="46"/>
      <c r="F1800" s="46"/>
      <c r="G1800" s="79"/>
    </row>
    <row r="1801" spans="2:7" x14ac:dyDescent="0.35">
      <c r="B1801" s="46"/>
      <c r="C1801" s="46"/>
      <c r="D1801" s="46"/>
      <c r="E1801" s="46"/>
      <c r="F1801" s="46"/>
      <c r="G1801" s="79"/>
    </row>
    <row r="1802" spans="2:7" x14ac:dyDescent="0.35">
      <c r="B1802" s="46"/>
      <c r="C1802" s="46"/>
      <c r="D1802" s="46"/>
      <c r="E1802" s="46"/>
      <c r="F1802" s="46"/>
      <c r="G1802" s="79"/>
    </row>
    <row r="1803" spans="2:7" x14ac:dyDescent="0.35">
      <c r="B1803" s="46"/>
      <c r="C1803" s="46"/>
      <c r="D1803" s="46"/>
      <c r="E1803" s="46"/>
      <c r="F1803" s="46"/>
      <c r="G1803" s="79"/>
    </row>
    <row r="1804" spans="2:7" x14ac:dyDescent="0.35">
      <c r="B1804" s="46"/>
      <c r="C1804" s="46"/>
      <c r="D1804" s="46"/>
      <c r="E1804" s="46"/>
      <c r="F1804" s="46"/>
      <c r="G1804" s="79"/>
    </row>
    <row r="1805" spans="2:7" x14ac:dyDescent="0.35">
      <c r="B1805" s="46"/>
      <c r="C1805" s="46"/>
      <c r="D1805" s="46"/>
      <c r="E1805" s="46"/>
      <c r="F1805" s="46"/>
      <c r="G1805" s="79"/>
    </row>
    <row r="1806" spans="2:7" x14ac:dyDescent="0.35">
      <c r="B1806" s="46"/>
      <c r="C1806" s="46"/>
      <c r="D1806" s="46"/>
      <c r="E1806" s="46"/>
      <c r="F1806" s="46"/>
      <c r="G1806" s="79"/>
    </row>
    <row r="1807" spans="2:7" x14ac:dyDescent="0.35">
      <c r="B1807" s="46"/>
      <c r="C1807" s="46"/>
      <c r="D1807" s="46"/>
      <c r="E1807" s="46"/>
      <c r="F1807" s="46"/>
      <c r="G1807" s="79"/>
    </row>
    <row r="1808" spans="2:7" x14ac:dyDescent="0.35">
      <c r="B1808" s="46"/>
      <c r="C1808" s="46"/>
      <c r="D1808" s="46"/>
      <c r="E1808" s="46"/>
      <c r="F1808" s="46"/>
      <c r="G1808" s="79"/>
    </row>
    <row r="1809" spans="2:7" x14ac:dyDescent="0.35">
      <c r="B1809" s="46"/>
      <c r="C1809" s="46"/>
      <c r="D1809" s="46"/>
      <c r="E1809" s="46"/>
      <c r="F1809" s="46"/>
      <c r="G1809" s="79"/>
    </row>
    <row r="1810" spans="2:7" x14ac:dyDescent="0.35">
      <c r="B1810" s="46"/>
      <c r="C1810" s="46"/>
      <c r="D1810" s="46"/>
      <c r="E1810" s="46"/>
      <c r="F1810" s="46"/>
      <c r="G1810" s="79"/>
    </row>
    <row r="1811" spans="2:7" x14ac:dyDescent="0.35">
      <c r="B1811" s="46"/>
      <c r="C1811" s="46"/>
      <c r="D1811" s="46"/>
      <c r="E1811" s="46"/>
      <c r="F1811" s="46"/>
      <c r="G1811" s="79"/>
    </row>
    <row r="1812" spans="2:7" x14ac:dyDescent="0.35">
      <c r="B1812" s="46"/>
      <c r="C1812" s="46"/>
      <c r="D1812" s="46"/>
      <c r="E1812" s="46"/>
      <c r="F1812" s="46"/>
      <c r="G1812" s="79"/>
    </row>
    <row r="1813" spans="2:7" x14ac:dyDescent="0.35">
      <c r="B1813" s="46"/>
      <c r="C1813" s="46"/>
      <c r="D1813" s="46"/>
      <c r="E1813" s="46"/>
      <c r="F1813" s="46"/>
      <c r="G1813" s="79"/>
    </row>
    <row r="1814" spans="2:7" x14ac:dyDescent="0.35">
      <c r="B1814" s="46"/>
      <c r="C1814" s="46"/>
      <c r="D1814" s="46"/>
      <c r="E1814" s="46"/>
      <c r="F1814" s="46"/>
      <c r="G1814" s="79"/>
    </row>
    <row r="1815" spans="2:7" x14ac:dyDescent="0.35">
      <c r="B1815" s="46"/>
      <c r="C1815" s="46"/>
      <c r="D1815" s="46"/>
      <c r="E1815" s="46"/>
      <c r="F1815" s="46"/>
      <c r="G1815" s="79"/>
    </row>
    <row r="1816" spans="2:7" x14ac:dyDescent="0.35">
      <c r="B1816" s="46"/>
      <c r="C1816" s="46"/>
      <c r="D1816" s="46"/>
      <c r="E1816" s="46"/>
      <c r="F1816" s="46"/>
      <c r="G1816" s="79"/>
    </row>
    <row r="1817" spans="2:7" x14ac:dyDescent="0.35">
      <c r="B1817" s="46"/>
      <c r="C1817" s="46"/>
      <c r="D1817" s="46"/>
      <c r="E1817" s="46"/>
      <c r="F1817" s="46"/>
      <c r="G1817" s="79"/>
    </row>
    <row r="1818" spans="2:7" x14ac:dyDescent="0.35">
      <c r="B1818" s="46"/>
      <c r="C1818" s="46"/>
      <c r="D1818" s="46"/>
      <c r="E1818" s="46"/>
      <c r="F1818" s="46"/>
      <c r="G1818" s="79"/>
    </row>
    <row r="1819" spans="2:7" x14ac:dyDescent="0.35">
      <c r="B1819" s="46"/>
      <c r="C1819" s="46"/>
      <c r="D1819" s="46"/>
      <c r="E1819" s="46"/>
      <c r="F1819" s="46"/>
      <c r="G1819" s="79"/>
    </row>
    <row r="1820" spans="2:7" x14ac:dyDescent="0.35">
      <c r="B1820" s="46"/>
      <c r="C1820" s="46"/>
      <c r="D1820" s="46"/>
      <c r="E1820" s="46"/>
      <c r="F1820" s="46"/>
      <c r="G1820" s="79"/>
    </row>
    <row r="1821" spans="2:7" x14ac:dyDescent="0.35">
      <c r="B1821" s="46"/>
      <c r="C1821" s="46"/>
      <c r="D1821" s="46"/>
      <c r="E1821" s="46"/>
      <c r="F1821" s="46"/>
      <c r="G1821" s="79"/>
    </row>
    <row r="1822" spans="2:7" x14ac:dyDescent="0.35">
      <c r="B1822" s="46"/>
      <c r="C1822" s="46"/>
      <c r="D1822" s="46"/>
      <c r="E1822" s="46"/>
      <c r="F1822" s="46"/>
      <c r="G1822" s="79"/>
    </row>
    <row r="1823" spans="2:7" x14ac:dyDescent="0.35">
      <c r="B1823" s="46"/>
      <c r="C1823" s="46"/>
      <c r="D1823" s="46"/>
      <c r="E1823" s="46"/>
      <c r="F1823" s="46"/>
      <c r="G1823" s="79"/>
    </row>
    <row r="1824" spans="2:7" x14ac:dyDescent="0.35">
      <c r="B1824" s="46"/>
      <c r="C1824" s="46"/>
      <c r="D1824" s="46"/>
      <c r="E1824" s="46"/>
      <c r="F1824" s="46"/>
      <c r="G1824" s="79"/>
    </row>
    <row r="1825" spans="2:7" x14ac:dyDescent="0.35">
      <c r="B1825" s="46"/>
      <c r="C1825" s="46"/>
      <c r="D1825" s="46"/>
      <c r="E1825" s="46"/>
      <c r="F1825" s="46"/>
      <c r="G1825" s="79"/>
    </row>
    <row r="1826" spans="2:7" x14ac:dyDescent="0.35">
      <c r="B1826" s="46"/>
      <c r="C1826" s="46"/>
      <c r="D1826" s="46"/>
      <c r="E1826" s="46"/>
      <c r="F1826" s="46"/>
      <c r="G1826" s="79"/>
    </row>
    <row r="1827" spans="2:7" x14ac:dyDescent="0.35">
      <c r="B1827" s="46"/>
      <c r="C1827" s="46"/>
      <c r="D1827" s="46"/>
      <c r="E1827" s="46"/>
      <c r="F1827" s="46"/>
      <c r="G1827" s="79"/>
    </row>
    <row r="1828" spans="2:7" x14ac:dyDescent="0.35">
      <c r="B1828" s="46"/>
      <c r="C1828" s="46"/>
      <c r="D1828" s="46"/>
      <c r="E1828" s="46"/>
      <c r="F1828" s="46"/>
      <c r="G1828" s="79"/>
    </row>
    <row r="1829" spans="2:7" x14ac:dyDescent="0.35">
      <c r="B1829" s="46"/>
      <c r="C1829" s="46"/>
      <c r="D1829" s="46"/>
      <c r="E1829" s="46"/>
      <c r="F1829" s="46"/>
      <c r="G1829" s="79"/>
    </row>
    <row r="1830" spans="2:7" x14ac:dyDescent="0.35">
      <c r="B1830" s="46"/>
      <c r="C1830" s="46"/>
      <c r="D1830" s="46"/>
      <c r="E1830" s="46"/>
      <c r="F1830" s="46"/>
      <c r="G1830" s="79"/>
    </row>
    <row r="1831" spans="2:7" x14ac:dyDescent="0.35">
      <c r="B1831" s="46"/>
      <c r="C1831" s="46"/>
      <c r="D1831" s="46"/>
      <c r="E1831" s="46"/>
      <c r="F1831" s="46"/>
      <c r="G1831" s="79"/>
    </row>
    <row r="1832" spans="2:7" x14ac:dyDescent="0.35">
      <c r="B1832" s="46"/>
      <c r="C1832" s="46"/>
      <c r="D1832" s="46"/>
      <c r="E1832" s="46"/>
      <c r="F1832" s="46"/>
      <c r="G1832" s="79"/>
    </row>
    <row r="1833" spans="2:7" x14ac:dyDescent="0.35">
      <c r="B1833" s="46"/>
      <c r="C1833" s="46"/>
      <c r="D1833" s="46"/>
      <c r="E1833" s="46"/>
      <c r="F1833" s="46"/>
      <c r="G1833" s="79"/>
    </row>
    <row r="1834" spans="2:7" x14ac:dyDescent="0.35">
      <c r="B1834" s="46"/>
      <c r="C1834" s="46"/>
      <c r="D1834" s="46"/>
      <c r="E1834" s="46"/>
      <c r="F1834" s="46"/>
      <c r="G1834" s="79"/>
    </row>
    <row r="1835" spans="2:7" x14ac:dyDescent="0.35">
      <c r="B1835" s="46"/>
      <c r="C1835" s="46"/>
      <c r="D1835" s="46"/>
      <c r="E1835" s="46"/>
      <c r="F1835" s="46"/>
      <c r="G1835" s="79"/>
    </row>
    <row r="1836" spans="2:7" x14ac:dyDescent="0.35">
      <c r="B1836" s="46"/>
      <c r="C1836" s="46"/>
      <c r="D1836" s="46"/>
      <c r="E1836" s="46"/>
      <c r="F1836" s="46"/>
      <c r="G1836" s="79"/>
    </row>
    <row r="1837" spans="2:7" x14ac:dyDescent="0.35">
      <c r="B1837" s="46"/>
      <c r="C1837" s="46"/>
      <c r="D1837" s="46"/>
      <c r="E1837" s="46"/>
      <c r="F1837" s="46"/>
      <c r="G1837" s="79"/>
    </row>
    <row r="1838" spans="2:7" x14ac:dyDescent="0.35">
      <c r="B1838" s="46"/>
      <c r="C1838" s="46"/>
      <c r="D1838" s="46"/>
      <c r="E1838" s="46"/>
      <c r="F1838" s="46"/>
      <c r="G1838" s="79"/>
    </row>
    <row r="1839" spans="2:7" x14ac:dyDescent="0.35">
      <c r="B1839" s="46"/>
      <c r="C1839" s="46"/>
      <c r="D1839" s="46"/>
      <c r="E1839" s="46"/>
      <c r="F1839" s="46"/>
      <c r="G1839" s="79"/>
    </row>
    <row r="1840" spans="2:7" x14ac:dyDescent="0.35">
      <c r="B1840" s="46"/>
      <c r="C1840" s="46"/>
      <c r="D1840" s="46"/>
      <c r="E1840" s="46"/>
      <c r="F1840" s="46"/>
      <c r="G1840" s="79"/>
    </row>
    <row r="1841" spans="2:7" x14ac:dyDescent="0.35">
      <c r="B1841" s="46"/>
      <c r="C1841" s="46"/>
      <c r="D1841" s="46"/>
      <c r="E1841" s="46"/>
      <c r="F1841" s="46"/>
      <c r="G1841" s="79"/>
    </row>
    <row r="1842" spans="2:7" x14ac:dyDescent="0.35">
      <c r="B1842" s="46"/>
      <c r="C1842" s="46"/>
      <c r="D1842" s="46"/>
      <c r="E1842" s="46"/>
      <c r="F1842" s="46"/>
      <c r="G1842" s="79"/>
    </row>
    <row r="1843" spans="2:7" x14ac:dyDescent="0.35">
      <c r="B1843" s="46"/>
      <c r="C1843" s="46"/>
      <c r="D1843" s="46"/>
      <c r="E1843" s="46"/>
      <c r="F1843" s="46"/>
      <c r="G1843" s="79"/>
    </row>
    <row r="1844" spans="2:7" x14ac:dyDescent="0.35">
      <c r="B1844" s="46"/>
      <c r="C1844" s="46"/>
      <c r="D1844" s="46"/>
      <c r="E1844" s="46"/>
      <c r="F1844" s="46"/>
      <c r="G1844" s="79"/>
    </row>
    <row r="1845" spans="2:7" x14ac:dyDescent="0.35">
      <c r="B1845" s="46"/>
      <c r="C1845" s="46"/>
      <c r="D1845" s="46"/>
      <c r="E1845" s="46"/>
      <c r="F1845" s="46"/>
      <c r="G1845" s="79"/>
    </row>
    <row r="1846" spans="2:7" x14ac:dyDescent="0.35">
      <c r="B1846" s="46"/>
      <c r="C1846" s="46"/>
      <c r="D1846" s="46"/>
      <c r="E1846" s="46"/>
      <c r="F1846" s="46"/>
      <c r="G1846" s="79"/>
    </row>
    <row r="1847" spans="2:7" x14ac:dyDescent="0.35">
      <c r="B1847" s="46"/>
      <c r="C1847" s="46"/>
      <c r="D1847" s="46"/>
      <c r="E1847" s="46"/>
      <c r="F1847" s="46"/>
      <c r="G1847" s="79"/>
    </row>
    <row r="1848" spans="2:7" x14ac:dyDescent="0.35">
      <c r="B1848" s="46"/>
      <c r="C1848" s="46"/>
      <c r="D1848" s="46"/>
      <c r="E1848" s="46"/>
      <c r="F1848" s="46"/>
      <c r="G1848" s="79"/>
    </row>
    <row r="1849" spans="2:7" x14ac:dyDescent="0.35">
      <c r="B1849" s="46"/>
      <c r="C1849" s="46"/>
      <c r="D1849" s="46"/>
      <c r="E1849" s="46"/>
      <c r="F1849" s="46"/>
      <c r="G1849" s="79"/>
    </row>
    <row r="1850" spans="2:7" x14ac:dyDescent="0.35">
      <c r="B1850" s="46"/>
      <c r="C1850" s="46"/>
      <c r="D1850" s="46"/>
      <c r="E1850" s="46"/>
      <c r="F1850" s="46"/>
      <c r="G1850" s="79"/>
    </row>
    <row r="1851" spans="2:7" x14ac:dyDescent="0.35">
      <c r="B1851" s="46"/>
      <c r="C1851" s="46"/>
      <c r="D1851" s="46"/>
      <c r="E1851" s="46"/>
      <c r="F1851" s="46"/>
      <c r="G1851" s="79"/>
    </row>
    <row r="1852" spans="2:7" x14ac:dyDescent="0.35">
      <c r="B1852" s="46"/>
      <c r="C1852" s="46"/>
      <c r="D1852" s="46"/>
      <c r="E1852" s="46"/>
      <c r="F1852" s="46"/>
      <c r="G1852" s="79"/>
    </row>
    <row r="1853" spans="2:7" x14ac:dyDescent="0.35">
      <c r="B1853" s="46"/>
      <c r="C1853" s="46"/>
      <c r="D1853" s="46"/>
      <c r="E1853" s="46"/>
      <c r="F1853" s="46"/>
      <c r="G1853" s="79"/>
    </row>
    <row r="1854" spans="2:7" x14ac:dyDescent="0.35">
      <c r="B1854" s="46"/>
      <c r="C1854" s="46"/>
      <c r="D1854" s="46"/>
      <c r="E1854" s="46"/>
      <c r="F1854" s="46"/>
      <c r="G1854" s="79"/>
    </row>
    <row r="1855" spans="2:7" x14ac:dyDescent="0.35">
      <c r="B1855" s="46"/>
      <c r="C1855" s="46"/>
      <c r="D1855" s="46"/>
      <c r="E1855" s="46"/>
      <c r="F1855" s="46"/>
      <c r="G1855" s="79"/>
    </row>
    <row r="1856" spans="2:7" x14ac:dyDescent="0.35">
      <c r="B1856" s="46"/>
      <c r="C1856" s="46"/>
      <c r="D1856" s="46"/>
      <c r="E1856" s="46"/>
      <c r="F1856" s="46"/>
      <c r="G1856" s="79"/>
    </row>
    <row r="1857" spans="2:7" x14ac:dyDescent="0.35">
      <c r="B1857" s="46"/>
      <c r="C1857" s="46"/>
      <c r="D1857" s="46"/>
      <c r="E1857" s="46"/>
      <c r="F1857" s="46"/>
      <c r="G1857" s="79"/>
    </row>
    <row r="1858" spans="2:7" x14ac:dyDescent="0.35">
      <c r="B1858" s="46"/>
      <c r="C1858" s="46"/>
      <c r="D1858" s="46"/>
      <c r="E1858" s="46"/>
      <c r="F1858" s="46"/>
      <c r="G1858" s="79"/>
    </row>
    <row r="1859" spans="2:7" x14ac:dyDescent="0.35">
      <c r="B1859" s="46"/>
      <c r="C1859" s="46"/>
      <c r="D1859" s="46"/>
      <c r="E1859" s="46"/>
      <c r="F1859" s="46"/>
      <c r="G1859" s="79"/>
    </row>
    <row r="1860" spans="2:7" x14ac:dyDescent="0.35">
      <c r="B1860" s="46"/>
      <c r="C1860" s="46"/>
      <c r="D1860" s="46"/>
      <c r="E1860" s="46"/>
      <c r="F1860" s="46"/>
      <c r="G1860" s="79"/>
    </row>
    <row r="1861" spans="2:7" x14ac:dyDescent="0.35">
      <c r="B1861" s="46"/>
      <c r="C1861" s="46"/>
      <c r="D1861" s="46"/>
      <c r="E1861" s="46"/>
      <c r="F1861" s="46"/>
      <c r="G1861" s="79"/>
    </row>
    <row r="1862" spans="2:7" x14ac:dyDescent="0.35">
      <c r="B1862" s="46"/>
      <c r="C1862" s="46"/>
      <c r="D1862" s="46"/>
      <c r="E1862" s="46"/>
      <c r="F1862" s="46"/>
      <c r="G1862" s="79"/>
    </row>
    <row r="1863" spans="2:7" x14ac:dyDescent="0.35">
      <c r="B1863" s="46"/>
      <c r="C1863" s="46"/>
      <c r="D1863" s="46"/>
      <c r="E1863" s="46"/>
      <c r="F1863" s="46"/>
      <c r="G1863" s="79"/>
    </row>
    <row r="1864" spans="2:7" x14ac:dyDescent="0.35">
      <c r="B1864" s="46"/>
      <c r="C1864" s="46"/>
      <c r="D1864" s="46"/>
      <c r="E1864" s="46"/>
      <c r="F1864" s="46"/>
      <c r="G1864" s="79"/>
    </row>
    <row r="1865" spans="2:7" x14ac:dyDescent="0.35">
      <c r="B1865" s="46"/>
      <c r="C1865" s="46"/>
      <c r="D1865" s="46"/>
      <c r="E1865" s="46"/>
      <c r="F1865" s="46"/>
      <c r="G1865" s="79"/>
    </row>
    <row r="1866" spans="2:7" x14ac:dyDescent="0.35">
      <c r="B1866" s="46"/>
      <c r="C1866" s="46"/>
      <c r="D1866" s="46"/>
      <c r="E1866" s="46"/>
      <c r="F1866" s="46"/>
      <c r="G1866" s="79"/>
    </row>
    <row r="1867" spans="2:7" x14ac:dyDescent="0.35">
      <c r="B1867" s="46"/>
      <c r="C1867" s="46"/>
      <c r="D1867" s="46"/>
      <c r="E1867" s="46"/>
      <c r="F1867" s="46"/>
      <c r="G1867" s="79"/>
    </row>
    <row r="1868" spans="2:7" x14ac:dyDescent="0.35">
      <c r="B1868" s="46"/>
      <c r="C1868" s="46"/>
      <c r="D1868" s="46"/>
      <c r="E1868" s="46"/>
      <c r="F1868" s="46"/>
      <c r="G1868" s="79"/>
    </row>
    <row r="1869" spans="2:7" x14ac:dyDescent="0.35">
      <c r="B1869" s="46"/>
      <c r="C1869" s="46"/>
      <c r="D1869" s="46"/>
      <c r="E1869" s="46"/>
      <c r="F1869" s="46"/>
      <c r="G1869" s="79"/>
    </row>
    <row r="1870" spans="2:7" x14ac:dyDescent="0.35">
      <c r="B1870" s="46"/>
      <c r="C1870" s="46"/>
      <c r="D1870" s="46"/>
      <c r="E1870" s="46"/>
      <c r="F1870" s="46"/>
      <c r="G1870" s="79"/>
    </row>
    <row r="1871" spans="2:7" x14ac:dyDescent="0.35">
      <c r="B1871" s="46"/>
      <c r="C1871" s="46"/>
      <c r="D1871" s="46"/>
      <c r="E1871" s="46"/>
      <c r="F1871" s="46"/>
      <c r="G1871" s="79"/>
    </row>
    <row r="1872" spans="2:7" x14ac:dyDescent="0.35">
      <c r="B1872" s="46"/>
      <c r="C1872" s="46"/>
      <c r="D1872" s="46"/>
      <c r="E1872" s="46"/>
      <c r="F1872" s="46"/>
      <c r="G1872" s="79"/>
    </row>
    <row r="1873" spans="2:7" x14ac:dyDescent="0.35">
      <c r="B1873" s="46"/>
      <c r="C1873" s="46"/>
      <c r="D1873" s="46"/>
      <c r="E1873" s="46"/>
      <c r="F1873" s="46"/>
      <c r="G1873" s="79"/>
    </row>
    <row r="1874" spans="2:7" x14ac:dyDescent="0.35">
      <c r="B1874" s="46"/>
      <c r="C1874" s="46"/>
      <c r="D1874" s="46"/>
      <c r="E1874" s="46"/>
      <c r="F1874" s="46"/>
      <c r="G1874" s="79"/>
    </row>
    <row r="1875" spans="2:7" x14ac:dyDescent="0.35">
      <c r="B1875" s="46"/>
      <c r="C1875" s="46"/>
      <c r="D1875" s="46"/>
      <c r="E1875" s="46"/>
      <c r="F1875" s="46"/>
      <c r="G1875" s="79"/>
    </row>
    <row r="1876" spans="2:7" x14ac:dyDescent="0.35">
      <c r="B1876" s="46"/>
      <c r="C1876" s="46"/>
      <c r="D1876" s="46"/>
      <c r="E1876" s="46"/>
      <c r="F1876" s="46"/>
      <c r="G1876" s="79"/>
    </row>
    <row r="1877" spans="2:7" x14ac:dyDescent="0.35">
      <c r="B1877" s="46"/>
      <c r="C1877" s="46"/>
      <c r="D1877" s="46"/>
      <c r="E1877" s="46"/>
      <c r="F1877" s="46"/>
      <c r="G1877" s="79"/>
    </row>
    <row r="1878" spans="2:7" x14ac:dyDescent="0.35">
      <c r="B1878" s="46"/>
      <c r="C1878" s="46"/>
      <c r="D1878" s="46"/>
      <c r="E1878" s="46"/>
      <c r="F1878" s="46"/>
      <c r="G1878" s="79"/>
    </row>
    <row r="1879" spans="2:7" x14ac:dyDescent="0.35">
      <c r="B1879" s="46"/>
      <c r="C1879" s="46"/>
      <c r="D1879" s="46"/>
      <c r="E1879" s="46"/>
      <c r="F1879" s="46"/>
      <c r="G1879" s="79"/>
    </row>
    <row r="1880" spans="2:7" x14ac:dyDescent="0.35">
      <c r="B1880" s="46"/>
      <c r="C1880" s="46"/>
      <c r="D1880" s="46"/>
      <c r="E1880" s="46"/>
      <c r="F1880" s="46"/>
      <c r="G1880" s="79"/>
    </row>
    <row r="1881" spans="2:7" x14ac:dyDescent="0.35">
      <c r="B1881" s="46"/>
      <c r="C1881" s="46"/>
      <c r="D1881" s="46"/>
      <c r="E1881" s="46"/>
      <c r="F1881" s="46"/>
      <c r="G1881" s="79"/>
    </row>
    <row r="1882" spans="2:7" x14ac:dyDescent="0.35">
      <c r="B1882" s="46"/>
      <c r="C1882" s="46"/>
      <c r="D1882" s="46"/>
      <c r="E1882" s="46"/>
      <c r="F1882" s="46"/>
      <c r="G1882" s="79"/>
    </row>
    <row r="1883" spans="2:7" x14ac:dyDescent="0.35">
      <c r="B1883" s="46"/>
      <c r="C1883" s="46"/>
      <c r="D1883" s="46"/>
      <c r="E1883" s="46"/>
      <c r="F1883" s="46"/>
      <c r="G1883" s="79"/>
    </row>
    <row r="1884" spans="2:7" x14ac:dyDescent="0.35">
      <c r="B1884" s="46"/>
      <c r="C1884" s="46"/>
      <c r="D1884" s="46"/>
      <c r="E1884" s="46"/>
      <c r="F1884" s="46"/>
      <c r="G1884" s="79"/>
    </row>
    <row r="1885" spans="2:7" x14ac:dyDescent="0.35">
      <c r="B1885" s="46"/>
      <c r="C1885" s="46"/>
      <c r="D1885" s="46"/>
      <c r="E1885" s="46"/>
      <c r="F1885" s="46"/>
      <c r="G1885" s="79"/>
    </row>
    <row r="1886" spans="2:7" x14ac:dyDescent="0.35">
      <c r="B1886" s="46"/>
      <c r="C1886" s="46"/>
      <c r="D1886" s="46"/>
      <c r="E1886" s="46"/>
      <c r="F1886" s="46"/>
      <c r="G1886" s="79"/>
    </row>
    <row r="1887" spans="2:7" x14ac:dyDescent="0.35">
      <c r="B1887" s="46"/>
      <c r="C1887" s="46"/>
      <c r="D1887" s="46"/>
      <c r="E1887" s="46"/>
      <c r="F1887" s="46"/>
      <c r="G1887" s="79"/>
    </row>
    <row r="1888" spans="2:7" x14ac:dyDescent="0.35">
      <c r="B1888" s="46"/>
      <c r="C1888" s="46"/>
      <c r="D1888" s="46"/>
      <c r="E1888" s="46"/>
      <c r="F1888" s="46"/>
      <c r="G1888" s="79"/>
    </row>
    <row r="1889" spans="2:7" x14ac:dyDescent="0.35">
      <c r="B1889" s="46"/>
      <c r="C1889" s="46"/>
      <c r="D1889" s="46"/>
      <c r="E1889" s="46"/>
      <c r="F1889" s="46"/>
      <c r="G1889" s="79"/>
    </row>
    <row r="1890" spans="2:7" x14ac:dyDescent="0.35">
      <c r="B1890" s="46"/>
      <c r="C1890" s="46"/>
      <c r="D1890" s="46"/>
      <c r="E1890" s="46"/>
      <c r="F1890" s="46"/>
      <c r="G1890" s="79"/>
    </row>
    <row r="1891" spans="2:7" x14ac:dyDescent="0.35">
      <c r="B1891" s="46"/>
      <c r="C1891" s="46"/>
      <c r="D1891" s="46"/>
      <c r="E1891" s="46"/>
      <c r="F1891" s="46"/>
      <c r="G1891" s="79"/>
    </row>
    <row r="1892" spans="2:7" x14ac:dyDescent="0.35">
      <c r="B1892" s="46"/>
      <c r="C1892" s="46"/>
      <c r="D1892" s="46"/>
      <c r="E1892" s="46"/>
      <c r="F1892" s="46"/>
      <c r="G1892" s="79"/>
    </row>
    <row r="1893" spans="2:7" x14ac:dyDescent="0.35">
      <c r="B1893" s="46"/>
      <c r="C1893" s="46"/>
      <c r="D1893" s="46"/>
      <c r="E1893" s="46"/>
      <c r="F1893" s="46"/>
      <c r="G1893" s="79"/>
    </row>
    <row r="1894" spans="2:7" x14ac:dyDescent="0.35">
      <c r="B1894" s="46"/>
      <c r="C1894" s="46"/>
      <c r="D1894" s="46"/>
      <c r="E1894" s="46"/>
      <c r="F1894" s="46"/>
      <c r="G1894" s="79"/>
    </row>
    <row r="1895" spans="2:7" x14ac:dyDescent="0.35">
      <c r="B1895" s="46"/>
      <c r="C1895" s="46"/>
      <c r="D1895" s="46"/>
      <c r="E1895" s="46"/>
      <c r="F1895" s="46"/>
      <c r="G1895" s="79"/>
    </row>
    <row r="1896" spans="2:7" x14ac:dyDescent="0.35">
      <c r="B1896" s="46"/>
      <c r="C1896" s="46"/>
      <c r="D1896" s="46"/>
      <c r="E1896" s="46"/>
      <c r="F1896" s="46"/>
      <c r="G1896" s="79"/>
    </row>
    <row r="1897" spans="2:7" x14ac:dyDescent="0.35">
      <c r="B1897" s="46"/>
      <c r="C1897" s="46"/>
      <c r="D1897" s="46"/>
      <c r="E1897" s="46"/>
      <c r="F1897" s="46"/>
      <c r="G1897" s="79"/>
    </row>
    <row r="1898" spans="2:7" x14ac:dyDescent="0.35">
      <c r="B1898" s="46"/>
      <c r="C1898" s="46"/>
      <c r="D1898" s="46"/>
      <c r="E1898" s="46"/>
      <c r="F1898" s="46"/>
      <c r="G1898" s="79"/>
    </row>
    <row r="1899" spans="2:7" x14ac:dyDescent="0.35">
      <c r="B1899" s="46"/>
      <c r="C1899" s="46"/>
      <c r="D1899" s="46"/>
      <c r="E1899" s="46"/>
      <c r="F1899" s="46"/>
      <c r="G1899" s="79"/>
    </row>
    <row r="1900" spans="2:7" x14ac:dyDescent="0.35">
      <c r="B1900" s="46"/>
      <c r="C1900" s="46"/>
      <c r="D1900" s="46"/>
      <c r="E1900" s="46"/>
      <c r="F1900" s="46"/>
      <c r="G1900" s="79"/>
    </row>
    <row r="1901" spans="2:7" x14ac:dyDescent="0.35">
      <c r="B1901" s="46"/>
      <c r="C1901" s="46"/>
      <c r="D1901" s="46"/>
      <c r="E1901" s="46"/>
      <c r="F1901" s="46"/>
      <c r="G1901" s="79"/>
    </row>
    <row r="1902" spans="2:7" x14ac:dyDescent="0.35">
      <c r="B1902" s="46"/>
      <c r="C1902" s="46"/>
      <c r="D1902" s="46"/>
      <c r="E1902" s="46"/>
      <c r="F1902" s="46"/>
      <c r="G1902" s="79"/>
    </row>
    <row r="1903" spans="2:7" x14ac:dyDescent="0.35">
      <c r="B1903" s="46"/>
      <c r="C1903" s="46"/>
      <c r="D1903" s="46"/>
      <c r="E1903" s="46"/>
      <c r="F1903" s="46"/>
      <c r="G1903" s="79"/>
    </row>
    <row r="1904" spans="2:7" x14ac:dyDescent="0.35">
      <c r="B1904" s="46"/>
      <c r="C1904" s="46"/>
      <c r="D1904" s="46"/>
      <c r="E1904" s="46"/>
      <c r="F1904" s="46"/>
      <c r="G1904" s="79"/>
    </row>
    <row r="1905" spans="2:7" x14ac:dyDescent="0.35">
      <c r="B1905" s="46"/>
      <c r="C1905" s="46"/>
      <c r="D1905" s="46"/>
      <c r="E1905" s="46"/>
      <c r="F1905" s="46"/>
      <c r="G1905" s="79"/>
    </row>
    <row r="1906" spans="2:7" x14ac:dyDescent="0.35">
      <c r="B1906" s="46"/>
      <c r="C1906" s="46"/>
      <c r="D1906" s="46"/>
      <c r="E1906" s="46"/>
      <c r="F1906" s="46"/>
      <c r="G1906" s="79"/>
    </row>
    <row r="1907" spans="2:7" x14ac:dyDescent="0.35">
      <c r="B1907" s="46"/>
      <c r="C1907" s="46"/>
      <c r="D1907" s="46"/>
      <c r="E1907" s="46"/>
      <c r="F1907" s="46"/>
      <c r="G1907" s="79"/>
    </row>
    <row r="1908" spans="2:7" x14ac:dyDescent="0.35">
      <c r="B1908" s="46"/>
      <c r="C1908" s="46"/>
      <c r="D1908" s="46"/>
      <c r="E1908" s="46"/>
      <c r="F1908" s="46"/>
      <c r="G1908" s="79"/>
    </row>
    <row r="1909" spans="2:7" x14ac:dyDescent="0.35">
      <c r="B1909" s="46"/>
      <c r="C1909" s="46"/>
      <c r="D1909" s="46"/>
      <c r="E1909" s="46"/>
      <c r="F1909" s="46"/>
      <c r="G1909" s="79"/>
    </row>
    <row r="1910" spans="2:7" x14ac:dyDescent="0.35">
      <c r="B1910" s="46"/>
      <c r="C1910" s="46"/>
      <c r="D1910" s="46"/>
      <c r="E1910" s="46"/>
      <c r="F1910" s="46"/>
      <c r="G1910" s="79"/>
    </row>
    <row r="1911" spans="2:7" x14ac:dyDescent="0.35">
      <c r="B1911" s="46"/>
      <c r="C1911" s="46"/>
      <c r="D1911" s="46"/>
      <c r="E1911" s="46"/>
      <c r="F1911" s="46"/>
      <c r="G1911" s="79"/>
    </row>
    <row r="1912" spans="2:7" x14ac:dyDescent="0.35">
      <c r="B1912" s="46"/>
      <c r="C1912" s="46"/>
      <c r="D1912" s="46"/>
      <c r="E1912" s="46"/>
      <c r="F1912" s="46"/>
      <c r="G1912" s="79"/>
    </row>
    <row r="1913" spans="2:7" x14ac:dyDescent="0.35">
      <c r="B1913" s="46"/>
      <c r="C1913" s="46"/>
      <c r="D1913" s="46"/>
      <c r="E1913" s="46"/>
      <c r="F1913" s="46"/>
      <c r="G1913" s="79"/>
    </row>
    <row r="1914" spans="2:7" x14ac:dyDescent="0.35">
      <c r="B1914" s="46"/>
      <c r="C1914" s="46"/>
      <c r="D1914" s="46"/>
      <c r="E1914" s="46"/>
      <c r="F1914" s="46"/>
      <c r="G1914" s="79"/>
    </row>
    <row r="1915" spans="2:7" x14ac:dyDescent="0.35">
      <c r="B1915" s="46"/>
      <c r="C1915" s="46"/>
      <c r="D1915" s="46"/>
      <c r="E1915" s="46"/>
      <c r="F1915" s="46"/>
      <c r="G1915" s="79"/>
    </row>
    <row r="1916" spans="2:7" x14ac:dyDescent="0.35">
      <c r="B1916" s="46"/>
      <c r="C1916" s="46"/>
      <c r="D1916" s="46"/>
      <c r="E1916" s="46"/>
      <c r="F1916" s="46"/>
      <c r="G1916" s="79"/>
    </row>
    <row r="1917" spans="2:7" x14ac:dyDescent="0.35">
      <c r="B1917" s="46"/>
      <c r="C1917" s="46"/>
      <c r="D1917" s="46"/>
      <c r="E1917" s="46"/>
      <c r="F1917" s="46"/>
      <c r="G1917" s="79"/>
    </row>
    <row r="1918" spans="2:7" x14ac:dyDescent="0.35">
      <c r="B1918" s="46"/>
      <c r="C1918" s="46"/>
      <c r="D1918" s="46"/>
      <c r="E1918" s="46"/>
      <c r="F1918" s="46"/>
      <c r="G1918" s="79"/>
    </row>
    <row r="1919" spans="2:7" x14ac:dyDescent="0.35">
      <c r="B1919" s="46"/>
      <c r="C1919" s="46"/>
      <c r="D1919" s="46"/>
      <c r="E1919" s="46"/>
      <c r="F1919" s="46"/>
      <c r="G1919" s="79"/>
    </row>
    <row r="1920" spans="2:7" x14ac:dyDescent="0.35">
      <c r="B1920" s="46"/>
      <c r="C1920" s="46"/>
      <c r="D1920" s="46"/>
      <c r="E1920" s="46"/>
      <c r="F1920" s="46"/>
      <c r="G1920" s="79"/>
    </row>
    <row r="1921" spans="2:7" x14ac:dyDescent="0.35">
      <c r="B1921" s="46"/>
      <c r="C1921" s="46"/>
      <c r="D1921" s="46"/>
      <c r="E1921" s="46"/>
      <c r="F1921" s="46"/>
      <c r="G1921" s="79"/>
    </row>
    <row r="1922" spans="2:7" x14ac:dyDescent="0.35">
      <c r="B1922" s="46"/>
      <c r="C1922" s="46"/>
      <c r="D1922" s="46"/>
      <c r="E1922" s="46"/>
      <c r="F1922" s="46"/>
      <c r="G1922" s="79"/>
    </row>
    <row r="1923" spans="2:7" x14ac:dyDescent="0.35">
      <c r="B1923" s="46"/>
      <c r="C1923" s="46"/>
      <c r="D1923" s="46"/>
      <c r="E1923" s="46"/>
      <c r="F1923" s="46"/>
      <c r="G1923" s="79"/>
    </row>
    <row r="1924" spans="2:7" x14ac:dyDescent="0.35">
      <c r="B1924" s="46"/>
      <c r="C1924" s="46"/>
      <c r="D1924" s="46"/>
      <c r="E1924" s="46"/>
      <c r="F1924" s="46"/>
      <c r="G1924" s="79"/>
    </row>
    <row r="1925" spans="2:7" x14ac:dyDescent="0.35">
      <c r="B1925" s="46"/>
      <c r="C1925" s="46"/>
      <c r="D1925" s="46"/>
      <c r="E1925" s="46"/>
      <c r="F1925" s="46"/>
      <c r="G1925" s="79"/>
    </row>
    <row r="1926" spans="2:7" x14ac:dyDescent="0.35">
      <c r="B1926" s="46"/>
      <c r="C1926" s="46"/>
      <c r="D1926" s="46"/>
      <c r="E1926" s="46"/>
      <c r="F1926" s="46"/>
      <c r="G1926" s="79"/>
    </row>
    <row r="1927" spans="2:7" x14ac:dyDescent="0.35">
      <c r="B1927" s="46"/>
      <c r="C1927" s="46"/>
      <c r="D1927" s="46"/>
      <c r="E1927" s="46"/>
      <c r="F1927" s="46"/>
      <c r="G1927" s="79"/>
    </row>
    <row r="1928" spans="2:7" x14ac:dyDescent="0.35">
      <c r="B1928" s="46"/>
      <c r="C1928" s="46"/>
      <c r="D1928" s="46"/>
      <c r="E1928" s="46"/>
      <c r="F1928" s="46"/>
      <c r="G1928" s="79"/>
    </row>
    <row r="1929" spans="2:7" x14ac:dyDescent="0.35">
      <c r="B1929" s="46"/>
      <c r="C1929" s="46"/>
      <c r="D1929" s="46"/>
      <c r="E1929" s="46"/>
      <c r="F1929" s="46"/>
      <c r="G1929" s="79"/>
    </row>
    <row r="1930" spans="2:7" x14ac:dyDescent="0.35">
      <c r="B1930" s="46"/>
      <c r="C1930" s="46"/>
      <c r="D1930" s="46"/>
      <c r="E1930" s="46"/>
      <c r="F1930" s="46"/>
      <c r="G1930" s="79"/>
    </row>
    <row r="1931" spans="2:7" x14ac:dyDescent="0.35">
      <c r="B1931" s="46"/>
      <c r="C1931" s="46"/>
      <c r="D1931" s="46"/>
      <c r="E1931" s="46"/>
      <c r="F1931" s="46"/>
      <c r="G1931" s="79"/>
    </row>
    <row r="1932" spans="2:7" x14ac:dyDescent="0.35">
      <c r="B1932" s="46"/>
      <c r="C1932" s="46"/>
      <c r="D1932" s="46"/>
      <c r="E1932" s="46"/>
      <c r="F1932" s="46"/>
      <c r="G1932" s="79"/>
    </row>
    <row r="1933" spans="2:7" x14ac:dyDescent="0.35">
      <c r="B1933" s="46"/>
      <c r="C1933" s="46"/>
      <c r="D1933" s="46"/>
      <c r="E1933" s="46"/>
      <c r="F1933" s="46"/>
      <c r="G1933" s="79"/>
    </row>
    <row r="1934" spans="2:7" x14ac:dyDescent="0.35">
      <c r="B1934" s="46"/>
      <c r="C1934" s="46"/>
      <c r="D1934" s="46"/>
      <c r="E1934" s="46"/>
      <c r="F1934" s="46"/>
      <c r="G1934" s="79"/>
    </row>
    <row r="1935" spans="2:7" x14ac:dyDescent="0.35">
      <c r="B1935" s="46"/>
      <c r="C1935" s="46"/>
      <c r="D1935" s="46"/>
      <c r="E1935" s="46"/>
      <c r="F1935" s="46"/>
      <c r="G1935" s="79"/>
    </row>
    <row r="1936" spans="2:7" x14ac:dyDescent="0.35">
      <c r="B1936" s="46"/>
      <c r="C1936" s="46"/>
      <c r="D1936" s="46"/>
      <c r="E1936" s="46"/>
      <c r="F1936" s="46"/>
      <c r="G1936" s="79"/>
    </row>
    <row r="1937" spans="2:7" x14ac:dyDescent="0.35">
      <c r="B1937" s="46"/>
      <c r="C1937" s="46"/>
      <c r="D1937" s="46"/>
      <c r="E1937" s="46"/>
      <c r="F1937" s="46"/>
      <c r="G1937" s="79"/>
    </row>
    <row r="1938" spans="2:7" x14ac:dyDescent="0.35">
      <c r="B1938" s="46"/>
      <c r="C1938" s="46"/>
      <c r="D1938" s="46"/>
      <c r="E1938" s="46"/>
      <c r="F1938" s="46"/>
      <c r="G1938" s="79"/>
    </row>
    <row r="1939" spans="2:7" x14ac:dyDescent="0.35">
      <c r="B1939" s="46"/>
      <c r="C1939" s="46"/>
      <c r="D1939" s="46"/>
      <c r="E1939" s="46"/>
      <c r="F1939" s="46"/>
      <c r="G1939" s="79"/>
    </row>
    <row r="1940" spans="2:7" x14ac:dyDescent="0.35">
      <c r="B1940" s="46"/>
      <c r="C1940" s="46"/>
      <c r="D1940" s="46"/>
      <c r="E1940" s="46"/>
      <c r="F1940" s="46"/>
      <c r="G1940" s="79"/>
    </row>
    <row r="1941" spans="2:7" x14ac:dyDescent="0.35">
      <c r="B1941" s="46"/>
      <c r="C1941" s="46"/>
      <c r="D1941" s="46"/>
      <c r="E1941" s="46"/>
      <c r="F1941" s="46"/>
      <c r="G1941" s="79"/>
    </row>
    <row r="1942" spans="2:7" x14ac:dyDescent="0.35">
      <c r="B1942" s="46"/>
      <c r="C1942" s="46"/>
      <c r="D1942" s="46"/>
      <c r="E1942" s="46"/>
      <c r="F1942" s="46"/>
      <c r="G1942" s="79"/>
    </row>
    <row r="1943" spans="2:7" x14ac:dyDescent="0.35">
      <c r="B1943" s="46"/>
      <c r="C1943" s="46"/>
      <c r="D1943" s="46"/>
      <c r="E1943" s="46"/>
      <c r="F1943" s="46"/>
      <c r="G1943" s="79"/>
    </row>
    <row r="1944" spans="2:7" x14ac:dyDescent="0.35">
      <c r="B1944" s="46"/>
      <c r="C1944" s="46"/>
      <c r="D1944" s="46"/>
      <c r="E1944" s="46"/>
      <c r="F1944" s="46"/>
      <c r="G1944" s="79"/>
    </row>
    <row r="1945" spans="2:7" x14ac:dyDescent="0.35">
      <c r="B1945" s="46"/>
      <c r="C1945" s="46"/>
      <c r="D1945" s="46"/>
      <c r="E1945" s="46"/>
      <c r="F1945" s="46"/>
      <c r="G1945" s="79"/>
    </row>
    <row r="1946" spans="2:7" x14ac:dyDescent="0.35">
      <c r="B1946" s="46"/>
      <c r="C1946" s="46"/>
      <c r="D1946" s="46"/>
      <c r="E1946" s="46"/>
      <c r="F1946" s="46"/>
      <c r="G1946" s="79"/>
    </row>
    <row r="1947" spans="2:7" x14ac:dyDescent="0.35">
      <c r="B1947" s="46"/>
      <c r="C1947" s="46"/>
      <c r="D1947" s="46"/>
      <c r="E1947" s="46"/>
      <c r="F1947" s="46"/>
      <c r="G1947" s="79"/>
    </row>
    <row r="1948" spans="2:7" x14ac:dyDescent="0.35">
      <c r="B1948" s="46"/>
      <c r="C1948" s="46"/>
      <c r="D1948" s="46"/>
      <c r="E1948" s="46"/>
      <c r="F1948" s="46"/>
      <c r="G1948" s="79"/>
    </row>
    <row r="1949" spans="2:7" x14ac:dyDescent="0.35">
      <c r="B1949" s="46"/>
      <c r="C1949" s="46"/>
      <c r="D1949" s="46"/>
      <c r="E1949" s="46"/>
      <c r="F1949" s="46"/>
      <c r="G1949" s="79"/>
    </row>
    <row r="1950" spans="2:7" x14ac:dyDescent="0.35">
      <c r="B1950" s="46"/>
      <c r="C1950" s="46"/>
      <c r="D1950" s="46"/>
      <c r="E1950" s="46"/>
      <c r="F1950" s="46"/>
      <c r="G1950" s="79"/>
    </row>
    <row r="1951" spans="2:7" x14ac:dyDescent="0.35">
      <c r="B1951" s="46"/>
      <c r="C1951" s="46"/>
      <c r="D1951" s="46"/>
      <c r="E1951" s="46"/>
      <c r="F1951" s="46"/>
      <c r="G1951" s="79"/>
    </row>
    <row r="1952" spans="2:7" x14ac:dyDescent="0.35">
      <c r="B1952" s="46"/>
      <c r="C1952" s="46"/>
      <c r="D1952" s="46"/>
      <c r="E1952" s="46"/>
      <c r="F1952" s="46"/>
      <c r="G1952" s="79"/>
    </row>
    <row r="1953" spans="2:7" x14ac:dyDescent="0.35">
      <c r="B1953" s="46"/>
      <c r="C1953" s="46"/>
      <c r="D1953" s="46"/>
      <c r="E1953" s="46"/>
      <c r="F1953" s="46"/>
      <c r="G1953" s="79"/>
    </row>
    <row r="1954" spans="2:7" x14ac:dyDescent="0.35">
      <c r="B1954" s="46"/>
      <c r="C1954" s="46"/>
      <c r="D1954" s="46"/>
      <c r="E1954" s="46"/>
      <c r="F1954" s="46"/>
      <c r="G1954" s="79"/>
    </row>
    <row r="1955" spans="2:7" x14ac:dyDescent="0.35">
      <c r="B1955" s="46"/>
      <c r="C1955" s="46"/>
      <c r="D1955" s="46"/>
      <c r="E1955" s="46"/>
      <c r="F1955" s="46"/>
      <c r="G1955" s="79"/>
    </row>
    <row r="1956" spans="2:7" x14ac:dyDescent="0.35">
      <c r="B1956" s="46"/>
      <c r="C1956" s="46"/>
      <c r="D1956" s="46"/>
      <c r="E1956" s="46"/>
      <c r="F1956" s="46"/>
      <c r="G1956" s="79"/>
    </row>
    <row r="1957" spans="2:7" x14ac:dyDescent="0.35">
      <c r="B1957" s="46"/>
      <c r="C1957" s="46"/>
      <c r="D1957" s="46"/>
      <c r="E1957" s="46"/>
      <c r="F1957" s="46"/>
      <c r="G1957" s="79"/>
    </row>
    <row r="1958" spans="2:7" x14ac:dyDescent="0.35">
      <c r="B1958" s="46"/>
      <c r="C1958" s="46"/>
      <c r="D1958" s="46"/>
      <c r="E1958" s="46"/>
      <c r="F1958" s="46"/>
      <c r="G1958" s="79"/>
    </row>
    <row r="1959" spans="2:7" x14ac:dyDescent="0.35">
      <c r="B1959" s="46"/>
      <c r="C1959" s="46"/>
      <c r="D1959" s="46"/>
      <c r="E1959" s="46"/>
      <c r="F1959" s="46"/>
      <c r="G1959" s="79"/>
    </row>
    <row r="1960" spans="2:7" x14ac:dyDescent="0.35">
      <c r="B1960" s="46"/>
      <c r="C1960" s="46"/>
      <c r="D1960" s="46"/>
      <c r="E1960" s="46"/>
      <c r="F1960" s="46"/>
      <c r="G1960" s="79"/>
    </row>
    <row r="1961" spans="2:7" x14ac:dyDescent="0.35">
      <c r="B1961" s="46"/>
      <c r="C1961" s="46"/>
      <c r="D1961" s="46"/>
      <c r="E1961" s="46"/>
      <c r="F1961" s="46"/>
      <c r="G1961" s="79"/>
    </row>
    <row r="1962" spans="2:7" x14ac:dyDescent="0.35">
      <c r="B1962" s="46"/>
      <c r="C1962" s="46"/>
      <c r="D1962" s="46"/>
      <c r="E1962" s="46"/>
      <c r="F1962" s="46"/>
      <c r="G1962" s="79"/>
    </row>
    <row r="1963" spans="2:7" x14ac:dyDescent="0.35">
      <c r="B1963" s="46"/>
      <c r="C1963" s="46"/>
      <c r="D1963" s="46"/>
      <c r="E1963" s="46"/>
      <c r="F1963" s="46"/>
      <c r="G1963" s="79"/>
    </row>
    <row r="1964" spans="2:7" x14ac:dyDescent="0.35">
      <c r="B1964" s="46"/>
      <c r="C1964" s="46"/>
      <c r="D1964" s="46"/>
      <c r="E1964" s="46"/>
      <c r="F1964" s="46"/>
      <c r="G1964" s="79"/>
    </row>
    <row r="1965" spans="2:7" x14ac:dyDescent="0.35">
      <c r="B1965" s="46"/>
      <c r="C1965" s="46"/>
      <c r="D1965" s="46"/>
      <c r="E1965" s="46"/>
      <c r="F1965" s="46"/>
      <c r="G1965" s="79"/>
    </row>
    <row r="1966" spans="2:7" x14ac:dyDescent="0.35">
      <c r="B1966" s="46"/>
      <c r="C1966" s="46"/>
      <c r="D1966" s="46"/>
      <c r="E1966" s="46"/>
      <c r="F1966" s="46"/>
      <c r="G1966" s="79"/>
    </row>
    <row r="1967" spans="2:7" x14ac:dyDescent="0.35">
      <c r="B1967" s="46"/>
      <c r="C1967" s="46"/>
      <c r="D1967" s="46"/>
      <c r="E1967" s="46"/>
      <c r="F1967" s="46"/>
      <c r="G1967" s="79"/>
    </row>
    <row r="1968" spans="2:7" x14ac:dyDescent="0.35">
      <c r="B1968" s="46"/>
      <c r="C1968" s="46"/>
      <c r="D1968" s="46"/>
      <c r="E1968" s="46"/>
      <c r="F1968" s="46"/>
      <c r="G1968" s="79"/>
    </row>
    <row r="1969" spans="2:7" x14ac:dyDescent="0.35">
      <c r="B1969" s="46"/>
      <c r="C1969" s="46"/>
      <c r="D1969" s="46"/>
      <c r="E1969" s="46"/>
      <c r="F1969" s="46"/>
      <c r="G1969" s="79"/>
    </row>
    <row r="1970" spans="2:7" x14ac:dyDescent="0.35">
      <c r="B1970" s="46"/>
      <c r="C1970" s="46"/>
      <c r="D1970" s="46"/>
      <c r="E1970" s="46"/>
      <c r="F1970" s="46"/>
      <c r="G1970" s="79"/>
    </row>
    <row r="1971" spans="2:7" x14ac:dyDescent="0.35">
      <c r="B1971" s="46"/>
      <c r="C1971" s="46"/>
      <c r="D1971" s="46"/>
      <c r="E1971" s="46"/>
      <c r="F1971" s="46"/>
      <c r="G1971" s="79"/>
    </row>
    <row r="1972" spans="2:7" x14ac:dyDescent="0.35">
      <c r="B1972" s="46"/>
      <c r="C1972" s="46"/>
      <c r="D1972" s="46"/>
      <c r="E1972" s="46"/>
      <c r="F1972" s="46"/>
      <c r="G1972" s="79"/>
    </row>
    <row r="1973" spans="2:7" x14ac:dyDescent="0.35">
      <c r="B1973" s="46"/>
      <c r="C1973" s="46"/>
      <c r="D1973" s="46"/>
      <c r="E1973" s="46"/>
      <c r="F1973" s="46"/>
      <c r="G1973" s="79"/>
    </row>
    <row r="1974" spans="2:7" x14ac:dyDescent="0.35">
      <c r="B1974" s="46"/>
      <c r="C1974" s="46"/>
      <c r="D1974" s="46"/>
      <c r="E1974" s="46"/>
      <c r="F1974" s="46"/>
      <c r="G1974" s="79"/>
    </row>
    <row r="1975" spans="2:7" x14ac:dyDescent="0.35">
      <c r="B1975" s="46"/>
      <c r="C1975" s="46"/>
      <c r="D1975" s="46"/>
      <c r="E1975" s="46"/>
      <c r="F1975" s="46"/>
      <c r="G1975" s="79"/>
    </row>
    <row r="1976" spans="2:7" x14ac:dyDescent="0.35">
      <c r="B1976" s="46"/>
      <c r="C1976" s="46"/>
      <c r="D1976" s="46"/>
      <c r="E1976" s="46"/>
      <c r="F1976" s="46"/>
      <c r="G1976" s="79"/>
    </row>
    <row r="1977" spans="2:7" x14ac:dyDescent="0.35">
      <c r="B1977" s="46"/>
      <c r="C1977" s="46"/>
      <c r="D1977" s="46"/>
      <c r="E1977" s="46"/>
      <c r="F1977" s="46"/>
      <c r="G1977" s="79"/>
    </row>
    <row r="1978" spans="2:7" x14ac:dyDescent="0.35">
      <c r="B1978" s="46"/>
      <c r="C1978" s="46"/>
      <c r="D1978" s="46"/>
      <c r="E1978" s="46"/>
      <c r="F1978" s="46"/>
      <c r="G1978" s="79"/>
    </row>
    <row r="1979" spans="2:7" x14ac:dyDescent="0.35">
      <c r="B1979" s="46"/>
      <c r="C1979" s="46"/>
      <c r="D1979" s="46"/>
      <c r="E1979" s="46"/>
      <c r="F1979" s="46"/>
      <c r="G1979" s="79"/>
    </row>
    <row r="1980" spans="2:7" x14ac:dyDescent="0.35">
      <c r="B1980" s="46"/>
      <c r="C1980" s="46"/>
      <c r="D1980" s="46"/>
      <c r="E1980" s="46"/>
      <c r="F1980" s="46"/>
      <c r="G1980" s="79"/>
    </row>
    <row r="1981" spans="2:7" x14ac:dyDescent="0.35">
      <c r="B1981" s="46"/>
      <c r="C1981" s="46"/>
      <c r="D1981" s="46"/>
      <c r="E1981" s="46"/>
      <c r="F1981" s="46"/>
      <c r="G1981" s="79"/>
    </row>
    <row r="1982" spans="2:7" x14ac:dyDescent="0.35">
      <c r="B1982" s="46"/>
      <c r="C1982" s="46"/>
      <c r="D1982" s="46"/>
      <c r="E1982" s="46"/>
      <c r="F1982" s="46"/>
      <c r="G1982" s="79"/>
    </row>
    <row r="1983" spans="2:7" x14ac:dyDescent="0.35">
      <c r="B1983" s="46"/>
      <c r="C1983" s="46"/>
      <c r="D1983" s="46"/>
      <c r="E1983" s="46"/>
      <c r="F1983" s="46"/>
      <c r="G1983" s="79"/>
    </row>
    <row r="1984" spans="2:7" x14ac:dyDescent="0.35">
      <c r="B1984" s="46"/>
      <c r="C1984" s="46"/>
      <c r="D1984" s="46"/>
      <c r="E1984" s="46"/>
      <c r="F1984" s="46"/>
      <c r="G1984" s="79"/>
    </row>
    <row r="1985" spans="2:7" x14ac:dyDescent="0.35">
      <c r="B1985" s="46"/>
      <c r="C1985" s="46"/>
      <c r="D1985" s="46"/>
      <c r="E1985" s="46"/>
      <c r="F1985" s="46"/>
      <c r="G1985" s="79"/>
    </row>
    <row r="1986" spans="2:7" x14ac:dyDescent="0.35">
      <c r="B1986" s="46"/>
      <c r="C1986" s="46"/>
      <c r="D1986" s="46"/>
      <c r="E1986" s="46"/>
      <c r="F1986" s="46"/>
      <c r="G1986" s="79"/>
    </row>
    <row r="1987" spans="2:7" x14ac:dyDescent="0.35">
      <c r="B1987" s="46"/>
      <c r="C1987" s="46"/>
      <c r="D1987" s="46"/>
      <c r="E1987" s="46"/>
      <c r="F1987" s="46"/>
      <c r="G1987" s="79"/>
    </row>
    <row r="1988" spans="2:7" x14ac:dyDescent="0.35">
      <c r="B1988" s="46"/>
      <c r="C1988" s="46"/>
      <c r="D1988" s="46"/>
      <c r="E1988" s="46"/>
      <c r="F1988" s="46"/>
      <c r="G1988" s="79"/>
    </row>
    <row r="1989" spans="2:7" x14ac:dyDescent="0.35">
      <c r="B1989" s="46"/>
      <c r="C1989" s="46"/>
      <c r="D1989" s="46"/>
      <c r="E1989" s="46"/>
      <c r="F1989" s="46"/>
      <c r="G1989" s="79"/>
    </row>
    <row r="1990" spans="2:7" x14ac:dyDescent="0.35">
      <c r="B1990" s="46"/>
      <c r="C1990" s="46"/>
      <c r="D1990" s="46"/>
      <c r="E1990" s="46"/>
      <c r="F1990" s="46"/>
      <c r="G1990" s="79"/>
    </row>
    <row r="1991" spans="2:7" x14ac:dyDescent="0.35">
      <c r="B1991" s="46"/>
      <c r="C1991" s="46"/>
      <c r="D1991" s="46"/>
      <c r="E1991" s="46"/>
      <c r="F1991" s="46"/>
      <c r="G1991" s="79"/>
    </row>
    <row r="1992" spans="2:7" x14ac:dyDescent="0.35">
      <c r="B1992" s="46"/>
      <c r="C1992" s="46"/>
      <c r="D1992" s="46"/>
      <c r="E1992" s="46"/>
      <c r="F1992" s="46"/>
      <c r="G1992" s="79"/>
    </row>
    <row r="1993" spans="2:7" x14ac:dyDescent="0.35">
      <c r="B1993" s="46"/>
      <c r="C1993" s="46"/>
      <c r="D1993" s="46"/>
      <c r="E1993" s="46"/>
      <c r="F1993" s="46"/>
      <c r="G1993" s="79"/>
    </row>
    <row r="1994" spans="2:7" x14ac:dyDescent="0.35">
      <c r="B1994" s="46"/>
      <c r="C1994" s="46"/>
      <c r="D1994" s="46"/>
      <c r="E1994" s="46"/>
      <c r="F1994" s="46"/>
      <c r="G1994" s="79"/>
    </row>
    <row r="1995" spans="2:7" x14ac:dyDescent="0.35">
      <c r="B1995" s="46"/>
      <c r="C1995" s="46"/>
      <c r="D1995" s="46"/>
      <c r="E1995" s="46"/>
      <c r="F1995" s="46"/>
      <c r="G1995" s="79"/>
    </row>
    <row r="1996" spans="2:7" x14ac:dyDescent="0.35">
      <c r="B1996" s="46"/>
      <c r="C1996" s="46"/>
      <c r="D1996" s="46"/>
      <c r="E1996" s="46"/>
      <c r="F1996" s="46"/>
      <c r="G1996" s="79"/>
    </row>
    <row r="1997" spans="2:7" x14ac:dyDescent="0.35">
      <c r="B1997" s="46"/>
      <c r="C1997" s="46"/>
      <c r="D1997" s="46"/>
      <c r="E1997" s="46"/>
      <c r="F1997" s="46"/>
      <c r="G1997" s="79"/>
    </row>
    <row r="1998" spans="2:7" x14ac:dyDescent="0.35">
      <c r="B1998" s="46"/>
      <c r="C1998" s="46"/>
      <c r="D1998" s="46"/>
      <c r="E1998" s="46"/>
      <c r="F1998" s="46"/>
      <c r="G1998" s="79"/>
    </row>
    <row r="1999" spans="2:7" x14ac:dyDescent="0.35">
      <c r="B1999" s="46"/>
      <c r="C1999" s="46"/>
      <c r="D1999" s="46"/>
      <c r="E1999" s="46"/>
      <c r="F1999" s="46"/>
      <c r="G1999" s="79"/>
    </row>
    <row r="2000" spans="2:7" x14ac:dyDescent="0.35">
      <c r="B2000" s="46"/>
      <c r="C2000" s="46"/>
      <c r="D2000" s="46"/>
      <c r="E2000" s="46"/>
      <c r="F2000" s="46"/>
      <c r="G2000" s="79"/>
    </row>
    <row r="2001" spans="2:7" x14ac:dyDescent="0.35">
      <c r="B2001" s="46"/>
      <c r="C2001" s="46"/>
      <c r="D2001" s="46"/>
      <c r="E2001" s="46"/>
      <c r="F2001" s="46"/>
      <c r="G2001" s="79"/>
    </row>
    <row r="2002" spans="2:7" x14ac:dyDescent="0.35">
      <c r="B2002" s="46"/>
      <c r="C2002" s="46"/>
      <c r="D2002" s="46"/>
      <c r="E2002" s="46"/>
      <c r="F2002" s="46"/>
      <c r="G2002" s="79"/>
    </row>
    <row r="2003" spans="2:7" x14ac:dyDescent="0.35">
      <c r="B2003" s="46"/>
      <c r="C2003" s="46"/>
      <c r="D2003" s="46"/>
      <c r="E2003" s="46"/>
      <c r="F2003" s="46"/>
      <c r="G2003" s="79"/>
    </row>
    <row r="2004" spans="2:7" x14ac:dyDescent="0.35">
      <c r="B2004" s="46"/>
      <c r="C2004" s="46"/>
      <c r="D2004" s="46"/>
      <c r="E2004" s="46"/>
      <c r="F2004" s="46"/>
      <c r="G2004" s="79"/>
    </row>
    <row r="2005" spans="2:7" x14ac:dyDescent="0.35">
      <c r="B2005" s="46"/>
      <c r="C2005" s="46"/>
      <c r="D2005" s="46"/>
      <c r="E2005" s="46"/>
      <c r="F2005" s="46"/>
      <c r="G2005" s="79"/>
    </row>
    <row r="2006" spans="2:7" x14ac:dyDescent="0.35">
      <c r="B2006" s="46"/>
      <c r="C2006" s="46"/>
      <c r="D2006" s="46"/>
      <c r="E2006" s="46"/>
      <c r="F2006" s="46"/>
      <c r="G2006" s="79"/>
    </row>
    <row r="2007" spans="2:7" x14ac:dyDescent="0.35">
      <c r="B2007" s="46"/>
      <c r="C2007" s="46"/>
      <c r="D2007" s="46"/>
      <c r="E2007" s="46"/>
      <c r="F2007" s="46"/>
      <c r="G2007" s="79"/>
    </row>
    <row r="2008" spans="2:7" x14ac:dyDescent="0.35">
      <c r="B2008" s="46"/>
      <c r="C2008" s="46"/>
      <c r="D2008" s="46"/>
      <c r="E2008" s="46"/>
      <c r="F2008" s="46"/>
      <c r="G2008" s="79"/>
    </row>
    <row r="2009" spans="2:7" x14ac:dyDescent="0.35">
      <c r="B2009" s="46"/>
      <c r="C2009" s="46"/>
      <c r="D2009" s="46"/>
      <c r="E2009" s="46"/>
      <c r="F2009" s="46"/>
      <c r="G2009" s="79"/>
    </row>
    <row r="2010" spans="2:7" x14ac:dyDescent="0.35">
      <c r="B2010" s="46"/>
      <c r="C2010" s="46"/>
      <c r="D2010" s="46"/>
      <c r="E2010" s="46"/>
      <c r="F2010" s="46"/>
      <c r="G2010" s="79"/>
    </row>
    <row r="2011" spans="2:7" x14ac:dyDescent="0.35">
      <c r="B2011" s="46"/>
      <c r="C2011" s="46"/>
      <c r="D2011" s="46"/>
      <c r="E2011" s="46"/>
      <c r="F2011" s="46"/>
      <c r="G2011" s="79"/>
    </row>
    <row r="2012" spans="2:7" x14ac:dyDescent="0.35">
      <c r="B2012" s="46"/>
      <c r="C2012" s="46"/>
      <c r="D2012" s="46"/>
      <c r="E2012" s="46"/>
      <c r="F2012" s="46"/>
      <c r="G2012" s="79"/>
    </row>
    <row r="2013" spans="2:7" x14ac:dyDescent="0.35">
      <c r="B2013" s="46"/>
      <c r="C2013" s="46"/>
      <c r="D2013" s="46"/>
      <c r="E2013" s="46"/>
      <c r="F2013" s="46"/>
      <c r="G2013" s="79"/>
    </row>
    <row r="2014" spans="2:7" x14ac:dyDescent="0.35">
      <c r="B2014" s="46"/>
      <c r="C2014" s="46"/>
      <c r="D2014" s="46"/>
      <c r="E2014" s="46"/>
      <c r="F2014" s="46"/>
      <c r="G2014" s="79"/>
    </row>
    <row r="2015" spans="2:7" x14ac:dyDescent="0.35">
      <c r="B2015" s="46"/>
      <c r="C2015" s="46"/>
      <c r="D2015" s="46"/>
      <c r="E2015" s="46"/>
      <c r="F2015" s="46"/>
      <c r="G2015" s="79"/>
    </row>
    <row r="2016" spans="2:7" x14ac:dyDescent="0.35">
      <c r="B2016" s="46"/>
      <c r="C2016" s="46"/>
      <c r="D2016" s="46"/>
      <c r="E2016" s="46"/>
      <c r="F2016" s="46"/>
      <c r="G2016" s="79"/>
    </row>
    <row r="2017" spans="2:7" x14ac:dyDescent="0.35">
      <c r="B2017" s="46"/>
      <c r="C2017" s="46"/>
      <c r="D2017" s="46"/>
      <c r="E2017" s="46"/>
      <c r="F2017" s="46"/>
      <c r="G2017" s="79"/>
    </row>
    <row r="2018" spans="2:7" x14ac:dyDescent="0.35">
      <c r="B2018" s="46"/>
      <c r="C2018" s="46"/>
      <c r="D2018" s="46"/>
      <c r="E2018" s="46"/>
      <c r="F2018" s="46"/>
      <c r="G2018" s="79"/>
    </row>
    <row r="2019" spans="2:7" x14ac:dyDescent="0.35">
      <c r="B2019" s="46"/>
      <c r="C2019" s="46"/>
      <c r="D2019" s="46"/>
      <c r="E2019" s="46"/>
      <c r="F2019" s="46"/>
      <c r="G2019" s="79"/>
    </row>
    <row r="2020" spans="2:7" x14ac:dyDescent="0.35">
      <c r="B2020" s="46"/>
      <c r="C2020" s="46"/>
      <c r="D2020" s="46"/>
      <c r="E2020" s="46"/>
      <c r="F2020" s="46"/>
      <c r="G2020" s="79"/>
    </row>
    <row r="2021" spans="2:7" x14ac:dyDescent="0.35">
      <c r="B2021" s="46"/>
      <c r="C2021" s="46"/>
      <c r="D2021" s="46"/>
      <c r="E2021" s="46"/>
      <c r="F2021" s="46"/>
      <c r="G2021" s="79"/>
    </row>
    <row r="2022" spans="2:7" x14ac:dyDescent="0.35">
      <c r="B2022" s="46"/>
      <c r="C2022" s="46"/>
      <c r="D2022" s="46"/>
      <c r="E2022" s="46"/>
      <c r="F2022" s="46"/>
      <c r="G2022" s="79"/>
    </row>
    <row r="2023" spans="2:7" x14ac:dyDescent="0.35">
      <c r="B2023" s="46"/>
      <c r="C2023" s="46"/>
      <c r="D2023" s="46"/>
      <c r="E2023" s="46"/>
      <c r="F2023" s="46"/>
      <c r="G2023" s="79"/>
    </row>
    <row r="2024" spans="2:7" x14ac:dyDescent="0.35">
      <c r="B2024" s="46"/>
      <c r="C2024" s="46"/>
      <c r="D2024" s="46"/>
      <c r="E2024" s="46"/>
      <c r="F2024" s="46"/>
      <c r="G2024" s="79"/>
    </row>
    <row r="2025" spans="2:7" x14ac:dyDescent="0.35">
      <c r="B2025" s="46"/>
      <c r="C2025" s="46"/>
      <c r="D2025" s="46"/>
      <c r="E2025" s="46"/>
      <c r="F2025" s="46"/>
      <c r="G2025" s="79"/>
    </row>
    <row r="2026" spans="2:7" x14ac:dyDescent="0.35">
      <c r="B2026" s="46"/>
      <c r="C2026" s="46"/>
      <c r="D2026" s="46"/>
      <c r="E2026" s="46"/>
      <c r="F2026" s="46"/>
      <c r="G2026" s="79"/>
    </row>
    <row r="2027" spans="2:7" x14ac:dyDescent="0.35">
      <c r="B2027" s="46"/>
      <c r="C2027" s="46"/>
      <c r="D2027" s="46"/>
      <c r="E2027" s="46"/>
      <c r="F2027" s="46"/>
      <c r="G2027" s="79"/>
    </row>
    <row r="2028" spans="2:7" x14ac:dyDescent="0.35">
      <c r="B2028" s="46"/>
      <c r="C2028" s="46"/>
      <c r="D2028" s="46"/>
      <c r="E2028" s="46"/>
      <c r="F2028" s="46"/>
      <c r="G2028" s="79"/>
    </row>
    <row r="2029" spans="2:7" x14ac:dyDescent="0.35">
      <c r="B2029" s="46"/>
      <c r="C2029" s="46"/>
      <c r="D2029" s="46"/>
      <c r="E2029" s="46"/>
      <c r="F2029" s="46"/>
      <c r="G2029" s="79"/>
    </row>
    <row r="2030" spans="2:7" x14ac:dyDescent="0.35">
      <c r="B2030" s="46"/>
      <c r="C2030" s="46"/>
      <c r="D2030" s="46"/>
      <c r="E2030" s="46"/>
      <c r="F2030" s="46"/>
      <c r="G2030" s="79"/>
    </row>
    <row r="2031" spans="2:7" x14ac:dyDescent="0.35">
      <c r="B2031" s="46"/>
      <c r="C2031" s="46"/>
      <c r="D2031" s="46"/>
      <c r="E2031" s="46"/>
      <c r="F2031" s="46"/>
      <c r="G2031" s="79"/>
    </row>
    <row r="2032" spans="2:7" x14ac:dyDescent="0.35">
      <c r="B2032" s="46"/>
      <c r="C2032" s="46"/>
      <c r="D2032" s="46"/>
      <c r="E2032" s="46"/>
      <c r="F2032" s="46"/>
      <c r="G2032" s="79"/>
    </row>
    <row r="2033" spans="2:7" x14ac:dyDescent="0.35">
      <c r="B2033" s="46"/>
      <c r="C2033" s="46"/>
      <c r="D2033" s="46"/>
      <c r="E2033" s="46"/>
      <c r="F2033" s="46"/>
      <c r="G2033" s="79"/>
    </row>
    <row r="2034" spans="2:7" x14ac:dyDescent="0.35">
      <c r="B2034" s="46"/>
      <c r="C2034" s="46"/>
      <c r="D2034" s="46"/>
      <c r="E2034" s="46"/>
      <c r="F2034" s="46"/>
      <c r="G2034" s="79"/>
    </row>
    <row r="2035" spans="2:7" x14ac:dyDescent="0.35">
      <c r="B2035" s="46"/>
      <c r="C2035" s="46"/>
      <c r="D2035" s="46"/>
      <c r="E2035" s="46"/>
      <c r="F2035" s="46"/>
      <c r="G2035" s="79"/>
    </row>
    <row r="2036" spans="2:7" x14ac:dyDescent="0.35">
      <c r="B2036" s="46"/>
      <c r="C2036" s="46"/>
      <c r="D2036" s="46"/>
      <c r="E2036" s="46"/>
      <c r="F2036" s="46"/>
      <c r="G2036" s="79"/>
    </row>
    <row r="2037" spans="2:7" x14ac:dyDescent="0.35">
      <c r="B2037" s="46"/>
      <c r="C2037" s="46"/>
      <c r="D2037" s="46"/>
      <c r="E2037" s="46"/>
      <c r="F2037" s="46"/>
      <c r="G2037" s="79"/>
    </row>
    <row r="2038" spans="2:7" x14ac:dyDescent="0.35">
      <c r="B2038" s="46"/>
      <c r="C2038" s="46"/>
      <c r="D2038" s="46"/>
      <c r="E2038" s="46"/>
      <c r="F2038" s="46"/>
      <c r="G2038" s="79"/>
    </row>
    <row r="2039" spans="2:7" x14ac:dyDescent="0.35">
      <c r="B2039" s="46"/>
      <c r="C2039" s="46"/>
      <c r="D2039" s="46"/>
      <c r="E2039" s="46"/>
      <c r="F2039" s="46"/>
      <c r="G2039" s="79"/>
    </row>
    <row r="2040" spans="2:7" x14ac:dyDescent="0.35">
      <c r="B2040" s="46"/>
      <c r="C2040" s="46"/>
      <c r="D2040" s="46"/>
      <c r="E2040" s="46"/>
      <c r="F2040" s="46"/>
      <c r="G2040" s="79"/>
    </row>
    <row r="2041" spans="2:7" x14ac:dyDescent="0.35">
      <c r="B2041" s="46"/>
      <c r="C2041" s="46"/>
      <c r="D2041" s="46"/>
      <c r="E2041" s="46"/>
      <c r="F2041" s="46"/>
      <c r="G2041" s="79"/>
    </row>
    <row r="2042" spans="2:7" x14ac:dyDescent="0.35">
      <c r="B2042" s="46"/>
      <c r="C2042" s="46"/>
      <c r="D2042" s="46"/>
      <c r="E2042" s="46"/>
      <c r="F2042" s="46"/>
      <c r="G2042" s="79"/>
    </row>
    <row r="2043" spans="2:7" x14ac:dyDescent="0.35">
      <c r="B2043" s="46"/>
      <c r="C2043" s="46"/>
      <c r="D2043" s="46"/>
      <c r="E2043" s="46"/>
      <c r="F2043" s="46"/>
      <c r="G2043" s="79"/>
    </row>
    <row r="2044" spans="2:7" x14ac:dyDescent="0.35">
      <c r="B2044" s="46"/>
      <c r="C2044" s="46"/>
      <c r="D2044" s="46"/>
      <c r="E2044" s="46"/>
      <c r="F2044" s="46"/>
      <c r="G2044" s="79"/>
    </row>
    <row r="2045" spans="2:7" x14ac:dyDescent="0.35">
      <c r="B2045" s="46"/>
      <c r="C2045" s="46"/>
      <c r="D2045" s="46"/>
      <c r="E2045" s="46"/>
      <c r="F2045" s="46"/>
      <c r="G2045" s="79"/>
    </row>
    <row r="2046" spans="2:7" x14ac:dyDescent="0.35">
      <c r="B2046" s="46"/>
      <c r="C2046" s="46"/>
      <c r="D2046" s="46"/>
      <c r="E2046" s="46"/>
      <c r="F2046" s="46"/>
      <c r="G2046" s="79"/>
    </row>
    <row r="2047" spans="2:7" x14ac:dyDescent="0.35">
      <c r="B2047" s="46"/>
      <c r="C2047" s="46"/>
      <c r="D2047" s="46"/>
      <c r="E2047" s="46"/>
      <c r="F2047" s="46"/>
      <c r="G2047" s="79"/>
    </row>
    <row r="2048" spans="2:7" x14ac:dyDescent="0.35">
      <c r="B2048" s="46"/>
      <c r="C2048" s="46"/>
      <c r="D2048" s="46"/>
      <c r="E2048" s="46"/>
      <c r="F2048" s="46"/>
      <c r="G2048" s="79"/>
    </row>
    <row r="2049" spans="2:7" x14ac:dyDescent="0.35">
      <c r="B2049" s="46"/>
      <c r="C2049" s="46"/>
      <c r="D2049" s="46"/>
      <c r="E2049" s="46"/>
      <c r="F2049" s="46"/>
      <c r="G2049" s="79"/>
    </row>
    <row r="2050" spans="2:7" x14ac:dyDescent="0.35">
      <c r="B2050" s="46"/>
      <c r="C2050" s="46"/>
      <c r="D2050" s="46"/>
      <c r="E2050" s="46"/>
      <c r="F2050" s="46"/>
      <c r="G2050" s="79"/>
    </row>
    <row r="2051" spans="2:7" x14ac:dyDescent="0.35">
      <c r="B2051" s="46"/>
      <c r="C2051" s="46"/>
      <c r="D2051" s="46"/>
      <c r="E2051" s="46"/>
      <c r="F2051" s="46"/>
      <c r="G2051" s="79"/>
    </row>
    <row r="2052" spans="2:7" x14ac:dyDescent="0.35">
      <c r="B2052" s="46"/>
      <c r="C2052" s="46"/>
      <c r="D2052" s="46"/>
      <c r="E2052" s="46"/>
      <c r="F2052" s="46"/>
      <c r="G2052" s="79"/>
    </row>
    <row r="2053" spans="2:7" x14ac:dyDescent="0.35">
      <c r="B2053" s="46"/>
      <c r="C2053" s="46"/>
      <c r="D2053" s="46"/>
      <c r="E2053" s="46"/>
      <c r="F2053" s="46"/>
      <c r="G2053" s="79"/>
    </row>
    <row r="2054" spans="2:7" x14ac:dyDescent="0.35">
      <c r="B2054" s="46"/>
      <c r="C2054" s="46"/>
      <c r="D2054" s="46"/>
      <c r="E2054" s="46"/>
      <c r="F2054" s="46"/>
      <c r="G2054" s="79"/>
    </row>
    <row r="2055" spans="2:7" x14ac:dyDescent="0.35">
      <c r="B2055" s="46"/>
      <c r="C2055" s="46"/>
      <c r="D2055" s="46"/>
      <c r="E2055" s="46"/>
      <c r="F2055" s="46"/>
      <c r="G2055" s="79"/>
    </row>
    <row r="2056" spans="2:7" x14ac:dyDescent="0.35">
      <c r="B2056" s="46"/>
      <c r="C2056" s="46"/>
      <c r="D2056" s="46"/>
      <c r="E2056" s="46"/>
      <c r="F2056" s="46"/>
      <c r="G2056" s="79"/>
    </row>
    <row r="2057" spans="2:7" x14ac:dyDescent="0.35">
      <c r="B2057" s="46"/>
      <c r="C2057" s="46"/>
      <c r="D2057" s="46"/>
      <c r="E2057" s="46"/>
      <c r="F2057" s="46"/>
      <c r="G2057" s="79"/>
    </row>
    <row r="2058" spans="2:7" x14ac:dyDescent="0.35">
      <c r="B2058" s="46"/>
      <c r="C2058" s="46"/>
      <c r="D2058" s="46"/>
      <c r="E2058" s="46"/>
      <c r="F2058" s="46"/>
      <c r="G2058" s="79"/>
    </row>
    <row r="2059" spans="2:7" x14ac:dyDescent="0.35">
      <c r="B2059" s="46"/>
      <c r="C2059" s="46"/>
      <c r="D2059" s="46"/>
      <c r="E2059" s="46"/>
      <c r="F2059" s="46"/>
      <c r="G2059" s="79"/>
    </row>
    <row r="2060" spans="2:7" x14ac:dyDescent="0.35">
      <c r="B2060" s="46"/>
      <c r="C2060" s="46"/>
      <c r="D2060" s="46"/>
      <c r="E2060" s="46"/>
      <c r="F2060" s="46"/>
      <c r="G2060" s="79"/>
    </row>
    <row r="2061" spans="2:7" x14ac:dyDescent="0.35">
      <c r="B2061" s="46"/>
      <c r="C2061" s="46"/>
      <c r="D2061" s="46"/>
      <c r="E2061" s="46"/>
      <c r="F2061" s="46"/>
      <c r="G2061" s="79"/>
    </row>
    <row r="2062" spans="2:7" x14ac:dyDescent="0.35">
      <c r="B2062" s="46"/>
      <c r="C2062" s="46"/>
      <c r="D2062" s="46"/>
      <c r="E2062" s="46"/>
      <c r="F2062" s="46"/>
      <c r="G2062" s="79"/>
    </row>
    <row r="2063" spans="2:7" x14ac:dyDescent="0.35">
      <c r="B2063" s="46"/>
      <c r="C2063" s="46"/>
      <c r="D2063" s="46"/>
      <c r="E2063" s="46"/>
      <c r="F2063" s="46"/>
      <c r="G2063" s="79"/>
    </row>
    <row r="2064" spans="2:7" x14ac:dyDescent="0.35">
      <c r="B2064" s="46"/>
      <c r="C2064" s="46"/>
      <c r="D2064" s="46"/>
      <c r="E2064" s="46"/>
      <c r="F2064" s="46"/>
      <c r="G2064" s="79"/>
    </row>
    <row r="2065" spans="2:7" x14ac:dyDescent="0.35">
      <c r="B2065" s="46"/>
      <c r="C2065" s="46"/>
      <c r="D2065" s="46"/>
      <c r="E2065" s="46"/>
      <c r="F2065" s="46"/>
      <c r="G2065" s="79"/>
    </row>
    <row r="2066" spans="2:7" x14ac:dyDescent="0.35">
      <c r="B2066" s="46"/>
      <c r="C2066" s="46"/>
      <c r="D2066" s="46"/>
      <c r="E2066" s="46"/>
      <c r="F2066" s="46"/>
      <c r="G2066" s="79"/>
    </row>
    <row r="2067" spans="2:7" x14ac:dyDescent="0.35">
      <c r="B2067" s="46"/>
      <c r="C2067" s="46"/>
      <c r="D2067" s="46"/>
      <c r="E2067" s="46"/>
      <c r="F2067" s="46"/>
      <c r="G2067" s="79"/>
    </row>
    <row r="2068" spans="2:7" x14ac:dyDescent="0.35">
      <c r="B2068" s="46"/>
      <c r="C2068" s="46"/>
      <c r="D2068" s="46"/>
      <c r="E2068" s="46"/>
      <c r="F2068" s="46"/>
      <c r="G2068" s="79"/>
    </row>
    <row r="2069" spans="2:7" x14ac:dyDescent="0.35">
      <c r="B2069" s="46"/>
      <c r="C2069" s="46"/>
      <c r="D2069" s="46"/>
      <c r="E2069" s="46"/>
      <c r="F2069" s="46"/>
      <c r="G2069" s="79"/>
    </row>
    <row r="2070" spans="2:7" x14ac:dyDescent="0.35">
      <c r="B2070" s="46"/>
      <c r="C2070" s="46"/>
      <c r="D2070" s="46"/>
      <c r="E2070" s="46"/>
      <c r="F2070" s="46"/>
      <c r="G2070" s="79"/>
    </row>
    <row r="2071" spans="2:7" x14ac:dyDescent="0.35">
      <c r="B2071" s="46"/>
      <c r="C2071" s="46"/>
      <c r="D2071" s="46"/>
      <c r="E2071" s="46"/>
      <c r="F2071" s="46"/>
      <c r="G2071" s="79"/>
    </row>
    <row r="2072" spans="2:7" x14ac:dyDescent="0.35">
      <c r="B2072" s="46"/>
      <c r="C2072" s="46"/>
      <c r="D2072" s="46"/>
      <c r="E2072" s="46"/>
      <c r="F2072" s="46"/>
      <c r="G2072" s="79"/>
    </row>
    <row r="2073" spans="2:7" x14ac:dyDescent="0.35">
      <c r="B2073" s="46"/>
      <c r="C2073" s="46"/>
      <c r="D2073" s="46"/>
      <c r="E2073" s="46"/>
      <c r="F2073" s="46"/>
      <c r="G2073" s="79"/>
    </row>
    <row r="2074" spans="2:7" x14ac:dyDescent="0.35">
      <c r="B2074" s="46"/>
      <c r="C2074" s="46"/>
      <c r="D2074" s="46"/>
      <c r="E2074" s="46"/>
      <c r="F2074" s="46"/>
      <c r="G2074" s="79"/>
    </row>
    <row r="2075" spans="2:7" x14ac:dyDescent="0.35">
      <c r="B2075" s="46"/>
      <c r="C2075" s="46"/>
      <c r="D2075" s="46"/>
      <c r="E2075" s="46"/>
      <c r="F2075" s="46"/>
      <c r="G2075" s="79"/>
    </row>
    <row r="2076" spans="2:7" x14ac:dyDescent="0.35">
      <c r="B2076" s="46"/>
      <c r="C2076" s="46"/>
      <c r="D2076" s="46"/>
      <c r="E2076" s="46"/>
      <c r="F2076" s="46"/>
      <c r="G2076" s="79"/>
    </row>
    <row r="2077" spans="2:7" x14ac:dyDescent="0.35">
      <c r="B2077" s="46"/>
      <c r="C2077" s="46"/>
      <c r="D2077" s="46"/>
      <c r="E2077" s="46"/>
      <c r="F2077" s="46"/>
      <c r="G2077" s="79"/>
    </row>
    <row r="2078" spans="2:7" x14ac:dyDescent="0.35">
      <c r="B2078" s="46"/>
      <c r="C2078" s="46"/>
      <c r="D2078" s="46"/>
      <c r="E2078" s="46"/>
      <c r="F2078" s="46"/>
      <c r="G2078" s="79"/>
    </row>
    <row r="2079" spans="2:7" x14ac:dyDescent="0.35">
      <c r="B2079" s="46"/>
      <c r="C2079" s="46"/>
      <c r="D2079" s="46"/>
      <c r="E2079" s="46"/>
      <c r="F2079" s="46"/>
      <c r="G2079" s="79"/>
    </row>
    <row r="2080" spans="2:7" x14ac:dyDescent="0.35">
      <c r="B2080" s="46"/>
      <c r="C2080" s="46"/>
      <c r="D2080" s="46"/>
      <c r="E2080" s="46"/>
      <c r="F2080" s="46"/>
      <c r="G2080" s="79"/>
    </row>
    <row r="2081" spans="2:7" x14ac:dyDescent="0.35">
      <c r="B2081" s="46"/>
      <c r="C2081" s="46"/>
      <c r="D2081" s="46"/>
      <c r="E2081" s="46"/>
      <c r="F2081" s="46"/>
      <c r="G2081" s="79"/>
    </row>
    <row r="2082" spans="2:7" x14ac:dyDescent="0.35">
      <c r="B2082" s="46"/>
      <c r="C2082" s="46"/>
      <c r="D2082" s="46"/>
      <c r="E2082" s="46"/>
      <c r="F2082" s="46"/>
      <c r="G2082" s="79"/>
    </row>
    <row r="2083" spans="2:7" x14ac:dyDescent="0.35">
      <c r="B2083" s="46"/>
      <c r="C2083" s="46"/>
      <c r="D2083" s="46"/>
      <c r="E2083" s="46"/>
      <c r="F2083" s="46"/>
      <c r="G2083" s="79"/>
    </row>
    <row r="2084" spans="2:7" x14ac:dyDescent="0.35">
      <c r="B2084" s="46"/>
      <c r="C2084" s="46"/>
      <c r="D2084" s="46"/>
      <c r="E2084" s="46"/>
      <c r="F2084" s="46"/>
      <c r="G2084" s="79"/>
    </row>
    <row r="2085" spans="2:7" x14ac:dyDescent="0.35">
      <c r="B2085" s="46"/>
      <c r="C2085" s="46"/>
      <c r="D2085" s="46"/>
      <c r="E2085" s="46"/>
      <c r="F2085" s="46"/>
      <c r="G2085" s="79"/>
    </row>
    <row r="2086" spans="2:7" x14ac:dyDescent="0.35">
      <c r="B2086" s="46"/>
      <c r="C2086" s="46"/>
      <c r="D2086" s="46"/>
      <c r="E2086" s="46"/>
      <c r="F2086" s="46"/>
      <c r="G2086" s="79"/>
    </row>
    <row r="2087" spans="2:7" x14ac:dyDescent="0.35">
      <c r="B2087" s="46"/>
      <c r="C2087" s="46"/>
      <c r="D2087" s="46"/>
      <c r="E2087" s="46"/>
      <c r="F2087" s="46"/>
      <c r="G2087" s="79"/>
    </row>
    <row r="2088" spans="2:7" x14ac:dyDescent="0.35">
      <c r="B2088" s="46"/>
      <c r="C2088" s="46"/>
      <c r="D2088" s="46"/>
      <c r="E2088" s="46"/>
      <c r="F2088" s="46"/>
      <c r="G2088" s="79"/>
    </row>
    <row r="2089" spans="2:7" x14ac:dyDescent="0.35">
      <c r="B2089" s="46"/>
      <c r="C2089" s="46"/>
      <c r="D2089" s="46"/>
      <c r="E2089" s="46"/>
      <c r="F2089" s="46"/>
      <c r="G2089" s="79"/>
    </row>
    <row r="2090" spans="2:7" x14ac:dyDescent="0.35">
      <c r="B2090" s="46"/>
      <c r="C2090" s="46"/>
      <c r="D2090" s="46"/>
      <c r="E2090" s="46"/>
      <c r="F2090" s="46"/>
      <c r="G2090" s="79"/>
    </row>
    <row r="2091" spans="2:7" x14ac:dyDescent="0.35">
      <c r="B2091" s="46"/>
      <c r="C2091" s="46"/>
      <c r="D2091" s="46"/>
      <c r="E2091" s="46"/>
      <c r="F2091" s="46"/>
      <c r="G2091" s="79"/>
    </row>
    <row r="2092" spans="2:7" x14ac:dyDescent="0.35">
      <c r="B2092" s="46"/>
      <c r="C2092" s="46"/>
      <c r="D2092" s="46"/>
      <c r="E2092" s="46"/>
      <c r="F2092" s="46"/>
      <c r="G2092" s="79"/>
    </row>
    <row r="2093" spans="2:7" x14ac:dyDescent="0.35">
      <c r="B2093" s="46"/>
      <c r="C2093" s="46"/>
      <c r="D2093" s="46"/>
      <c r="E2093" s="46"/>
      <c r="F2093" s="46"/>
      <c r="G2093" s="79"/>
    </row>
    <row r="2094" spans="2:7" x14ac:dyDescent="0.35">
      <c r="B2094" s="46"/>
      <c r="C2094" s="46"/>
      <c r="D2094" s="46"/>
      <c r="E2094" s="46"/>
      <c r="F2094" s="46"/>
      <c r="G2094" s="79"/>
    </row>
    <row r="2095" spans="2:7" x14ac:dyDescent="0.35">
      <c r="B2095" s="46"/>
      <c r="C2095" s="46"/>
      <c r="D2095" s="46"/>
      <c r="E2095" s="46"/>
      <c r="F2095" s="46"/>
      <c r="G2095" s="79"/>
    </row>
    <row r="2096" spans="2:7" x14ac:dyDescent="0.35">
      <c r="B2096" s="46"/>
      <c r="C2096" s="46"/>
      <c r="D2096" s="46"/>
      <c r="E2096" s="46"/>
      <c r="F2096" s="46"/>
      <c r="G2096" s="79"/>
    </row>
    <row r="2097" spans="2:7" x14ac:dyDescent="0.35">
      <c r="B2097" s="46"/>
      <c r="C2097" s="46"/>
      <c r="D2097" s="46"/>
      <c r="E2097" s="46"/>
      <c r="F2097" s="46"/>
      <c r="G2097" s="79"/>
    </row>
    <row r="2098" spans="2:7" x14ac:dyDescent="0.35">
      <c r="B2098" s="46"/>
      <c r="C2098" s="46"/>
      <c r="D2098" s="46"/>
      <c r="E2098" s="46"/>
      <c r="F2098" s="46"/>
      <c r="G2098" s="79"/>
    </row>
    <row r="2099" spans="2:7" x14ac:dyDescent="0.35">
      <c r="B2099" s="46"/>
      <c r="C2099" s="46"/>
      <c r="D2099" s="46"/>
      <c r="E2099" s="46"/>
      <c r="F2099" s="46"/>
      <c r="G2099" s="79"/>
    </row>
    <row r="2100" spans="2:7" x14ac:dyDescent="0.35">
      <c r="B2100" s="46"/>
      <c r="C2100" s="46"/>
      <c r="D2100" s="46"/>
      <c r="E2100" s="46"/>
      <c r="F2100" s="46"/>
      <c r="G2100" s="79"/>
    </row>
    <row r="2101" spans="2:7" x14ac:dyDescent="0.35">
      <c r="B2101" s="46"/>
      <c r="C2101" s="46"/>
      <c r="D2101" s="46"/>
      <c r="E2101" s="46"/>
      <c r="F2101" s="46"/>
      <c r="G2101" s="79"/>
    </row>
    <row r="2102" spans="2:7" x14ac:dyDescent="0.35">
      <c r="B2102" s="46"/>
      <c r="C2102" s="46"/>
      <c r="D2102" s="46"/>
      <c r="E2102" s="46"/>
      <c r="F2102" s="46"/>
      <c r="G2102" s="79"/>
    </row>
    <row r="2103" spans="2:7" x14ac:dyDescent="0.35">
      <c r="B2103" s="46"/>
      <c r="C2103" s="46"/>
      <c r="D2103" s="46"/>
      <c r="E2103" s="46"/>
      <c r="F2103" s="46"/>
      <c r="G2103" s="79"/>
    </row>
    <row r="2104" spans="2:7" x14ac:dyDescent="0.35">
      <c r="B2104" s="46"/>
      <c r="C2104" s="46"/>
      <c r="D2104" s="46"/>
      <c r="E2104" s="46"/>
      <c r="F2104" s="46"/>
      <c r="G2104" s="79"/>
    </row>
    <row r="2105" spans="2:7" x14ac:dyDescent="0.35">
      <c r="B2105" s="46"/>
      <c r="C2105" s="46"/>
      <c r="D2105" s="46"/>
      <c r="E2105" s="46"/>
      <c r="F2105" s="46"/>
      <c r="G2105" s="79"/>
    </row>
    <row r="2106" spans="2:7" x14ac:dyDescent="0.35">
      <c r="B2106" s="46"/>
      <c r="C2106" s="46"/>
      <c r="D2106" s="46"/>
      <c r="E2106" s="46"/>
      <c r="F2106" s="46"/>
      <c r="G2106" s="79"/>
    </row>
    <row r="2107" spans="2:7" x14ac:dyDescent="0.35">
      <c r="B2107" s="46"/>
      <c r="C2107" s="46"/>
      <c r="D2107" s="46"/>
      <c r="E2107" s="46"/>
      <c r="F2107" s="46"/>
      <c r="G2107" s="79"/>
    </row>
    <row r="2108" spans="2:7" x14ac:dyDescent="0.35">
      <c r="B2108" s="46"/>
      <c r="C2108" s="46"/>
      <c r="D2108" s="46"/>
      <c r="E2108" s="46"/>
      <c r="F2108" s="46"/>
      <c r="G2108" s="79"/>
    </row>
    <row r="2109" spans="2:7" x14ac:dyDescent="0.35">
      <c r="B2109" s="46"/>
      <c r="C2109" s="46"/>
      <c r="D2109" s="46"/>
      <c r="E2109" s="46"/>
      <c r="F2109" s="46"/>
      <c r="G2109" s="79"/>
    </row>
    <row r="2110" spans="2:7" x14ac:dyDescent="0.35">
      <c r="B2110" s="46"/>
      <c r="C2110" s="46"/>
      <c r="D2110" s="46"/>
      <c r="E2110" s="46"/>
      <c r="F2110" s="46"/>
      <c r="G2110" s="79"/>
    </row>
    <row r="2111" spans="2:7" x14ac:dyDescent="0.35">
      <c r="B2111" s="46"/>
      <c r="C2111" s="46"/>
      <c r="D2111" s="46"/>
      <c r="E2111" s="46"/>
      <c r="F2111" s="46"/>
      <c r="G2111" s="79"/>
    </row>
    <row r="2112" spans="2:7" x14ac:dyDescent="0.35">
      <c r="B2112" s="46"/>
      <c r="C2112" s="46"/>
      <c r="D2112" s="46"/>
      <c r="E2112" s="46"/>
      <c r="F2112" s="46"/>
      <c r="G2112" s="79"/>
    </row>
    <row r="2113" spans="2:7" x14ac:dyDescent="0.35">
      <c r="B2113" s="46"/>
      <c r="C2113" s="46"/>
      <c r="D2113" s="46"/>
      <c r="E2113" s="46"/>
      <c r="F2113" s="46"/>
      <c r="G2113" s="79"/>
    </row>
    <row r="2114" spans="2:7" x14ac:dyDescent="0.35">
      <c r="B2114" s="46"/>
      <c r="C2114" s="46"/>
      <c r="D2114" s="46"/>
      <c r="E2114" s="46"/>
      <c r="F2114" s="46"/>
      <c r="G2114" s="79"/>
    </row>
    <row r="2115" spans="2:7" x14ac:dyDescent="0.35">
      <c r="B2115" s="46"/>
      <c r="C2115" s="46"/>
      <c r="D2115" s="46"/>
      <c r="E2115" s="46"/>
      <c r="F2115" s="46"/>
      <c r="G2115" s="79"/>
    </row>
    <row r="2116" spans="2:7" x14ac:dyDescent="0.35">
      <c r="B2116" s="46"/>
      <c r="C2116" s="46"/>
      <c r="D2116" s="46"/>
      <c r="E2116" s="46"/>
      <c r="F2116" s="46"/>
      <c r="G2116" s="79"/>
    </row>
    <row r="2117" spans="2:7" x14ac:dyDescent="0.35">
      <c r="B2117" s="46"/>
      <c r="C2117" s="46"/>
      <c r="D2117" s="46"/>
      <c r="E2117" s="46"/>
      <c r="F2117" s="46"/>
      <c r="G2117" s="79"/>
    </row>
    <row r="2118" spans="2:7" x14ac:dyDescent="0.35">
      <c r="B2118" s="46"/>
      <c r="C2118" s="46"/>
      <c r="D2118" s="46"/>
      <c r="E2118" s="46"/>
      <c r="F2118" s="46"/>
      <c r="G2118" s="79"/>
    </row>
    <row r="2119" spans="2:7" x14ac:dyDescent="0.35">
      <c r="B2119" s="46"/>
      <c r="C2119" s="46"/>
      <c r="D2119" s="46"/>
      <c r="E2119" s="46"/>
      <c r="F2119" s="46"/>
      <c r="G2119" s="79"/>
    </row>
    <row r="2120" spans="2:7" x14ac:dyDescent="0.35">
      <c r="B2120" s="46"/>
      <c r="C2120" s="46"/>
      <c r="D2120" s="46"/>
      <c r="E2120" s="46"/>
      <c r="F2120" s="46"/>
      <c r="G2120" s="79"/>
    </row>
    <row r="2121" spans="2:7" x14ac:dyDescent="0.35">
      <c r="B2121" s="46"/>
      <c r="C2121" s="46"/>
      <c r="D2121" s="46"/>
      <c r="E2121" s="46"/>
      <c r="F2121" s="46"/>
      <c r="G2121" s="79"/>
    </row>
    <row r="2122" spans="2:7" x14ac:dyDescent="0.35">
      <c r="B2122" s="46"/>
      <c r="C2122" s="46"/>
      <c r="D2122" s="46"/>
      <c r="E2122" s="46"/>
      <c r="F2122" s="46"/>
      <c r="G2122" s="79"/>
    </row>
    <row r="2123" spans="2:7" x14ac:dyDescent="0.35">
      <c r="B2123" s="46"/>
      <c r="C2123" s="46"/>
      <c r="D2123" s="46"/>
      <c r="E2123" s="46"/>
      <c r="F2123" s="46"/>
      <c r="G2123" s="79"/>
    </row>
    <row r="2124" spans="2:7" x14ac:dyDescent="0.35">
      <c r="B2124" s="46"/>
      <c r="C2124" s="46"/>
      <c r="D2124" s="46"/>
      <c r="E2124" s="46"/>
      <c r="F2124" s="46"/>
      <c r="G2124" s="79"/>
    </row>
    <row r="2125" spans="2:7" x14ac:dyDescent="0.35">
      <c r="B2125" s="46"/>
      <c r="C2125" s="46"/>
      <c r="D2125" s="46"/>
      <c r="E2125" s="46"/>
      <c r="F2125" s="46"/>
      <c r="G2125" s="79"/>
    </row>
    <row r="2126" spans="2:7" x14ac:dyDescent="0.35">
      <c r="B2126" s="46"/>
      <c r="C2126" s="46"/>
      <c r="D2126" s="46"/>
      <c r="E2126" s="46"/>
      <c r="F2126" s="46"/>
      <c r="G2126" s="79"/>
    </row>
    <row r="2127" spans="2:7" x14ac:dyDescent="0.35">
      <c r="B2127" s="46"/>
      <c r="C2127" s="46"/>
      <c r="D2127" s="46"/>
      <c r="E2127" s="46"/>
      <c r="F2127" s="46"/>
      <c r="G2127" s="79"/>
    </row>
    <row r="2128" spans="2:7" x14ac:dyDescent="0.35">
      <c r="B2128" s="46"/>
      <c r="C2128" s="46"/>
      <c r="D2128" s="46"/>
      <c r="E2128" s="46"/>
      <c r="F2128" s="46"/>
      <c r="G2128" s="79"/>
    </row>
    <row r="2129" spans="2:7" x14ac:dyDescent="0.35">
      <c r="B2129" s="46"/>
      <c r="C2129" s="46"/>
      <c r="D2129" s="46"/>
      <c r="E2129" s="46"/>
      <c r="F2129" s="46"/>
      <c r="G2129" s="79"/>
    </row>
    <row r="2130" spans="2:7" x14ac:dyDescent="0.35">
      <c r="B2130" s="46"/>
      <c r="C2130" s="46"/>
      <c r="D2130" s="46"/>
      <c r="E2130" s="46"/>
      <c r="F2130" s="46"/>
      <c r="G2130" s="79"/>
    </row>
    <row r="2131" spans="2:7" x14ac:dyDescent="0.35">
      <c r="B2131" s="46"/>
      <c r="C2131" s="46"/>
      <c r="D2131" s="46"/>
      <c r="E2131" s="46"/>
      <c r="F2131" s="46"/>
      <c r="G2131" s="79"/>
    </row>
    <row r="2132" spans="2:7" x14ac:dyDescent="0.35">
      <c r="B2132" s="46"/>
      <c r="C2132" s="46"/>
      <c r="D2132" s="46"/>
      <c r="E2132" s="46"/>
      <c r="F2132" s="46"/>
      <c r="G2132" s="79"/>
    </row>
    <row r="2133" spans="2:7" x14ac:dyDescent="0.35">
      <c r="B2133" s="46"/>
      <c r="C2133" s="46"/>
      <c r="D2133" s="46"/>
      <c r="E2133" s="46"/>
      <c r="F2133" s="46"/>
      <c r="G2133" s="79"/>
    </row>
    <row r="2134" spans="2:7" x14ac:dyDescent="0.35">
      <c r="B2134" s="46"/>
      <c r="C2134" s="46"/>
      <c r="D2134" s="46"/>
      <c r="E2134" s="46"/>
      <c r="F2134" s="46"/>
      <c r="G2134" s="79"/>
    </row>
    <row r="2135" spans="2:7" x14ac:dyDescent="0.35">
      <c r="B2135" s="46"/>
      <c r="C2135" s="46"/>
      <c r="D2135" s="46"/>
      <c r="E2135" s="46"/>
      <c r="F2135" s="46"/>
      <c r="G2135" s="79"/>
    </row>
    <row r="2136" spans="2:7" x14ac:dyDescent="0.35">
      <c r="B2136" s="46"/>
      <c r="C2136" s="46"/>
      <c r="D2136" s="46"/>
      <c r="E2136" s="46"/>
      <c r="F2136" s="46"/>
      <c r="G2136" s="79"/>
    </row>
    <row r="2137" spans="2:7" x14ac:dyDescent="0.35">
      <c r="B2137" s="46"/>
      <c r="C2137" s="46"/>
      <c r="D2137" s="46"/>
      <c r="E2137" s="46"/>
      <c r="F2137" s="46"/>
      <c r="G2137" s="79"/>
    </row>
    <row r="2138" spans="2:7" x14ac:dyDescent="0.35">
      <c r="B2138" s="46"/>
      <c r="C2138" s="46"/>
      <c r="D2138" s="46"/>
      <c r="E2138" s="46"/>
      <c r="F2138" s="46"/>
      <c r="G2138" s="79"/>
    </row>
    <row r="2139" spans="2:7" x14ac:dyDescent="0.35">
      <c r="B2139" s="46"/>
      <c r="C2139" s="46"/>
      <c r="D2139" s="46"/>
      <c r="E2139" s="46"/>
      <c r="F2139" s="46"/>
      <c r="G2139" s="79"/>
    </row>
    <row r="2140" spans="2:7" x14ac:dyDescent="0.35">
      <c r="B2140" s="46"/>
      <c r="C2140" s="46"/>
      <c r="D2140" s="46"/>
      <c r="E2140" s="46"/>
      <c r="F2140" s="46"/>
      <c r="G2140" s="79"/>
    </row>
    <row r="2141" spans="2:7" x14ac:dyDescent="0.35">
      <c r="B2141" s="46"/>
      <c r="C2141" s="46"/>
      <c r="D2141" s="46"/>
      <c r="E2141" s="46"/>
      <c r="F2141" s="46"/>
      <c r="G2141" s="79"/>
    </row>
    <row r="2142" spans="2:7" x14ac:dyDescent="0.35">
      <c r="B2142" s="46"/>
      <c r="C2142" s="46"/>
      <c r="D2142" s="46"/>
      <c r="E2142" s="46"/>
      <c r="F2142" s="46"/>
      <c r="G2142" s="79"/>
    </row>
    <row r="2143" spans="2:7" x14ac:dyDescent="0.35">
      <c r="B2143" s="46"/>
      <c r="C2143" s="46"/>
      <c r="D2143" s="46"/>
      <c r="E2143" s="46"/>
      <c r="F2143" s="46"/>
      <c r="G2143" s="79"/>
    </row>
    <row r="2144" spans="2:7" x14ac:dyDescent="0.35">
      <c r="B2144" s="46"/>
      <c r="C2144" s="46"/>
      <c r="D2144" s="46"/>
      <c r="E2144" s="46"/>
      <c r="F2144" s="46"/>
      <c r="G2144" s="79"/>
    </row>
    <row r="2145" spans="2:7" x14ac:dyDescent="0.35">
      <c r="B2145" s="46"/>
      <c r="C2145" s="46"/>
      <c r="D2145" s="46"/>
      <c r="E2145" s="46"/>
      <c r="F2145" s="46"/>
      <c r="G2145" s="79"/>
    </row>
    <row r="2146" spans="2:7" x14ac:dyDescent="0.35">
      <c r="B2146" s="46"/>
      <c r="C2146" s="46"/>
      <c r="D2146" s="46"/>
      <c r="E2146" s="46"/>
      <c r="F2146" s="46"/>
      <c r="G2146" s="79"/>
    </row>
    <row r="2147" spans="2:7" x14ac:dyDescent="0.35">
      <c r="B2147" s="46"/>
      <c r="C2147" s="46"/>
      <c r="D2147" s="46"/>
      <c r="E2147" s="46"/>
      <c r="F2147" s="46"/>
      <c r="G2147" s="79"/>
    </row>
    <row r="2148" spans="2:7" x14ac:dyDescent="0.35">
      <c r="B2148" s="46"/>
      <c r="C2148" s="46"/>
      <c r="D2148" s="46"/>
      <c r="E2148" s="46"/>
      <c r="F2148" s="46"/>
      <c r="G2148" s="79"/>
    </row>
    <row r="2149" spans="2:7" x14ac:dyDescent="0.35">
      <c r="B2149" s="46"/>
      <c r="C2149" s="46"/>
      <c r="D2149" s="46"/>
      <c r="E2149" s="46"/>
      <c r="F2149" s="46"/>
      <c r="G2149" s="79"/>
    </row>
    <row r="2150" spans="2:7" x14ac:dyDescent="0.35">
      <c r="B2150" s="46"/>
      <c r="C2150" s="46"/>
      <c r="D2150" s="46"/>
      <c r="E2150" s="46"/>
      <c r="F2150" s="46"/>
      <c r="G2150" s="79"/>
    </row>
    <row r="2151" spans="2:7" x14ac:dyDescent="0.35">
      <c r="B2151" s="46"/>
      <c r="C2151" s="46"/>
      <c r="D2151" s="46"/>
      <c r="E2151" s="46"/>
      <c r="F2151" s="46"/>
      <c r="G2151" s="79"/>
    </row>
    <row r="2152" spans="2:7" x14ac:dyDescent="0.35">
      <c r="B2152" s="46"/>
      <c r="C2152" s="46"/>
      <c r="D2152" s="46"/>
      <c r="E2152" s="46"/>
      <c r="F2152" s="46"/>
      <c r="G2152" s="79"/>
    </row>
    <row r="2153" spans="2:7" x14ac:dyDescent="0.35">
      <c r="B2153" s="46"/>
      <c r="C2153" s="46"/>
      <c r="D2153" s="46"/>
      <c r="E2153" s="46"/>
      <c r="F2153" s="46"/>
      <c r="G2153" s="79"/>
    </row>
    <row r="2154" spans="2:7" x14ac:dyDescent="0.35">
      <c r="B2154" s="46"/>
      <c r="C2154" s="46"/>
      <c r="D2154" s="46"/>
      <c r="E2154" s="46"/>
      <c r="F2154" s="46"/>
      <c r="G2154" s="79"/>
    </row>
    <row r="2155" spans="2:7" x14ac:dyDescent="0.35">
      <c r="B2155" s="46"/>
      <c r="C2155" s="46"/>
      <c r="D2155" s="46"/>
      <c r="E2155" s="46"/>
      <c r="F2155" s="46"/>
      <c r="G2155" s="79"/>
    </row>
    <row r="2156" spans="2:7" x14ac:dyDescent="0.35">
      <c r="B2156" s="46"/>
      <c r="C2156" s="46"/>
      <c r="D2156" s="46"/>
      <c r="E2156" s="46"/>
      <c r="F2156" s="46"/>
      <c r="G2156" s="79"/>
    </row>
    <row r="2157" spans="2:7" x14ac:dyDescent="0.35">
      <c r="B2157" s="46"/>
      <c r="C2157" s="46"/>
      <c r="D2157" s="46"/>
      <c r="E2157" s="46"/>
      <c r="F2157" s="46"/>
      <c r="G2157" s="79"/>
    </row>
    <row r="2158" spans="2:7" x14ac:dyDescent="0.35">
      <c r="B2158" s="46"/>
      <c r="C2158" s="46"/>
      <c r="D2158" s="46"/>
      <c r="E2158" s="46"/>
      <c r="F2158" s="46"/>
      <c r="G2158" s="79"/>
    </row>
    <row r="2159" spans="2:7" x14ac:dyDescent="0.35">
      <c r="B2159" s="46"/>
      <c r="C2159" s="46"/>
      <c r="D2159" s="46"/>
      <c r="E2159" s="46"/>
      <c r="F2159" s="46"/>
      <c r="G2159" s="79"/>
    </row>
    <row r="2160" spans="2:7" x14ac:dyDescent="0.35">
      <c r="B2160" s="46"/>
      <c r="C2160" s="46"/>
      <c r="D2160" s="46"/>
      <c r="E2160" s="46"/>
      <c r="F2160" s="46"/>
      <c r="G2160" s="79"/>
    </row>
    <row r="2161" spans="2:7" x14ac:dyDescent="0.35">
      <c r="B2161" s="46"/>
      <c r="C2161" s="46"/>
      <c r="D2161" s="46"/>
      <c r="E2161" s="46"/>
      <c r="F2161" s="46"/>
      <c r="G2161" s="79"/>
    </row>
    <row r="2162" spans="2:7" x14ac:dyDescent="0.35">
      <c r="B2162" s="46"/>
      <c r="C2162" s="46"/>
      <c r="D2162" s="46"/>
      <c r="E2162" s="46"/>
      <c r="F2162" s="46"/>
      <c r="G2162" s="79"/>
    </row>
    <row r="2163" spans="2:7" x14ac:dyDescent="0.35">
      <c r="B2163" s="46"/>
      <c r="C2163" s="46"/>
      <c r="D2163" s="46"/>
      <c r="E2163" s="46"/>
      <c r="F2163" s="46"/>
      <c r="G2163" s="79"/>
    </row>
    <row r="2164" spans="2:7" x14ac:dyDescent="0.35">
      <c r="B2164" s="46"/>
      <c r="C2164" s="46"/>
      <c r="D2164" s="46"/>
      <c r="E2164" s="46"/>
      <c r="F2164" s="46"/>
      <c r="G2164" s="79"/>
    </row>
    <row r="2165" spans="2:7" x14ac:dyDescent="0.35">
      <c r="B2165" s="46"/>
      <c r="C2165" s="46"/>
      <c r="D2165" s="46"/>
      <c r="E2165" s="46"/>
      <c r="F2165" s="46"/>
      <c r="G2165" s="79"/>
    </row>
    <row r="2166" spans="2:7" x14ac:dyDescent="0.35">
      <c r="B2166" s="46"/>
      <c r="C2166" s="46"/>
      <c r="D2166" s="46"/>
      <c r="E2166" s="46"/>
      <c r="F2166" s="46"/>
      <c r="G2166" s="79"/>
    </row>
    <row r="2167" spans="2:7" x14ac:dyDescent="0.35">
      <c r="B2167" s="46"/>
      <c r="C2167" s="46"/>
      <c r="D2167" s="46"/>
      <c r="E2167" s="46"/>
      <c r="F2167" s="46"/>
      <c r="G2167" s="79"/>
    </row>
    <row r="2168" spans="2:7" x14ac:dyDescent="0.35">
      <c r="B2168" s="46"/>
      <c r="C2168" s="46"/>
      <c r="D2168" s="46"/>
      <c r="E2168" s="46"/>
      <c r="F2168" s="46"/>
      <c r="G2168" s="79"/>
    </row>
    <row r="2169" spans="2:7" x14ac:dyDescent="0.35">
      <c r="B2169" s="46"/>
      <c r="C2169" s="46"/>
      <c r="D2169" s="46"/>
      <c r="E2169" s="46"/>
      <c r="F2169" s="46"/>
      <c r="G2169" s="79"/>
    </row>
    <row r="2170" spans="2:7" x14ac:dyDescent="0.35">
      <c r="B2170" s="46"/>
      <c r="C2170" s="46"/>
      <c r="D2170" s="46"/>
      <c r="E2170" s="46"/>
      <c r="F2170" s="46"/>
      <c r="G2170" s="79"/>
    </row>
    <row r="2171" spans="2:7" x14ac:dyDescent="0.35">
      <c r="B2171" s="46"/>
      <c r="C2171" s="46"/>
      <c r="D2171" s="46"/>
      <c r="E2171" s="46"/>
      <c r="F2171" s="46"/>
      <c r="G2171" s="79"/>
    </row>
    <row r="2172" spans="2:7" x14ac:dyDescent="0.35">
      <c r="B2172" s="46"/>
      <c r="C2172" s="46"/>
      <c r="D2172" s="46"/>
      <c r="E2172" s="46"/>
      <c r="F2172" s="46"/>
      <c r="G2172" s="79"/>
    </row>
    <row r="2173" spans="2:7" x14ac:dyDescent="0.35">
      <c r="B2173" s="46"/>
      <c r="C2173" s="46"/>
      <c r="D2173" s="46"/>
      <c r="E2173" s="46"/>
      <c r="F2173" s="46"/>
      <c r="G2173" s="79"/>
    </row>
    <row r="2174" spans="2:7" x14ac:dyDescent="0.35">
      <c r="B2174" s="46"/>
      <c r="C2174" s="46"/>
      <c r="D2174" s="46"/>
      <c r="E2174" s="46"/>
      <c r="F2174" s="46"/>
      <c r="G2174" s="79"/>
    </row>
    <row r="2175" spans="2:7" x14ac:dyDescent="0.35">
      <c r="B2175" s="46"/>
      <c r="C2175" s="46"/>
      <c r="D2175" s="46"/>
      <c r="E2175" s="46"/>
      <c r="F2175" s="46"/>
      <c r="G2175" s="79"/>
    </row>
    <row r="2176" spans="2:7" x14ac:dyDescent="0.35">
      <c r="B2176" s="46"/>
      <c r="C2176" s="46"/>
      <c r="D2176" s="46"/>
      <c r="E2176" s="46"/>
      <c r="F2176" s="46"/>
      <c r="G2176" s="79"/>
    </row>
    <row r="2177" spans="2:7" x14ac:dyDescent="0.35">
      <c r="B2177" s="46"/>
      <c r="C2177" s="46"/>
      <c r="D2177" s="46"/>
      <c r="E2177" s="46"/>
      <c r="F2177" s="46"/>
      <c r="G2177" s="79"/>
    </row>
    <row r="2178" spans="2:7" x14ac:dyDescent="0.35">
      <c r="B2178" s="46"/>
      <c r="C2178" s="46"/>
      <c r="D2178" s="46"/>
      <c r="E2178" s="46"/>
      <c r="F2178" s="46"/>
      <c r="G2178" s="79"/>
    </row>
    <row r="2179" spans="2:7" x14ac:dyDescent="0.35">
      <c r="B2179" s="46"/>
      <c r="C2179" s="46"/>
      <c r="D2179" s="46"/>
      <c r="E2179" s="46"/>
      <c r="F2179" s="46"/>
      <c r="G2179" s="79"/>
    </row>
    <row r="2180" spans="2:7" x14ac:dyDescent="0.35">
      <c r="B2180" s="46"/>
      <c r="C2180" s="46"/>
      <c r="D2180" s="46"/>
      <c r="E2180" s="46"/>
      <c r="F2180" s="46"/>
      <c r="G2180" s="79"/>
    </row>
    <row r="2181" spans="2:7" x14ac:dyDescent="0.35">
      <c r="B2181" s="46"/>
      <c r="C2181" s="46"/>
      <c r="D2181" s="46"/>
      <c r="E2181" s="46"/>
      <c r="F2181" s="46"/>
      <c r="G2181" s="79"/>
    </row>
    <row r="2182" spans="2:7" x14ac:dyDescent="0.35">
      <c r="B2182" s="46"/>
      <c r="C2182" s="46"/>
      <c r="D2182" s="46"/>
      <c r="E2182" s="46"/>
      <c r="F2182" s="46"/>
      <c r="G2182" s="79"/>
    </row>
    <row r="2183" spans="2:7" x14ac:dyDescent="0.35">
      <c r="B2183" s="46"/>
      <c r="C2183" s="46"/>
      <c r="D2183" s="46"/>
      <c r="E2183" s="46"/>
      <c r="F2183" s="46"/>
      <c r="G2183" s="79"/>
    </row>
    <row r="2184" spans="2:7" x14ac:dyDescent="0.35">
      <c r="B2184" s="46"/>
      <c r="C2184" s="46"/>
      <c r="D2184" s="46"/>
      <c r="E2184" s="46"/>
      <c r="F2184" s="46"/>
      <c r="G2184" s="79"/>
    </row>
    <row r="2185" spans="2:7" x14ac:dyDescent="0.35">
      <c r="B2185" s="46"/>
      <c r="C2185" s="46"/>
      <c r="D2185" s="46"/>
      <c r="E2185" s="46"/>
      <c r="F2185" s="46"/>
      <c r="G2185" s="79"/>
    </row>
    <row r="2186" spans="2:7" x14ac:dyDescent="0.35">
      <c r="B2186" s="46"/>
      <c r="C2186" s="46"/>
      <c r="D2186" s="46"/>
      <c r="E2186" s="46"/>
      <c r="F2186" s="46"/>
      <c r="G2186" s="79"/>
    </row>
    <row r="2187" spans="2:7" x14ac:dyDescent="0.35">
      <c r="B2187" s="46"/>
      <c r="C2187" s="46"/>
      <c r="D2187" s="46"/>
      <c r="E2187" s="46"/>
      <c r="F2187" s="46"/>
      <c r="G2187" s="79"/>
    </row>
    <row r="2188" spans="2:7" x14ac:dyDescent="0.35">
      <c r="B2188" s="46"/>
      <c r="C2188" s="46"/>
      <c r="D2188" s="46"/>
      <c r="E2188" s="46"/>
      <c r="F2188" s="46"/>
      <c r="G2188" s="79"/>
    </row>
    <row r="2189" spans="2:7" x14ac:dyDescent="0.35">
      <c r="B2189" s="46"/>
      <c r="C2189" s="46"/>
      <c r="D2189" s="46"/>
      <c r="E2189" s="46"/>
      <c r="F2189" s="46"/>
      <c r="G2189" s="79"/>
    </row>
    <row r="2190" spans="2:7" x14ac:dyDescent="0.35">
      <c r="B2190" s="46"/>
      <c r="C2190" s="46"/>
      <c r="D2190" s="46"/>
      <c r="E2190" s="46"/>
      <c r="F2190" s="46"/>
      <c r="G2190" s="79"/>
    </row>
    <row r="2191" spans="2:7" x14ac:dyDescent="0.35">
      <c r="B2191" s="46"/>
      <c r="C2191" s="46"/>
      <c r="D2191" s="46"/>
      <c r="E2191" s="46"/>
      <c r="F2191" s="46"/>
      <c r="G2191" s="79"/>
    </row>
    <row r="2192" spans="2:7" x14ac:dyDescent="0.35">
      <c r="B2192" s="46"/>
      <c r="C2192" s="46"/>
      <c r="D2192" s="46"/>
      <c r="E2192" s="46"/>
      <c r="F2192" s="46"/>
      <c r="G2192" s="79"/>
    </row>
    <row r="2193" spans="2:7" x14ac:dyDescent="0.35">
      <c r="B2193" s="46"/>
      <c r="C2193" s="46"/>
      <c r="D2193" s="46"/>
      <c r="E2193" s="46"/>
      <c r="F2193" s="46"/>
      <c r="G2193" s="79"/>
    </row>
    <row r="2194" spans="2:7" x14ac:dyDescent="0.35">
      <c r="B2194" s="46"/>
      <c r="C2194" s="46"/>
      <c r="D2194" s="46"/>
      <c r="E2194" s="46"/>
      <c r="F2194" s="46"/>
      <c r="G2194" s="79"/>
    </row>
    <row r="2195" spans="2:7" x14ac:dyDescent="0.35">
      <c r="B2195" s="46"/>
      <c r="C2195" s="46"/>
      <c r="D2195" s="46"/>
      <c r="E2195" s="46"/>
      <c r="F2195" s="46"/>
      <c r="G2195" s="79"/>
    </row>
    <row r="2196" spans="2:7" x14ac:dyDescent="0.35">
      <c r="B2196" s="46"/>
      <c r="C2196" s="46"/>
      <c r="D2196" s="46"/>
      <c r="E2196" s="46"/>
      <c r="F2196" s="46"/>
      <c r="G2196" s="79"/>
    </row>
    <row r="2197" spans="2:7" x14ac:dyDescent="0.35">
      <c r="B2197" s="46"/>
      <c r="C2197" s="46"/>
      <c r="D2197" s="46"/>
      <c r="E2197" s="46"/>
      <c r="F2197" s="46"/>
      <c r="G2197" s="79"/>
    </row>
    <row r="2198" spans="2:7" x14ac:dyDescent="0.35">
      <c r="B2198" s="46"/>
      <c r="C2198" s="46"/>
      <c r="D2198" s="46"/>
      <c r="E2198" s="46"/>
      <c r="F2198" s="46"/>
      <c r="G2198" s="79"/>
    </row>
    <row r="2199" spans="2:7" x14ac:dyDescent="0.35">
      <c r="B2199" s="46"/>
      <c r="C2199" s="46"/>
      <c r="D2199" s="46"/>
      <c r="E2199" s="46"/>
      <c r="F2199" s="46"/>
      <c r="G2199" s="79"/>
    </row>
    <row r="2200" spans="2:7" x14ac:dyDescent="0.35">
      <c r="B2200" s="46"/>
      <c r="C2200" s="46"/>
      <c r="D2200" s="46"/>
      <c r="E2200" s="46"/>
      <c r="F2200" s="46"/>
      <c r="G2200" s="79"/>
    </row>
    <row r="2201" spans="2:7" x14ac:dyDescent="0.35">
      <c r="B2201" s="46"/>
      <c r="C2201" s="46"/>
      <c r="D2201" s="46"/>
      <c r="E2201" s="46"/>
      <c r="F2201" s="46"/>
      <c r="G2201" s="79"/>
    </row>
    <row r="2202" spans="2:7" x14ac:dyDescent="0.35">
      <c r="B2202" s="46"/>
      <c r="C2202" s="46"/>
      <c r="D2202" s="46"/>
      <c r="E2202" s="46"/>
      <c r="F2202" s="46"/>
      <c r="G2202" s="79"/>
    </row>
    <row r="2203" spans="2:7" x14ac:dyDescent="0.35">
      <c r="B2203" s="46"/>
      <c r="C2203" s="46"/>
      <c r="D2203" s="46"/>
      <c r="E2203" s="46"/>
      <c r="F2203" s="46"/>
      <c r="G2203" s="79"/>
    </row>
    <row r="2204" spans="2:7" x14ac:dyDescent="0.35">
      <c r="B2204" s="46"/>
      <c r="C2204" s="46"/>
      <c r="D2204" s="46"/>
      <c r="E2204" s="46"/>
      <c r="F2204" s="46"/>
      <c r="G2204" s="79"/>
    </row>
    <row r="2205" spans="2:7" x14ac:dyDescent="0.35">
      <c r="B2205" s="46"/>
      <c r="C2205" s="46"/>
      <c r="D2205" s="46"/>
      <c r="E2205" s="46"/>
      <c r="F2205" s="46"/>
      <c r="G2205" s="79"/>
    </row>
    <row r="2206" spans="2:7" x14ac:dyDescent="0.35">
      <c r="B2206" s="46"/>
      <c r="C2206" s="46"/>
      <c r="D2206" s="46"/>
      <c r="E2206" s="46"/>
      <c r="F2206" s="46"/>
      <c r="G2206" s="79"/>
    </row>
    <row r="2207" spans="2:7" x14ac:dyDescent="0.35">
      <c r="B2207" s="46"/>
      <c r="C2207" s="46"/>
      <c r="D2207" s="46"/>
      <c r="E2207" s="46"/>
      <c r="F2207" s="46"/>
      <c r="G2207" s="79"/>
    </row>
    <row r="2208" spans="2:7" x14ac:dyDescent="0.35">
      <c r="B2208" s="46"/>
      <c r="C2208" s="46"/>
      <c r="D2208" s="46"/>
      <c r="E2208" s="46"/>
      <c r="F2208" s="46"/>
      <c r="G2208" s="79"/>
    </row>
    <row r="2209" spans="2:7" x14ac:dyDescent="0.35">
      <c r="B2209" s="46"/>
      <c r="C2209" s="46"/>
      <c r="D2209" s="46"/>
      <c r="E2209" s="46"/>
      <c r="F2209" s="46"/>
      <c r="G2209" s="79"/>
    </row>
    <row r="2210" spans="2:7" x14ac:dyDescent="0.35">
      <c r="B2210" s="46"/>
      <c r="C2210" s="46"/>
      <c r="D2210" s="46"/>
      <c r="E2210" s="46"/>
      <c r="F2210" s="46"/>
      <c r="G2210" s="79"/>
    </row>
    <row r="2211" spans="2:7" x14ac:dyDescent="0.35">
      <c r="B2211" s="46"/>
      <c r="C2211" s="46"/>
      <c r="D2211" s="46"/>
      <c r="E2211" s="46"/>
      <c r="F2211" s="46"/>
      <c r="G2211" s="79"/>
    </row>
    <row r="2212" spans="2:7" x14ac:dyDescent="0.35">
      <c r="B2212" s="46"/>
      <c r="C2212" s="46"/>
      <c r="D2212" s="46"/>
      <c r="E2212" s="46"/>
      <c r="F2212" s="46"/>
      <c r="G2212" s="79"/>
    </row>
    <row r="2213" spans="2:7" x14ac:dyDescent="0.35">
      <c r="B2213" s="46"/>
      <c r="C2213" s="46"/>
      <c r="D2213" s="46"/>
      <c r="E2213" s="46"/>
      <c r="F2213" s="46"/>
      <c r="G2213" s="79"/>
    </row>
    <row r="2214" spans="2:7" x14ac:dyDescent="0.35">
      <c r="B2214" s="46"/>
      <c r="C2214" s="46"/>
      <c r="D2214" s="46"/>
      <c r="E2214" s="46"/>
      <c r="F2214" s="46"/>
      <c r="G2214" s="79"/>
    </row>
    <row r="2215" spans="2:7" x14ac:dyDescent="0.35">
      <c r="B2215" s="46"/>
      <c r="C2215" s="46"/>
      <c r="D2215" s="46"/>
      <c r="E2215" s="46"/>
      <c r="F2215" s="46"/>
      <c r="G2215" s="79"/>
    </row>
    <row r="2216" spans="2:7" x14ac:dyDescent="0.35">
      <c r="B2216" s="46"/>
      <c r="C2216" s="46"/>
      <c r="D2216" s="46"/>
      <c r="E2216" s="46"/>
      <c r="F2216" s="46"/>
      <c r="G2216" s="79"/>
    </row>
    <row r="2217" spans="2:7" x14ac:dyDescent="0.35">
      <c r="B2217" s="46"/>
      <c r="C2217" s="46"/>
      <c r="D2217" s="46"/>
      <c r="E2217" s="46"/>
      <c r="F2217" s="46"/>
      <c r="G2217" s="79"/>
    </row>
    <row r="2218" spans="2:7" x14ac:dyDescent="0.35">
      <c r="B2218" s="46"/>
      <c r="C2218" s="46"/>
      <c r="D2218" s="46"/>
      <c r="E2218" s="46"/>
      <c r="F2218" s="46"/>
      <c r="G2218" s="79"/>
    </row>
    <row r="2219" spans="2:7" x14ac:dyDescent="0.35">
      <c r="B2219" s="46"/>
      <c r="C2219" s="46"/>
      <c r="D2219" s="46"/>
      <c r="E2219" s="46"/>
      <c r="F2219" s="46"/>
      <c r="G2219" s="79"/>
    </row>
    <row r="2220" spans="2:7" x14ac:dyDescent="0.35">
      <c r="B2220" s="46"/>
      <c r="C2220" s="46"/>
      <c r="D2220" s="46"/>
      <c r="E2220" s="46"/>
      <c r="F2220" s="46"/>
      <c r="G2220" s="79"/>
    </row>
    <row r="2221" spans="2:7" x14ac:dyDescent="0.35">
      <c r="B2221" s="46"/>
      <c r="C2221" s="46"/>
      <c r="D2221" s="46"/>
      <c r="E2221" s="46"/>
      <c r="F2221" s="46"/>
      <c r="G2221" s="79"/>
    </row>
    <row r="2222" spans="2:7" x14ac:dyDescent="0.35">
      <c r="B2222" s="46"/>
      <c r="C2222" s="46"/>
      <c r="D2222" s="46"/>
      <c r="E2222" s="46"/>
      <c r="F2222" s="46"/>
      <c r="G2222" s="79"/>
    </row>
    <row r="2223" spans="2:7" x14ac:dyDescent="0.35">
      <c r="B2223" s="46"/>
      <c r="C2223" s="46"/>
      <c r="D2223" s="46"/>
      <c r="E2223" s="46"/>
      <c r="F2223" s="46"/>
      <c r="G2223" s="79"/>
    </row>
    <row r="2224" spans="2:7" x14ac:dyDescent="0.35">
      <c r="B2224" s="46"/>
      <c r="C2224" s="46"/>
      <c r="D2224" s="46"/>
      <c r="E2224" s="46"/>
      <c r="F2224" s="46"/>
      <c r="G2224" s="79"/>
    </row>
    <row r="2225" spans="2:7" x14ac:dyDescent="0.35">
      <c r="B2225" s="46"/>
      <c r="C2225" s="46"/>
      <c r="D2225" s="46"/>
      <c r="E2225" s="46"/>
      <c r="F2225" s="46"/>
      <c r="G2225" s="79"/>
    </row>
    <row r="2226" spans="2:7" x14ac:dyDescent="0.35">
      <c r="B2226" s="46"/>
      <c r="C2226" s="46"/>
      <c r="D2226" s="46"/>
      <c r="E2226" s="46"/>
      <c r="F2226" s="46"/>
      <c r="G2226" s="79"/>
    </row>
    <row r="2227" spans="2:7" x14ac:dyDescent="0.35">
      <c r="B2227" s="46"/>
      <c r="C2227" s="46"/>
      <c r="D2227" s="46"/>
      <c r="E2227" s="46"/>
      <c r="F2227" s="46"/>
      <c r="G2227" s="79"/>
    </row>
    <row r="2228" spans="2:7" x14ac:dyDescent="0.35">
      <c r="B2228" s="46"/>
      <c r="C2228" s="46"/>
      <c r="D2228" s="46"/>
      <c r="E2228" s="46"/>
      <c r="F2228" s="46"/>
      <c r="G2228" s="79"/>
    </row>
    <row r="2229" spans="2:7" x14ac:dyDescent="0.35">
      <c r="B2229" s="46"/>
      <c r="C2229" s="46"/>
      <c r="D2229" s="46"/>
      <c r="E2229" s="46"/>
      <c r="F2229" s="46"/>
      <c r="G2229" s="79"/>
    </row>
    <row r="2230" spans="2:7" x14ac:dyDescent="0.35">
      <c r="B2230" s="46"/>
      <c r="C2230" s="46"/>
      <c r="D2230" s="46"/>
      <c r="E2230" s="46"/>
      <c r="F2230" s="46"/>
      <c r="G2230" s="79"/>
    </row>
    <row r="2231" spans="2:7" x14ac:dyDescent="0.35">
      <c r="B2231" s="46"/>
      <c r="C2231" s="46"/>
      <c r="D2231" s="46"/>
      <c r="E2231" s="46"/>
      <c r="F2231" s="46"/>
      <c r="G2231" s="79"/>
    </row>
    <row r="2232" spans="2:7" x14ac:dyDescent="0.35">
      <c r="B2232" s="46"/>
      <c r="C2232" s="46"/>
      <c r="D2232" s="46"/>
      <c r="E2232" s="46"/>
      <c r="F2232" s="46"/>
      <c r="G2232" s="79"/>
    </row>
    <row r="2233" spans="2:7" x14ac:dyDescent="0.35">
      <c r="B2233" s="46"/>
      <c r="C2233" s="46"/>
      <c r="D2233" s="46"/>
      <c r="E2233" s="46"/>
      <c r="F2233" s="46"/>
      <c r="G2233" s="79"/>
    </row>
    <row r="2234" spans="2:7" x14ac:dyDescent="0.35">
      <c r="B2234" s="46"/>
      <c r="C2234" s="46"/>
      <c r="D2234" s="46"/>
      <c r="E2234" s="46"/>
      <c r="F2234" s="46"/>
      <c r="G2234" s="79"/>
    </row>
    <row r="2235" spans="2:7" x14ac:dyDescent="0.35">
      <c r="B2235" s="46"/>
      <c r="C2235" s="46"/>
      <c r="D2235" s="46"/>
      <c r="E2235" s="46"/>
      <c r="F2235" s="46"/>
      <c r="G2235" s="79"/>
    </row>
    <row r="2236" spans="2:7" x14ac:dyDescent="0.35">
      <c r="B2236" s="46"/>
      <c r="C2236" s="46"/>
      <c r="D2236" s="46"/>
      <c r="E2236" s="46"/>
      <c r="F2236" s="46"/>
      <c r="G2236" s="79"/>
    </row>
    <row r="2237" spans="2:7" x14ac:dyDescent="0.35">
      <c r="B2237" s="46"/>
      <c r="C2237" s="46"/>
      <c r="D2237" s="46"/>
      <c r="E2237" s="46"/>
      <c r="F2237" s="46"/>
      <c r="G2237" s="79"/>
    </row>
    <row r="2238" spans="2:7" x14ac:dyDescent="0.35">
      <c r="B2238" s="46"/>
      <c r="C2238" s="46"/>
      <c r="D2238" s="46"/>
      <c r="E2238" s="46"/>
      <c r="F2238" s="46"/>
      <c r="G2238" s="79"/>
    </row>
    <row r="2239" spans="2:7" x14ac:dyDescent="0.35">
      <c r="B2239" s="46"/>
      <c r="C2239" s="46"/>
      <c r="D2239" s="46"/>
      <c r="E2239" s="46"/>
      <c r="F2239" s="46"/>
      <c r="G2239" s="79"/>
    </row>
    <row r="2240" spans="2:7" x14ac:dyDescent="0.35">
      <c r="B2240" s="46"/>
      <c r="C2240" s="46"/>
      <c r="D2240" s="46"/>
      <c r="E2240" s="46"/>
      <c r="F2240" s="46"/>
      <c r="G2240" s="79"/>
    </row>
    <row r="2241" spans="2:7" x14ac:dyDescent="0.35">
      <c r="B2241" s="46"/>
      <c r="C2241" s="46"/>
      <c r="D2241" s="46"/>
      <c r="E2241" s="46"/>
      <c r="F2241" s="46"/>
      <c r="G2241" s="79"/>
    </row>
    <row r="2242" spans="2:7" x14ac:dyDescent="0.35">
      <c r="B2242" s="46"/>
      <c r="C2242" s="46"/>
      <c r="D2242" s="46"/>
      <c r="E2242" s="46"/>
      <c r="F2242" s="46"/>
      <c r="G2242" s="79"/>
    </row>
    <row r="2243" spans="2:7" x14ac:dyDescent="0.35">
      <c r="B2243" s="46"/>
      <c r="C2243" s="46"/>
      <c r="D2243" s="46"/>
      <c r="E2243" s="46"/>
      <c r="F2243" s="46"/>
      <c r="G2243" s="79"/>
    </row>
    <row r="2244" spans="2:7" x14ac:dyDescent="0.35">
      <c r="B2244" s="46"/>
      <c r="C2244" s="46"/>
      <c r="D2244" s="46"/>
      <c r="E2244" s="46"/>
      <c r="F2244" s="46"/>
      <c r="G2244" s="79"/>
    </row>
    <row r="2245" spans="2:7" x14ac:dyDescent="0.35">
      <c r="B2245" s="46"/>
      <c r="C2245" s="46"/>
      <c r="D2245" s="46"/>
      <c r="E2245" s="46"/>
      <c r="F2245" s="46"/>
      <c r="G2245" s="79"/>
    </row>
    <row r="2246" spans="2:7" x14ac:dyDescent="0.35">
      <c r="B2246" s="46"/>
      <c r="C2246" s="46"/>
      <c r="D2246" s="46"/>
      <c r="E2246" s="46"/>
      <c r="F2246" s="46"/>
      <c r="G2246" s="79"/>
    </row>
    <row r="2247" spans="2:7" x14ac:dyDescent="0.35">
      <c r="B2247" s="46"/>
      <c r="C2247" s="46"/>
      <c r="D2247" s="46"/>
      <c r="E2247" s="46"/>
      <c r="F2247" s="46"/>
      <c r="G2247" s="79"/>
    </row>
    <row r="2248" spans="2:7" x14ac:dyDescent="0.35">
      <c r="B2248" s="46"/>
      <c r="C2248" s="46"/>
      <c r="D2248" s="46"/>
      <c r="E2248" s="46"/>
      <c r="F2248" s="46"/>
      <c r="G2248" s="79"/>
    </row>
    <row r="2249" spans="2:7" x14ac:dyDescent="0.35">
      <c r="B2249" s="46"/>
      <c r="C2249" s="46"/>
      <c r="D2249" s="46"/>
      <c r="E2249" s="46"/>
      <c r="F2249" s="46"/>
      <c r="G2249" s="79"/>
    </row>
    <row r="2250" spans="2:7" x14ac:dyDescent="0.35">
      <c r="B2250" s="46"/>
      <c r="C2250" s="46"/>
      <c r="D2250" s="46"/>
      <c r="E2250" s="46"/>
      <c r="F2250" s="46"/>
      <c r="G2250" s="79"/>
    </row>
    <row r="2251" spans="2:7" x14ac:dyDescent="0.35">
      <c r="B2251" s="46"/>
      <c r="C2251" s="46"/>
      <c r="D2251" s="46"/>
      <c r="E2251" s="46"/>
      <c r="F2251" s="46"/>
      <c r="G2251" s="79"/>
    </row>
    <row r="2252" spans="2:7" x14ac:dyDescent="0.35">
      <c r="B2252" s="46"/>
      <c r="C2252" s="46"/>
      <c r="D2252" s="46"/>
      <c r="E2252" s="46"/>
      <c r="F2252" s="46"/>
      <c r="G2252" s="79"/>
    </row>
    <row r="2253" spans="2:7" x14ac:dyDescent="0.35">
      <c r="B2253" s="46"/>
      <c r="C2253" s="46"/>
      <c r="D2253" s="46"/>
      <c r="E2253" s="46"/>
      <c r="F2253" s="46"/>
      <c r="G2253" s="79"/>
    </row>
    <row r="2254" spans="2:7" x14ac:dyDescent="0.35">
      <c r="B2254" s="46"/>
      <c r="C2254" s="46"/>
      <c r="D2254" s="46"/>
      <c r="E2254" s="46"/>
      <c r="F2254" s="46"/>
      <c r="G2254" s="79"/>
    </row>
    <row r="2255" spans="2:7" x14ac:dyDescent="0.35">
      <c r="B2255" s="46"/>
      <c r="C2255" s="46"/>
      <c r="D2255" s="46"/>
      <c r="E2255" s="46"/>
      <c r="F2255" s="46"/>
      <c r="G2255" s="79"/>
    </row>
    <row r="2256" spans="2:7" x14ac:dyDescent="0.35">
      <c r="B2256" s="46"/>
      <c r="C2256" s="46"/>
      <c r="D2256" s="46"/>
      <c r="E2256" s="46"/>
      <c r="F2256" s="46"/>
      <c r="G2256" s="79"/>
    </row>
    <row r="2257" spans="2:7" x14ac:dyDescent="0.35">
      <c r="B2257" s="46"/>
      <c r="C2257" s="46"/>
      <c r="D2257" s="46"/>
      <c r="E2257" s="46"/>
      <c r="F2257" s="46"/>
      <c r="G2257" s="79"/>
    </row>
    <row r="2258" spans="2:7" x14ac:dyDescent="0.35">
      <c r="B2258" s="46"/>
      <c r="C2258" s="46"/>
      <c r="D2258" s="46"/>
      <c r="E2258" s="46"/>
      <c r="F2258" s="46"/>
      <c r="G2258" s="79"/>
    </row>
    <row r="2259" spans="2:7" x14ac:dyDescent="0.35">
      <c r="B2259" s="46"/>
      <c r="C2259" s="46"/>
      <c r="D2259" s="46"/>
      <c r="E2259" s="46"/>
      <c r="F2259" s="46"/>
      <c r="G2259" s="79"/>
    </row>
    <row r="2260" spans="2:7" x14ac:dyDescent="0.35">
      <c r="B2260" s="46"/>
      <c r="C2260" s="46"/>
      <c r="D2260" s="46"/>
      <c r="E2260" s="46"/>
      <c r="F2260" s="46"/>
      <c r="G2260" s="79"/>
    </row>
    <row r="2261" spans="2:7" x14ac:dyDescent="0.35">
      <c r="B2261" s="46"/>
      <c r="C2261" s="46"/>
      <c r="D2261" s="46"/>
      <c r="E2261" s="46"/>
      <c r="F2261" s="46"/>
      <c r="G2261" s="79"/>
    </row>
    <row r="2262" spans="2:7" x14ac:dyDescent="0.35">
      <c r="B2262" s="46"/>
      <c r="C2262" s="46"/>
      <c r="D2262" s="46"/>
      <c r="E2262" s="46"/>
      <c r="F2262" s="46"/>
      <c r="G2262" s="79"/>
    </row>
    <row r="2263" spans="2:7" x14ac:dyDescent="0.35">
      <c r="B2263" s="46"/>
      <c r="C2263" s="46"/>
      <c r="D2263" s="46"/>
      <c r="E2263" s="46"/>
      <c r="F2263" s="46"/>
      <c r="G2263" s="79"/>
    </row>
    <row r="2264" spans="2:7" x14ac:dyDescent="0.35">
      <c r="B2264" s="46"/>
      <c r="C2264" s="46"/>
      <c r="D2264" s="46"/>
      <c r="E2264" s="46"/>
      <c r="F2264" s="46"/>
      <c r="G2264" s="79"/>
    </row>
    <row r="2265" spans="2:7" x14ac:dyDescent="0.35">
      <c r="B2265" s="46"/>
      <c r="C2265" s="46"/>
      <c r="D2265" s="46"/>
      <c r="E2265" s="46"/>
      <c r="F2265" s="46"/>
      <c r="G2265" s="79"/>
    </row>
    <row r="2266" spans="2:7" x14ac:dyDescent="0.35">
      <c r="B2266" s="46"/>
      <c r="C2266" s="46"/>
      <c r="D2266" s="46"/>
      <c r="E2266" s="46"/>
      <c r="F2266" s="46"/>
      <c r="G2266" s="79"/>
    </row>
    <row r="2267" spans="2:7" x14ac:dyDescent="0.35">
      <c r="B2267" s="46"/>
      <c r="C2267" s="46"/>
      <c r="D2267" s="46"/>
      <c r="E2267" s="46"/>
      <c r="F2267" s="46"/>
      <c r="G2267" s="79"/>
    </row>
    <row r="2268" spans="2:7" x14ac:dyDescent="0.35">
      <c r="B2268" s="46"/>
      <c r="C2268" s="46"/>
      <c r="D2268" s="46"/>
      <c r="E2268" s="46"/>
      <c r="F2268" s="46"/>
      <c r="G2268" s="79"/>
    </row>
    <row r="2269" spans="2:7" x14ac:dyDescent="0.35">
      <c r="B2269" s="46"/>
      <c r="C2269" s="46"/>
      <c r="D2269" s="46"/>
      <c r="E2269" s="46"/>
      <c r="F2269" s="46"/>
      <c r="G2269" s="79"/>
    </row>
    <row r="2270" spans="2:7" x14ac:dyDescent="0.35">
      <c r="B2270" s="46"/>
      <c r="C2270" s="46"/>
      <c r="D2270" s="46"/>
      <c r="E2270" s="46"/>
      <c r="F2270" s="46"/>
      <c r="G2270" s="79"/>
    </row>
    <row r="2271" spans="2:7" x14ac:dyDescent="0.35">
      <c r="B2271" s="46"/>
      <c r="C2271" s="46"/>
      <c r="D2271" s="46"/>
      <c r="E2271" s="46"/>
      <c r="F2271" s="46"/>
      <c r="G2271" s="79"/>
    </row>
    <row r="2272" spans="2:7" x14ac:dyDescent="0.35">
      <c r="B2272" s="46"/>
      <c r="C2272" s="46"/>
      <c r="D2272" s="46"/>
      <c r="E2272" s="46"/>
      <c r="F2272" s="46"/>
      <c r="G2272" s="79"/>
    </row>
    <row r="2273" spans="2:7" x14ac:dyDescent="0.35">
      <c r="B2273" s="46"/>
      <c r="C2273" s="46"/>
      <c r="D2273" s="46"/>
      <c r="E2273" s="46"/>
      <c r="F2273" s="46"/>
      <c r="G2273" s="79"/>
    </row>
    <row r="2274" spans="2:7" x14ac:dyDescent="0.35">
      <c r="B2274" s="46"/>
      <c r="C2274" s="46"/>
      <c r="D2274" s="46"/>
      <c r="E2274" s="46"/>
      <c r="F2274" s="46"/>
      <c r="G2274" s="79"/>
    </row>
    <row r="2275" spans="2:7" x14ac:dyDescent="0.35">
      <c r="B2275" s="46"/>
      <c r="C2275" s="46"/>
      <c r="D2275" s="46"/>
      <c r="E2275" s="46"/>
      <c r="F2275" s="46"/>
      <c r="G2275" s="79"/>
    </row>
    <row r="2276" spans="2:7" x14ac:dyDescent="0.35">
      <c r="B2276" s="46"/>
      <c r="C2276" s="46"/>
      <c r="D2276" s="46"/>
      <c r="E2276" s="46"/>
      <c r="F2276" s="46"/>
      <c r="G2276" s="79"/>
    </row>
    <row r="2277" spans="2:7" x14ac:dyDescent="0.35">
      <c r="B2277" s="46"/>
      <c r="C2277" s="46"/>
      <c r="D2277" s="46"/>
      <c r="E2277" s="46"/>
      <c r="F2277" s="46"/>
      <c r="G2277" s="79"/>
    </row>
    <row r="2278" spans="2:7" x14ac:dyDescent="0.35">
      <c r="B2278" s="46"/>
      <c r="C2278" s="46"/>
      <c r="D2278" s="46"/>
      <c r="E2278" s="46"/>
      <c r="F2278" s="46"/>
      <c r="G2278" s="79"/>
    </row>
    <row r="2279" spans="2:7" x14ac:dyDescent="0.35">
      <c r="B2279" s="46"/>
      <c r="C2279" s="46"/>
      <c r="D2279" s="46"/>
      <c r="E2279" s="46"/>
      <c r="F2279" s="46"/>
      <c r="G2279" s="79"/>
    </row>
    <row r="2280" spans="2:7" x14ac:dyDescent="0.35">
      <c r="B2280" s="46"/>
      <c r="C2280" s="46"/>
      <c r="D2280" s="46"/>
      <c r="E2280" s="46"/>
      <c r="F2280" s="46"/>
      <c r="G2280" s="79"/>
    </row>
    <row r="2281" spans="2:7" x14ac:dyDescent="0.35">
      <c r="B2281" s="46"/>
      <c r="C2281" s="46"/>
      <c r="D2281" s="46"/>
      <c r="E2281" s="46"/>
      <c r="F2281" s="46"/>
      <c r="G2281" s="79"/>
    </row>
    <row r="2282" spans="2:7" x14ac:dyDescent="0.35">
      <c r="B2282" s="46"/>
      <c r="C2282" s="46"/>
      <c r="D2282" s="46"/>
      <c r="E2282" s="46"/>
      <c r="F2282" s="46"/>
      <c r="G2282" s="79"/>
    </row>
    <row r="2283" spans="2:7" x14ac:dyDescent="0.35">
      <c r="B2283" s="46"/>
      <c r="C2283" s="46"/>
      <c r="D2283" s="46"/>
      <c r="E2283" s="46"/>
      <c r="F2283" s="46"/>
      <c r="G2283" s="79"/>
    </row>
    <row r="2284" spans="2:7" x14ac:dyDescent="0.35">
      <c r="B2284" s="46"/>
      <c r="C2284" s="46"/>
      <c r="D2284" s="46"/>
      <c r="E2284" s="46"/>
      <c r="F2284" s="46"/>
      <c r="G2284" s="79"/>
    </row>
    <row r="2285" spans="2:7" x14ac:dyDescent="0.35">
      <c r="B2285" s="46"/>
      <c r="C2285" s="46"/>
      <c r="D2285" s="46"/>
      <c r="E2285" s="46"/>
      <c r="F2285" s="46"/>
      <c r="G2285" s="79"/>
    </row>
    <row r="2286" spans="2:7" x14ac:dyDescent="0.35">
      <c r="B2286" s="46"/>
      <c r="C2286" s="46"/>
      <c r="D2286" s="46"/>
      <c r="E2286" s="46"/>
      <c r="F2286" s="46"/>
      <c r="G2286" s="79"/>
    </row>
    <row r="2287" spans="2:7" x14ac:dyDescent="0.35">
      <c r="B2287" s="46"/>
      <c r="C2287" s="46"/>
      <c r="D2287" s="46"/>
      <c r="E2287" s="46"/>
      <c r="F2287" s="46"/>
      <c r="G2287" s="79"/>
    </row>
    <row r="2288" spans="2:7" x14ac:dyDescent="0.35">
      <c r="B2288" s="46"/>
      <c r="C2288" s="46"/>
      <c r="D2288" s="46"/>
      <c r="E2288" s="46"/>
      <c r="F2288" s="46"/>
      <c r="G2288" s="79"/>
    </row>
    <row r="2289" spans="2:7" x14ac:dyDescent="0.35">
      <c r="B2289" s="46"/>
      <c r="C2289" s="46"/>
      <c r="D2289" s="46"/>
      <c r="E2289" s="46"/>
      <c r="F2289" s="46"/>
      <c r="G2289" s="79"/>
    </row>
    <row r="2290" spans="2:7" x14ac:dyDescent="0.35">
      <c r="B2290" s="46"/>
      <c r="C2290" s="46"/>
      <c r="D2290" s="46"/>
      <c r="E2290" s="46"/>
      <c r="F2290" s="46"/>
      <c r="G2290" s="79"/>
    </row>
    <row r="2291" spans="2:7" x14ac:dyDescent="0.35">
      <c r="B2291" s="46"/>
      <c r="C2291" s="46"/>
      <c r="D2291" s="46"/>
      <c r="E2291" s="46"/>
      <c r="F2291" s="46"/>
      <c r="G2291" s="79"/>
    </row>
    <row r="2292" spans="2:7" x14ac:dyDescent="0.35">
      <c r="B2292" s="46"/>
      <c r="C2292" s="46"/>
      <c r="D2292" s="46"/>
      <c r="E2292" s="46"/>
      <c r="F2292" s="46"/>
      <c r="G2292" s="79"/>
    </row>
    <row r="2293" spans="2:7" x14ac:dyDescent="0.35">
      <c r="B2293" s="46"/>
      <c r="C2293" s="46"/>
      <c r="D2293" s="46"/>
      <c r="E2293" s="46"/>
      <c r="F2293" s="46"/>
      <c r="G2293" s="79"/>
    </row>
    <row r="2294" spans="2:7" x14ac:dyDescent="0.35">
      <c r="B2294" s="46"/>
      <c r="C2294" s="46"/>
      <c r="D2294" s="46"/>
      <c r="E2294" s="46"/>
      <c r="F2294" s="46"/>
      <c r="G2294" s="79"/>
    </row>
    <row r="2295" spans="2:7" x14ac:dyDescent="0.35">
      <c r="B2295" s="46"/>
      <c r="C2295" s="46"/>
      <c r="D2295" s="46"/>
      <c r="E2295" s="46"/>
      <c r="F2295" s="46"/>
      <c r="G2295" s="79"/>
    </row>
    <row r="2296" spans="2:7" x14ac:dyDescent="0.35">
      <c r="B2296" s="46"/>
      <c r="C2296" s="46"/>
      <c r="D2296" s="46"/>
      <c r="E2296" s="46"/>
      <c r="F2296" s="46"/>
      <c r="G2296" s="79"/>
    </row>
    <row r="2297" spans="2:7" x14ac:dyDescent="0.35">
      <c r="B2297" s="46"/>
      <c r="C2297" s="46"/>
      <c r="D2297" s="46"/>
      <c r="E2297" s="46"/>
      <c r="F2297" s="46"/>
      <c r="G2297" s="79"/>
    </row>
    <row r="2298" spans="2:7" x14ac:dyDescent="0.35">
      <c r="B2298" s="46"/>
      <c r="C2298" s="46"/>
      <c r="D2298" s="46"/>
      <c r="E2298" s="46"/>
      <c r="F2298" s="46"/>
      <c r="G2298" s="79"/>
    </row>
    <row r="2299" spans="2:7" x14ac:dyDescent="0.35">
      <c r="B2299" s="46"/>
      <c r="C2299" s="46"/>
      <c r="D2299" s="46"/>
      <c r="E2299" s="46"/>
      <c r="F2299" s="46"/>
      <c r="G2299" s="79"/>
    </row>
    <row r="2300" spans="2:7" x14ac:dyDescent="0.35">
      <c r="B2300" s="46"/>
      <c r="C2300" s="46"/>
      <c r="D2300" s="46"/>
      <c r="E2300" s="46"/>
      <c r="F2300" s="46"/>
      <c r="G2300" s="79"/>
    </row>
    <row r="2301" spans="2:7" x14ac:dyDescent="0.35">
      <c r="B2301" s="46"/>
      <c r="C2301" s="46"/>
      <c r="D2301" s="46"/>
      <c r="E2301" s="46"/>
      <c r="F2301" s="46"/>
      <c r="G2301" s="79"/>
    </row>
    <row r="2302" spans="2:7" x14ac:dyDescent="0.35">
      <c r="B2302" s="46"/>
      <c r="C2302" s="46"/>
      <c r="D2302" s="46"/>
      <c r="E2302" s="46"/>
      <c r="F2302" s="46"/>
      <c r="G2302" s="79"/>
    </row>
    <row r="2303" spans="2:7" x14ac:dyDescent="0.35">
      <c r="B2303" s="46"/>
      <c r="C2303" s="46"/>
      <c r="D2303" s="46"/>
      <c r="E2303" s="46"/>
      <c r="F2303" s="46"/>
      <c r="G2303" s="79"/>
    </row>
    <row r="2304" spans="2:7" x14ac:dyDescent="0.35">
      <c r="B2304" s="46"/>
      <c r="C2304" s="46"/>
      <c r="D2304" s="46"/>
      <c r="E2304" s="46"/>
      <c r="F2304" s="46"/>
      <c r="G2304" s="79"/>
    </row>
    <row r="2305" spans="2:7" x14ac:dyDescent="0.35">
      <c r="B2305" s="46"/>
      <c r="C2305" s="46"/>
      <c r="D2305" s="46"/>
      <c r="E2305" s="46"/>
      <c r="F2305" s="46"/>
      <c r="G2305" s="79"/>
    </row>
    <row r="2306" spans="2:7" x14ac:dyDescent="0.35">
      <c r="B2306" s="46"/>
      <c r="C2306" s="46"/>
      <c r="D2306" s="46"/>
      <c r="E2306" s="46"/>
      <c r="F2306" s="46"/>
      <c r="G2306" s="79"/>
    </row>
    <row r="2307" spans="2:7" x14ac:dyDescent="0.35">
      <c r="B2307" s="46"/>
      <c r="C2307" s="46"/>
      <c r="D2307" s="46"/>
      <c r="E2307" s="46"/>
      <c r="F2307" s="46"/>
      <c r="G2307" s="79"/>
    </row>
    <row r="2308" spans="2:7" x14ac:dyDescent="0.35">
      <c r="B2308" s="46"/>
      <c r="C2308" s="46"/>
      <c r="D2308" s="46"/>
      <c r="E2308" s="46"/>
      <c r="F2308" s="46"/>
      <c r="G2308" s="79"/>
    </row>
    <row r="2309" spans="2:7" x14ac:dyDescent="0.35">
      <c r="B2309" s="46"/>
      <c r="C2309" s="46"/>
      <c r="D2309" s="46"/>
      <c r="E2309" s="46"/>
      <c r="F2309" s="46"/>
      <c r="G2309" s="79"/>
    </row>
    <row r="2310" spans="2:7" x14ac:dyDescent="0.35">
      <c r="B2310" s="46"/>
      <c r="C2310" s="46"/>
      <c r="D2310" s="46"/>
      <c r="E2310" s="46"/>
      <c r="F2310" s="46"/>
      <c r="G2310" s="79"/>
    </row>
    <row r="2311" spans="2:7" x14ac:dyDescent="0.35">
      <c r="B2311" s="46"/>
      <c r="C2311" s="46"/>
      <c r="D2311" s="46"/>
      <c r="E2311" s="46"/>
      <c r="F2311" s="46"/>
      <c r="G2311" s="79"/>
    </row>
    <row r="2312" spans="2:7" x14ac:dyDescent="0.35">
      <c r="B2312" s="46"/>
      <c r="C2312" s="46"/>
      <c r="D2312" s="46"/>
      <c r="E2312" s="46"/>
      <c r="F2312" s="46"/>
      <c r="G2312" s="79"/>
    </row>
    <row r="2313" spans="2:7" x14ac:dyDescent="0.35">
      <c r="B2313" s="46"/>
      <c r="C2313" s="46"/>
      <c r="D2313" s="46"/>
      <c r="E2313" s="46"/>
      <c r="F2313" s="46"/>
      <c r="G2313" s="79"/>
    </row>
    <row r="2314" spans="2:7" x14ac:dyDescent="0.35">
      <c r="B2314" s="46"/>
      <c r="C2314" s="46"/>
      <c r="D2314" s="46"/>
      <c r="E2314" s="46"/>
      <c r="F2314" s="46"/>
      <c r="G2314" s="79"/>
    </row>
    <row r="2315" spans="2:7" x14ac:dyDescent="0.35">
      <c r="B2315" s="46"/>
      <c r="C2315" s="46"/>
      <c r="D2315" s="46"/>
      <c r="E2315" s="46"/>
      <c r="F2315" s="46"/>
      <c r="G2315" s="79"/>
    </row>
    <row r="2316" spans="2:7" x14ac:dyDescent="0.35">
      <c r="B2316" s="46"/>
      <c r="C2316" s="46"/>
      <c r="D2316" s="46"/>
      <c r="E2316" s="46"/>
      <c r="F2316" s="46"/>
      <c r="G2316" s="79"/>
    </row>
    <row r="2317" spans="2:7" x14ac:dyDescent="0.35">
      <c r="B2317" s="46"/>
      <c r="C2317" s="46"/>
      <c r="D2317" s="46"/>
      <c r="E2317" s="46"/>
      <c r="F2317" s="46"/>
      <c r="G2317" s="79"/>
    </row>
    <row r="2318" spans="2:7" x14ac:dyDescent="0.35">
      <c r="B2318" s="46"/>
      <c r="C2318" s="46"/>
      <c r="D2318" s="46"/>
      <c r="E2318" s="46"/>
      <c r="F2318" s="46"/>
      <c r="G2318" s="79"/>
    </row>
    <row r="2319" spans="2:7" x14ac:dyDescent="0.35">
      <c r="B2319" s="46"/>
      <c r="C2319" s="46"/>
      <c r="D2319" s="46"/>
      <c r="E2319" s="46"/>
      <c r="F2319" s="46"/>
      <c r="G2319" s="79"/>
    </row>
    <row r="2320" spans="2:7" x14ac:dyDescent="0.35">
      <c r="B2320" s="46"/>
      <c r="C2320" s="46"/>
      <c r="D2320" s="46"/>
      <c r="E2320" s="46"/>
      <c r="F2320" s="46"/>
      <c r="G2320" s="79"/>
    </row>
    <row r="2321" spans="2:7" x14ac:dyDescent="0.35">
      <c r="B2321" s="46"/>
      <c r="C2321" s="46"/>
      <c r="D2321" s="46"/>
      <c r="E2321" s="46"/>
      <c r="F2321" s="46"/>
      <c r="G2321" s="79"/>
    </row>
    <row r="2322" spans="2:7" x14ac:dyDescent="0.35">
      <c r="B2322" s="46"/>
      <c r="C2322" s="46"/>
      <c r="D2322" s="46"/>
      <c r="E2322" s="46"/>
      <c r="F2322" s="46"/>
      <c r="G2322" s="79"/>
    </row>
    <row r="2323" spans="2:7" x14ac:dyDescent="0.35">
      <c r="B2323" s="46"/>
      <c r="C2323" s="46"/>
      <c r="D2323" s="46"/>
      <c r="E2323" s="46"/>
      <c r="F2323" s="46"/>
      <c r="G2323" s="79"/>
    </row>
    <row r="2324" spans="2:7" x14ac:dyDescent="0.35">
      <c r="B2324" s="46"/>
      <c r="C2324" s="46"/>
      <c r="D2324" s="46"/>
      <c r="E2324" s="46"/>
      <c r="F2324" s="46"/>
      <c r="G2324" s="79"/>
    </row>
    <row r="2325" spans="2:7" x14ac:dyDescent="0.35">
      <c r="B2325" s="46"/>
      <c r="C2325" s="46"/>
      <c r="D2325" s="46"/>
      <c r="E2325" s="46"/>
      <c r="F2325" s="46"/>
      <c r="G2325" s="79"/>
    </row>
    <row r="2326" spans="2:7" x14ac:dyDescent="0.35">
      <c r="B2326" s="46"/>
      <c r="C2326" s="46"/>
      <c r="D2326" s="46"/>
      <c r="E2326" s="46"/>
      <c r="F2326" s="46"/>
      <c r="G2326" s="79"/>
    </row>
    <row r="2327" spans="2:7" x14ac:dyDescent="0.35">
      <c r="B2327" s="46"/>
      <c r="C2327" s="46"/>
      <c r="D2327" s="46"/>
      <c r="E2327" s="46"/>
      <c r="F2327" s="46"/>
      <c r="G2327" s="79"/>
    </row>
    <row r="2328" spans="2:7" x14ac:dyDescent="0.35">
      <c r="B2328" s="46"/>
      <c r="C2328" s="46"/>
      <c r="D2328" s="46"/>
      <c r="E2328" s="46"/>
      <c r="F2328" s="46"/>
      <c r="G2328" s="79"/>
    </row>
    <row r="2329" spans="2:7" x14ac:dyDescent="0.35">
      <c r="B2329" s="46"/>
      <c r="C2329" s="46"/>
      <c r="D2329" s="46"/>
      <c r="E2329" s="46"/>
      <c r="F2329" s="46"/>
      <c r="G2329" s="79"/>
    </row>
    <row r="2330" spans="2:7" x14ac:dyDescent="0.35">
      <c r="B2330" s="46"/>
      <c r="C2330" s="46"/>
      <c r="D2330" s="46"/>
      <c r="E2330" s="46"/>
      <c r="F2330" s="46"/>
      <c r="G2330" s="79"/>
    </row>
    <row r="2331" spans="2:7" x14ac:dyDescent="0.35">
      <c r="B2331" s="46"/>
      <c r="C2331" s="46"/>
      <c r="D2331" s="46"/>
      <c r="E2331" s="46"/>
      <c r="F2331" s="46"/>
      <c r="G2331" s="79"/>
    </row>
    <row r="2332" spans="2:7" x14ac:dyDescent="0.35">
      <c r="B2332" s="46"/>
      <c r="C2332" s="46"/>
      <c r="D2332" s="46"/>
      <c r="E2332" s="46"/>
      <c r="F2332" s="46"/>
      <c r="G2332" s="79"/>
    </row>
    <row r="2333" spans="2:7" x14ac:dyDescent="0.35">
      <c r="B2333" s="46"/>
      <c r="C2333" s="46"/>
      <c r="D2333" s="46"/>
      <c r="E2333" s="46"/>
      <c r="F2333" s="46"/>
      <c r="G2333" s="79"/>
    </row>
    <row r="2334" spans="2:7" x14ac:dyDescent="0.35">
      <c r="B2334" s="46"/>
      <c r="C2334" s="46"/>
      <c r="D2334" s="46"/>
      <c r="E2334" s="46"/>
      <c r="F2334" s="46"/>
      <c r="G2334" s="79"/>
    </row>
    <row r="2335" spans="2:7" x14ac:dyDescent="0.35">
      <c r="B2335" s="46"/>
      <c r="C2335" s="46"/>
      <c r="D2335" s="46"/>
      <c r="E2335" s="46"/>
      <c r="F2335" s="46"/>
      <c r="G2335" s="79"/>
    </row>
    <row r="2336" spans="2:7" x14ac:dyDescent="0.35">
      <c r="B2336" s="46"/>
      <c r="C2336" s="46"/>
      <c r="D2336" s="46"/>
      <c r="E2336" s="46"/>
      <c r="F2336" s="46"/>
      <c r="G2336" s="79"/>
    </row>
    <row r="2337" spans="2:7" x14ac:dyDescent="0.35">
      <c r="B2337" s="46"/>
      <c r="C2337" s="46"/>
      <c r="D2337" s="46"/>
      <c r="E2337" s="46"/>
      <c r="F2337" s="46"/>
      <c r="G2337" s="79"/>
    </row>
    <row r="2338" spans="2:7" x14ac:dyDescent="0.35">
      <c r="B2338" s="46"/>
      <c r="C2338" s="46"/>
      <c r="D2338" s="46"/>
      <c r="E2338" s="46"/>
      <c r="F2338" s="46"/>
      <c r="G2338" s="79"/>
    </row>
    <row r="2339" spans="2:7" x14ac:dyDescent="0.35">
      <c r="B2339" s="46"/>
      <c r="C2339" s="46"/>
      <c r="D2339" s="46"/>
      <c r="E2339" s="46"/>
      <c r="F2339" s="46"/>
      <c r="G2339" s="79"/>
    </row>
    <row r="2340" spans="2:7" x14ac:dyDescent="0.35">
      <c r="B2340" s="46"/>
      <c r="C2340" s="46"/>
      <c r="D2340" s="46"/>
      <c r="E2340" s="46"/>
      <c r="F2340" s="46"/>
      <c r="G2340" s="79"/>
    </row>
    <row r="2341" spans="2:7" x14ac:dyDescent="0.35">
      <c r="B2341" s="46"/>
      <c r="C2341" s="46"/>
      <c r="D2341" s="46"/>
      <c r="E2341" s="46"/>
      <c r="F2341" s="46"/>
      <c r="G2341" s="79"/>
    </row>
    <row r="2342" spans="2:7" x14ac:dyDescent="0.35">
      <c r="B2342" s="46"/>
      <c r="C2342" s="46"/>
      <c r="D2342" s="46"/>
      <c r="E2342" s="46"/>
      <c r="F2342" s="46"/>
      <c r="G2342" s="79"/>
    </row>
    <row r="2343" spans="2:7" x14ac:dyDescent="0.35">
      <c r="B2343" s="46"/>
      <c r="C2343" s="46"/>
      <c r="D2343" s="46"/>
      <c r="E2343" s="46"/>
      <c r="F2343" s="46"/>
      <c r="G2343" s="79"/>
    </row>
    <row r="2344" spans="2:7" x14ac:dyDescent="0.35">
      <c r="B2344" s="46"/>
      <c r="C2344" s="46"/>
      <c r="D2344" s="46"/>
      <c r="E2344" s="46"/>
      <c r="F2344" s="46"/>
      <c r="G2344" s="79"/>
    </row>
    <row r="2345" spans="2:7" x14ac:dyDescent="0.35">
      <c r="B2345" s="46"/>
      <c r="C2345" s="46"/>
      <c r="D2345" s="46"/>
      <c r="E2345" s="46"/>
      <c r="F2345" s="46"/>
      <c r="G2345" s="79"/>
    </row>
    <row r="2346" spans="2:7" x14ac:dyDescent="0.35">
      <c r="B2346" s="46"/>
      <c r="C2346" s="46"/>
      <c r="D2346" s="46"/>
      <c r="E2346" s="46"/>
      <c r="F2346" s="46"/>
      <c r="G2346" s="79"/>
    </row>
    <row r="2347" spans="2:7" x14ac:dyDescent="0.35">
      <c r="B2347" s="46"/>
      <c r="C2347" s="46"/>
      <c r="D2347" s="46"/>
      <c r="E2347" s="46"/>
      <c r="F2347" s="46"/>
      <c r="G2347" s="79"/>
    </row>
    <row r="2348" spans="2:7" x14ac:dyDescent="0.35">
      <c r="B2348" s="46"/>
      <c r="C2348" s="46"/>
      <c r="D2348" s="46"/>
      <c r="E2348" s="46"/>
      <c r="F2348" s="46"/>
      <c r="G2348" s="79"/>
    </row>
    <row r="2349" spans="2:7" x14ac:dyDescent="0.35">
      <c r="B2349" s="46"/>
      <c r="C2349" s="46"/>
      <c r="D2349" s="46"/>
      <c r="E2349" s="46"/>
      <c r="F2349" s="46"/>
      <c r="G2349" s="79"/>
    </row>
    <row r="2350" spans="2:7" x14ac:dyDescent="0.35">
      <c r="B2350" s="46"/>
      <c r="C2350" s="46"/>
      <c r="D2350" s="46"/>
      <c r="E2350" s="46"/>
      <c r="F2350" s="46"/>
      <c r="G2350" s="79"/>
    </row>
    <row r="2351" spans="2:7" x14ac:dyDescent="0.35">
      <c r="B2351" s="46"/>
      <c r="C2351" s="46"/>
      <c r="D2351" s="46"/>
      <c r="E2351" s="46"/>
      <c r="F2351" s="46"/>
      <c r="G2351" s="79"/>
    </row>
    <row r="2352" spans="2:7" x14ac:dyDescent="0.35">
      <c r="B2352" s="46"/>
      <c r="C2352" s="46"/>
      <c r="D2352" s="46"/>
      <c r="E2352" s="46"/>
      <c r="F2352" s="46"/>
      <c r="G2352" s="79"/>
    </row>
    <row r="2353" spans="2:7" x14ac:dyDescent="0.35">
      <c r="B2353" s="46"/>
      <c r="C2353" s="46"/>
      <c r="D2353" s="46"/>
      <c r="E2353" s="46"/>
      <c r="F2353" s="46"/>
      <c r="G2353" s="79"/>
    </row>
    <row r="2354" spans="2:7" x14ac:dyDescent="0.35">
      <c r="B2354" s="46"/>
      <c r="C2354" s="46"/>
      <c r="D2354" s="46"/>
      <c r="E2354" s="46"/>
      <c r="F2354" s="46"/>
      <c r="G2354" s="79"/>
    </row>
    <row r="2355" spans="2:7" x14ac:dyDescent="0.35">
      <c r="B2355" s="46"/>
      <c r="C2355" s="46"/>
      <c r="D2355" s="46"/>
      <c r="E2355" s="46"/>
      <c r="F2355" s="46"/>
      <c r="G2355" s="79"/>
    </row>
    <row r="2356" spans="2:7" x14ac:dyDescent="0.35">
      <c r="B2356" s="46"/>
      <c r="C2356" s="46"/>
      <c r="D2356" s="46"/>
      <c r="E2356" s="46"/>
      <c r="F2356" s="46"/>
      <c r="G2356" s="79"/>
    </row>
    <row r="2357" spans="2:7" x14ac:dyDescent="0.35">
      <c r="B2357" s="46"/>
      <c r="C2357" s="46"/>
      <c r="D2357" s="46"/>
      <c r="E2357" s="46"/>
      <c r="F2357" s="46"/>
      <c r="G2357" s="79"/>
    </row>
    <row r="2358" spans="2:7" x14ac:dyDescent="0.35">
      <c r="B2358" s="46"/>
      <c r="C2358" s="46"/>
      <c r="D2358" s="46"/>
      <c r="E2358" s="46"/>
      <c r="F2358" s="46"/>
      <c r="G2358" s="79"/>
    </row>
    <row r="2359" spans="2:7" x14ac:dyDescent="0.35">
      <c r="B2359" s="46"/>
      <c r="C2359" s="46"/>
      <c r="D2359" s="46"/>
      <c r="E2359" s="46"/>
      <c r="F2359" s="46"/>
      <c r="G2359" s="79"/>
    </row>
    <row r="2360" spans="2:7" x14ac:dyDescent="0.35">
      <c r="B2360" s="46"/>
      <c r="C2360" s="46"/>
      <c r="D2360" s="46"/>
      <c r="E2360" s="46"/>
      <c r="F2360" s="46"/>
      <c r="G2360" s="79"/>
    </row>
    <row r="2361" spans="2:7" x14ac:dyDescent="0.35">
      <c r="B2361" s="46"/>
      <c r="C2361" s="46"/>
      <c r="D2361" s="46"/>
      <c r="E2361" s="46"/>
      <c r="F2361" s="46"/>
      <c r="G2361" s="79"/>
    </row>
    <row r="2362" spans="2:7" x14ac:dyDescent="0.35">
      <c r="B2362" s="46"/>
      <c r="C2362" s="46"/>
      <c r="D2362" s="46"/>
      <c r="E2362" s="46"/>
      <c r="F2362" s="46"/>
      <c r="G2362" s="79"/>
    </row>
    <row r="2363" spans="2:7" x14ac:dyDescent="0.35">
      <c r="B2363" s="46"/>
      <c r="C2363" s="46"/>
      <c r="D2363" s="46"/>
      <c r="E2363" s="46"/>
      <c r="F2363" s="46"/>
      <c r="G2363" s="79"/>
    </row>
    <row r="2364" spans="2:7" x14ac:dyDescent="0.35">
      <c r="B2364" s="46"/>
      <c r="C2364" s="46"/>
      <c r="D2364" s="46"/>
      <c r="E2364" s="46"/>
      <c r="F2364" s="46"/>
      <c r="G2364" s="79"/>
    </row>
    <row r="2365" spans="2:7" x14ac:dyDescent="0.35">
      <c r="B2365" s="46"/>
      <c r="C2365" s="46"/>
      <c r="D2365" s="46"/>
      <c r="E2365" s="46"/>
      <c r="F2365" s="46"/>
      <c r="G2365" s="79"/>
    </row>
    <row r="2366" spans="2:7" x14ac:dyDescent="0.35">
      <c r="B2366" s="46"/>
      <c r="C2366" s="46"/>
      <c r="D2366" s="46"/>
      <c r="E2366" s="46"/>
      <c r="F2366" s="46"/>
      <c r="G2366" s="79"/>
    </row>
    <row r="2367" spans="2:7" x14ac:dyDescent="0.35">
      <c r="B2367" s="46"/>
      <c r="C2367" s="46"/>
      <c r="D2367" s="46"/>
      <c r="E2367" s="46"/>
      <c r="F2367" s="46"/>
      <c r="G2367" s="79"/>
    </row>
    <row r="2368" spans="2:7" x14ac:dyDescent="0.35">
      <c r="B2368" s="46"/>
      <c r="C2368" s="46"/>
      <c r="D2368" s="46"/>
      <c r="E2368" s="46"/>
      <c r="F2368" s="46"/>
      <c r="G2368" s="79"/>
    </row>
    <row r="2369" spans="2:7" x14ac:dyDescent="0.35">
      <c r="B2369" s="46"/>
      <c r="C2369" s="46"/>
      <c r="D2369" s="46"/>
      <c r="E2369" s="46"/>
      <c r="F2369" s="46"/>
      <c r="G2369" s="79"/>
    </row>
    <row r="2370" spans="2:7" x14ac:dyDescent="0.35">
      <c r="B2370" s="46"/>
      <c r="C2370" s="46"/>
      <c r="D2370" s="46"/>
      <c r="E2370" s="46"/>
      <c r="F2370" s="46"/>
      <c r="G2370" s="79"/>
    </row>
    <row r="2371" spans="2:7" x14ac:dyDescent="0.35">
      <c r="B2371" s="46"/>
      <c r="C2371" s="46"/>
      <c r="D2371" s="46"/>
      <c r="E2371" s="46"/>
      <c r="F2371" s="46"/>
      <c r="G2371" s="79"/>
    </row>
    <row r="2372" spans="2:7" x14ac:dyDescent="0.35">
      <c r="B2372" s="46"/>
      <c r="C2372" s="46"/>
      <c r="D2372" s="46"/>
      <c r="E2372" s="46"/>
      <c r="F2372" s="46"/>
      <c r="G2372" s="79"/>
    </row>
    <row r="2373" spans="2:7" x14ac:dyDescent="0.35">
      <c r="B2373" s="46"/>
      <c r="C2373" s="46"/>
      <c r="D2373" s="46"/>
      <c r="E2373" s="46"/>
      <c r="F2373" s="46"/>
      <c r="G2373" s="79"/>
    </row>
    <row r="2374" spans="2:7" x14ac:dyDescent="0.35">
      <c r="B2374" s="46"/>
      <c r="C2374" s="46"/>
      <c r="D2374" s="46"/>
      <c r="E2374" s="46"/>
      <c r="F2374" s="46"/>
      <c r="G2374" s="79"/>
    </row>
    <row r="2375" spans="2:7" x14ac:dyDescent="0.35">
      <c r="B2375" s="46"/>
      <c r="C2375" s="46"/>
      <c r="D2375" s="46"/>
      <c r="E2375" s="46"/>
      <c r="F2375" s="46"/>
      <c r="G2375" s="79"/>
    </row>
    <row r="2376" spans="2:7" x14ac:dyDescent="0.35">
      <c r="B2376" s="46"/>
      <c r="C2376" s="46"/>
      <c r="D2376" s="46"/>
      <c r="E2376" s="46"/>
      <c r="F2376" s="46"/>
      <c r="G2376" s="79"/>
    </row>
    <row r="2377" spans="2:7" x14ac:dyDescent="0.35">
      <c r="B2377" s="46"/>
      <c r="C2377" s="46"/>
      <c r="D2377" s="46"/>
      <c r="E2377" s="46"/>
      <c r="F2377" s="46"/>
      <c r="G2377" s="79"/>
    </row>
    <row r="2378" spans="2:7" x14ac:dyDescent="0.35">
      <c r="B2378" s="46"/>
      <c r="C2378" s="46"/>
      <c r="D2378" s="46"/>
      <c r="E2378" s="46"/>
      <c r="F2378" s="46"/>
      <c r="G2378" s="79"/>
    </row>
    <row r="2379" spans="2:7" x14ac:dyDescent="0.35">
      <c r="B2379" s="46"/>
      <c r="C2379" s="46"/>
      <c r="D2379" s="46"/>
      <c r="E2379" s="46"/>
      <c r="F2379" s="46"/>
      <c r="G2379" s="79"/>
    </row>
    <row r="2380" spans="2:7" x14ac:dyDescent="0.35">
      <c r="B2380" s="46"/>
      <c r="C2380" s="46"/>
      <c r="D2380" s="46"/>
      <c r="E2380" s="46"/>
      <c r="F2380" s="46"/>
      <c r="G2380" s="79"/>
    </row>
    <row r="2381" spans="2:7" x14ac:dyDescent="0.35">
      <c r="B2381" s="46"/>
      <c r="C2381" s="46"/>
      <c r="D2381" s="46"/>
      <c r="E2381" s="46"/>
      <c r="F2381" s="46"/>
      <c r="G2381" s="79"/>
    </row>
    <row r="2382" spans="2:7" x14ac:dyDescent="0.35">
      <c r="B2382" s="46"/>
      <c r="C2382" s="46"/>
      <c r="D2382" s="46"/>
      <c r="E2382" s="46"/>
      <c r="F2382" s="46"/>
      <c r="G2382" s="79"/>
    </row>
    <row r="2383" spans="2:7" x14ac:dyDescent="0.35">
      <c r="B2383" s="46"/>
      <c r="C2383" s="46"/>
      <c r="D2383" s="46"/>
      <c r="E2383" s="46"/>
      <c r="F2383" s="46"/>
      <c r="G2383" s="79"/>
    </row>
    <row r="2384" spans="2:7" x14ac:dyDescent="0.35">
      <c r="B2384" s="46"/>
      <c r="C2384" s="46"/>
      <c r="D2384" s="46"/>
      <c r="E2384" s="46"/>
      <c r="F2384" s="46"/>
      <c r="G2384" s="79"/>
    </row>
    <row r="2385" spans="2:7" x14ac:dyDescent="0.35">
      <c r="B2385" s="46"/>
      <c r="C2385" s="46"/>
      <c r="D2385" s="46"/>
      <c r="E2385" s="46"/>
      <c r="F2385" s="46"/>
      <c r="G2385" s="79"/>
    </row>
    <row r="2386" spans="2:7" x14ac:dyDescent="0.35">
      <c r="B2386" s="46"/>
      <c r="C2386" s="46"/>
      <c r="D2386" s="46"/>
      <c r="E2386" s="46"/>
      <c r="F2386" s="46"/>
      <c r="G2386" s="79"/>
    </row>
    <row r="2387" spans="2:7" x14ac:dyDescent="0.35">
      <c r="B2387" s="46"/>
      <c r="C2387" s="46"/>
      <c r="D2387" s="46"/>
      <c r="E2387" s="46"/>
      <c r="F2387" s="46"/>
      <c r="G2387" s="79"/>
    </row>
    <row r="2388" spans="2:7" x14ac:dyDescent="0.35">
      <c r="B2388" s="46"/>
      <c r="C2388" s="46"/>
      <c r="D2388" s="46"/>
      <c r="E2388" s="46"/>
      <c r="F2388" s="46"/>
      <c r="G2388" s="79"/>
    </row>
    <row r="2389" spans="2:7" x14ac:dyDescent="0.35">
      <c r="B2389" s="46"/>
      <c r="C2389" s="46"/>
      <c r="D2389" s="46"/>
      <c r="E2389" s="46"/>
      <c r="F2389" s="46"/>
      <c r="G2389" s="79"/>
    </row>
    <row r="2390" spans="2:7" x14ac:dyDescent="0.35">
      <c r="B2390" s="46"/>
      <c r="C2390" s="46"/>
      <c r="D2390" s="46"/>
      <c r="E2390" s="46"/>
      <c r="F2390" s="46"/>
      <c r="G2390" s="79"/>
    </row>
    <row r="2391" spans="2:7" x14ac:dyDescent="0.35">
      <c r="B2391" s="46"/>
      <c r="C2391" s="46"/>
      <c r="D2391" s="46"/>
      <c r="E2391" s="46"/>
      <c r="F2391" s="46"/>
      <c r="G2391" s="79"/>
    </row>
    <row r="2392" spans="2:7" x14ac:dyDescent="0.35">
      <c r="B2392" s="46"/>
      <c r="C2392" s="46"/>
      <c r="D2392" s="46"/>
      <c r="E2392" s="46"/>
      <c r="F2392" s="46"/>
      <c r="G2392" s="79"/>
    </row>
    <row r="2393" spans="2:7" x14ac:dyDescent="0.35">
      <c r="B2393" s="46"/>
      <c r="C2393" s="46"/>
      <c r="D2393" s="46"/>
      <c r="E2393" s="46"/>
      <c r="F2393" s="46"/>
      <c r="G2393" s="79"/>
    </row>
    <row r="2394" spans="2:7" x14ac:dyDescent="0.35">
      <c r="B2394" s="46"/>
      <c r="C2394" s="46"/>
      <c r="D2394" s="46"/>
      <c r="E2394" s="46"/>
      <c r="F2394" s="46"/>
      <c r="G2394" s="79"/>
    </row>
    <row r="2395" spans="2:7" x14ac:dyDescent="0.35">
      <c r="B2395" s="46"/>
      <c r="C2395" s="46"/>
      <c r="D2395" s="46"/>
      <c r="E2395" s="46"/>
      <c r="F2395" s="46"/>
      <c r="G2395" s="79"/>
    </row>
    <row r="2396" spans="2:7" x14ac:dyDescent="0.35">
      <c r="B2396" s="46"/>
      <c r="C2396" s="46"/>
      <c r="D2396" s="46"/>
      <c r="E2396" s="46"/>
      <c r="F2396" s="46"/>
      <c r="G2396" s="79"/>
    </row>
    <row r="2397" spans="2:7" x14ac:dyDescent="0.35">
      <c r="B2397" s="46"/>
      <c r="C2397" s="46"/>
      <c r="D2397" s="46"/>
      <c r="E2397" s="46"/>
      <c r="F2397" s="46"/>
      <c r="G2397" s="79"/>
    </row>
    <row r="2398" spans="2:7" x14ac:dyDescent="0.35">
      <c r="B2398" s="46"/>
      <c r="C2398" s="46"/>
      <c r="D2398" s="46"/>
      <c r="E2398" s="46"/>
      <c r="F2398" s="46"/>
      <c r="G2398" s="79"/>
    </row>
    <row r="2399" spans="2:7" x14ac:dyDescent="0.35">
      <c r="B2399" s="46"/>
      <c r="C2399" s="46"/>
      <c r="D2399" s="46"/>
      <c r="E2399" s="46"/>
      <c r="F2399" s="46"/>
      <c r="G2399" s="79"/>
    </row>
    <row r="2400" spans="2:7" x14ac:dyDescent="0.35">
      <c r="B2400" s="46"/>
      <c r="C2400" s="46"/>
      <c r="D2400" s="46"/>
      <c r="E2400" s="46"/>
      <c r="F2400" s="46"/>
      <c r="G2400" s="79"/>
    </row>
    <row r="2401" spans="2:7" x14ac:dyDescent="0.35">
      <c r="B2401" s="46"/>
      <c r="C2401" s="46"/>
      <c r="D2401" s="46"/>
      <c r="E2401" s="46"/>
      <c r="F2401" s="46"/>
      <c r="G2401" s="79"/>
    </row>
    <row r="2402" spans="2:7" x14ac:dyDescent="0.35">
      <c r="B2402" s="46"/>
      <c r="C2402" s="46"/>
      <c r="D2402" s="46"/>
      <c r="E2402" s="46"/>
      <c r="F2402" s="46"/>
      <c r="G2402" s="79"/>
    </row>
    <row r="2403" spans="2:7" x14ac:dyDescent="0.35">
      <c r="B2403" s="46"/>
      <c r="C2403" s="46"/>
      <c r="D2403" s="46"/>
      <c r="E2403" s="46"/>
      <c r="F2403" s="46"/>
      <c r="G2403" s="79"/>
    </row>
    <row r="2404" spans="2:7" x14ac:dyDescent="0.35">
      <c r="B2404" s="46"/>
      <c r="C2404" s="46"/>
      <c r="D2404" s="46"/>
      <c r="E2404" s="46"/>
      <c r="F2404" s="46"/>
      <c r="G2404" s="79"/>
    </row>
    <row r="2405" spans="2:7" x14ac:dyDescent="0.35">
      <c r="B2405" s="46"/>
      <c r="C2405" s="46"/>
      <c r="D2405" s="46"/>
      <c r="E2405" s="46"/>
      <c r="F2405" s="46"/>
      <c r="G2405" s="79"/>
    </row>
    <row r="2406" spans="2:7" x14ac:dyDescent="0.35">
      <c r="B2406" s="46"/>
      <c r="C2406" s="46"/>
      <c r="D2406" s="46"/>
      <c r="E2406" s="46"/>
      <c r="F2406" s="46"/>
      <c r="G2406" s="79"/>
    </row>
    <row r="2407" spans="2:7" x14ac:dyDescent="0.35">
      <c r="B2407" s="46"/>
      <c r="C2407" s="46"/>
      <c r="D2407" s="46"/>
      <c r="E2407" s="46"/>
      <c r="F2407" s="46"/>
      <c r="G2407" s="79"/>
    </row>
    <row r="2408" spans="2:7" x14ac:dyDescent="0.35">
      <c r="B2408" s="46"/>
      <c r="C2408" s="46"/>
      <c r="D2408" s="46"/>
      <c r="E2408" s="46"/>
      <c r="F2408" s="46"/>
      <c r="G2408" s="79"/>
    </row>
    <row r="2409" spans="2:7" x14ac:dyDescent="0.35">
      <c r="B2409" s="46"/>
      <c r="C2409" s="46"/>
      <c r="D2409" s="46"/>
      <c r="E2409" s="46"/>
      <c r="F2409" s="46"/>
      <c r="G2409" s="79"/>
    </row>
    <row r="2410" spans="2:7" x14ac:dyDescent="0.35">
      <c r="B2410" s="46"/>
      <c r="C2410" s="46"/>
      <c r="D2410" s="46"/>
      <c r="E2410" s="46"/>
      <c r="F2410" s="46"/>
      <c r="G2410" s="79"/>
    </row>
    <row r="2411" spans="2:7" x14ac:dyDescent="0.35">
      <c r="B2411" s="46"/>
      <c r="C2411" s="46"/>
      <c r="D2411" s="46"/>
      <c r="E2411" s="46"/>
      <c r="F2411" s="46"/>
      <c r="G2411" s="79"/>
    </row>
    <row r="2412" spans="2:7" x14ac:dyDescent="0.35">
      <c r="B2412" s="46"/>
      <c r="C2412" s="46"/>
      <c r="D2412" s="46"/>
      <c r="E2412" s="46"/>
      <c r="F2412" s="46"/>
      <c r="G2412" s="79"/>
    </row>
    <row r="2413" spans="2:7" x14ac:dyDescent="0.35">
      <c r="B2413" s="46"/>
      <c r="C2413" s="46"/>
      <c r="D2413" s="46"/>
      <c r="E2413" s="46"/>
      <c r="F2413" s="46"/>
      <c r="G2413" s="79"/>
    </row>
    <row r="2414" spans="2:7" x14ac:dyDescent="0.35">
      <c r="B2414" s="46"/>
      <c r="C2414" s="46"/>
      <c r="D2414" s="46"/>
      <c r="E2414" s="46"/>
      <c r="F2414" s="46"/>
      <c r="G2414" s="79"/>
    </row>
    <row r="2415" spans="2:7" x14ac:dyDescent="0.35">
      <c r="B2415" s="46"/>
      <c r="C2415" s="46"/>
      <c r="D2415" s="46"/>
      <c r="E2415" s="46"/>
      <c r="F2415" s="46"/>
      <c r="G2415" s="79"/>
    </row>
    <row r="2416" spans="2:7" x14ac:dyDescent="0.35">
      <c r="B2416" s="46"/>
      <c r="C2416" s="46"/>
      <c r="D2416" s="46"/>
      <c r="E2416" s="46"/>
      <c r="F2416" s="46"/>
      <c r="G2416" s="79"/>
    </row>
    <row r="2417" spans="2:7" x14ac:dyDescent="0.35">
      <c r="B2417" s="46"/>
      <c r="C2417" s="46"/>
      <c r="D2417" s="46"/>
      <c r="E2417" s="46"/>
      <c r="F2417" s="46"/>
      <c r="G2417" s="79"/>
    </row>
    <row r="2418" spans="2:7" x14ac:dyDescent="0.35">
      <c r="B2418" s="46"/>
      <c r="C2418" s="46"/>
      <c r="D2418" s="46"/>
      <c r="E2418" s="46"/>
      <c r="F2418" s="46"/>
      <c r="G2418" s="79"/>
    </row>
    <row r="2419" spans="2:7" x14ac:dyDescent="0.35">
      <c r="B2419" s="46"/>
      <c r="C2419" s="46"/>
      <c r="D2419" s="46"/>
      <c r="E2419" s="46"/>
      <c r="F2419" s="46"/>
      <c r="G2419" s="79"/>
    </row>
    <row r="2420" spans="2:7" x14ac:dyDescent="0.35">
      <c r="B2420" s="46"/>
      <c r="C2420" s="46"/>
      <c r="D2420" s="46"/>
      <c r="E2420" s="46"/>
      <c r="F2420" s="46"/>
      <c r="G2420" s="79"/>
    </row>
    <row r="2421" spans="2:7" x14ac:dyDescent="0.35">
      <c r="B2421" s="46"/>
      <c r="C2421" s="46"/>
      <c r="D2421" s="46"/>
      <c r="E2421" s="46"/>
      <c r="F2421" s="46"/>
      <c r="G2421" s="79"/>
    </row>
    <row r="2422" spans="2:7" x14ac:dyDescent="0.35">
      <c r="B2422" s="46"/>
      <c r="C2422" s="46"/>
      <c r="D2422" s="46"/>
      <c r="E2422" s="46"/>
      <c r="F2422" s="46"/>
      <c r="G2422" s="79"/>
    </row>
    <row r="2423" spans="2:7" x14ac:dyDescent="0.35">
      <c r="B2423" s="46"/>
      <c r="C2423" s="46"/>
      <c r="D2423" s="46"/>
      <c r="E2423" s="46"/>
      <c r="F2423" s="46"/>
      <c r="G2423" s="79"/>
    </row>
    <row r="2424" spans="2:7" x14ac:dyDescent="0.35">
      <c r="B2424" s="46"/>
      <c r="C2424" s="46"/>
      <c r="D2424" s="46"/>
      <c r="E2424" s="46"/>
      <c r="F2424" s="46"/>
      <c r="G2424" s="79"/>
    </row>
    <row r="2425" spans="2:7" x14ac:dyDescent="0.35">
      <c r="B2425" s="46"/>
      <c r="C2425" s="46"/>
      <c r="D2425" s="46"/>
      <c r="E2425" s="46"/>
      <c r="F2425" s="46"/>
      <c r="G2425" s="79"/>
    </row>
    <row r="2426" spans="2:7" x14ac:dyDescent="0.35">
      <c r="B2426" s="46"/>
      <c r="C2426" s="46"/>
      <c r="D2426" s="46"/>
      <c r="E2426" s="46"/>
      <c r="F2426" s="46"/>
      <c r="G2426" s="79"/>
    </row>
    <row r="2427" spans="2:7" x14ac:dyDescent="0.35">
      <c r="B2427" s="46"/>
      <c r="C2427" s="46"/>
      <c r="D2427" s="46"/>
      <c r="E2427" s="46"/>
      <c r="F2427" s="46"/>
      <c r="G2427" s="79"/>
    </row>
    <row r="2428" spans="2:7" x14ac:dyDescent="0.35">
      <c r="B2428" s="46"/>
      <c r="C2428" s="46"/>
      <c r="D2428" s="46"/>
      <c r="E2428" s="46"/>
      <c r="F2428" s="46"/>
      <c r="G2428" s="79"/>
    </row>
    <row r="2429" spans="2:7" x14ac:dyDescent="0.35">
      <c r="B2429" s="46"/>
      <c r="C2429" s="46"/>
      <c r="D2429" s="46"/>
      <c r="E2429" s="46"/>
      <c r="F2429" s="46"/>
      <c r="G2429" s="79"/>
    </row>
    <row r="2430" spans="2:7" x14ac:dyDescent="0.35">
      <c r="B2430" s="46"/>
      <c r="C2430" s="46"/>
      <c r="D2430" s="46"/>
      <c r="E2430" s="46"/>
      <c r="F2430" s="46"/>
      <c r="G2430" s="79"/>
    </row>
    <row r="2431" spans="2:7" x14ac:dyDescent="0.35">
      <c r="B2431" s="46"/>
      <c r="C2431" s="46"/>
      <c r="D2431" s="46"/>
      <c r="E2431" s="46"/>
      <c r="F2431" s="46"/>
      <c r="G2431" s="79"/>
    </row>
    <row r="2432" spans="2:7" x14ac:dyDescent="0.35">
      <c r="B2432" s="46"/>
      <c r="C2432" s="46"/>
      <c r="D2432" s="46"/>
      <c r="E2432" s="46"/>
      <c r="F2432" s="46"/>
      <c r="G2432" s="79"/>
    </row>
    <row r="2433" spans="2:7" x14ac:dyDescent="0.35">
      <c r="B2433" s="46"/>
      <c r="C2433" s="46"/>
      <c r="D2433" s="46"/>
      <c r="E2433" s="46"/>
      <c r="F2433" s="46"/>
      <c r="G2433" s="79"/>
    </row>
    <row r="2434" spans="2:7" x14ac:dyDescent="0.35">
      <c r="B2434" s="46"/>
      <c r="C2434" s="46"/>
      <c r="D2434" s="46"/>
      <c r="E2434" s="46"/>
      <c r="F2434" s="46"/>
      <c r="G2434" s="79"/>
    </row>
    <row r="2435" spans="2:7" x14ac:dyDescent="0.35">
      <c r="B2435" s="46"/>
      <c r="C2435" s="46"/>
      <c r="D2435" s="46"/>
      <c r="E2435" s="46"/>
      <c r="F2435" s="46"/>
      <c r="G2435" s="79"/>
    </row>
    <row r="2436" spans="2:7" x14ac:dyDescent="0.35">
      <c r="B2436" s="46"/>
      <c r="C2436" s="46"/>
      <c r="D2436" s="46"/>
      <c r="E2436" s="46"/>
      <c r="F2436" s="46"/>
      <c r="G2436" s="79"/>
    </row>
    <row r="2437" spans="2:7" x14ac:dyDescent="0.35">
      <c r="B2437" s="46"/>
      <c r="C2437" s="46"/>
      <c r="D2437" s="46"/>
      <c r="E2437" s="46"/>
      <c r="F2437" s="46"/>
      <c r="G2437" s="79"/>
    </row>
    <row r="2438" spans="2:7" x14ac:dyDescent="0.35">
      <c r="B2438" s="46"/>
      <c r="C2438" s="46"/>
      <c r="D2438" s="46"/>
      <c r="E2438" s="46"/>
      <c r="F2438" s="46"/>
      <c r="G2438" s="79"/>
    </row>
    <row r="2439" spans="2:7" x14ac:dyDescent="0.35">
      <c r="B2439" s="46"/>
      <c r="C2439" s="46"/>
      <c r="D2439" s="46"/>
      <c r="E2439" s="46"/>
      <c r="F2439" s="46"/>
      <c r="G2439" s="79"/>
    </row>
    <row r="2440" spans="2:7" x14ac:dyDescent="0.35">
      <c r="B2440" s="46"/>
      <c r="C2440" s="46"/>
      <c r="D2440" s="46"/>
      <c r="E2440" s="46"/>
      <c r="F2440" s="46"/>
      <c r="G2440" s="79"/>
    </row>
    <row r="2441" spans="2:7" x14ac:dyDescent="0.35">
      <c r="B2441" s="46"/>
      <c r="C2441" s="46"/>
      <c r="D2441" s="46"/>
      <c r="E2441" s="46"/>
      <c r="F2441" s="46"/>
      <c r="G2441" s="79"/>
    </row>
    <row r="2442" spans="2:7" x14ac:dyDescent="0.35">
      <c r="B2442" s="46"/>
      <c r="C2442" s="46"/>
      <c r="D2442" s="46"/>
      <c r="E2442" s="46"/>
      <c r="F2442" s="46"/>
      <c r="G2442" s="79"/>
    </row>
    <row r="2443" spans="2:7" x14ac:dyDescent="0.35">
      <c r="B2443" s="46"/>
      <c r="C2443" s="46"/>
      <c r="D2443" s="46"/>
      <c r="E2443" s="46"/>
      <c r="F2443" s="46"/>
      <c r="G2443" s="79"/>
    </row>
    <row r="2444" spans="2:7" x14ac:dyDescent="0.35">
      <c r="B2444" s="46"/>
      <c r="C2444" s="46"/>
      <c r="D2444" s="46"/>
      <c r="E2444" s="46"/>
      <c r="F2444" s="46"/>
      <c r="G2444" s="79"/>
    </row>
    <row r="2445" spans="2:7" x14ac:dyDescent="0.35">
      <c r="B2445" s="46"/>
      <c r="C2445" s="46"/>
      <c r="D2445" s="46"/>
      <c r="E2445" s="46"/>
      <c r="F2445" s="46"/>
      <c r="G2445" s="79"/>
    </row>
    <row r="2446" spans="2:7" x14ac:dyDescent="0.35">
      <c r="B2446" s="46"/>
      <c r="C2446" s="46"/>
      <c r="D2446" s="46"/>
      <c r="E2446" s="46"/>
      <c r="F2446" s="46"/>
      <c r="G2446" s="79"/>
    </row>
    <row r="2447" spans="2:7" x14ac:dyDescent="0.35">
      <c r="B2447" s="46"/>
      <c r="C2447" s="46"/>
      <c r="D2447" s="46"/>
      <c r="E2447" s="46"/>
      <c r="F2447" s="46"/>
      <c r="G2447" s="79"/>
    </row>
    <row r="2448" spans="2:7" x14ac:dyDescent="0.35">
      <c r="B2448" s="46"/>
      <c r="C2448" s="46"/>
      <c r="D2448" s="46"/>
      <c r="E2448" s="46"/>
      <c r="F2448" s="46"/>
      <c r="G2448" s="79"/>
    </row>
    <row r="2449" spans="2:7" x14ac:dyDescent="0.35">
      <c r="B2449" s="46"/>
      <c r="C2449" s="46"/>
      <c r="D2449" s="46"/>
      <c r="E2449" s="46"/>
      <c r="F2449" s="46"/>
      <c r="G2449" s="79"/>
    </row>
    <row r="2450" spans="2:7" x14ac:dyDescent="0.35">
      <c r="B2450" s="46"/>
      <c r="C2450" s="46"/>
      <c r="D2450" s="46"/>
      <c r="E2450" s="46"/>
      <c r="F2450" s="46"/>
      <c r="G2450" s="79"/>
    </row>
    <row r="2451" spans="2:7" x14ac:dyDescent="0.35">
      <c r="B2451" s="46"/>
      <c r="C2451" s="46"/>
      <c r="D2451" s="46"/>
      <c r="E2451" s="46"/>
      <c r="F2451" s="46"/>
      <c r="G2451" s="79"/>
    </row>
    <row r="2452" spans="2:7" x14ac:dyDescent="0.35">
      <c r="B2452" s="46"/>
      <c r="C2452" s="46"/>
      <c r="D2452" s="46"/>
      <c r="E2452" s="46"/>
      <c r="F2452" s="46"/>
      <c r="G2452" s="79"/>
    </row>
    <row r="2453" spans="2:7" x14ac:dyDescent="0.35">
      <c r="B2453" s="46"/>
      <c r="C2453" s="46"/>
      <c r="D2453" s="46"/>
      <c r="E2453" s="46"/>
      <c r="F2453" s="46"/>
      <c r="G2453" s="79"/>
    </row>
    <row r="2454" spans="2:7" x14ac:dyDescent="0.35">
      <c r="B2454" s="46"/>
      <c r="C2454" s="46"/>
      <c r="D2454" s="46"/>
      <c r="E2454" s="46"/>
      <c r="F2454" s="46"/>
      <c r="G2454" s="79"/>
    </row>
    <row r="2455" spans="2:7" x14ac:dyDescent="0.35">
      <c r="B2455" s="46"/>
      <c r="C2455" s="46"/>
      <c r="D2455" s="46"/>
      <c r="E2455" s="46"/>
      <c r="F2455" s="46"/>
      <c r="G2455" s="79"/>
    </row>
    <row r="2456" spans="2:7" x14ac:dyDescent="0.35">
      <c r="B2456" s="46"/>
      <c r="C2456" s="46"/>
      <c r="D2456" s="46"/>
      <c r="E2456" s="46"/>
      <c r="F2456" s="46"/>
      <c r="G2456" s="79"/>
    </row>
    <row r="2457" spans="2:7" x14ac:dyDescent="0.35">
      <c r="B2457" s="46"/>
      <c r="C2457" s="46"/>
      <c r="D2457" s="46"/>
      <c r="E2457" s="46"/>
      <c r="F2457" s="46"/>
      <c r="G2457" s="79"/>
    </row>
    <row r="2458" spans="2:7" x14ac:dyDescent="0.35">
      <c r="B2458" s="46"/>
      <c r="C2458" s="46"/>
      <c r="D2458" s="46"/>
      <c r="E2458" s="46"/>
      <c r="F2458" s="46"/>
      <c r="G2458" s="79"/>
    </row>
    <row r="2459" spans="2:7" x14ac:dyDescent="0.35">
      <c r="B2459" s="46"/>
      <c r="C2459" s="46"/>
      <c r="D2459" s="46"/>
      <c r="E2459" s="46"/>
      <c r="F2459" s="46"/>
      <c r="G2459" s="79"/>
    </row>
    <row r="2460" spans="2:7" x14ac:dyDescent="0.35">
      <c r="B2460" s="46"/>
      <c r="C2460" s="46"/>
      <c r="D2460" s="46"/>
      <c r="E2460" s="46"/>
      <c r="F2460" s="46"/>
      <c r="G2460" s="79"/>
    </row>
    <row r="2461" spans="2:7" x14ac:dyDescent="0.35">
      <c r="B2461" s="46"/>
      <c r="C2461" s="46"/>
      <c r="D2461" s="46"/>
      <c r="E2461" s="46"/>
      <c r="F2461" s="46"/>
      <c r="G2461" s="79"/>
    </row>
    <row r="2462" spans="2:7" x14ac:dyDescent="0.35">
      <c r="B2462" s="46"/>
      <c r="C2462" s="46"/>
      <c r="D2462" s="46"/>
      <c r="E2462" s="46"/>
      <c r="F2462" s="46"/>
      <c r="G2462" s="79"/>
    </row>
    <row r="2463" spans="2:7" x14ac:dyDescent="0.35">
      <c r="B2463" s="46"/>
      <c r="C2463" s="46"/>
      <c r="D2463" s="46"/>
      <c r="E2463" s="46"/>
      <c r="F2463" s="46"/>
      <c r="G2463" s="79"/>
    </row>
    <row r="2464" spans="2:7" x14ac:dyDescent="0.35">
      <c r="B2464" s="46"/>
      <c r="C2464" s="46"/>
      <c r="D2464" s="46"/>
      <c r="E2464" s="46"/>
      <c r="F2464" s="46"/>
      <c r="G2464" s="79"/>
    </row>
    <row r="2465" spans="2:7" x14ac:dyDescent="0.35">
      <c r="B2465" s="46"/>
      <c r="C2465" s="46"/>
      <c r="D2465" s="46"/>
      <c r="E2465" s="46"/>
      <c r="F2465" s="46"/>
      <c r="G2465" s="79"/>
    </row>
    <row r="2466" spans="2:7" x14ac:dyDescent="0.35">
      <c r="B2466" s="46"/>
      <c r="C2466" s="46"/>
      <c r="D2466" s="46"/>
      <c r="E2466" s="46"/>
      <c r="F2466" s="46"/>
      <c r="G2466" s="79"/>
    </row>
    <row r="2467" spans="2:7" x14ac:dyDescent="0.35">
      <c r="B2467" s="46"/>
      <c r="C2467" s="46"/>
      <c r="D2467" s="46"/>
      <c r="E2467" s="46"/>
      <c r="F2467" s="46"/>
      <c r="G2467" s="79"/>
    </row>
    <row r="2468" spans="2:7" x14ac:dyDescent="0.35">
      <c r="B2468" s="46"/>
      <c r="C2468" s="46"/>
      <c r="D2468" s="46"/>
      <c r="E2468" s="46"/>
      <c r="F2468" s="46"/>
      <c r="G2468" s="79"/>
    </row>
    <row r="2469" spans="2:7" x14ac:dyDescent="0.35">
      <c r="B2469" s="46"/>
      <c r="C2469" s="46"/>
      <c r="D2469" s="46"/>
      <c r="E2469" s="46"/>
      <c r="F2469" s="46"/>
      <c r="G2469" s="79"/>
    </row>
    <row r="2470" spans="2:7" x14ac:dyDescent="0.35">
      <c r="B2470" s="46"/>
      <c r="C2470" s="46"/>
      <c r="D2470" s="46"/>
      <c r="E2470" s="46"/>
      <c r="F2470" s="46"/>
      <c r="G2470" s="79"/>
    </row>
    <row r="2471" spans="2:7" x14ac:dyDescent="0.35">
      <c r="B2471" s="46"/>
      <c r="C2471" s="46"/>
      <c r="D2471" s="46"/>
      <c r="E2471" s="46"/>
      <c r="F2471" s="46"/>
      <c r="G2471" s="79"/>
    </row>
    <row r="2472" spans="2:7" x14ac:dyDescent="0.35">
      <c r="B2472" s="46"/>
      <c r="C2472" s="46"/>
      <c r="D2472" s="46"/>
      <c r="E2472" s="46"/>
      <c r="F2472" s="46"/>
      <c r="G2472" s="79"/>
    </row>
    <row r="2473" spans="2:7" x14ac:dyDescent="0.35">
      <c r="B2473" s="46"/>
      <c r="C2473" s="46"/>
      <c r="D2473" s="46"/>
      <c r="E2473" s="46"/>
      <c r="F2473" s="46"/>
      <c r="G2473" s="79"/>
    </row>
    <row r="2474" spans="2:7" x14ac:dyDescent="0.35">
      <c r="B2474" s="46"/>
      <c r="C2474" s="46"/>
      <c r="D2474" s="46"/>
      <c r="E2474" s="46"/>
      <c r="F2474" s="46"/>
      <c r="G2474" s="79"/>
    </row>
    <row r="2475" spans="2:7" x14ac:dyDescent="0.35">
      <c r="B2475" s="46"/>
      <c r="C2475" s="46"/>
      <c r="D2475" s="46"/>
      <c r="E2475" s="46"/>
      <c r="F2475" s="46"/>
      <c r="G2475" s="79"/>
    </row>
    <row r="2476" spans="2:7" x14ac:dyDescent="0.35">
      <c r="B2476" s="46"/>
      <c r="C2476" s="46"/>
      <c r="D2476" s="46"/>
      <c r="E2476" s="46"/>
      <c r="F2476" s="46"/>
      <c r="G2476" s="79"/>
    </row>
    <row r="2477" spans="2:7" x14ac:dyDescent="0.35">
      <c r="B2477" s="46"/>
      <c r="C2477" s="46"/>
      <c r="D2477" s="46"/>
      <c r="E2477" s="46"/>
      <c r="F2477" s="46"/>
      <c r="G2477" s="79"/>
    </row>
    <row r="2478" spans="2:7" x14ac:dyDescent="0.35">
      <c r="B2478" s="46"/>
      <c r="C2478" s="46"/>
      <c r="D2478" s="46"/>
      <c r="E2478" s="46"/>
      <c r="F2478" s="46"/>
      <c r="G2478" s="79"/>
    </row>
    <row r="2479" spans="2:7" x14ac:dyDescent="0.35">
      <c r="B2479" s="46"/>
      <c r="C2479" s="46"/>
      <c r="D2479" s="46"/>
      <c r="E2479" s="46"/>
      <c r="F2479" s="46"/>
      <c r="G2479" s="79"/>
    </row>
    <row r="2480" spans="2:7" x14ac:dyDescent="0.35">
      <c r="B2480" s="46"/>
      <c r="C2480" s="46"/>
      <c r="D2480" s="46"/>
      <c r="E2480" s="46"/>
      <c r="F2480" s="46"/>
      <c r="G2480" s="79"/>
    </row>
    <row r="2481" spans="2:7" x14ac:dyDescent="0.35">
      <c r="B2481" s="46"/>
      <c r="C2481" s="46"/>
      <c r="D2481" s="46"/>
      <c r="E2481" s="46"/>
      <c r="F2481" s="46"/>
      <c r="G2481" s="79"/>
    </row>
    <row r="2482" spans="2:7" x14ac:dyDescent="0.35">
      <c r="B2482" s="46"/>
      <c r="C2482" s="46"/>
      <c r="D2482" s="46"/>
      <c r="E2482" s="46"/>
      <c r="F2482" s="46"/>
      <c r="G2482" s="79"/>
    </row>
    <row r="2483" spans="2:7" x14ac:dyDescent="0.35">
      <c r="B2483" s="46"/>
      <c r="C2483" s="46"/>
      <c r="D2483" s="46"/>
      <c r="E2483" s="46"/>
      <c r="F2483" s="46"/>
      <c r="G2483" s="79"/>
    </row>
    <row r="2484" spans="2:7" x14ac:dyDescent="0.35">
      <c r="B2484" s="46"/>
      <c r="C2484" s="46"/>
      <c r="D2484" s="46"/>
      <c r="E2484" s="46"/>
      <c r="F2484" s="46"/>
      <c r="G2484" s="79"/>
    </row>
    <row r="2485" spans="2:7" x14ac:dyDescent="0.35">
      <c r="B2485" s="46"/>
      <c r="C2485" s="46"/>
      <c r="D2485" s="46"/>
      <c r="E2485" s="46"/>
      <c r="F2485" s="46"/>
      <c r="G2485" s="79"/>
    </row>
    <row r="2486" spans="2:7" x14ac:dyDescent="0.35">
      <c r="B2486" s="46"/>
      <c r="C2486" s="46"/>
      <c r="D2486" s="46"/>
      <c r="E2486" s="46"/>
      <c r="F2486" s="46"/>
      <c r="G2486" s="79"/>
    </row>
    <row r="2487" spans="2:7" x14ac:dyDescent="0.35">
      <c r="B2487" s="46"/>
      <c r="C2487" s="46"/>
      <c r="D2487" s="46"/>
      <c r="E2487" s="46"/>
      <c r="F2487" s="46"/>
      <c r="G2487" s="79"/>
    </row>
    <row r="2488" spans="2:7" x14ac:dyDescent="0.35">
      <c r="B2488" s="46"/>
      <c r="C2488" s="46"/>
      <c r="D2488" s="46"/>
      <c r="E2488" s="46"/>
      <c r="F2488" s="46"/>
      <c r="G2488" s="79"/>
    </row>
    <row r="2489" spans="2:7" x14ac:dyDescent="0.35">
      <c r="B2489" s="46"/>
      <c r="C2489" s="46"/>
      <c r="D2489" s="46"/>
      <c r="E2489" s="46"/>
      <c r="F2489" s="46"/>
      <c r="G2489" s="79"/>
    </row>
    <row r="2490" spans="2:7" x14ac:dyDescent="0.35">
      <c r="B2490" s="46"/>
      <c r="C2490" s="46"/>
      <c r="D2490" s="46"/>
      <c r="E2490" s="46"/>
      <c r="F2490" s="46"/>
      <c r="G2490" s="79"/>
    </row>
    <row r="2491" spans="2:7" x14ac:dyDescent="0.35">
      <c r="B2491" s="46"/>
      <c r="C2491" s="46"/>
      <c r="D2491" s="46"/>
      <c r="E2491" s="46"/>
      <c r="F2491" s="46"/>
      <c r="G2491" s="79"/>
    </row>
    <row r="2492" spans="2:7" x14ac:dyDescent="0.35">
      <c r="B2492" s="46"/>
      <c r="C2492" s="46"/>
      <c r="D2492" s="46"/>
      <c r="E2492" s="46"/>
      <c r="F2492" s="46"/>
      <c r="G2492" s="79"/>
    </row>
    <row r="2493" spans="2:7" x14ac:dyDescent="0.35">
      <c r="B2493" s="46"/>
      <c r="C2493" s="46"/>
      <c r="D2493" s="46"/>
      <c r="E2493" s="46"/>
      <c r="F2493" s="46"/>
      <c r="G2493" s="79"/>
    </row>
    <row r="2494" spans="2:7" x14ac:dyDescent="0.35">
      <c r="B2494" s="46"/>
      <c r="C2494" s="46"/>
      <c r="D2494" s="46"/>
      <c r="E2494" s="46"/>
      <c r="F2494" s="46"/>
      <c r="G2494" s="79"/>
    </row>
    <row r="2495" spans="2:7" x14ac:dyDescent="0.35">
      <c r="B2495" s="46"/>
      <c r="C2495" s="46"/>
      <c r="D2495" s="46"/>
      <c r="E2495" s="46"/>
      <c r="F2495" s="46"/>
      <c r="G2495" s="79"/>
    </row>
    <row r="2496" spans="2:7" x14ac:dyDescent="0.35">
      <c r="B2496" s="46"/>
      <c r="C2496" s="46"/>
      <c r="D2496" s="46"/>
      <c r="E2496" s="46"/>
      <c r="F2496" s="46"/>
      <c r="G2496" s="79"/>
    </row>
    <row r="2497" spans="2:7" x14ac:dyDescent="0.35">
      <c r="B2497" s="46"/>
      <c r="C2497" s="46"/>
      <c r="D2497" s="46"/>
      <c r="E2497" s="46"/>
      <c r="F2497" s="46"/>
      <c r="G2497" s="79"/>
    </row>
    <row r="2498" spans="2:7" x14ac:dyDescent="0.35">
      <c r="B2498" s="46"/>
      <c r="C2498" s="46"/>
      <c r="D2498" s="46"/>
      <c r="E2498" s="46"/>
      <c r="F2498" s="46"/>
      <c r="G2498" s="79"/>
    </row>
    <row r="2499" spans="2:7" x14ac:dyDescent="0.35">
      <c r="B2499" s="46"/>
      <c r="C2499" s="46"/>
      <c r="D2499" s="46"/>
      <c r="E2499" s="46"/>
      <c r="F2499" s="46"/>
      <c r="G2499" s="79"/>
    </row>
    <row r="2500" spans="2:7" x14ac:dyDescent="0.35">
      <c r="B2500" s="46"/>
      <c r="C2500" s="46"/>
      <c r="D2500" s="46"/>
      <c r="E2500" s="46"/>
      <c r="F2500" s="46"/>
      <c r="G2500" s="79"/>
    </row>
    <row r="2501" spans="2:7" x14ac:dyDescent="0.35">
      <c r="B2501" s="46"/>
      <c r="C2501" s="46"/>
      <c r="D2501" s="46"/>
      <c r="E2501" s="46"/>
      <c r="F2501" s="46"/>
      <c r="G2501" s="79"/>
    </row>
    <row r="2502" spans="2:7" x14ac:dyDescent="0.35">
      <c r="B2502" s="46"/>
      <c r="C2502" s="46"/>
      <c r="D2502" s="46"/>
      <c r="E2502" s="46"/>
      <c r="F2502" s="46"/>
      <c r="G2502" s="79"/>
    </row>
    <row r="2503" spans="2:7" x14ac:dyDescent="0.35">
      <c r="B2503" s="46"/>
      <c r="C2503" s="46"/>
      <c r="D2503" s="46"/>
      <c r="E2503" s="46"/>
      <c r="F2503" s="46"/>
      <c r="G2503" s="79"/>
    </row>
    <row r="2504" spans="2:7" x14ac:dyDescent="0.35">
      <c r="B2504" s="46"/>
      <c r="C2504" s="46"/>
      <c r="D2504" s="46"/>
      <c r="E2504" s="46"/>
      <c r="F2504" s="46"/>
      <c r="G2504" s="79"/>
    </row>
    <row r="2505" spans="2:7" x14ac:dyDescent="0.35">
      <c r="B2505" s="46"/>
      <c r="C2505" s="46"/>
      <c r="D2505" s="46"/>
      <c r="E2505" s="46"/>
      <c r="F2505" s="46"/>
      <c r="G2505" s="79"/>
    </row>
    <row r="2506" spans="2:7" x14ac:dyDescent="0.35">
      <c r="B2506" s="46"/>
      <c r="C2506" s="46"/>
      <c r="D2506" s="46"/>
      <c r="E2506" s="46"/>
      <c r="F2506" s="46"/>
      <c r="G2506" s="79"/>
    </row>
    <row r="2507" spans="2:7" x14ac:dyDescent="0.35">
      <c r="B2507" s="46"/>
      <c r="C2507" s="46"/>
      <c r="D2507" s="46"/>
      <c r="E2507" s="46"/>
      <c r="F2507" s="46"/>
      <c r="G2507" s="79"/>
    </row>
    <row r="2508" spans="2:7" x14ac:dyDescent="0.35">
      <c r="B2508" s="46"/>
      <c r="C2508" s="46"/>
      <c r="D2508" s="46"/>
      <c r="E2508" s="46"/>
      <c r="F2508" s="46"/>
      <c r="G2508" s="79"/>
    </row>
    <row r="2509" spans="2:7" x14ac:dyDescent="0.35">
      <c r="B2509" s="46"/>
      <c r="C2509" s="46"/>
      <c r="D2509" s="46"/>
      <c r="E2509" s="46"/>
      <c r="F2509" s="46"/>
      <c r="G2509" s="79"/>
    </row>
    <row r="2510" spans="2:7" x14ac:dyDescent="0.35">
      <c r="B2510" s="46"/>
      <c r="C2510" s="46"/>
      <c r="D2510" s="46"/>
      <c r="E2510" s="46"/>
      <c r="F2510" s="46"/>
      <c r="G2510" s="79"/>
    </row>
    <row r="2511" spans="2:7" x14ac:dyDescent="0.35">
      <c r="B2511" s="46"/>
      <c r="C2511" s="46"/>
      <c r="D2511" s="46"/>
      <c r="E2511" s="46"/>
      <c r="F2511" s="46"/>
      <c r="G2511" s="79"/>
    </row>
    <row r="2512" spans="2:7" x14ac:dyDescent="0.35">
      <c r="B2512" s="46"/>
      <c r="C2512" s="46"/>
      <c r="D2512" s="46"/>
      <c r="E2512" s="46"/>
      <c r="F2512" s="46"/>
      <c r="G2512" s="79"/>
    </row>
    <row r="2513" spans="2:7" x14ac:dyDescent="0.35">
      <c r="B2513" s="46"/>
      <c r="C2513" s="46"/>
      <c r="D2513" s="46"/>
      <c r="E2513" s="46"/>
      <c r="F2513" s="46"/>
      <c r="G2513" s="79"/>
    </row>
    <row r="2514" spans="2:7" x14ac:dyDescent="0.35">
      <c r="B2514" s="46"/>
      <c r="C2514" s="46"/>
      <c r="D2514" s="46"/>
      <c r="E2514" s="46"/>
      <c r="F2514" s="46"/>
      <c r="G2514" s="79"/>
    </row>
    <row r="2515" spans="2:7" x14ac:dyDescent="0.35">
      <c r="B2515" s="46"/>
      <c r="C2515" s="46"/>
      <c r="D2515" s="46"/>
      <c r="E2515" s="46"/>
      <c r="F2515" s="46"/>
      <c r="G2515" s="79"/>
    </row>
    <row r="2516" spans="2:7" x14ac:dyDescent="0.35">
      <c r="B2516" s="46"/>
      <c r="C2516" s="46"/>
      <c r="D2516" s="46"/>
      <c r="E2516" s="46"/>
      <c r="F2516" s="46"/>
      <c r="G2516" s="79"/>
    </row>
    <row r="2517" spans="2:7" x14ac:dyDescent="0.35">
      <c r="B2517" s="46"/>
      <c r="C2517" s="46"/>
      <c r="D2517" s="46"/>
      <c r="E2517" s="46"/>
      <c r="F2517" s="46"/>
      <c r="G2517" s="79"/>
    </row>
    <row r="2518" spans="2:7" x14ac:dyDescent="0.35">
      <c r="B2518" s="46"/>
      <c r="C2518" s="46"/>
      <c r="D2518" s="46"/>
      <c r="E2518" s="46"/>
      <c r="F2518" s="46"/>
      <c r="G2518" s="79"/>
    </row>
    <row r="2519" spans="2:7" x14ac:dyDescent="0.35">
      <c r="B2519" s="46"/>
      <c r="C2519" s="46"/>
      <c r="D2519" s="46"/>
      <c r="E2519" s="46"/>
      <c r="F2519" s="46"/>
      <c r="G2519" s="79"/>
    </row>
    <row r="2520" spans="2:7" x14ac:dyDescent="0.35">
      <c r="B2520" s="46"/>
      <c r="C2520" s="46"/>
      <c r="D2520" s="46"/>
      <c r="E2520" s="46"/>
      <c r="F2520" s="46"/>
      <c r="G2520" s="79"/>
    </row>
    <row r="2521" spans="2:7" x14ac:dyDescent="0.35">
      <c r="B2521" s="46"/>
      <c r="C2521" s="46"/>
      <c r="D2521" s="46"/>
      <c r="E2521" s="46"/>
      <c r="F2521" s="46"/>
      <c r="G2521" s="79"/>
    </row>
    <row r="2522" spans="2:7" x14ac:dyDescent="0.35">
      <c r="B2522" s="46"/>
      <c r="C2522" s="46"/>
      <c r="D2522" s="46"/>
      <c r="E2522" s="46"/>
      <c r="F2522" s="46"/>
      <c r="G2522" s="79"/>
    </row>
    <row r="2523" spans="2:7" x14ac:dyDescent="0.35">
      <c r="B2523" s="46"/>
      <c r="C2523" s="46"/>
      <c r="D2523" s="46"/>
      <c r="E2523" s="46"/>
      <c r="F2523" s="46"/>
      <c r="G2523" s="79"/>
    </row>
    <row r="2524" spans="2:7" x14ac:dyDescent="0.35">
      <c r="B2524" s="46"/>
      <c r="C2524" s="46"/>
      <c r="D2524" s="46"/>
      <c r="E2524" s="46"/>
      <c r="F2524" s="46"/>
      <c r="G2524" s="79"/>
    </row>
    <row r="2525" spans="2:7" x14ac:dyDescent="0.35">
      <c r="B2525" s="46"/>
      <c r="C2525" s="46"/>
      <c r="D2525" s="46"/>
      <c r="E2525" s="46"/>
      <c r="F2525" s="46"/>
      <c r="G2525" s="79"/>
    </row>
    <row r="2526" spans="2:7" x14ac:dyDescent="0.35">
      <c r="B2526" s="46"/>
      <c r="C2526" s="46"/>
      <c r="D2526" s="46"/>
      <c r="E2526" s="46"/>
      <c r="F2526" s="46"/>
      <c r="G2526" s="79"/>
    </row>
    <row r="2527" spans="2:7" x14ac:dyDescent="0.35">
      <c r="B2527" s="46"/>
      <c r="C2527" s="46"/>
      <c r="D2527" s="46"/>
      <c r="E2527" s="46"/>
      <c r="F2527" s="46"/>
      <c r="G2527" s="79"/>
    </row>
    <row r="2528" spans="2:7" x14ac:dyDescent="0.35">
      <c r="B2528" s="46"/>
      <c r="C2528" s="46"/>
      <c r="D2528" s="46"/>
      <c r="E2528" s="46"/>
      <c r="F2528" s="46"/>
      <c r="G2528" s="79"/>
    </row>
    <row r="2529" spans="2:7" x14ac:dyDescent="0.35">
      <c r="B2529" s="46"/>
      <c r="C2529" s="46"/>
      <c r="D2529" s="46"/>
      <c r="E2529" s="46"/>
      <c r="F2529" s="46"/>
      <c r="G2529" s="79"/>
    </row>
    <row r="2530" spans="2:7" x14ac:dyDescent="0.35">
      <c r="B2530" s="46"/>
      <c r="C2530" s="46"/>
      <c r="D2530" s="46"/>
      <c r="E2530" s="46"/>
      <c r="F2530" s="46"/>
      <c r="G2530" s="79"/>
    </row>
    <row r="2531" spans="2:7" x14ac:dyDescent="0.35">
      <c r="B2531" s="46"/>
      <c r="C2531" s="46"/>
      <c r="D2531" s="46"/>
      <c r="E2531" s="46"/>
      <c r="F2531" s="46"/>
      <c r="G2531" s="79"/>
    </row>
    <row r="2532" spans="2:7" x14ac:dyDescent="0.35">
      <c r="B2532" s="46"/>
      <c r="C2532" s="46"/>
      <c r="D2532" s="46"/>
      <c r="E2532" s="46"/>
      <c r="F2532" s="46"/>
      <c r="G2532" s="79"/>
    </row>
    <row r="2533" spans="2:7" x14ac:dyDescent="0.35">
      <c r="B2533" s="46"/>
      <c r="C2533" s="46"/>
      <c r="D2533" s="46"/>
      <c r="E2533" s="46"/>
      <c r="F2533" s="46"/>
      <c r="G2533" s="79"/>
    </row>
    <row r="2534" spans="2:7" x14ac:dyDescent="0.35">
      <c r="B2534" s="46"/>
      <c r="C2534" s="46"/>
      <c r="D2534" s="46"/>
      <c r="E2534" s="46"/>
      <c r="F2534" s="46"/>
      <c r="G2534" s="79"/>
    </row>
    <row r="2535" spans="2:7" x14ac:dyDescent="0.35">
      <c r="B2535" s="46"/>
      <c r="C2535" s="46"/>
      <c r="D2535" s="46"/>
      <c r="E2535" s="46"/>
      <c r="F2535" s="46"/>
      <c r="G2535" s="79"/>
    </row>
    <row r="2536" spans="2:7" x14ac:dyDescent="0.35">
      <c r="B2536" s="46"/>
      <c r="C2536" s="46"/>
      <c r="D2536" s="46"/>
      <c r="E2536" s="46"/>
      <c r="F2536" s="46"/>
      <c r="G2536" s="79"/>
    </row>
    <row r="2537" spans="2:7" x14ac:dyDescent="0.35">
      <c r="B2537" s="46"/>
      <c r="C2537" s="46"/>
      <c r="D2537" s="46"/>
      <c r="E2537" s="46"/>
      <c r="F2537" s="46"/>
      <c r="G2537" s="79"/>
    </row>
    <row r="2538" spans="2:7" x14ac:dyDescent="0.35">
      <c r="B2538" s="46"/>
      <c r="C2538" s="46"/>
      <c r="D2538" s="46"/>
      <c r="E2538" s="46"/>
      <c r="F2538" s="46"/>
      <c r="G2538" s="79"/>
    </row>
    <row r="2539" spans="2:7" x14ac:dyDescent="0.35">
      <c r="B2539" s="46"/>
      <c r="C2539" s="46"/>
      <c r="D2539" s="46"/>
      <c r="E2539" s="46"/>
      <c r="F2539" s="46"/>
      <c r="G2539" s="79"/>
    </row>
    <row r="2540" spans="2:7" x14ac:dyDescent="0.35">
      <c r="B2540" s="46"/>
      <c r="C2540" s="46"/>
      <c r="D2540" s="46"/>
      <c r="E2540" s="46"/>
      <c r="F2540" s="46"/>
      <c r="G2540" s="79"/>
    </row>
    <row r="2541" spans="2:7" x14ac:dyDescent="0.35">
      <c r="B2541" s="46"/>
      <c r="C2541" s="46"/>
      <c r="D2541" s="46"/>
      <c r="E2541" s="46"/>
      <c r="F2541" s="46"/>
      <c r="G2541" s="79"/>
    </row>
    <row r="2542" spans="2:7" x14ac:dyDescent="0.35">
      <c r="B2542" s="46"/>
      <c r="C2542" s="46"/>
      <c r="D2542" s="46"/>
      <c r="E2542" s="46"/>
      <c r="F2542" s="46"/>
      <c r="G2542" s="79"/>
    </row>
    <row r="2543" spans="2:7" x14ac:dyDescent="0.35">
      <c r="B2543" s="46"/>
      <c r="C2543" s="46"/>
      <c r="D2543" s="46"/>
      <c r="E2543" s="46"/>
      <c r="F2543" s="46"/>
      <c r="G2543" s="79"/>
    </row>
    <row r="2544" spans="2:7" x14ac:dyDescent="0.35">
      <c r="B2544" s="46"/>
      <c r="C2544" s="46"/>
      <c r="D2544" s="46"/>
      <c r="E2544" s="46"/>
      <c r="F2544" s="46"/>
      <c r="G2544" s="79"/>
    </row>
    <row r="2545" spans="2:7" x14ac:dyDescent="0.35">
      <c r="B2545" s="46"/>
      <c r="C2545" s="46"/>
      <c r="D2545" s="46"/>
      <c r="E2545" s="46"/>
      <c r="F2545" s="46"/>
      <c r="G2545" s="79"/>
    </row>
    <row r="2546" spans="2:7" x14ac:dyDescent="0.35">
      <c r="B2546" s="46"/>
      <c r="C2546" s="46"/>
      <c r="D2546" s="46"/>
      <c r="E2546" s="46"/>
      <c r="F2546" s="46"/>
      <c r="G2546" s="79"/>
    </row>
    <row r="2547" spans="2:7" x14ac:dyDescent="0.35">
      <c r="B2547" s="46"/>
      <c r="C2547" s="46"/>
      <c r="D2547" s="46"/>
      <c r="E2547" s="46"/>
      <c r="F2547" s="46"/>
      <c r="G2547" s="79"/>
    </row>
    <row r="2548" spans="2:7" x14ac:dyDescent="0.35">
      <c r="B2548" s="46"/>
      <c r="C2548" s="46"/>
      <c r="D2548" s="46"/>
      <c r="E2548" s="46"/>
      <c r="F2548" s="46"/>
      <c r="G2548" s="79"/>
    </row>
    <row r="2549" spans="2:7" x14ac:dyDescent="0.35">
      <c r="B2549" s="46"/>
      <c r="C2549" s="46"/>
      <c r="D2549" s="46"/>
      <c r="E2549" s="46"/>
      <c r="F2549" s="46"/>
      <c r="G2549" s="79"/>
    </row>
    <row r="2550" spans="2:7" x14ac:dyDescent="0.35">
      <c r="B2550" s="46"/>
      <c r="C2550" s="46"/>
      <c r="D2550" s="46"/>
      <c r="E2550" s="46"/>
      <c r="F2550" s="46"/>
      <c r="G2550" s="79"/>
    </row>
    <row r="2551" spans="2:7" x14ac:dyDescent="0.35">
      <c r="B2551" s="46"/>
      <c r="C2551" s="46"/>
      <c r="D2551" s="46"/>
      <c r="E2551" s="46"/>
      <c r="F2551" s="46"/>
      <c r="G2551" s="79"/>
    </row>
    <row r="2552" spans="2:7" x14ac:dyDescent="0.35">
      <c r="B2552" s="46"/>
      <c r="C2552" s="46"/>
      <c r="D2552" s="46"/>
      <c r="E2552" s="46"/>
      <c r="F2552" s="46"/>
      <c r="G2552" s="79"/>
    </row>
    <row r="2553" spans="2:7" x14ac:dyDescent="0.35">
      <c r="B2553" s="46"/>
      <c r="C2553" s="46"/>
      <c r="D2553" s="46"/>
      <c r="E2553" s="46"/>
      <c r="F2553" s="46"/>
      <c r="G2553" s="79"/>
    </row>
    <row r="2554" spans="2:7" x14ac:dyDescent="0.35">
      <c r="B2554" s="46"/>
      <c r="C2554" s="46"/>
      <c r="D2554" s="46"/>
      <c r="E2554" s="46"/>
      <c r="F2554" s="46"/>
      <c r="G2554" s="79"/>
    </row>
    <row r="2555" spans="2:7" x14ac:dyDescent="0.35">
      <c r="B2555" s="46"/>
      <c r="C2555" s="46"/>
      <c r="D2555" s="46"/>
      <c r="E2555" s="46"/>
      <c r="F2555" s="46"/>
      <c r="G2555" s="79"/>
    </row>
    <row r="2556" spans="2:7" x14ac:dyDescent="0.35">
      <c r="B2556" s="46"/>
      <c r="C2556" s="46"/>
      <c r="D2556" s="46"/>
      <c r="E2556" s="46"/>
      <c r="F2556" s="46"/>
      <c r="G2556" s="79"/>
    </row>
    <row r="2557" spans="2:7" x14ac:dyDescent="0.35">
      <c r="B2557" s="46"/>
      <c r="C2557" s="46"/>
      <c r="D2557" s="46"/>
      <c r="E2557" s="46"/>
      <c r="F2557" s="46"/>
      <c r="G2557" s="79"/>
    </row>
    <row r="2558" spans="2:7" x14ac:dyDescent="0.35">
      <c r="B2558" s="46"/>
      <c r="C2558" s="46"/>
      <c r="D2558" s="46"/>
      <c r="E2558" s="46"/>
      <c r="F2558" s="46"/>
      <c r="G2558" s="79"/>
    </row>
    <row r="2559" spans="2:7" x14ac:dyDescent="0.35">
      <c r="B2559" s="46"/>
      <c r="C2559" s="46"/>
      <c r="D2559" s="46"/>
      <c r="E2559" s="46"/>
      <c r="F2559" s="46"/>
      <c r="G2559" s="79"/>
    </row>
    <row r="2560" spans="2:7" x14ac:dyDescent="0.35">
      <c r="B2560" s="46"/>
      <c r="C2560" s="46"/>
      <c r="D2560" s="46"/>
      <c r="E2560" s="46"/>
      <c r="F2560" s="46"/>
      <c r="G2560" s="79"/>
    </row>
    <row r="2561" spans="2:7" x14ac:dyDescent="0.35">
      <c r="B2561" s="46"/>
      <c r="C2561" s="46"/>
      <c r="D2561" s="46"/>
      <c r="E2561" s="46"/>
      <c r="F2561" s="46"/>
      <c r="G2561" s="79"/>
    </row>
    <row r="2562" spans="2:7" x14ac:dyDescent="0.35">
      <c r="B2562" s="46"/>
      <c r="C2562" s="46"/>
      <c r="D2562" s="46"/>
      <c r="E2562" s="46"/>
      <c r="F2562" s="46"/>
      <c r="G2562" s="79"/>
    </row>
    <row r="2563" spans="2:7" x14ac:dyDescent="0.35">
      <c r="B2563" s="46"/>
      <c r="C2563" s="46"/>
      <c r="D2563" s="46"/>
      <c r="E2563" s="46"/>
      <c r="F2563" s="46"/>
      <c r="G2563" s="79"/>
    </row>
    <row r="2564" spans="2:7" x14ac:dyDescent="0.35">
      <c r="B2564" s="46"/>
      <c r="C2564" s="46"/>
      <c r="D2564" s="46"/>
      <c r="E2564" s="46"/>
      <c r="F2564" s="46"/>
      <c r="G2564" s="79"/>
    </row>
    <row r="2565" spans="2:7" x14ac:dyDescent="0.35">
      <c r="B2565" s="46"/>
      <c r="C2565" s="46"/>
      <c r="D2565" s="46"/>
      <c r="E2565" s="46"/>
      <c r="F2565" s="46"/>
      <c r="G2565" s="79"/>
    </row>
    <row r="2566" spans="2:7" x14ac:dyDescent="0.35">
      <c r="B2566" s="46"/>
      <c r="C2566" s="46"/>
      <c r="D2566" s="46"/>
      <c r="E2566" s="46"/>
      <c r="F2566" s="46"/>
      <c r="G2566" s="79"/>
    </row>
    <row r="2567" spans="2:7" x14ac:dyDescent="0.35">
      <c r="B2567" s="46"/>
      <c r="C2567" s="46"/>
      <c r="D2567" s="46"/>
      <c r="E2567" s="46"/>
      <c r="F2567" s="46"/>
      <c r="G2567" s="79"/>
    </row>
    <row r="2568" spans="2:7" x14ac:dyDescent="0.35">
      <c r="B2568" s="46"/>
      <c r="C2568" s="46"/>
      <c r="D2568" s="46"/>
      <c r="E2568" s="46"/>
      <c r="F2568" s="46"/>
      <c r="G2568" s="79"/>
    </row>
    <row r="2569" spans="2:7" x14ac:dyDescent="0.35">
      <c r="B2569" s="46"/>
      <c r="C2569" s="46"/>
      <c r="D2569" s="46"/>
      <c r="E2569" s="46"/>
      <c r="F2569" s="46"/>
      <c r="G2569" s="79"/>
    </row>
    <row r="2570" spans="2:7" x14ac:dyDescent="0.35">
      <c r="B2570" s="46"/>
      <c r="C2570" s="46"/>
      <c r="D2570" s="46"/>
      <c r="E2570" s="46"/>
      <c r="F2570" s="46"/>
      <c r="G2570" s="79"/>
    </row>
    <row r="2571" spans="2:7" x14ac:dyDescent="0.35">
      <c r="B2571" s="46"/>
      <c r="C2571" s="46"/>
      <c r="D2571" s="46"/>
      <c r="E2571" s="46"/>
      <c r="F2571" s="46"/>
      <c r="G2571" s="79"/>
    </row>
    <row r="2572" spans="2:7" x14ac:dyDescent="0.35">
      <c r="B2572" s="46"/>
      <c r="C2572" s="46"/>
      <c r="D2572" s="46"/>
      <c r="E2572" s="46"/>
      <c r="F2572" s="46"/>
      <c r="G2572" s="79"/>
    </row>
    <row r="2573" spans="2:7" x14ac:dyDescent="0.35">
      <c r="B2573" s="46"/>
      <c r="C2573" s="46"/>
      <c r="D2573" s="46"/>
      <c r="E2573" s="46"/>
      <c r="F2573" s="46"/>
      <c r="G2573" s="79"/>
    </row>
    <row r="2574" spans="2:7" x14ac:dyDescent="0.35">
      <c r="B2574" s="46"/>
      <c r="C2574" s="46"/>
      <c r="D2574" s="46"/>
      <c r="E2574" s="46"/>
      <c r="F2574" s="46"/>
      <c r="G2574" s="79"/>
    </row>
    <row r="2575" spans="2:7" x14ac:dyDescent="0.35">
      <c r="B2575" s="46"/>
      <c r="C2575" s="46"/>
      <c r="D2575" s="46"/>
      <c r="E2575" s="46"/>
      <c r="F2575" s="46"/>
      <c r="G2575" s="79"/>
    </row>
    <row r="2576" spans="2:7" x14ac:dyDescent="0.35">
      <c r="B2576" s="46"/>
      <c r="C2576" s="46"/>
      <c r="D2576" s="46"/>
      <c r="E2576" s="46"/>
      <c r="F2576" s="46"/>
      <c r="G2576" s="79"/>
    </row>
    <row r="2577" spans="2:7" x14ac:dyDescent="0.35">
      <c r="B2577" s="46"/>
      <c r="C2577" s="46"/>
      <c r="D2577" s="46"/>
      <c r="E2577" s="46"/>
      <c r="F2577" s="46"/>
      <c r="G2577" s="79"/>
    </row>
    <row r="2578" spans="2:7" x14ac:dyDescent="0.35">
      <c r="B2578" s="46"/>
      <c r="C2578" s="46"/>
      <c r="D2578" s="46"/>
      <c r="E2578" s="46"/>
      <c r="F2578" s="46"/>
      <c r="G2578" s="79"/>
    </row>
    <row r="2579" spans="2:7" x14ac:dyDescent="0.35">
      <c r="B2579" s="46"/>
      <c r="C2579" s="46"/>
      <c r="D2579" s="46"/>
      <c r="E2579" s="46"/>
      <c r="F2579" s="46"/>
      <c r="G2579" s="79"/>
    </row>
    <row r="2580" spans="2:7" x14ac:dyDescent="0.35">
      <c r="B2580" s="46"/>
      <c r="C2580" s="46"/>
      <c r="D2580" s="46"/>
      <c r="E2580" s="46"/>
      <c r="F2580" s="46"/>
      <c r="G2580" s="79"/>
    </row>
    <row r="2581" spans="2:7" x14ac:dyDescent="0.35">
      <c r="B2581" s="46"/>
      <c r="C2581" s="46"/>
      <c r="D2581" s="46"/>
      <c r="E2581" s="46"/>
      <c r="F2581" s="46"/>
      <c r="G2581" s="79"/>
    </row>
    <row r="2582" spans="2:7" x14ac:dyDescent="0.35">
      <c r="B2582" s="46"/>
      <c r="C2582" s="46"/>
      <c r="D2582" s="46"/>
      <c r="E2582" s="46"/>
      <c r="F2582" s="46"/>
      <c r="G2582" s="79"/>
    </row>
    <row r="2583" spans="2:7" x14ac:dyDescent="0.35">
      <c r="B2583" s="46"/>
      <c r="C2583" s="46"/>
      <c r="D2583" s="46"/>
      <c r="E2583" s="46"/>
      <c r="F2583" s="46"/>
      <c r="G2583" s="79"/>
    </row>
    <row r="2584" spans="2:7" x14ac:dyDescent="0.35">
      <c r="B2584" s="46"/>
      <c r="C2584" s="46"/>
      <c r="D2584" s="46"/>
      <c r="E2584" s="46"/>
      <c r="F2584" s="46"/>
      <c r="G2584" s="79"/>
    </row>
    <row r="2585" spans="2:7" x14ac:dyDescent="0.35">
      <c r="B2585" s="46"/>
      <c r="C2585" s="46"/>
      <c r="D2585" s="46"/>
      <c r="E2585" s="46"/>
      <c r="F2585" s="46"/>
      <c r="G2585" s="79"/>
    </row>
    <row r="2586" spans="2:7" x14ac:dyDescent="0.35">
      <c r="B2586" s="46"/>
      <c r="C2586" s="46"/>
      <c r="D2586" s="46"/>
      <c r="E2586" s="46"/>
      <c r="F2586" s="46"/>
      <c r="G2586" s="79"/>
    </row>
    <row r="2587" spans="2:7" x14ac:dyDescent="0.35">
      <c r="B2587" s="46"/>
      <c r="C2587" s="46"/>
      <c r="D2587" s="46"/>
      <c r="E2587" s="46"/>
      <c r="F2587" s="46"/>
      <c r="G2587" s="79"/>
    </row>
    <row r="2588" spans="2:7" x14ac:dyDescent="0.35">
      <c r="B2588" s="46"/>
      <c r="C2588" s="46"/>
      <c r="D2588" s="46"/>
      <c r="E2588" s="46"/>
      <c r="F2588" s="46"/>
      <c r="G2588" s="79"/>
    </row>
    <row r="2589" spans="2:7" x14ac:dyDescent="0.35">
      <c r="B2589" s="46"/>
      <c r="C2589" s="46"/>
      <c r="D2589" s="46"/>
      <c r="E2589" s="46"/>
      <c r="F2589" s="46"/>
      <c r="G2589" s="79"/>
    </row>
    <row r="2590" spans="2:7" x14ac:dyDescent="0.35">
      <c r="B2590" s="46"/>
      <c r="C2590" s="46"/>
      <c r="D2590" s="46"/>
      <c r="E2590" s="46"/>
      <c r="F2590" s="46"/>
      <c r="G2590" s="79"/>
    </row>
    <row r="2591" spans="2:7" x14ac:dyDescent="0.35">
      <c r="B2591" s="46"/>
      <c r="C2591" s="46"/>
      <c r="D2591" s="46"/>
      <c r="E2591" s="46"/>
      <c r="F2591" s="46"/>
      <c r="G2591" s="79"/>
    </row>
    <row r="2592" spans="2:7" x14ac:dyDescent="0.35">
      <c r="B2592" s="46"/>
      <c r="C2592" s="46"/>
      <c r="D2592" s="46"/>
      <c r="E2592" s="46"/>
      <c r="F2592" s="46"/>
      <c r="G2592" s="79"/>
    </row>
    <row r="2593" spans="2:7" x14ac:dyDescent="0.35">
      <c r="B2593" s="46"/>
      <c r="C2593" s="46"/>
      <c r="D2593" s="46"/>
      <c r="E2593" s="46"/>
      <c r="F2593" s="46"/>
      <c r="G2593" s="79"/>
    </row>
    <row r="2594" spans="2:7" x14ac:dyDescent="0.35">
      <c r="B2594" s="46"/>
      <c r="C2594" s="46"/>
      <c r="D2594" s="46"/>
      <c r="E2594" s="46"/>
      <c r="F2594" s="46"/>
      <c r="G2594" s="79"/>
    </row>
    <row r="2595" spans="2:7" x14ac:dyDescent="0.35">
      <c r="B2595" s="46"/>
      <c r="C2595" s="46"/>
      <c r="D2595" s="46"/>
      <c r="E2595" s="46"/>
      <c r="F2595" s="46"/>
      <c r="G2595" s="79"/>
    </row>
    <row r="2596" spans="2:7" x14ac:dyDescent="0.35">
      <c r="B2596" s="46"/>
      <c r="C2596" s="46"/>
      <c r="D2596" s="46"/>
      <c r="E2596" s="46"/>
      <c r="F2596" s="46"/>
      <c r="G2596" s="79"/>
    </row>
    <row r="2597" spans="2:7" x14ac:dyDescent="0.35">
      <c r="B2597" s="46"/>
      <c r="C2597" s="46"/>
      <c r="D2597" s="46"/>
      <c r="E2597" s="46"/>
      <c r="F2597" s="46"/>
      <c r="G2597" s="79"/>
    </row>
    <row r="2598" spans="2:7" x14ac:dyDescent="0.35">
      <c r="B2598" s="46"/>
      <c r="C2598" s="46"/>
      <c r="D2598" s="46"/>
      <c r="E2598" s="46"/>
      <c r="F2598" s="46"/>
      <c r="G2598" s="79"/>
    </row>
    <row r="2599" spans="2:7" x14ac:dyDescent="0.35">
      <c r="B2599" s="46"/>
      <c r="C2599" s="46"/>
      <c r="D2599" s="46"/>
      <c r="E2599" s="46"/>
      <c r="F2599" s="46"/>
      <c r="G2599" s="79"/>
    </row>
    <row r="2600" spans="2:7" x14ac:dyDescent="0.35">
      <c r="B2600" s="46"/>
      <c r="C2600" s="46"/>
      <c r="D2600" s="46"/>
      <c r="E2600" s="46"/>
      <c r="F2600" s="46"/>
      <c r="G2600" s="79"/>
    </row>
    <row r="2601" spans="2:7" x14ac:dyDescent="0.35">
      <c r="B2601" s="46"/>
      <c r="C2601" s="46"/>
      <c r="D2601" s="46"/>
      <c r="E2601" s="46"/>
      <c r="F2601" s="46"/>
      <c r="G2601" s="79"/>
    </row>
    <row r="2602" spans="2:7" x14ac:dyDescent="0.35">
      <c r="B2602" s="46"/>
      <c r="C2602" s="46"/>
      <c r="D2602" s="46"/>
      <c r="E2602" s="46"/>
      <c r="F2602" s="46"/>
      <c r="G2602" s="79"/>
    </row>
    <row r="2603" spans="2:7" x14ac:dyDescent="0.35">
      <c r="B2603" s="46"/>
      <c r="C2603" s="46"/>
      <c r="D2603" s="46"/>
      <c r="E2603" s="46"/>
      <c r="F2603" s="46"/>
      <c r="G2603" s="79"/>
    </row>
    <row r="2604" spans="2:7" x14ac:dyDescent="0.35">
      <c r="B2604" s="46"/>
      <c r="C2604" s="46"/>
      <c r="D2604" s="46"/>
      <c r="E2604" s="46"/>
      <c r="F2604" s="46"/>
      <c r="G2604" s="79"/>
    </row>
    <row r="2605" spans="2:7" x14ac:dyDescent="0.35">
      <c r="B2605" s="46"/>
      <c r="C2605" s="46"/>
      <c r="D2605" s="46"/>
      <c r="E2605" s="46"/>
      <c r="F2605" s="46"/>
      <c r="G2605" s="79"/>
    </row>
    <row r="2606" spans="2:7" x14ac:dyDescent="0.35">
      <c r="B2606" s="46"/>
      <c r="C2606" s="46"/>
      <c r="D2606" s="46"/>
      <c r="E2606" s="46"/>
      <c r="F2606" s="46"/>
      <c r="G2606" s="79"/>
    </row>
    <row r="2607" spans="2:7" x14ac:dyDescent="0.35">
      <c r="B2607" s="46"/>
      <c r="C2607" s="46"/>
      <c r="D2607" s="46"/>
      <c r="E2607" s="46"/>
      <c r="F2607" s="46"/>
      <c r="G2607" s="79"/>
    </row>
    <row r="2608" spans="2:7" x14ac:dyDescent="0.35">
      <c r="B2608" s="46"/>
      <c r="C2608" s="46"/>
      <c r="D2608" s="46"/>
      <c r="E2608" s="46"/>
      <c r="F2608" s="46"/>
      <c r="G2608" s="79"/>
    </row>
    <row r="2609" spans="2:7" x14ac:dyDescent="0.35">
      <c r="B2609" s="46"/>
      <c r="C2609" s="46"/>
      <c r="D2609" s="46"/>
      <c r="E2609" s="46"/>
      <c r="F2609" s="46"/>
      <c r="G2609" s="79"/>
    </row>
    <row r="2610" spans="2:7" x14ac:dyDescent="0.35">
      <c r="B2610" s="46"/>
      <c r="C2610" s="46"/>
      <c r="D2610" s="46"/>
      <c r="E2610" s="46"/>
      <c r="F2610" s="46"/>
      <c r="G2610" s="79"/>
    </row>
    <row r="2611" spans="2:7" x14ac:dyDescent="0.35">
      <c r="B2611" s="46"/>
      <c r="C2611" s="46"/>
      <c r="D2611" s="46"/>
      <c r="E2611" s="46"/>
      <c r="F2611" s="46"/>
      <c r="G2611" s="79"/>
    </row>
    <row r="2612" spans="2:7" x14ac:dyDescent="0.35">
      <c r="B2612" s="46"/>
      <c r="C2612" s="46"/>
      <c r="D2612" s="46"/>
      <c r="E2612" s="46"/>
      <c r="F2612" s="46"/>
      <c r="G2612" s="79"/>
    </row>
    <row r="2613" spans="2:7" x14ac:dyDescent="0.35">
      <c r="B2613" s="46"/>
      <c r="C2613" s="46"/>
      <c r="D2613" s="46"/>
      <c r="E2613" s="46"/>
      <c r="F2613" s="46"/>
      <c r="G2613" s="79"/>
    </row>
    <row r="2614" spans="2:7" x14ac:dyDescent="0.35">
      <c r="B2614" s="46"/>
      <c r="C2614" s="46"/>
      <c r="D2614" s="46"/>
      <c r="E2614" s="46"/>
      <c r="F2614" s="46"/>
      <c r="G2614" s="79"/>
    </row>
    <row r="2615" spans="2:7" x14ac:dyDescent="0.35">
      <c r="B2615" s="46"/>
      <c r="C2615" s="46"/>
      <c r="D2615" s="46"/>
      <c r="E2615" s="46"/>
      <c r="F2615" s="46"/>
      <c r="G2615" s="79"/>
    </row>
    <row r="2616" spans="2:7" x14ac:dyDescent="0.35">
      <c r="B2616" s="46"/>
      <c r="C2616" s="46"/>
      <c r="D2616" s="46"/>
      <c r="E2616" s="46"/>
      <c r="F2616" s="46"/>
      <c r="G2616" s="79"/>
    </row>
    <row r="2617" spans="2:7" x14ac:dyDescent="0.35">
      <c r="B2617" s="46"/>
      <c r="C2617" s="46"/>
      <c r="D2617" s="46"/>
      <c r="E2617" s="46"/>
      <c r="F2617" s="46"/>
      <c r="G2617" s="79"/>
    </row>
    <row r="2618" spans="2:7" x14ac:dyDescent="0.35">
      <c r="B2618" s="46"/>
      <c r="C2618" s="46"/>
      <c r="D2618" s="46"/>
      <c r="E2618" s="46"/>
      <c r="F2618" s="46"/>
      <c r="G2618" s="79"/>
    </row>
    <row r="2619" spans="2:7" x14ac:dyDescent="0.35">
      <c r="B2619" s="46"/>
      <c r="C2619" s="46"/>
      <c r="D2619" s="46"/>
      <c r="E2619" s="46"/>
      <c r="F2619" s="46"/>
      <c r="G2619" s="79"/>
    </row>
    <row r="2620" spans="2:7" x14ac:dyDescent="0.35">
      <c r="B2620" s="46"/>
      <c r="C2620" s="46"/>
      <c r="D2620" s="46"/>
      <c r="E2620" s="46"/>
      <c r="F2620" s="46"/>
      <c r="G2620" s="79"/>
    </row>
    <row r="2621" spans="2:7" x14ac:dyDescent="0.35">
      <c r="B2621" s="46"/>
      <c r="C2621" s="46"/>
      <c r="D2621" s="46"/>
      <c r="E2621" s="46"/>
      <c r="F2621" s="46"/>
      <c r="G2621" s="79"/>
    </row>
    <row r="2622" spans="2:7" x14ac:dyDescent="0.35">
      <c r="B2622" s="46"/>
      <c r="C2622" s="46"/>
      <c r="D2622" s="46"/>
      <c r="E2622" s="46"/>
      <c r="F2622" s="46"/>
      <c r="G2622" s="79"/>
    </row>
    <row r="2623" spans="2:7" x14ac:dyDescent="0.35">
      <c r="B2623" s="46"/>
      <c r="C2623" s="46"/>
      <c r="D2623" s="46"/>
      <c r="E2623" s="46"/>
      <c r="F2623" s="46"/>
      <c r="G2623" s="79"/>
    </row>
    <row r="2624" spans="2:7" x14ac:dyDescent="0.35">
      <c r="B2624" s="46"/>
      <c r="C2624" s="46"/>
      <c r="D2624" s="46"/>
      <c r="E2624" s="46"/>
      <c r="F2624" s="46"/>
      <c r="G2624" s="79"/>
    </row>
    <row r="2625" spans="2:7" x14ac:dyDescent="0.35">
      <c r="B2625" s="46"/>
      <c r="C2625" s="46"/>
      <c r="D2625" s="46"/>
      <c r="E2625" s="46"/>
      <c r="F2625" s="46"/>
      <c r="G2625" s="79"/>
    </row>
    <row r="2626" spans="2:7" x14ac:dyDescent="0.35">
      <c r="B2626" s="46"/>
      <c r="C2626" s="46"/>
      <c r="D2626" s="46"/>
      <c r="E2626" s="46"/>
      <c r="F2626" s="46"/>
      <c r="G2626" s="79"/>
    </row>
    <row r="2627" spans="2:7" x14ac:dyDescent="0.35">
      <c r="B2627" s="46"/>
      <c r="C2627" s="46"/>
      <c r="D2627" s="46"/>
      <c r="E2627" s="46"/>
      <c r="F2627" s="46"/>
      <c r="G2627" s="79"/>
    </row>
    <row r="2628" spans="2:7" x14ac:dyDescent="0.35">
      <c r="B2628" s="46"/>
      <c r="C2628" s="46"/>
      <c r="D2628" s="46"/>
      <c r="E2628" s="46"/>
      <c r="F2628" s="46"/>
      <c r="G2628" s="79"/>
    </row>
    <row r="2629" spans="2:7" x14ac:dyDescent="0.35">
      <c r="B2629" s="46"/>
      <c r="C2629" s="46"/>
      <c r="D2629" s="46"/>
      <c r="E2629" s="46"/>
      <c r="F2629" s="46"/>
      <c r="G2629" s="79"/>
    </row>
    <row r="2630" spans="2:7" x14ac:dyDescent="0.35">
      <c r="B2630" s="46"/>
      <c r="C2630" s="46"/>
      <c r="D2630" s="46"/>
      <c r="E2630" s="46"/>
      <c r="F2630" s="46"/>
      <c r="G2630" s="79"/>
    </row>
    <row r="2631" spans="2:7" x14ac:dyDescent="0.35">
      <c r="B2631" s="46"/>
      <c r="C2631" s="46"/>
      <c r="D2631" s="46"/>
      <c r="E2631" s="46"/>
      <c r="F2631" s="46"/>
      <c r="G2631" s="79"/>
    </row>
    <row r="2632" spans="2:7" x14ac:dyDescent="0.35">
      <c r="B2632" s="46"/>
      <c r="C2632" s="46"/>
      <c r="D2632" s="46"/>
      <c r="E2632" s="46"/>
      <c r="F2632" s="46"/>
      <c r="G2632" s="79"/>
    </row>
    <row r="2633" spans="2:7" x14ac:dyDescent="0.35">
      <c r="B2633" s="46"/>
      <c r="C2633" s="46"/>
      <c r="D2633" s="46"/>
      <c r="E2633" s="46"/>
      <c r="F2633" s="46"/>
      <c r="G2633" s="79"/>
    </row>
    <row r="2634" spans="2:7" x14ac:dyDescent="0.35">
      <c r="B2634" s="46"/>
      <c r="C2634" s="46"/>
      <c r="D2634" s="46"/>
      <c r="E2634" s="46"/>
      <c r="F2634" s="46"/>
      <c r="G2634" s="79"/>
    </row>
    <row r="2635" spans="2:7" x14ac:dyDescent="0.35">
      <c r="B2635" s="46"/>
      <c r="C2635" s="46"/>
      <c r="D2635" s="46"/>
      <c r="E2635" s="46"/>
      <c r="F2635" s="46"/>
      <c r="G2635" s="79"/>
    </row>
    <row r="2636" spans="2:7" x14ac:dyDescent="0.35">
      <c r="B2636" s="46"/>
      <c r="C2636" s="46"/>
      <c r="D2636" s="46"/>
      <c r="E2636" s="46"/>
      <c r="F2636" s="46"/>
      <c r="G2636" s="79"/>
    </row>
    <row r="2637" spans="2:7" x14ac:dyDescent="0.35">
      <c r="B2637" s="46"/>
      <c r="C2637" s="46"/>
      <c r="D2637" s="46"/>
      <c r="E2637" s="46"/>
      <c r="F2637" s="46"/>
      <c r="G2637" s="79"/>
    </row>
    <row r="2638" spans="2:7" x14ac:dyDescent="0.35">
      <c r="B2638" s="46"/>
      <c r="C2638" s="46"/>
      <c r="D2638" s="46"/>
      <c r="E2638" s="46"/>
      <c r="F2638" s="46"/>
      <c r="G2638" s="79"/>
    </row>
    <row r="2639" spans="2:7" x14ac:dyDescent="0.35">
      <c r="B2639" s="46"/>
      <c r="C2639" s="46"/>
      <c r="D2639" s="46"/>
      <c r="E2639" s="46"/>
      <c r="F2639" s="46"/>
      <c r="G2639" s="79"/>
    </row>
    <row r="2640" spans="2:7" x14ac:dyDescent="0.35">
      <c r="B2640" s="46"/>
      <c r="C2640" s="46"/>
      <c r="D2640" s="46"/>
      <c r="E2640" s="46"/>
      <c r="F2640" s="46"/>
      <c r="G2640" s="79"/>
    </row>
    <row r="2641" spans="2:7" x14ac:dyDescent="0.35">
      <c r="B2641" s="46"/>
      <c r="C2641" s="46"/>
      <c r="D2641" s="46"/>
      <c r="E2641" s="46"/>
      <c r="F2641" s="46"/>
      <c r="G2641" s="79"/>
    </row>
    <row r="2642" spans="2:7" x14ac:dyDescent="0.35">
      <c r="B2642" s="46"/>
      <c r="C2642" s="46"/>
      <c r="D2642" s="46"/>
      <c r="E2642" s="46"/>
      <c r="F2642" s="46"/>
      <c r="G2642" s="79"/>
    </row>
    <row r="2643" spans="2:7" x14ac:dyDescent="0.35">
      <c r="B2643" s="46"/>
      <c r="C2643" s="46"/>
      <c r="D2643" s="46"/>
      <c r="E2643" s="46"/>
      <c r="F2643" s="46"/>
      <c r="G2643" s="79"/>
    </row>
    <row r="2644" spans="2:7" x14ac:dyDescent="0.35">
      <c r="B2644" s="46"/>
      <c r="C2644" s="46"/>
      <c r="D2644" s="46"/>
      <c r="E2644" s="46"/>
      <c r="F2644" s="46"/>
      <c r="G2644" s="79"/>
    </row>
    <row r="2645" spans="2:7" x14ac:dyDescent="0.35">
      <c r="B2645" s="46"/>
      <c r="C2645" s="46"/>
      <c r="D2645" s="46"/>
      <c r="E2645" s="46"/>
      <c r="F2645" s="46"/>
      <c r="G2645" s="79"/>
    </row>
    <row r="2646" spans="2:7" x14ac:dyDescent="0.35">
      <c r="B2646" s="46"/>
      <c r="C2646" s="46"/>
      <c r="D2646" s="46"/>
      <c r="E2646" s="46"/>
      <c r="F2646" s="46"/>
      <c r="G2646" s="79"/>
    </row>
    <row r="2647" spans="2:7" x14ac:dyDescent="0.35">
      <c r="B2647" s="46"/>
      <c r="C2647" s="46"/>
      <c r="D2647" s="46"/>
      <c r="E2647" s="46"/>
      <c r="F2647" s="46"/>
      <c r="G2647" s="79"/>
    </row>
    <row r="2648" spans="2:7" x14ac:dyDescent="0.35">
      <c r="B2648" s="46"/>
      <c r="C2648" s="46"/>
      <c r="D2648" s="46"/>
      <c r="E2648" s="46"/>
      <c r="F2648" s="46"/>
      <c r="G2648" s="79"/>
    </row>
    <row r="2649" spans="2:7" x14ac:dyDescent="0.35">
      <c r="B2649" s="46"/>
      <c r="C2649" s="46"/>
      <c r="D2649" s="46"/>
      <c r="E2649" s="46"/>
      <c r="F2649" s="46"/>
      <c r="G2649" s="79"/>
    </row>
    <row r="2650" spans="2:7" x14ac:dyDescent="0.35">
      <c r="B2650" s="46"/>
      <c r="C2650" s="46"/>
      <c r="D2650" s="46"/>
      <c r="E2650" s="46"/>
      <c r="F2650" s="46"/>
      <c r="G2650" s="79"/>
    </row>
    <row r="2651" spans="2:7" x14ac:dyDescent="0.35">
      <c r="B2651" s="46"/>
      <c r="C2651" s="46"/>
      <c r="D2651" s="46"/>
      <c r="E2651" s="46"/>
      <c r="F2651" s="46"/>
      <c r="G2651" s="79"/>
    </row>
    <row r="2652" spans="2:7" x14ac:dyDescent="0.35">
      <c r="B2652" s="46"/>
      <c r="C2652" s="46"/>
      <c r="D2652" s="46"/>
      <c r="E2652" s="46"/>
      <c r="F2652" s="46"/>
      <c r="G2652" s="79"/>
    </row>
    <row r="2653" spans="2:7" x14ac:dyDescent="0.35">
      <c r="B2653" s="46"/>
      <c r="C2653" s="46"/>
      <c r="D2653" s="46"/>
      <c r="E2653" s="46"/>
      <c r="F2653" s="46"/>
      <c r="G2653" s="79"/>
    </row>
    <row r="2654" spans="2:7" x14ac:dyDescent="0.35">
      <c r="B2654" s="46"/>
      <c r="C2654" s="46"/>
      <c r="D2654" s="46"/>
      <c r="E2654" s="46"/>
      <c r="F2654" s="46"/>
      <c r="G2654" s="79"/>
    </row>
    <row r="2655" spans="2:7" x14ac:dyDescent="0.35">
      <c r="B2655" s="46"/>
      <c r="C2655" s="46"/>
      <c r="D2655" s="46"/>
      <c r="E2655" s="46"/>
      <c r="F2655" s="46"/>
      <c r="G2655" s="79"/>
    </row>
    <row r="2656" spans="2:7" x14ac:dyDescent="0.35">
      <c r="B2656" s="46"/>
      <c r="C2656" s="46"/>
      <c r="D2656" s="46"/>
      <c r="E2656" s="46"/>
      <c r="F2656" s="46"/>
      <c r="G2656" s="79"/>
    </row>
    <row r="2657" spans="2:7" x14ac:dyDescent="0.35">
      <c r="B2657" s="46"/>
      <c r="C2657" s="46"/>
      <c r="D2657" s="46"/>
      <c r="E2657" s="46"/>
      <c r="F2657" s="46"/>
      <c r="G2657" s="79"/>
    </row>
    <row r="2658" spans="2:7" x14ac:dyDescent="0.35">
      <c r="B2658" s="46"/>
      <c r="C2658" s="46"/>
      <c r="D2658" s="46"/>
      <c r="E2658" s="46"/>
      <c r="F2658" s="46"/>
      <c r="G2658" s="79"/>
    </row>
    <row r="2659" spans="2:7" x14ac:dyDescent="0.35">
      <c r="B2659" s="46"/>
      <c r="C2659" s="46"/>
      <c r="D2659" s="46"/>
      <c r="E2659" s="46"/>
      <c r="F2659" s="46"/>
      <c r="G2659" s="79"/>
    </row>
    <row r="2660" spans="2:7" x14ac:dyDescent="0.35">
      <c r="B2660" s="46"/>
      <c r="C2660" s="46"/>
      <c r="D2660" s="46"/>
      <c r="E2660" s="46"/>
      <c r="F2660" s="46"/>
      <c r="G2660" s="79"/>
    </row>
    <row r="2661" spans="2:7" x14ac:dyDescent="0.35">
      <c r="B2661" s="46"/>
      <c r="C2661" s="46"/>
      <c r="D2661" s="46"/>
      <c r="E2661" s="46"/>
      <c r="F2661" s="46"/>
      <c r="G2661" s="79"/>
    </row>
    <row r="2662" spans="2:7" x14ac:dyDescent="0.35">
      <c r="B2662" s="46"/>
      <c r="C2662" s="46"/>
      <c r="D2662" s="46"/>
      <c r="E2662" s="46"/>
      <c r="F2662" s="46"/>
      <c r="G2662" s="79"/>
    </row>
    <row r="2663" spans="2:7" x14ac:dyDescent="0.35">
      <c r="B2663" s="46"/>
      <c r="C2663" s="46"/>
      <c r="D2663" s="46"/>
      <c r="E2663" s="46"/>
      <c r="F2663" s="46"/>
      <c r="G2663" s="79"/>
    </row>
    <row r="2664" spans="2:7" x14ac:dyDescent="0.35">
      <c r="B2664" s="46"/>
      <c r="C2664" s="46"/>
      <c r="D2664" s="46"/>
      <c r="E2664" s="46"/>
      <c r="F2664" s="46"/>
      <c r="G2664" s="79"/>
    </row>
    <row r="2665" spans="2:7" x14ac:dyDescent="0.35">
      <c r="B2665" s="46"/>
      <c r="C2665" s="46"/>
      <c r="D2665" s="46"/>
      <c r="E2665" s="46"/>
      <c r="F2665" s="46"/>
      <c r="G2665" s="79"/>
    </row>
    <row r="2666" spans="2:7" x14ac:dyDescent="0.35">
      <c r="B2666" s="46"/>
      <c r="C2666" s="46"/>
      <c r="D2666" s="46"/>
      <c r="E2666" s="46"/>
      <c r="F2666" s="46"/>
      <c r="G2666" s="79"/>
    </row>
    <row r="2667" spans="2:7" x14ac:dyDescent="0.35">
      <c r="B2667" s="46"/>
      <c r="C2667" s="46"/>
      <c r="D2667" s="46"/>
      <c r="E2667" s="46"/>
      <c r="F2667" s="46"/>
      <c r="G2667" s="79"/>
    </row>
    <row r="2668" spans="2:7" x14ac:dyDescent="0.35">
      <c r="B2668" s="46"/>
      <c r="C2668" s="46"/>
      <c r="D2668" s="46"/>
      <c r="E2668" s="46"/>
      <c r="F2668" s="46"/>
      <c r="G2668" s="79"/>
    </row>
    <row r="2669" spans="2:7" x14ac:dyDescent="0.35">
      <c r="B2669" s="46"/>
      <c r="C2669" s="46"/>
      <c r="D2669" s="46"/>
      <c r="E2669" s="46"/>
      <c r="F2669" s="46"/>
      <c r="G2669" s="79"/>
    </row>
    <row r="2670" spans="2:7" x14ac:dyDescent="0.35">
      <c r="B2670" s="46"/>
      <c r="C2670" s="46"/>
      <c r="D2670" s="46"/>
      <c r="E2670" s="46"/>
      <c r="F2670" s="46"/>
      <c r="G2670" s="79"/>
    </row>
    <row r="2671" spans="2:7" x14ac:dyDescent="0.35">
      <c r="B2671" s="46"/>
      <c r="C2671" s="46"/>
      <c r="D2671" s="46"/>
      <c r="E2671" s="46"/>
      <c r="F2671" s="46"/>
      <c r="G2671" s="79"/>
    </row>
    <row r="2672" spans="2:7" x14ac:dyDescent="0.35">
      <c r="B2672" s="46"/>
      <c r="C2672" s="46"/>
      <c r="D2672" s="46"/>
      <c r="E2672" s="46"/>
      <c r="F2672" s="46"/>
      <c r="G2672" s="79"/>
    </row>
    <row r="2673" spans="2:7" x14ac:dyDescent="0.35">
      <c r="B2673" s="46"/>
      <c r="C2673" s="46"/>
      <c r="D2673" s="46"/>
      <c r="E2673" s="46"/>
      <c r="F2673" s="46"/>
      <c r="G2673" s="79"/>
    </row>
    <row r="2674" spans="2:7" x14ac:dyDescent="0.35">
      <c r="B2674" s="46"/>
      <c r="C2674" s="46"/>
      <c r="D2674" s="46"/>
      <c r="E2674" s="46"/>
      <c r="F2674" s="46"/>
      <c r="G2674" s="79"/>
    </row>
    <row r="2675" spans="2:7" x14ac:dyDescent="0.35">
      <c r="B2675" s="46"/>
      <c r="C2675" s="46"/>
      <c r="D2675" s="46"/>
      <c r="E2675" s="46"/>
      <c r="F2675" s="46"/>
      <c r="G2675" s="79"/>
    </row>
    <row r="2676" spans="2:7" x14ac:dyDescent="0.35">
      <c r="B2676" s="46"/>
      <c r="C2676" s="46"/>
      <c r="D2676" s="46"/>
      <c r="E2676" s="46"/>
      <c r="F2676" s="46"/>
      <c r="G2676" s="79"/>
    </row>
    <row r="2677" spans="2:7" x14ac:dyDescent="0.35">
      <c r="B2677" s="46"/>
      <c r="C2677" s="46"/>
      <c r="D2677" s="46"/>
      <c r="E2677" s="46"/>
      <c r="F2677" s="46"/>
      <c r="G2677" s="79"/>
    </row>
    <row r="2678" spans="2:7" x14ac:dyDescent="0.35">
      <c r="B2678" s="46"/>
      <c r="C2678" s="46"/>
      <c r="D2678" s="46"/>
      <c r="E2678" s="46"/>
      <c r="F2678" s="46"/>
      <c r="G2678" s="79"/>
    </row>
    <row r="2679" spans="2:7" x14ac:dyDescent="0.35">
      <c r="B2679" s="46"/>
      <c r="C2679" s="46"/>
      <c r="D2679" s="46"/>
      <c r="E2679" s="46"/>
      <c r="F2679" s="46"/>
      <c r="G2679" s="79"/>
    </row>
    <row r="2680" spans="2:7" x14ac:dyDescent="0.35">
      <c r="B2680" s="46"/>
      <c r="C2680" s="46"/>
      <c r="D2680" s="46"/>
      <c r="E2680" s="46"/>
      <c r="F2680" s="46"/>
      <c r="G2680" s="79"/>
    </row>
    <row r="2681" spans="2:7" x14ac:dyDescent="0.35">
      <c r="B2681" s="46"/>
      <c r="C2681" s="46"/>
      <c r="D2681" s="46"/>
      <c r="E2681" s="46"/>
      <c r="F2681" s="46"/>
      <c r="G2681" s="79"/>
    </row>
    <row r="2682" spans="2:7" x14ac:dyDescent="0.35">
      <c r="B2682" s="46"/>
      <c r="C2682" s="46"/>
      <c r="D2682" s="46"/>
      <c r="E2682" s="46"/>
      <c r="F2682" s="46"/>
      <c r="G2682" s="79"/>
    </row>
    <row r="2683" spans="2:7" x14ac:dyDescent="0.35">
      <c r="B2683" s="46"/>
      <c r="C2683" s="46"/>
      <c r="D2683" s="46"/>
      <c r="E2683" s="46"/>
      <c r="F2683" s="46"/>
      <c r="G2683" s="79"/>
    </row>
    <row r="2684" spans="2:7" x14ac:dyDescent="0.35">
      <c r="B2684" s="46"/>
      <c r="C2684" s="46"/>
      <c r="D2684" s="46"/>
      <c r="E2684" s="46"/>
      <c r="F2684" s="46"/>
      <c r="G2684" s="79"/>
    </row>
    <row r="2685" spans="2:7" x14ac:dyDescent="0.35">
      <c r="B2685" s="46"/>
      <c r="C2685" s="46"/>
      <c r="D2685" s="46"/>
      <c r="E2685" s="46"/>
      <c r="F2685" s="46"/>
      <c r="G2685" s="79"/>
    </row>
    <row r="2686" spans="2:7" x14ac:dyDescent="0.35">
      <c r="B2686" s="46"/>
      <c r="C2686" s="46"/>
      <c r="D2686" s="46"/>
      <c r="E2686" s="46"/>
      <c r="F2686" s="46"/>
      <c r="G2686" s="79"/>
    </row>
    <row r="2687" spans="2:7" x14ac:dyDescent="0.35">
      <c r="B2687" s="46"/>
      <c r="C2687" s="46"/>
      <c r="D2687" s="46"/>
      <c r="E2687" s="46"/>
      <c r="F2687" s="46"/>
      <c r="G2687" s="79"/>
    </row>
    <row r="2688" spans="2:7" x14ac:dyDescent="0.35">
      <c r="B2688" s="46"/>
      <c r="C2688" s="46"/>
      <c r="D2688" s="46"/>
      <c r="E2688" s="46"/>
      <c r="F2688" s="46"/>
      <c r="G2688" s="79"/>
    </row>
    <row r="2689" spans="2:7" x14ac:dyDescent="0.35">
      <c r="B2689" s="46"/>
      <c r="C2689" s="46"/>
      <c r="D2689" s="46"/>
      <c r="E2689" s="46"/>
      <c r="F2689" s="46"/>
      <c r="G2689" s="79"/>
    </row>
    <row r="2690" spans="2:7" x14ac:dyDescent="0.35">
      <c r="B2690" s="46"/>
      <c r="C2690" s="46"/>
      <c r="D2690" s="46"/>
      <c r="E2690" s="46"/>
      <c r="F2690" s="46"/>
      <c r="G2690" s="79"/>
    </row>
    <row r="2691" spans="2:7" x14ac:dyDescent="0.35">
      <c r="B2691" s="46"/>
      <c r="C2691" s="46"/>
      <c r="D2691" s="46"/>
      <c r="E2691" s="46"/>
      <c r="F2691" s="46"/>
      <c r="G2691" s="79"/>
    </row>
    <row r="2692" spans="2:7" x14ac:dyDescent="0.35">
      <c r="B2692" s="46"/>
      <c r="C2692" s="46"/>
      <c r="D2692" s="46"/>
      <c r="E2692" s="46"/>
      <c r="F2692" s="46"/>
      <c r="G2692" s="79"/>
    </row>
    <row r="2693" spans="2:7" x14ac:dyDescent="0.35">
      <c r="B2693" s="46"/>
      <c r="C2693" s="46"/>
      <c r="D2693" s="46"/>
      <c r="E2693" s="46"/>
      <c r="F2693" s="46"/>
      <c r="G2693" s="79"/>
    </row>
    <row r="2694" spans="2:7" x14ac:dyDescent="0.35">
      <c r="B2694" s="46"/>
      <c r="C2694" s="46"/>
      <c r="D2694" s="46"/>
      <c r="E2694" s="46"/>
      <c r="F2694" s="46"/>
      <c r="G2694" s="79"/>
    </row>
    <row r="2695" spans="2:7" x14ac:dyDescent="0.35">
      <c r="B2695" s="46"/>
      <c r="C2695" s="46"/>
      <c r="D2695" s="46"/>
      <c r="E2695" s="46"/>
      <c r="F2695" s="46"/>
      <c r="G2695" s="79"/>
    </row>
    <row r="2696" spans="2:7" x14ac:dyDescent="0.35">
      <c r="B2696" s="46"/>
      <c r="C2696" s="46"/>
      <c r="D2696" s="46"/>
      <c r="E2696" s="46"/>
      <c r="F2696" s="46"/>
      <c r="G2696" s="79"/>
    </row>
    <row r="2697" spans="2:7" x14ac:dyDescent="0.35">
      <c r="B2697" s="46"/>
      <c r="C2697" s="46"/>
      <c r="D2697" s="46"/>
      <c r="E2697" s="46"/>
      <c r="F2697" s="46"/>
      <c r="G2697" s="79"/>
    </row>
    <row r="2698" spans="2:7" x14ac:dyDescent="0.35">
      <c r="B2698" s="46"/>
      <c r="C2698" s="46"/>
      <c r="D2698" s="46"/>
      <c r="E2698" s="46"/>
      <c r="F2698" s="46"/>
      <c r="G2698" s="79"/>
    </row>
    <row r="2699" spans="2:7" x14ac:dyDescent="0.35">
      <c r="B2699" s="46"/>
      <c r="C2699" s="46"/>
      <c r="D2699" s="46"/>
      <c r="E2699" s="46"/>
      <c r="F2699" s="46"/>
      <c r="G2699" s="79"/>
    </row>
    <row r="2700" spans="2:7" x14ac:dyDescent="0.35">
      <c r="B2700" s="46"/>
      <c r="C2700" s="46"/>
      <c r="D2700" s="46"/>
      <c r="E2700" s="46"/>
      <c r="F2700" s="46"/>
      <c r="G2700" s="79"/>
    </row>
    <row r="2701" spans="2:7" x14ac:dyDescent="0.35">
      <c r="B2701" s="46"/>
      <c r="C2701" s="46"/>
      <c r="D2701" s="46"/>
      <c r="E2701" s="46"/>
      <c r="F2701" s="46"/>
      <c r="G2701" s="79"/>
    </row>
    <row r="2702" spans="2:7" x14ac:dyDescent="0.35">
      <c r="B2702" s="46"/>
      <c r="C2702" s="46"/>
      <c r="D2702" s="46"/>
      <c r="E2702" s="46"/>
      <c r="F2702" s="46"/>
      <c r="G2702" s="79"/>
    </row>
    <row r="2703" spans="2:7" x14ac:dyDescent="0.35">
      <c r="B2703" s="46"/>
      <c r="C2703" s="46"/>
      <c r="D2703" s="46"/>
      <c r="E2703" s="46"/>
      <c r="F2703" s="46"/>
      <c r="G2703" s="79"/>
    </row>
    <row r="2704" spans="2:7" x14ac:dyDescent="0.35">
      <c r="B2704" s="46"/>
      <c r="C2704" s="46"/>
      <c r="D2704" s="46"/>
      <c r="E2704" s="46"/>
      <c r="F2704" s="46"/>
      <c r="G2704" s="79"/>
    </row>
    <row r="2705" spans="2:7" x14ac:dyDescent="0.35">
      <c r="B2705" s="46"/>
      <c r="C2705" s="46"/>
      <c r="D2705" s="46"/>
      <c r="E2705" s="46"/>
      <c r="F2705" s="46"/>
      <c r="G2705" s="79"/>
    </row>
    <row r="2706" spans="2:7" x14ac:dyDescent="0.35">
      <c r="B2706" s="46"/>
      <c r="C2706" s="46"/>
      <c r="D2706" s="46"/>
      <c r="E2706" s="46"/>
      <c r="F2706" s="46"/>
      <c r="G2706" s="79"/>
    </row>
    <row r="2707" spans="2:7" x14ac:dyDescent="0.35">
      <c r="B2707" s="46"/>
      <c r="C2707" s="46"/>
      <c r="D2707" s="46"/>
      <c r="E2707" s="46"/>
      <c r="F2707" s="46"/>
      <c r="G2707" s="79"/>
    </row>
    <row r="2708" spans="2:7" x14ac:dyDescent="0.35">
      <c r="B2708" s="46"/>
      <c r="C2708" s="46"/>
      <c r="D2708" s="46"/>
      <c r="E2708" s="46"/>
      <c r="F2708" s="46"/>
      <c r="G2708" s="79"/>
    </row>
    <row r="2709" spans="2:7" x14ac:dyDescent="0.35">
      <c r="B2709" s="46"/>
      <c r="C2709" s="46"/>
      <c r="D2709" s="46"/>
      <c r="E2709" s="46"/>
      <c r="F2709" s="46"/>
      <c r="G2709" s="79"/>
    </row>
    <row r="2710" spans="2:7" x14ac:dyDescent="0.35">
      <c r="B2710" s="46"/>
      <c r="C2710" s="46"/>
      <c r="D2710" s="46"/>
      <c r="E2710" s="46"/>
      <c r="F2710" s="46"/>
      <c r="G2710" s="79"/>
    </row>
    <row r="2711" spans="2:7" x14ac:dyDescent="0.35">
      <c r="B2711" s="46"/>
      <c r="C2711" s="46"/>
      <c r="D2711" s="46"/>
      <c r="E2711" s="46"/>
      <c r="F2711" s="46"/>
      <c r="G2711" s="79"/>
    </row>
    <row r="2712" spans="2:7" x14ac:dyDescent="0.35">
      <c r="B2712" s="46"/>
      <c r="C2712" s="46"/>
      <c r="D2712" s="46"/>
      <c r="E2712" s="46"/>
      <c r="F2712" s="46"/>
      <c r="G2712" s="79"/>
    </row>
    <row r="2713" spans="2:7" x14ac:dyDescent="0.35">
      <c r="B2713" s="46"/>
      <c r="C2713" s="46"/>
      <c r="D2713" s="46"/>
      <c r="E2713" s="46"/>
      <c r="F2713" s="46"/>
      <c r="G2713" s="79"/>
    </row>
    <row r="2714" spans="2:7" x14ac:dyDescent="0.35">
      <c r="B2714" s="46"/>
      <c r="C2714" s="46"/>
      <c r="D2714" s="46"/>
      <c r="E2714" s="46"/>
      <c r="F2714" s="46"/>
      <c r="G2714" s="79"/>
    </row>
    <row r="2715" spans="2:7" x14ac:dyDescent="0.35">
      <c r="B2715" s="46"/>
      <c r="C2715" s="46"/>
      <c r="D2715" s="46"/>
      <c r="E2715" s="46"/>
      <c r="F2715" s="46"/>
      <c r="G2715" s="79"/>
    </row>
    <row r="2716" spans="2:7" x14ac:dyDescent="0.35">
      <c r="B2716" s="46"/>
      <c r="C2716" s="46"/>
      <c r="D2716" s="46"/>
      <c r="E2716" s="46"/>
      <c r="F2716" s="46"/>
      <c r="G2716" s="79"/>
    </row>
    <row r="2717" spans="2:7" x14ac:dyDescent="0.35">
      <c r="B2717" s="46"/>
      <c r="C2717" s="46"/>
      <c r="D2717" s="46"/>
      <c r="E2717" s="46"/>
      <c r="F2717" s="46"/>
      <c r="G2717" s="79"/>
    </row>
    <row r="2718" spans="2:7" x14ac:dyDescent="0.35">
      <c r="B2718" s="46"/>
      <c r="C2718" s="46"/>
      <c r="D2718" s="46"/>
      <c r="E2718" s="46"/>
      <c r="F2718" s="46"/>
      <c r="G2718" s="79"/>
    </row>
    <row r="2719" spans="2:7" x14ac:dyDescent="0.35">
      <c r="B2719" s="46"/>
      <c r="C2719" s="46"/>
      <c r="D2719" s="46"/>
      <c r="E2719" s="46"/>
      <c r="F2719" s="46"/>
      <c r="G2719" s="79"/>
    </row>
    <row r="2720" spans="2:7" x14ac:dyDescent="0.35">
      <c r="B2720" s="46"/>
      <c r="C2720" s="46"/>
      <c r="D2720" s="46"/>
      <c r="E2720" s="46"/>
      <c r="F2720" s="46"/>
      <c r="G2720" s="79"/>
    </row>
    <row r="2721" spans="2:7" x14ac:dyDescent="0.35">
      <c r="B2721" s="46"/>
      <c r="C2721" s="46"/>
      <c r="D2721" s="46"/>
      <c r="E2721" s="46"/>
      <c r="F2721" s="46"/>
      <c r="G2721" s="79"/>
    </row>
    <row r="2722" spans="2:7" x14ac:dyDescent="0.35">
      <c r="B2722" s="46"/>
      <c r="C2722" s="46"/>
      <c r="D2722" s="46"/>
      <c r="E2722" s="46"/>
      <c r="F2722" s="46"/>
      <c r="G2722" s="79"/>
    </row>
    <row r="2723" spans="2:7" x14ac:dyDescent="0.35">
      <c r="B2723" s="46"/>
      <c r="C2723" s="46"/>
      <c r="D2723" s="46"/>
      <c r="E2723" s="46"/>
      <c r="F2723" s="46"/>
      <c r="G2723" s="79"/>
    </row>
    <row r="2724" spans="2:7" x14ac:dyDescent="0.35">
      <c r="B2724" s="46"/>
      <c r="C2724" s="46"/>
      <c r="D2724" s="46"/>
      <c r="E2724" s="46"/>
      <c r="F2724" s="46"/>
      <c r="G2724" s="79"/>
    </row>
    <row r="2725" spans="2:7" x14ac:dyDescent="0.35">
      <c r="B2725" s="46"/>
      <c r="C2725" s="46"/>
      <c r="D2725" s="46"/>
      <c r="E2725" s="46"/>
      <c r="F2725" s="46"/>
      <c r="G2725" s="79"/>
    </row>
    <row r="2726" spans="2:7" x14ac:dyDescent="0.35">
      <c r="B2726" s="46"/>
      <c r="C2726" s="46"/>
      <c r="D2726" s="46"/>
      <c r="E2726" s="46"/>
      <c r="F2726" s="46"/>
      <c r="G2726" s="79"/>
    </row>
    <row r="2727" spans="2:7" x14ac:dyDescent="0.35">
      <c r="B2727" s="46"/>
      <c r="C2727" s="46"/>
      <c r="D2727" s="46"/>
      <c r="E2727" s="46"/>
      <c r="F2727" s="46"/>
      <c r="G2727" s="79"/>
    </row>
    <row r="2728" spans="2:7" x14ac:dyDescent="0.35">
      <c r="B2728" s="46"/>
      <c r="C2728" s="46"/>
      <c r="D2728" s="46"/>
      <c r="E2728" s="46"/>
      <c r="F2728" s="46"/>
      <c r="G2728" s="79"/>
    </row>
    <row r="2729" spans="2:7" x14ac:dyDescent="0.35">
      <c r="B2729" s="46"/>
      <c r="C2729" s="46"/>
      <c r="D2729" s="46"/>
      <c r="E2729" s="46"/>
      <c r="F2729" s="46"/>
      <c r="G2729" s="79"/>
    </row>
    <row r="2730" spans="2:7" x14ac:dyDescent="0.35">
      <c r="B2730" s="46"/>
      <c r="C2730" s="46"/>
      <c r="D2730" s="46"/>
      <c r="E2730" s="46"/>
      <c r="F2730" s="46"/>
      <c r="G2730" s="79"/>
    </row>
    <row r="2731" spans="2:7" x14ac:dyDescent="0.35">
      <c r="B2731" s="46"/>
      <c r="C2731" s="46"/>
      <c r="D2731" s="46"/>
      <c r="E2731" s="46"/>
      <c r="F2731" s="46"/>
      <c r="G2731" s="79"/>
    </row>
    <row r="2732" spans="2:7" x14ac:dyDescent="0.35">
      <c r="B2732" s="46"/>
      <c r="C2732" s="46"/>
      <c r="D2732" s="46"/>
      <c r="E2732" s="46"/>
      <c r="F2732" s="46"/>
      <c r="G2732" s="79"/>
    </row>
    <row r="2733" spans="2:7" x14ac:dyDescent="0.35">
      <c r="B2733" s="46"/>
      <c r="C2733" s="46"/>
      <c r="D2733" s="46"/>
      <c r="E2733" s="46"/>
      <c r="F2733" s="46"/>
      <c r="G2733" s="79"/>
    </row>
    <row r="2734" spans="2:7" x14ac:dyDescent="0.35">
      <c r="B2734" s="46"/>
      <c r="C2734" s="46"/>
      <c r="D2734" s="46"/>
      <c r="E2734" s="46"/>
      <c r="F2734" s="46"/>
      <c r="G2734" s="79"/>
    </row>
    <row r="2735" spans="2:7" x14ac:dyDescent="0.35">
      <c r="B2735" s="46"/>
      <c r="C2735" s="46"/>
      <c r="D2735" s="46"/>
      <c r="E2735" s="46"/>
      <c r="F2735" s="46"/>
      <c r="G2735" s="79"/>
    </row>
    <row r="2736" spans="2:7" x14ac:dyDescent="0.35">
      <c r="B2736" s="46"/>
      <c r="C2736" s="46"/>
      <c r="D2736" s="46"/>
      <c r="E2736" s="46"/>
      <c r="F2736" s="46"/>
      <c r="G2736" s="79"/>
    </row>
    <row r="2737" spans="2:7" x14ac:dyDescent="0.35">
      <c r="B2737" s="46"/>
      <c r="C2737" s="46"/>
      <c r="D2737" s="46"/>
      <c r="E2737" s="46"/>
      <c r="F2737" s="46"/>
      <c r="G2737" s="79"/>
    </row>
    <row r="2738" spans="2:7" x14ac:dyDescent="0.35">
      <c r="B2738" s="46"/>
      <c r="C2738" s="46"/>
      <c r="D2738" s="46"/>
      <c r="E2738" s="46"/>
      <c r="F2738" s="46"/>
      <c r="G2738" s="79"/>
    </row>
    <row r="2739" spans="2:7" x14ac:dyDescent="0.35">
      <c r="B2739" s="46"/>
      <c r="C2739" s="46"/>
      <c r="D2739" s="46"/>
      <c r="E2739" s="46"/>
      <c r="F2739" s="46"/>
      <c r="G2739" s="79"/>
    </row>
    <row r="2740" spans="2:7" x14ac:dyDescent="0.35">
      <c r="B2740" s="46"/>
      <c r="C2740" s="46"/>
      <c r="D2740" s="46"/>
      <c r="E2740" s="46"/>
      <c r="F2740" s="46"/>
      <c r="G2740" s="79"/>
    </row>
    <row r="2741" spans="2:7" x14ac:dyDescent="0.35">
      <c r="B2741" s="46"/>
      <c r="C2741" s="46"/>
      <c r="D2741" s="46"/>
      <c r="E2741" s="46"/>
      <c r="F2741" s="46"/>
      <c r="G2741" s="79"/>
    </row>
    <row r="2742" spans="2:7" x14ac:dyDescent="0.35">
      <c r="B2742" s="46"/>
      <c r="C2742" s="46"/>
      <c r="D2742" s="46"/>
      <c r="E2742" s="46"/>
      <c r="F2742" s="46"/>
      <c r="G2742" s="79"/>
    </row>
    <row r="2743" spans="2:7" x14ac:dyDescent="0.35">
      <c r="B2743" s="46"/>
      <c r="C2743" s="46"/>
      <c r="D2743" s="46"/>
      <c r="E2743" s="46"/>
      <c r="F2743" s="46"/>
      <c r="G2743" s="79"/>
    </row>
    <row r="2744" spans="2:7" x14ac:dyDescent="0.35">
      <c r="B2744" s="46"/>
      <c r="C2744" s="46"/>
      <c r="D2744" s="46"/>
      <c r="E2744" s="46"/>
      <c r="F2744" s="46"/>
      <c r="G2744" s="79"/>
    </row>
    <row r="2745" spans="2:7" x14ac:dyDescent="0.35">
      <c r="B2745" s="46"/>
      <c r="C2745" s="46"/>
      <c r="D2745" s="46"/>
      <c r="E2745" s="46"/>
      <c r="F2745" s="46"/>
      <c r="G2745" s="79"/>
    </row>
    <row r="2746" spans="2:7" x14ac:dyDescent="0.35">
      <c r="B2746" s="46"/>
      <c r="C2746" s="46"/>
      <c r="D2746" s="46"/>
      <c r="E2746" s="46"/>
      <c r="F2746" s="46"/>
      <c r="G2746" s="79"/>
    </row>
    <row r="2747" spans="2:7" x14ac:dyDescent="0.35">
      <c r="B2747" s="46"/>
      <c r="C2747" s="46"/>
      <c r="D2747" s="46"/>
      <c r="E2747" s="46"/>
      <c r="F2747" s="46"/>
      <c r="G2747" s="79"/>
    </row>
    <row r="2748" spans="2:7" x14ac:dyDescent="0.35">
      <c r="B2748" s="46"/>
      <c r="C2748" s="46"/>
      <c r="D2748" s="46"/>
      <c r="E2748" s="46"/>
      <c r="F2748" s="46"/>
      <c r="G2748" s="79"/>
    </row>
    <row r="2749" spans="2:7" x14ac:dyDescent="0.35">
      <c r="B2749" s="46"/>
      <c r="C2749" s="46"/>
      <c r="D2749" s="46"/>
      <c r="E2749" s="46"/>
      <c r="F2749" s="46"/>
      <c r="G2749" s="79"/>
    </row>
    <row r="2750" spans="2:7" x14ac:dyDescent="0.35">
      <c r="B2750" s="46"/>
      <c r="C2750" s="46"/>
      <c r="D2750" s="46"/>
      <c r="E2750" s="46"/>
      <c r="F2750" s="46"/>
      <c r="G2750" s="79"/>
    </row>
    <row r="2751" spans="2:7" x14ac:dyDescent="0.35">
      <c r="B2751" s="46"/>
      <c r="C2751" s="46"/>
      <c r="D2751" s="46"/>
      <c r="E2751" s="46"/>
      <c r="F2751" s="46"/>
      <c r="G2751" s="79"/>
    </row>
    <row r="2752" spans="2:7" x14ac:dyDescent="0.35">
      <c r="B2752" s="46"/>
      <c r="C2752" s="46"/>
      <c r="D2752" s="46"/>
      <c r="E2752" s="46"/>
      <c r="F2752" s="46"/>
      <c r="G2752" s="79"/>
    </row>
    <row r="2753" spans="2:7" x14ac:dyDescent="0.35">
      <c r="B2753" s="46"/>
      <c r="C2753" s="46"/>
      <c r="D2753" s="46"/>
      <c r="E2753" s="46"/>
      <c r="F2753" s="46"/>
      <c r="G2753" s="79"/>
    </row>
    <row r="2754" spans="2:7" x14ac:dyDescent="0.35">
      <c r="B2754" s="46"/>
      <c r="C2754" s="46"/>
      <c r="D2754" s="46"/>
      <c r="E2754" s="46"/>
      <c r="F2754" s="46"/>
      <c r="G2754" s="79"/>
    </row>
    <row r="2755" spans="2:7" x14ac:dyDescent="0.35">
      <c r="B2755" s="46"/>
      <c r="C2755" s="46"/>
      <c r="D2755" s="46"/>
      <c r="E2755" s="46"/>
      <c r="F2755" s="46"/>
      <c r="G2755" s="79"/>
    </row>
    <row r="2756" spans="2:7" x14ac:dyDescent="0.35">
      <c r="B2756" s="46"/>
      <c r="C2756" s="46"/>
      <c r="D2756" s="46"/>
      <c r="E2756" s="46"/>
      <c r="F2756" s="46"/>
      <c r="G2756" s="79"/>
    </row>
    <row r="2757" spans="2:7" x14ac:dyDescent="0.35">
      <c r="B2757" s="46"/>
      <c r="C2757" s="46"/>
      <c r="D2757" s="46"/>
      <c r="E2757" s="46"/>
      <c r="F2757" s="46"/>
      <c r="G2757" s="79"/>
    </row>
    <row r="2758" spans="2:7" x14ac:dyDescent="0.35">
      <c r="B2758" s="46"/>
      <c r="C2758" s="46"/>
      <c r="D2758" s="46"/>
      <c r="E2758" s="46"/>
      <c r="F2758" s="46"/>
      <c r="G2758" s="79"/>
    </row>
    <row r="2759" spans="2:7" x14ac:dyDescent="0.35">
      <c r="B2759" s="46"/>
      <c r="C2759" s="46"/>
      <c r="D2759" s="46"/>
      <c r="E2759" s="46"/>
      <c r="F2759" s="46"/>
      <c r="G2759" s="79"/>
    </row>
    <row r="2760" spans="2:7" x14ac:dyDescent="0.35">
      <c r="B2760" s="46"/>
      <c r="C2760" s="46"/>
      <c r="D2760" s="46"/>
      <c r="E2760" s="46"/>
      <c r="F2760" s="46"/>
      <c r="G2760" s="79"/>
    </row>
    <row r="2761" spans="2:7" x14ac:dyDescent="0.35">
      <c r="B2761" s="46"/>
      <c r="C2761" s="46"/>
      <c r="D2761" s="46"/>
      <c r="E2761" s="46"/>
      <c r="F2761" s="46"/>
      <c r="G2761" s="79"/>
    </row>
    <row r="2762" spans="2:7" x14ac:dyDescent="0.35">
      <c r="B2762" s="46"/>
      <c r="C2762" s="46"/>
      <c r="D2762" s="46"/>
      <c r="E2762" s="46"/>
      <c r="F2762" s="46"/>
      <c r="G2762" s="79"/>
    </row>
    <row r="2763" spans="2:7" x14ac:dyDescent="0.35">
      <c r="B2763" s="46"/>
      <c r="C2763" s="46"/>
      <c r="D2763" s="46"/>
      <c r="E2763" s="46"/>
      <c r="F2763" s="46"/>
      <c r="G2763" s="79"/>
    </row>
    <row r="2764" spans="2:7" x14ac:dyDescent="0.35">
      <c r="B2764" s="46"/>
      <c r="C2764" s="46"/>
      <c r="D2764" s="46"/>
      <c r="E2764" s="46"/>
      <c r="F2764" s="46"/>
      <c r="G2764" s="79"/>
    </row>
    <row r="2765" spans="2:7" x14ac:dyDescent="0.35">
      <c r="B2765" s="46"/>
      <c r="C2765" s="46"/>
      <c r="D2765" s="46"/>
      <c r="E2765" s="46"/>
      <c r="F2765" s="46"/>
      <c r="G2765" s="79"/>
    </row>
    <row r="2766" spans="2:7" x14ac:dyDescent="0.35">
      <c r="B2766" s="46"/>
      <c r="C2766" s="46"/>
      <c r="D2766" s="46"/>
      <c r="E2766" s="46"/>
      <c r="F2766" s="46"/>
      <c r="G2766" s="79"/>
    </row>
    <row r="2767" spans="2:7" x14ac:dyDescent="0.35">
      <c r="B2767" s="46"/>
      <c r="C2767" s="46"/>
      <c r="D2767" s="46"/>
      <c r="E2767" s="46"/>
      <c r="F2767" s="46"/>
      <c r="G2767" s="79"/>
    </row>
    <row r="2768" spans="2:7" x14ac:dyDescent="0.35">
      <c r="B2768" s="46"/>
      <c r="C2768" s="46"/>
      <c r="D2768" s="46"/>
      <c r="E2768" s="46"/>
      <c r="F2768" s="46"/>
      <c r="G2768" s="79"/>
    </row>
    <row r="2769" spans="2:7" x14ac:dyDescent="0.35">
      <c r="B2769" s="46"/>
      <c r="C2769" s="46"/>
      <c r="D2769" s="46"/>
      <c r="E2769" s="46"/>
      <c r="F2769" s="46"/>
      <c r="G2769" s="79"/>
    </row>
    <row r="2770" spans="2:7" x14ac:dyDescent="0.35">
      <c r="B2770" s="46"/>
      <c r="C2770" s="46"/>
      <c r="D2770" s="46"/>
      <c r="E2770" s="46"/>
      <c r="F2770" s="46"/>
      <c r="G2770" s="79"/>
    </row>
    <row r="2771" spans="2:7" x14ac:dyDescent="0.35">
      <c r="B2771" s="46"/>
      <c r="C2771" s="46"/>
      <c r="D2771" s="46"/>
      <c r="E2771" s="46"/>
      <c r="F2771" s="46"/>
      <c r="G2771" s="79"/>
    </row>
    <row r="2772" spans="2:7" x14ac:dyDescent="0.35">
      <c r="B2772" s="46"/>
      <c r="C2772" s="46"/>
      <c r="D2772" s="46"/>
      <c r="E2772" s="46"/>
      <c r="F2772" s="46"/>
      <c r="G2772" s="79"/>
    </row>
    <row r="2773" spans="2:7" x14ac:dyDescent="0.35">
      <c r="B2773" s="46"/>
      <c r="C2773" s="46"/>
      <c r="D2773" s="46"/>
      <c r="E2773" s="46"/>
      <c r="F2773" s="46"/>
      <c r="G2773" s="79"/>
    </row>
    <row r="2774" spans="2:7" x14ac:dyDescent="0.35">
      <c r="B2774" s="46"/>
      <c r="C2774" s="46"/>
      <c r="D2774" s="46"/>
      <c r="E2774" s="46"/>
      <c r="F2774" s="46"/>
      <c r="G2774" s="79"/>
    </row>
    <row r="2775" spans="2:7" x14ac:dyDescent="0.35">
      <c r="B2775" s="46"/>
      <c r="C2775" s="46"/>
      <c r="D2775" s="46"/>
      <c r="E2775" s="46"/>
      <c r="F2775" s="46"/>
      <c r="G2775" s="79"/>
    </row>
    <row r="2776" spans="2:7" x14ac:dyDescent="0.35">
      <c r="B2776" s="46"/>
      <c r="C2776" s="46"/>
      <c r="D2776" s="46"/>
      <c r="E2776" s="46"/>
      <c r="F2776" s="46"/>
      <c r="G2776" s="79"/>
    </row>
    <row r="2777" spans="2:7" x14ac:dyDescent="0.35">
      <c r="B2777" s="46"/>
      <c r="C2777" s="46"/>
      <c r="D2777" s="46"/>
      <c r="E2777" s="46"/>
      <c r="F2777" s="46"/>
      <c r="G2777" s="79"/>
    </row>
    <row r="2778" spans="2:7" x14ac:dyDescent="0.35">
      <c r="B2778" s="46"/>
      <c r="C2778" s="46"/>
      <c r="D2778" s="46"/>
      <c r="E2778" s="46"/>
      <c r="F2778" s="46"/>
      <c r="G2778" s="79"/>
    </row>
    <row r="2779" spans="2:7" x14ac:dyDescent="0.35">
      <c r="B2779" s="46"/>
      <c r="C2779" s="46"/>
      <c r="D2779" s="46"/>
      <c r="E2779" s="46"/>
      <c r="F2779" s="46"/>
      <c r="G2779" s="79"/>
    </row>
    <row r="2780" spans="2:7" x14ac:dyDescent="0.35">
      <c r="B2780" s="46"/>
      <c r="C2780" s="46"/>
      <c r="D2780" s="46"/>
      <c r="E2780" s="46"/>
      <c r="F2780" s="46"/>
      <c r="G2780" s="79"/>
    </row>
    <row r="2781" spans="2:7" x14ac:dyDescent="0.35">
      <c r="B2781" s="46"/>
      <c r="C2781" s="46"/>
      <c r="D2781" s="46"/>
      <c r="E2781" s="46"/>
      <c r="F2781" s="46"/>
      <c r="G2781" s="79"/>
    </row>
    <row r="2782" spans="2:7" x14ac:dyDescent="0.35">
      <c r="B2782" s="46"/>
      <c r="C2782" s="46"/>
      <c r="D2782" s="46"/>
      <c r="E2782" s="46"/>
      <c r="F2782" s="46"/>
      <c r="G2782" s="79"/>
    </row>
    <row r="2783" spans="2:7" x14ac:dyDescent="0.35">
      <c r="B2783" s="46"/>
      <c r="C2783" s="46"/>
      <c r="D2783" s="46"/>
      <c r="E2783" s="46"/>
      <c r="F2783" s="46"/>
      <c r="G2783" s="79"/>
    </row>
    <row r="2784" spans="2:7" x14ac:dyDescent="0.35">
      <c r="B2784" s="46"/>
      <c r="C2784" s="46"/>
      <c r="D2784" s="46"/>
      <c r="E2784" s="46"/>
      <c r="F2784" s="46"/>
      <c r="G2784" s="79"/>
    </row>
    <row r="2785" spans="2:7" x14ac:dyDescent="0.35">
      <c r="B2785" s="46"/>
      <c r="C2785" s="46"/>
      <c r="D2785" s="46"/>
      <c r="E2785" s="46"/>
      <c r="F2785" s="46"/>
      <c r="G2785" s="79"/>
    </row>
    <row r="2786" spans="2:7" x14ac:dyDescent="0.35">
      <c r="B2786" s="46"/>
      <c r="C2786" s="46"/>
      <c r="D2786" s="46"/>
      <c r="E2786" s="46"/>
      <c r="F2786" s="46"/>
      <c r="G2786" s="79"/>
    </row>
    <row r="2787" spans="2:7" x14ac:dyDescent="0.35">
      <c r="B2787" s="46"/>
      <c r="C2787" s="46"/>
      <c r="D2787" s="46"/>
      <c r="E2787" s="46"/>
      <c r="F2787" s="46"/>
      <c r="G2787" s="79"/>
    </row>
    <row r="2788" spans="2:7" x14ac:dyDescent="0.35">
      <c r="B2788" s="46"/>
      <c r="C2788" s="46"/>
      <c r="D2788" s="46"/>
      <c r="E2788" s="46"/>
      <c r="F2788" s="46"/>
      <c r="G2788" s="79"/>
    </row>
    <row r="2789" spans="2:7" x14ac:dyDescent="0.35">
      <c r="B2789" s="46"/>
      <c r="C2789" s="46"/>
      <c r="D2789" s="46"/>
      <c r="E2789" s="46"/>
      <c r="F2789" s="46"/>
      <c r="G2789" s="79"/>
    </row>
    <row r="2790" spans="2:7" x14ac:dyDescent="0.35">
      <c r="B2790" s="46"/>
      <c r="C2790" s="46"/>
      <c r="D2790" s="46"/>
      <c r="E2790" s="46"/>
      <c r="F2790" s="46"/>
      <c r="G2790" s="79"/>
    </row>
    <row r="2791" spans="2:7" x14ac:dyDescent="0.35">
      <c r="B2791" s="46"/>
      <c r="C2791" s="46"/>
      <c r="D2791" s="46"/>
      <c r="E2791" s="46"/>
      <c r="F2791" s="46"/>
      <c r="G2791" s="79"/>
    </row>
    <row r="2792" spans="2:7" x14ac:dyDescent="0.35">
      <c r="B2792" s="46"/>
      <c r="C2792" s="46"/>
      <c r="D2792" s="46"/>
      <c r="E2792" s="46"/>
      <c r="F2792" s="46"/>
      <c r="G2792" s="79"/>
    </row>
    <row r="2793" spans="2:7" x14ac:dyDescent="0.35">
      <c r="B2793" s="46"/>
      <c r="C2793" s="46"/>
      <c r="D2793" s="46"/>
      <c r="E2793" s="46"/>
      <c r="F2793" s="46"/>
      <c r="G2793" s="79"/>
    </row>
    <row r="2794" spans="2:7" x14ac:dyDescent="0.35">
      <c r="B2794" s="46"/>
      <c r="C2794" s="46"/>
      <c r="D2794" s="46"/>
      <c r="E2794" s="46"/>
      <c r="F2794" s="46"/>
      <c r="G2794" s="79"/>
    </row>
    <row r="2795" spans="2:7" x14ac:dyDescent="0.35">
      <c r="B2795" s="46"/>
      <c r="C2795" s="46"/>
      <c r="D2795" s="46"/>
      <c r="E2795" s="46"/>
      <c r="F2795" s="46"/>
      <c r="G2795" s="79"/>
    </row>
    <row r="2796" spans="2:7" x14ac:dyDescent="0.35">
      <c r="B2796" s="46"/>
      <c r="C2796" s="46"/>
      <c r="D2796" s="46"/>
      <c r="E2796" s="46"/>
      <c r="F2796" s="46"/>
      <c r="G2796" s="79"/>
    </row>
    <row r="2797" spans="2:7" x14ac:dyDescent="0.35">
      <c r="B2797" s="46"/>
      <c r="C2797" s="46"/>
      <c r="D2797" s="46"/>
      <c r="E2797" s="46"/>
      <c r="F2797" s="46"/>
      <c r="G2797" s="79"/>
    </row>
    <row r="2798" spans="2:7" x14ac:dyDescent="0.35">
      <c r="B2798" s="46"/>
      <c r="C2798" s="46"/>
      <c r="D2798" s="46"/>
      <c r="E2798" s="46"/>
      <c r="F2798" s="46"/>
      <c r="G2798" s="79"/>
    </row>
    <row r="2799" spans="2:7" x14ac:dyDescent="0.35">
      <c r="B2799" s="46"/>
      <c r="C2799" s="46"/>
      <c r="D2799" s="46"/>
      <c r="E2799" s="46"/>
      <c r="F2799" s="46"/>
      <c r="G2799" s="79"/>
    </row>
    <row r="2800" spans="2:7" x14ac:dyDescent="0.35">
      <c r="B2800" s="46"/>
      <c r="C2800" s="46"/>
      <c r="D2800" s="46"/>
      <c r="E2800" s="46"/>
      <c r="F2800" s="46"/>
      <c r="G2800" s="79"/>
    </row>
    <row r="2801" spans="2:7" x14ac:dyDescent="0.35">
      <c r="B2801" s="46"/>
      <c r="C2801" s="46"/>
      <c r="D2801" s="46"/>
      <c r="E2801" s="46"/>
      <c r="F2801" s="46"/>
      <c r="G2801" s="79"/>
    </row>
    <row r="2802" spans="2:7" x14ac:dyDescent="0.35">
      <c r="B2802" s="46"/>
      <c r="C2802" s="46"/>
      <c r="D2802" s="46"/>
      <c r="E2802" s="46"/>
      <c r="F2802" s="46"/>
      <c r="G2802" s="79"/>
    </row>
    <row r="2803" spans="2:7" x14ac:dyDescent="0.35">
      <c r="B2803" s="46"/>
      <c r="C2803" s="46"/>
      <c r="D2803" s="46"/>
      <c r="E2803" s="46"/>
      <c r="F2803" s="46"/>
      <c r="G2803" s="79"/>
    </row>
    <row r="2804" spans="2:7" x14ac:dyDescent="0.35">
      <c r="B2804" s="46"/>
      <c r="C2804" s="46"/>
      <c r="D2804" s="46"/>
      <c r="E2804" s="46"/>
      <c r="F2804" s="46"/>
      <c r="G2804" s="79"/>
    </row>
    <row r="2805" spans="2:7" x14ac:dyDescent="0.35">
      <c r="B2805" s="46"/>
      <c r="C2805" s="46"/>
      <c r="D2805" s="46"/>
      <c r="E2805" s="46"/>
      <c r="F2805" s="46"/>
      <c r="G2805" s="79"/>
    </row>
    <row r="2806" spans="2:7" x14ac:dyDescent="0.35">
      <c r="B2806" s="46"/>
      <c r="C2806" s="46"/>
      <c r="D2806" s="46"/>
      <c r="E2806" s="46"/>
      <c r="F2806" s="46"/>
      <c r="G2806" s="79"/>
    </row>
    <row r="2807" spans="2:7" x14ac:dyDescent="0.35">
      <c r="B2807" s="46"/>
      <c r="C2807" s="46"/>
      <c r="D2807" s="46"/>
      <c r="E2807" s="46"/>
      <c r="F2807" s="46"/>
      <c r="G2807" s="79"/>
    </row>
    <row r="2808" spans="2:7" x14ac:dyDescent="0.35">
      <c r="B2808" s="46"/>
      <c r="C2808" s="46"/>
      <c r="D2808" s="46"/>
      <c r="E2808" s="46"/>
      <c r="F2808" s="46"/>
      <c r="G2808" s="79"/>
    </row>
    <row r="2809" spans="2:7" x14ac:dyDescent="0.35">
      <c r="B2809" s="46"/>
      <c r="C2809" s="46"/>
      <c r="D2809" s="46"/>
      <c r="E2809" s="46"/>
      <c r="F2809" s="46"/>
      <c r="G2809" s="79"/>
    </row>
    <row r="2810" spans="2:7" x14ac:dyDescent="0.35">
      <c r="B2810" s="46"/>
      <c r="C2810" s="46"/>
      <c r="D2810" s="46"/>
      <c r="E2810" s="46"/>
      <c r="F2810" s="46"/>
      <c r="G2810" s="79"/>
    </row>
    <row r="2811" spans="2:7" x14ac:dyDescent="0.35">
      <c r="B2811" s="46"/>
      <c r="C2811" s="46"/>
      <c r="D2811" s="46"/>
      <c r="E2811" s="46"/>
      <c r="F2811" s="46"/>
      <c r="G2811" s="79"/>
    </row>
    <row r="2812" spans="2:7" x14ac:dyDescent="0.35">
      <c r="B2812" s="46"/>
      <c r="C2812" s="46"/>
      <c r="D2812" s="46"/>
      <c r="E2812" s="46"/>
      <c r="F2812" s="46"/>
      <c r="G2812" s="79"/>
    </row>
    <row r="2813" spans="2:7" x14ac:dyDescent="0.35">
      <c r="B2813" s="46"/>
      <c r="C2813" s="46"/>
      <c r="D2813" s="46"/>
      <c r="E2813" s="46"/>
      <c r="F2813" s="46"/>
      <c r="G2813" s="79"/>
    </row>
    <row r="2814" spans="2:7" x14ac:dyDescent="0.35">
      <c r="B2814" s="46"/>
      <c r="C2814" s="46"/>
      <c r="D2814" s="46"/>
      <c r="E2814" s="46"/>
      <c r="F2814" s="46"/>
      <c r="G2814" s="79"/>
    </row>
    <row r="2815" spans="2:7" x14ac:dyDescent="0.35">
      <c r="B2815" s="46"/>
      <c r="C2815" s="46"/>
      <c r="D2815" s="46"/>
      <c r="E2815" s="46"/>
      <c r="F2815" s="46"/>
      <c r="G2815" s="79"/>
    </row>
    <row r="2816" spans="2:7" x14ac:dyDescent="0.35">
      <c r="B2816" s="46"/>
      <c r="C2816" s="46"/>
      <c r="D2816" s="46"/>
      <c r="E2816" s="46"/>
      <c r="F2816" s="46"/>
      <c r="G2816" s="79"/>
    </row>
    <row r="2817" spans="2:7" x14ac:dyDescent="0.35">
      <c r="B2817" s="46"/>
      <c r="C2817" s="46"/>
      <c r="D2817" s="46"/>
      <c r="E2817" s="46"/>
      <c r="F2817" s="46"/>
      <c r="G2817" s="79"/>
    </row>
    <row r="2818" spans="2:7" x14ac:dyDescent="0.35">
      <c r="B2818" s="46"/>
      <c r="C2818" s="46"/>
      <c r="D2818" s="46"/>
      <c r="E2818" s="46"/>
      <c r="F2818" s="46"/>
      <c r="G2818" s="79"/>
    </row>
    <row r="2819" spans="2:7" x14ac:dyDescent="0.35">
      <c r="B2819" s="46"/>
      <c r="C2819" s="46"/>
      <c r="D2819" s="46"/>
      <c r="E2819" s="46"/>
      <c r="F2819" s="46"/>
      <c r="G2819" s="79"/>
    </row>
    <row r="2820" spans="2:7" x14ac:dyDescent="0.35">
      <c r="B2820" s="46"/>
      <c r="C2820" s="46"/>
      <c r="D2820" s="46"/>
      <c r="E2820" s="46"/>
      <c r="F2820" s="46"/>
      <c r="G2820" s="79"/>
    </row>
    <row r="2821" spans="2:7" x14ac:dyDescent="0.35">
      <c r="B2821" s="46"/>
      <c r="C2821" s="46"/>
      <c r="D2821" s="46"/>
      <c r="E2821" s="46"/>
      <c r="F2821" s="46"/>
      <c r="G2821" s="79"/>
    </row>
    <row r="2822" spans="2:7" x14ac:dyDescent="0.35">
      <c r="B2822" s="46"/>
      <c r="C2822" s="46"/>
      <c r="D2822" s="46"/>
      <c r="E2822" s="46"/>
      <c r="F2822" s="46"/>
      <c r="G2822" s="79"/>
    </row>
    <row r="2823" spans="2:7" x14ac:dyDescent="0.35">
      <c r="B2823" s="46"/>
      <c r="C2823" s="46"/>
      <c r="D2823" s="46"/>
      <c r="E2823" s="46"/>
      <c r="F2823" s="46"/>
      <c r="G2823" s="79"/>
    </row>
    <row r="2824" spans="2:7" x14ac:dyDescent="0.35">
      <c r="B2824" s="46"/>
      <c r="C2824" s="46"/>
      <c r="D2824" s="46"/>
      <c r="E2824" s="46"/>
      <c r="F2824" s="46"/>
      <c r="G2824" s="79"/>
    </row>
    <row r="2825" spans="2:7" x14ac:dyDescent="0.35">
      <c r="B2825" s="46"/>
      <c r="C2825" s="46"/>
      <c r="D2825" s="46"/>
      <c r="E2825" s="46"/>
      <c r="F2825" s="46"/>
      <c r="G2825" s="79"/>
    </row>
    <row r="2826" spans="2:7" x14ac:dyDescent="0.35">
      <c r="B2826" s="46"/>
      <c r="C2826" s="46"/>
      <c r="D2826" s="46"/>
      <c r="E2826" s="46"/>
      <c r="F2826" s="46"/>
      <c r="G2826" s="79"/>
    </row>
    <row r="2827" spans="2:7" x14ac:dyDescent="0.35">
      <c r="B2827" s="46"/>
      <c r="C2827" s="46"/>
      <c r="D2827" s="46"/>
      <c r="E2827" s="46"/>
      <c r="F2827" s="46"/>
      <c r="G2827" s="79"/>
    </row>
    <row r="2828" spans="2:7" x14ac:dyDescent="0.35">
      <c r="B2828" s="46"/>
      <c r="C2828" s="46"/>
      <c r="D2828" s="46"/>
      <c r="E2828" s="46"/>
      <c r="F2828" s="46"/>
      <c r="G2828" s="79"/>
    </row>
    <row r="2829" spans="2:7" x14ac:dyDescent="0.35">
      <c r="B2829" s="46"/>
      <c r="C2829" s="46"/>
      <c r="D2829" s="46"/>
      <c r="E2829" s="46"/>
      <c r="F2829" s="46"/>
      <c r="G2829" s="79"/>
    </row>
    <row r="2830" spans="2:7" x14ac:dyDescent="0.35">
      <c r="B2830" s="46"/>
      <c r="C2830" s="46"/>
      <c r="D2830" s="46"/>
      <c r="E2830" s="46"/>
      <c r="F2830" s="46"/>
      <c r="G2830" s="79"/>
    </row>
    <row r="2831" spans="2:7" x14ac:dyDescent="0.35">
      <c r="B2831" s="46"/>
      <c r="C2831" s="46"/>
      <c r="D2831" s="46"/>
      <c r="E2831" s="46"/>
      <c r="F2831" s="46"/>
      <c r="G2831" s="79"/>
    </row>
    <row r="2832" spans="2:7" x14ac:dyDescent="0.35">
      <c r="B2832" s="46"/>
      <c r="C2832" s="46"/>
      <c r="D2832" s="46"/>
      <c r="E2832" s="46"/>
      <c r="F2832" s="46"/>
      <c r="G2832" s="79"/>
    </row>
    <row r="2833" spans="2:7" x14ac:dyDescent="0.35">
      <c r="B2833" s="46"/>
      <c r="C2833" s="46"/>
      <c r="D2833" s="46"/>
      <c r="E2833" s="46"/>
      <c r="F2833" s="46"/>
      <c r="G2833" s="79"/>
    </row>
    <row r="2834" spans="2:7" x14ac:dyDescent="0.35">
      <c r="B2834" s="46"/>
      <c r="C2834" s="46"/>
      <c r="D2834" s="46"/>
      <c r="E2834" s="46"/>
      <c r="F2834" s="46"/>
      <c r="G2834" s="79"/>
    </row>
    <row r="2835" spans="2:7" x14ac:dyDescent="0.35">
      <c r="B2835" s="46"/>
      <c r="C2835" s="46"/>
      <c r="D2835" s="46"/>
      <c r="E2835" s="46"/>
      <c r="F2835" s="46"/>
      <c r="G2835" s="79"/>
    </row>
    <row r="2836" spans="2:7" x14ac:dyDescent="0.35">
      <c r="B2836" s="46"/>
      <c r="C2836" s="46"/>
      <c r="D2836" s="46"/>
      <c r="E2836" s="46"/>
      <c r="F2836" s="46"/>
      <c r="G2836" s="79"/>
    </row>
    <row r="2837" spans="2:7" x14ac:dyDescent="0.35">
      <c r="B2837" s="46"/>
      <c r="C2837" s="46"/>
      <c r="D2837" s="46"/>
      <c r="E2837" s="46"/>
      <c r="F2837" s="46"/>
      <c r="G2837" s="79"/>
    </row>
    <row r="2838" spans="2:7" x14ac:dyDescent="0.35">
      <c r="B2838" s="46"/>
      <c r="C2838" s="46"/>
      <c r="D2838" s="46"/>
      <c r="E2838" s="46"/>
      <c r="F2838" s="46"/>
      <c r="G2838" s="79"/>
    </row>
    <row r="2839" spans="2:7" x14ac:dyDescent="0.35">
      <c r="B2839" s="46"/>
      <c r="C2839" s="46"/>
      <c r="D2839" s="46"/>
      <c r="E2839" s="46"/>
      <c r="F2839" s="46"/>
      <c r="G2839" s="79"/>
    </row>
    <row r="2840" spans="2:7" x14ac:dyDescent="0.35">
      <c r="B2840" s="46"/>
      <c r="C2840" s="46"/>
      <c r="D2840" s="46"/>
      <c r="E2840" s="46"/>
      <c r="F2840" s="46"/>
      <c r="G2840" s="79"/>
    </row>
    <row r="2841" spans="2:7" x14ac:dyDescent="0.35">
      <c r="B2841" s="46"/>
      <c r="C2841" s="46"/>
      <c r="D2841" s="46"/>
      <c r="E2841" s="46"/>
      <c r="F2841" s="46"/>
      <c r="G2841" s="79"/>
    </row>
    <row r="2842" spans="2:7" x14ac:dyDescent="0.35">
      <c r="B2842" s="46"/>
      <c r="C2842" s="46"/>
      <c r="D2842" s="46"/>
      <c r="E2842" s="46"/>
      <c r="F2842" s="46"/>
      <c r="G2842" s="79"/>
    </row>
    <row r="2843" spans="2:7" x14ac:dyDescent="0.35">
      <c r="B2843" s="46"/>
      <c r="C2843" s="46"/>
      <c r="D2843" s="46"/>
      <c r="E2843" s="46"/>
      <c r="F2843" s="46"/>
      <c r="G2843" s="79"/>
    </row>
    <row r="2844" spans="2:7" x14ac:dyDescent="0.35">
      <c r="B2844" s="46"/>
      <c r="C2844" s="46"/>
      <c r="D2844" s="46"/>
      <c r="E2844" s="46"/>
      <c r="F2844" s="46"/>
      <c r="G2844" s="79"/>
    </row>
    <row r="2845" spans="2:7" x14ac:dyDescent="0.35">
      <c r="B2845" s="46"/>
      <c r="C2845" s="46"/>
      <c r="D2845" s="46"/>
      <c r="E2845" s="46"/>
      <c r="F2845" s="46"/>
      <c r="G2845" s="79"/>
    </row>
    <row r="2846" spans="2:7" x14ac:dyDescent="0.35">
      <c r="B2846" s="46"/>
      <c r="C2846" s="46"/>
      <c r="D2846" s="46"/>
      <c r="E2846" s="46"/>
      <c r="F2846" s="46"/>
      <c r="G2846" s="79"/>
    </row>
    <row r="2847" spans="2:7" x14ac:dyDescent="0.35">
      <c r="B2847" s="46"/>
      <c r="C2847" s="46"/>
      <c r="D2847" s="46"/>
      <c r="E2847" s="46"/>
      <c r="F2847" s="46"/>
      <c r="G2847" s="79"/>
    </row>
    <row r="2848" spans="2:7" x14ac:dyDescent="0.35">
      <c r="B2848" s="46"/>
      <c r="C2848" s="46"/>
      <c r="D2848" s="46"/>
      <c r="E2848" s="46"/>
      <c r="F2848" s="46"/>
      <c r="G2848" s="79"/>
    </row>
    <row r="2849" spans="2:7" x14ac:dyDescent="0.35">
      <c r="B2849" s="46"/>
      <c r="C2849" s="46"/>
      <c r="D2849" s="46"/>
      <c r="E2849" s="46"/>
      <c r="F2849" s="46"/>
      <c r="G2849" s="79"/>
    </row>
    <row r="2850" spans="2:7" x14ac:dyDescent="0.35">
      <c r="B2850" s="46"/>
      <c r="C2850" s="46"/>
      <c r="D2850" s="46"/>
      <c r="E2850" s="46"/>
      <c r="F2850" s="46"/>
      <c r="G2850" s="79"/>
    </row>
    <row r="2851" spans="2:7" x14ac:dyDescent="0.35">
      <c r="B2851" s="46"/>
      <c r="C2851" s="46"/>
      <c r="D2851" s="46"/>
      <c r="E2851" s="46"/>
      <c r="F2851" s="46"/>
      <c r="G2851" s="79"/>
    </row>
    <row r="2852" spans="2:7" x14ac:dyDescent="0.35">
      <c r="B2852" s="46"/>
      <c r="C2852" s="46"/>
      <c r="D2852" s="46"/>
      <c r="E2852" s="46"/>
      <c r="F2852" s="46"/>
      <c r="G2852" s="79"/>
    </row>
    <row r="2853" spans="2:7" x14ac:dyDescent="0.35">
      <c r="B2853" s="46"/>
      <c r="C2853" s="46"/>
      <c r="D2853" s="46"/>
      <c r="E2853" s="46"/>
      <c r="F2853" s="46"/>
      <c r="G2853" s="79"/>
    </row>
    <row r="2854" spans="2:7" x14ac:dyDescent="0.35">
      <c r="B2854" s="46"/>
      <c r="C2854" s="46"/>
      <c r="D2854" s="46"/>
      <c r="E2854" s="46"/>
      <c r="F2854" s="46"/>
      <c r="G2854" s="79"/>
    </row>
    <row r="2855" spans="2:7" x14ac:dyDescent="0.35">
      <c r="B2855" s="46"/>
      <c r="C2855" s="46"/>
      <c r="D2855" s="46"/>
      <c r="E2855" s="46"/>
      <c r="F2855" s="46"/>
      <c r="G2855" s="79"/>
    </row>
    <row r="2856" spans="2:7" x14ac:dyDescent="0.35">
      <c r="B2856" s="46"/>
      <c r="C2856" s="46"/>
      <c r="D2856" s="46"/>
      <c r="E2856" s="46"/>
      <c r="F2856" s="46"/>
      <c r="G2856" s="79"/>
    </row>
    <row r="2857" spans="2:7" x14ac:dyDescent="0.35">
      <c r="B2857" s="46"/>
      <c r="C2857" s="46"/>
      <c r="D2857" s="46"/>
      <c r="E2857" s="46"/>
      <c r="F2857" s="46"/>
      <c r="G2857" s="79"/>
    </row>
    <row r="2858" spans="2:7" x14ac:dyDescent="0.35">
      <c r="B2858" s="46"/>
      <c r="C2858" s="46"/>
      <c r="D2858" s="46"/>
      <c r="E2858" s="46"/>
      <c r="F2858" s="46"/>
      <c r="G2858" s="79"/>
    </row>
    <row r="2859" spans="2:7" x14ac:dyDescent="0.35">
      <c r="B2859" s="46"/>
      <c r="C2859" s="46"/>
      <c r="D2859" s="46"/>
      <c r="E2859" s="46"/>
      <c r="F2859" s="46"/>
      <c r="G2859" s="79"/>
    </row>
    <row r="2860" spans="2:7" x14ac:dyDescent="0.35">
      <c r="B2860" s="46"/>
      <c r="C2860" s="46"/>
      <c r="D2860" s="46"/>
      <c r="E2860" s="46"/>
      <c r="F2860" s="46"/>
      <c r="G2860" s="79"/>
    </row>
    <row r="2861" spans="2:7" x14ac:dyDescent="0.35">
      <c r="B2861" s="46"/>
      <c r="C2861" s="46"/>
      <c r="D2861" s="46"/>
      <c r="E2861" s="46"/>
      <c r="F2861" s="46"/>
      <c r="G2861" s="79"/>
    </row>
    <row r="2862" spans="2:7" x14ac:dyDescent="0.35">
      <c r="B2862" s="46"/>
      <c r="C2862" s="46"/>
      <c r="D2862" s="46"/>
      <c r="E2862" s="46"/>
      <c r="F2862" s="46"/>
      <c r="G2862" s="79"/>
    </row>
    <row r="2863" spans="2:7" x14ac:dyDescent="0.35">
      <c r="B2863" s="46"/>
      <c r="C2863" s="46"/>
      <c r="D2863" s="46"/>
      <c r="E2863" s="46"/>
      <c r="F2863" s="46"/>
      <c r="G2863" s="79"/>
    </row>
    <row r="2864" spans="2:7" x14ac:dyDescent="0.35">
      <c r="B2864" s="46"/>
      <c r="C2864" s="46"/>
      <c r="D2864" s="46"/>
      <c r="E2864" s="46"/>
      <c r="F2864" s="46"/>
      <c r="G2864" s="79"/>
    </row>
    <row r="2865" spans="2:7" x14ac:dyDescent="0.35">
      <c r="B2865" s="46"/>
      <c r="C2865" s="46"/>
      <c r="D2865" s="46"/>
      <c r="E2865" s="46"/>
      <c r="F2865" s="46"/>
      <c r="G2865" s="79"/>
    </row>
    <row r="2866" spans="2:7" x14ac:dyDescent="0.35">
      <c r="B2866" s="46"/>
      <c r="C2866" s="46"/>
      <c r="D2866" s="46"/>
      <c r="E2866" s="46"/>
      <c r="F2866" s="46"/>
      <c r="G2866" s="79"/>
    </row>
    <row r="2867" spans="2:7" x14ac:dyDescent="0.35">
      <c r="B2867" s="46"/>
      <c r="C2867" s="46"/>
      <c r="D2867" s="46"/>
      <c r="E2867" s="46"/>
      <c r="F2867" s="46"/>
      <c r="G2867" s="79"/>
    </row>
    <row r="2868" spans="2:7" x14ac:dyDescent="0.35">
      <c r="B2868" s="46"/>
      <c r="C2868" s="46"/>
      <c r="D2868" s="46"/>
      <c r="E2868" s="46"/>
      <c r="F2868" s="46"/>
      <c r="G2868" s="79"/>
    </row>
    <row r="2869" spans="2:7" x14ac:dyDescent="0.35">
      <c r="B2869" s="46"/>
      <c r="C2869" s="46"/>
      <c r="D2869" s="46"/>
      <c r="E2869" s="46"/>
      <c r="F2869" s="46"/>
      <c r="G2869" s="79"/>
    </row>
    <row r="2870" spans="2:7" x14ac:dyDescent="0.35">
      <c r="B2870" s="46"/>
      <c r="C2870" s="46"/>
      <c r="D2870" s="46"/>
      <c r="E2870" s="46"/>
      <c r="F2870" s="46"/>
      <c r="G2870" s="79"/>
    </row>
    <row r="2871" spans="2:7" x14ac:dyDescent="0.35">
      <c r="B2871" s="46"/>
      <c r="C2871" s="46"/>
      <c r="D2871" s="46"/>
      <c r="E2871" s="46"/>
      <c r="F2871" s="46"/>
      <c r="G2871" s="79"/>
    </row>
    <row r="2872" spans="2:7" x14ac:dyDescent="0.35">
      <c r="B2872" s="46"/>
      <c r="C2872" s="46"/>
      <c r="D2872" s="46"/>
      <c r="E2872" s="46"/>
      <c r="F2872" s="46"/>
      <c r="G2872" s="79"/>
    </row>
    <row r="2873" spans="2:7" x14ac:dyDescent="0.35">
      <c r="B2873" s="46"/>
      <c r="C2873" s="46"/>
      <c r="D2873" s="46"/>
      <c r="E2873" s="46"/>
      <c r="F2873" s="46"/>
      <c r="G2873" s="79"/>
    </row>
    <row r="2874" spans="2:7" x14ac:dyDescent="0.35">
      <c r="B2874" s="46"/>
      <c r="C2874" s="46"/>
      <c r="D2874" s="46"/>
      <c r="E2874" s="46"/>
      <c r="F2874" s="46"/>
      <c r="G2874" s="79"/>
    </row>
    <row r="2875" spans="2:7" x14ac:dyDescent="0.35">
      <c r="B2875" s="46"/>
      <c r="C2875" s="46"/>
      <c r="D2875" s="46"/>
      <c r="E2875" s="46"/>
      <c r="F2875" s="46"/>
      <c r="G2875" s="79"/>
    </row>
    <row r="2876" spans="2:7" x14ac:dyDescent="0.35">
      <c r="B2876" s="46"/>
      <c r="C2876" s="46"/>
      <c r="D2876" s="46"/>
      <c r="E2876" s="46"/>
      <c r="F2876" s="46"/>
      <c r="G2876" s="79"/>
    </row>
    <row r="2877" spans="2:7" x14ac:dyDescent="0.35">
      <c r="B2877" s="46"/>
      <c r="C2877" s="46"/>
      <c r="D2877" s="46"/>
      <c r="E2877" s="46"/>
      <c r="F2877" s="46"/>
      <c r="G2877" s="79"/>
    </row>
    <row r="2878" spans="2:7" x14ac:dyDescent="0.35">
      <c r="B2878" s="46"/>
      <c r="C2878" s="46"/>
      <c r="D2878" s="46"/>
      <c r="E2878" s="46"/>
      <c r="F2878" s="46"/>
      <c r="G2878" s="79"/>
    </row>
    <row r="2879" spans="2:7" x14ac:dyDescent="0.35">
      <c r="B2879" s="46"/>
      <c r="C2879" s="46"/>
      <c r="D2879" s="46"/>
      <c r="E2879" s="46"/>
      <c r="F2879" s="46"/>
      <c r="G2879" s="79"/>
    </row>
    <row r="2880" spans="2:7" x14ac:dyDescent="0.35">
      <c r="B2880" s="46"/>
      <c r="C2880" s="46"/>
      <c r="D2880" s="46"/>
      <c r="E2880" s="46"/>
      <c r="F2880" s="46"/>
      <c r="G2880" s="79"/>
    </row>
    <row r="2881" spans="2:7" x14ac:dyDescent="0.35">
      <c r="B2881" s="46"/>
      <c r="C2881" s="46"/>
      <c r="D2881" s="46"/>
      <c r="E2881" s="46"/>
      <c r="F2881" s="46"/>
      <c r="G2881" s="79"/>
    </row>
    <row r="2882" spans="2:7" x14ac:dyDescent="0.35">
      <c r="B2882" s="46"/>
      <c r="C2882" s="46"/>
      <c r="D2882" s="46"/>
      <c r="E2882" s="46"/>
      <c r="F2882" s="46"/>
      <c r="G2882" s="79"/>
    </row>
    <row r="2883" spans="2:7" x14ac:dyDescent="0.35">
      <c r="B2883" s="46"/>
      <c r="C2883" s="46"/>
      <c r="D2883" s="46"/>
      <c r="E2883" s="46"/>
      <c r="F2883" s="46"/>
      <c r="G2883" s="79"/>
    </row>
    <row r="2884" spans="2:7" x14ac:dyDescent="0.35">
      <c r="B2884" s="46"/>
      <c r="C2884" s="46"/>
      <c r="D2884" s="46"/>
      <c r="E2884" s="46"/>
      <c r="F2884" s="46"/>
      <c r="G2884" s="79"/>
    </row>
    <row r="2885" spans="2:7" x14ac:dyDescent="0.35">
      <c r="B2885" s="46"/>
      <c r="C2885" s="46"/>
      <c r="D2885" s="46"/>
      <c r="E2885" s="46"/>
      <c r="F2885" s="46"/>
      <c r="G2885" s="79"/>
    </row>
    <row r="2886" spans="2:7" x14ac:dyDescent="0.35">
      <c r="B2886" s="46"/>
      <c r="C2886" s="46"/>
      <c r="D2886" s="46"/>
      <c r="E2886" s="46"/>
      <c r="F2886" s="46"/>
      <c r="G2886" s="79"/>
    </row>
    <row r="2887" spans="2:7" x14ac:dyDescent="0.35">
      <c r="B2887" s="46"/>
      <c r="C2887" s="46"/>
      <c r="D2887" s="46"/>
      <c r="E2887" s="46"/>
      <c r="F2887" s="46"/>
      <c r="G2887" s="79"/>
    </row>
    <row r="2888" spans="2:7" x14ac:dyDescent="0.35">
      <c r="B2888" s="46"/>
      <c r="C2888" s="46"/>
      <c r="D2888" s="46"/>
      <c r="E2888" s="46"/>
      <c r="F2888" s="46"/>
      <c r="G2888" s="79"/>
    </row>
    <row r="2889" spans="2:7" x14ac:dyDescent="0.35">
      <c r="B2889" s="46"/>
      <c r="C2889" s="46"/>
      <c r="D2889" s="46"/>
      <c r="E2889" s="46"/>
      <c r="F2889" s="46"/>
      <c r="G2889" s="79"/>
    </row>
    <row r="2890" spans="2:7" x14ac:dyDescent="0.35">
      <c r="B2890" s="46"/>
      <c r="C2890" s="46"/>
      <c r="D2890" s="46"/>
      <c r="E2890" s="46"/>
      <c r="F2890" s="46"/>
      <c r="G2890" s="79"/>
    </row>
    <row r="2891" spans="2:7" x14ac:dyDescent="0.35">
      <c r="B2891" s="46"/>
      <c r="C2891" s="46"/>
      <c r="D2891" s="46"/>
      <c r="E2891" s="46"/>
      <c r="F2891" s="46"/>
      <c r="G2891" s="79"/>
    </row>
    <row r="2892" spans="2:7" x14ac:dyDescent="0.35">
      <c r="B2892" s="46"/>
      <c r="C2892" s="46"/>
      <c r="D2892" s="46"/>
      <c r="E2892" s="46"/>
      <c r="F2892" s="46"/>
      <c r="G2892" s="79"/>
    </row>
    <row r="2893" spans="2:7" x14ac:dyDescent="0.35">
      <c r="B2893" s="46"/>
      <c r="C2893" s="46"/>
      <c r="D2893" s="46"/>
      <c r="E2893" s="46"/>
      <c r="F2893" s="46"/>
      <c r="G2893" s="79"/>
    </row>
    <row r="2894" spans="2:7" x14ac:dyDescent="0.35">
      <c r="B2894" s="46"/>
      <c r="C2894" s="46"/>
      <c r="D2894" s="46"/>
      <c r="E2894" s="46"/>
      <c r="F2894" s="46"/>
      <c r="G2894" s="79"/>
    </row>
    <row r="2895" spans="2:7" x14ac:dyDescent="0.35">
      <c r="B2895" s="46"/>
      <c r="C2895" s="46"/>
      <c r="D2895" s="46"/>
      <c r="E2895" s="46"/>
      <c r="F2895" s="46"/>
      <c r="G2895" s="79"/>
    </row>
    <row r="2896" spans="2:7" x14ac:dyDescent="0.35">
      <c r="B2896" s="46"/>
      <c r="C2896" s="46"/>
      <c r="D2896" s="46"/>
      <c r="E2896" s="46"/>
      <c r="F2896" s="46"/>
      <c r="G2896" s="79"/>
    </row>
    <row r="2897" spans="2:7" x14ac:dyDescent="0.35">
      <c r="B2897" s="46"/>
      <c r="C2897" s="46"/>
      <c r="D2897" s="46"/>
      <c r="E2897" s="46"/>
      <c r="F2897" s="46"/>
      <c r="G2897" s="79"/>
    </row>
    <row r="2898" spans="2:7" x14ac:dyDescent="0.35">
      <c r="B2898" s="46"/>
      <c r="C2898" s="46"/>
      <c r="D2898" s="46"/>
      <c r="E2898" s="46"/>
      <c r="F2898" s="46"/>
      <c r="G2898" s="79"/>
    </row>
    <row r="2899" spans="2:7" x14ac:dyDescent="0.35">
      <c r="B2899" s="46"/>
      <c r="C2899" s="46"/>
      <c r="D2899" s="46"/>
      <c r="E2899" s="46"/>
      <c r="F2899" s="46"/>
      <c r="G2899" s="79"/>
    </row>
    <row r="2900" spans="2:7" x14ac:dyDescent="0.35">
      <c r="B2900" s="46"/>
      <c r="C2900" s="46"/>
      <c r="D2900" s="46"/>
      <c r="E2900" s="46"/>
      <c r="F2900" s="46"/>
      <c r="G2900" s="79"/>
    </row>
    <row r="2901" spans="2:7" x14ac:dyDescent="0.35">
      <c r="B2901" s="46"/>
      <c r="C2901" s="46"/>
      <c r="D2901" s="46"/>
      <c r="E2901" s="46"/>
      <c r="F2901" s="46"/>
      <c r="G2901" s="79"/>
    </row>
    <row r="2902" spans="2:7" x14ac:dyDescent="0.35">
      <c r="B2902" s="46"/>
      <c r="C2902" s="46"/>
      <c r="D2902" s="46"/>
      <c r="E2902" s="46"/>
      <c r="F2902" s="46"/>
      <c r="G2902" s="79"/>
    </row>
    <row r="2903" spans="2:7" x14ac:dyDescent="0.35">
      <c r="B2903" s="46"/>
      <c r="C2903" s="46"/>
      <c r="D2903" s="46"/>
      <c r="E2903" s="46"/>
      <c r="F2903" s="46"/>
      <c r="G2903" s="79"/>
    </row>
    <row r="2904" spans="2:7" x14ac:dyDescent="0.35">
      <c r="B2904" s="46"/>
      <c r="C2904" s="46"/>
      <c r="D2904" s="46"/>
      <c r="E2904" s="46"/>
      <c r="F2904" s="46"/>
      <c r="G2904" s="79"/>
    </row>
    <row r="2905" spans="2:7" x14ac:dyDescent="0.35">
      <c r="B2905" s="46"/>
      <c r="C2905" s="46"/>
      <c r="D2905" s="46"/>
      <c r="E2905" s="46"/>
      <c r="F2905" s="46"/>
      <c r="G2905" s="79"/>
    </row>
    <row r="2906" spans="2:7" x14ac:dyDescent="0.35">
      <c r="B2906" s="46"/>
      <c r="C2906" s="46"/>
      <c r="D2906" s="46"/>
      <c r="E2906" s="46"/>
      <c r="F2906" s="46"/>
      <c r="G2906" s="79"/>
    </row>
    <row r="2907" spans="2:7" x14ac:dyDescent="0.35">
      <c r="B2907" s="46"/>
      <c r="C2907" s="46"/>
      <c r="D2907" s="46"/>
      <c r="E2907" s="46"/>
      <c r="F2907" s="46"/>
      <c r="G2907" s="79"/>
    </row>
    <row r="2908" spans="2:7" x14ac:dyDescent="0.35">
      <c r="B2908" s="46"/>
      <c r="C2908" s="46"/>
      <c r="D2908" s="46"/>
      <c r="E2908" s="46"/>
      <c r="F2908" s="46"/>
      <c r="G2908" s="79"/>
    </row>
    <row r="2909" spans="2:7" x14ac:dyDescent="0.35">
      <c r="B2909" s="46"/>
      <c r="C2909" s="46"/>
      <c r="D2909" s="46"/>
      <c r="E2909" s="46"/>
      <c r="F2909" s="46"/>
      <c r="G2909" s="79"/>
    </row>
    <row r="2910" spans="2:7" x14ac:dyDescent="0.35">
      <c r="B2910" s="46"/>
      <c r="C2910" s="46"/>
      <c r="D2910" s="46"/>
      <c r="E2910" s="46"/>
      <c r="F2910" s="46"/>
      <c r="G2910" s="79"/>
    </row>
    <row r="2911" spans="2:7" x14ac:dyDescent="0.35">
      <c r="B2911" s="46"/>
      <c r="C2911" s="46"/>
      <c r="D2911" s="46"/>
      <c r="E2911" s="46"/>
      <c r="F2911" s="46"/>
      <c r="G2911" s="79"/>
    </row>
    <row r="2912" spans="2:7" x14ac:dyDescent="0.35">
      <c r="B2912" s="46"/>
      <c r="C2912" s="46"/>
      <c r="D2912" s="46"/>
      <c r="E2912" s="46"/>
      <c r="F2912" s="46"/>
      <c r="G2912" s="79"/>
    </row>
    <row r="2913" spans="2:7" x14ac:dyDescent="0.35">
      <c r="B2913" s="46"/>
      <c r="C2913" s="46"/>
      <c r="D2913" s="46"/>
      <c r="E2913" s="46"/>
      <c r="F2913" s="46"/>
      <c r="G2913" s="79"/>
    </row>
    <row r="2914" spans="2:7" x14ac:dyDescent="0.35">
      <c r="B2914" s="46"/>
      <c r="C2914" s="46"/>
      <c r="D2914" s="46"/>
      <c r="E2914" s="46"/>
      <c r="F2914" s="46"/>
      <c r="G2914" s="79"/>
    </row>
    <row r="2915" spans="2:7" x14ac:dyDescent="0.35">
      <c r="B2915" s="46"/>
      <c r="C2915" s="46"/>
      <c r="D2915" s="46"/>
      <c r="E2915" s="46"/>
      <c r="F2915" s="46"/>
      <c r="G2915" s="79"/>
    </row>
    <row r="2916" spans="2:7" x14ac:dyDescent="0.35">
      <c r="B2916" s="46"/>
      <c r="C2916" s="46"/>
      <c r="D2916" s="46"/>
      <c r="E2916" s="46"/>
      <c r="F2916" s="46"/>
      <c r="G2916" s="79"/>
    </row>
    <row r="2917" spans="2:7" x14ac:dyDescent="0.35">
      <c r="B2917" s="46"/>
      <c r="C2917" s="46"/>
      <c r="D2917" s="46"/>
      <c r="E2917" s="46"/>
      <c r="F2917" s="46"/>
      <c r="G2917" s="79"/>
    </row>
    <row r="2918" spans="2:7" x14ac:dyDescent="0.35">
      <c r="B2918" s="46"/>
      <c r="C2918" s="46"/>
      <c r="D2918" s="46"/>
      <c r="E2918" s="46"/>
      <c r="F2918" s="46"/>
      <c r="G2918" s="79"/>
    </row>
    <row r="2919" spans="2:7" x14ac:dyDescent="0.35">
      <c r="B2919" s="46"/>
      <c r="C2919" s="46"/>
      <c r="D2919" s="46"/>
      <c r="E2919" s="46"/>
      <c r="F2919" s="46"/>
      <c r="G2919" s="79"/>
    </row>
    <row r="2920" spans="2:7" x14ac:dyDescent="0.35">
      <c r="B2920" s="46"/>
      <c r="C2920" s="46"/>
      <c r="D2920" s="46"/>
      <c r="E2920" s="46"/>
      <c r="F2920" s="46"/>
      <c r="G2920" s="79"/>
    </row>
    <row r="2921" spans="2:7" x14ac:dyDescent="0.35">
      <c r="B2921" s="46"/>
      <c r="C2921" s="46"/>
      <c r="D2921" s="46"/>
      <c r="E2921" s="46"/>
      <c r="F2921" s="46"/>
      <c r="G2921" s="79"/>
    </row>
    <row r="2922" spans="2:7" x14ac:dyDescent="0.35">
      <c r="B2922" s="46"/>
      <c r="C2922" s="46"/>
      <c r="D2922" s="46"/>
      <c r="E2922" s="46"/>
      <c r="F2922" s="46"/>
      <c r="G2922" s="79"/>
    </row>
    <row r="2923" spans="2:7" x14ac:dyDescent="0.35">
      <c r="B2923" s="46"/>
      <c r="C2923" s="46"/>
      <c r="D2923" s="46"/>
      <c r="E2923" s="46"/>
      <c r="F2923" s="46"/>
      <c r="G2923" s="79"/>
    </row>
    <row r="2924" spans="2:7" x14ac:dyDescent="0.35">
      <c r="B2924" s="46"/>
      <c r="C2924" s="46"/>
      <c r="D2924" s="46"/>
      <c r="E2924" s="46"/>
      <c r="F2924" s="46"/>
      <c r="G2924" s="79"/>
    </row>
    <row r="2925" spans="2:7" x14ac:dyDescent="0.35">
      <c r="B2925" s="46"/>
      <c r="C2925" s="46"/>
      <c r="D2925" s="46"/>
      <c r="E2925" s="46"/>
      <c r="F2925" s="46"/>
      <c r="G2925" s="79"/>
    </row>
    <row r="2926" spans="2:7" x14ac:dyDescent="0.35">
      <c r="B2926" s="46"/>
      <c r="C2926" s="46"/>
      <c r="D2926" s="46"/>
      <c r="E2926" s="46"/>
      <c r="F2926" s="46"/>
      <c r="G2926" s="79"/>
    </row>
    <row r="2927" spans="2:7" x14ac:dyDescent="0.35">
      <c r="B2927" s="46"/>
      <c r="C2927" s="46"/>
      <c r="D2927" s="46"/>
      <c r="E2927" s="46"/>
      <c r="F2927" s="46"/>
      <c r="G2927" s="79"/>
    </row>
    <row r="2928" spans="2:7" x14ac:dyDescent="0.35">
      <c r="B2928" s="46"/>
      <c r="C2928" s="46"/>
      <c r="D2928" s="46"/>
      <c r="E2928" s="46"/>
      <c r="F2928" s="46"/>
      <c r="G2928" s="79"/>
    </row>
    <row r="2929" spans="2:7" x14ac:dyDescent="0.35">
      <c r="B2929" s="46"/>
      <c r="C2929" s="46"/>
      <c r="D2929" s="46"/>
      <c r="E2929" s="46"/>
      <c r="F2929" s="46"/>
      <c r="G2929" s="79"/>
    </row>
    <row r="2930" spans="2:7" x14ac:dyDescent="0.35">
      <c r="B2930" s="46"/>
      <c r="C2930" s="46"/>
      <c r="D2930" s="46"/>
      <c r="E2930" s="46"/>
      <c r="F2930" s="46"/>
      <c r="G2930" s="79"/>
    </row>
    <row r="2931" spans="2:7" x14ac:dyDescent="0.35">
      <c r="B2931" s="46"/>
      <c r="C2931" s="46"/>
      <c r="D2931" s="46"/>
      <c r="E2931" s="46"/>
      <c r="F2931" s="46"/>
      <c r="G2931" s="79"/>
    </row>
    <row r="2932" spans="2:7" x14ac:dyDescent="0.35">
      <c r="B2932" s="46"/>
      <c r="C2932" s="46"/>
      <c r="D2932" s="46"/>
      <c r="E2932" s="46"/>
      <c r="F2932" s="46"/>
      <c r="G2932" s="79"/>
    </row>
    <row r="2933" spans="2:7" x14ac:dyDescent="0.35">
      <c r="B2933" s="46"/>
      <c r="C2933" s="46"/>
      <c r="D2933" s="46"/>
      <c r="E2933" s="46"/>
      <c r="F2933" s="46"/>
      <c r="G2933" s="79"/>
    </row>
    <row r="2934" spans="2:7" x14ac:dyDescent="0.35">
      <c r="B2934" s="46"/>
      <c r="C2934" s="46"/>
      <c r="D2934" s="46"/>
      <c r="E2934" s="46"/>
      <c r="F2934" s="46"/>
      <c r="G2934" s="79"/>
    </row>
    <row r="2935" spans="2:7" x14ac:dyDescent="0.35">
      <c r="B2935" s="46"/>
      <c r="C2935" s="46"/>
      <c r="D2935" s="46"/>
      <c r="E2935" s="46"/>
      <c r="F2935" s="46"/>
      <c r="G2935" s="79"/>
    </row>
    <row r="2936" spans="2:7" x14ac:dyDescent="0.35">
      <c r="B2936" s="46"/>
      <c r="C2936" s="46"/>
      <c r="D2936" s="46"/>
      <c r="E2936" s="46"/>
      <c r="F2936" s="46"/>
      <c r="G2936" s="79"/>
    </row>
    <row r="2937" spans="2:7" x14ac:dyDescent="0.35">
      <c r="B2937" s="46"/>
      <c r="C2937" s="46"/>
      <c r="D2937" s="46"/>
      <c r="E2937" s="46"/>
      <c r="F2937" s="46"/>
      <c r="G2937" s="79"/>
    </row>
    <row r="2938" spans="2:7" x14ac:dyDescent="0.35">
      <c r="B2938" s="46"/>
      <c r="C2938" s="46"/>
      <c r="D2938" s="46"/>
      <c r="E2938" s="46"/>
      <c r="F2938" s="46"/>
      <c r="G2938" s="79"/>
    </row>
    <row r="2939" spans="2:7" x14ac:dyDescent="0.35">
      <c r="B2939" s="46"/>
      <c r="C2939" s="46"/>
      <c r="D2939" s="46"/>
      <c r="E2939" s="46"/>
      <c r="F2939" s="46"/>
      <c r="G2939" s="79"/>
    </row>
    <row r="2940" spans="2:7" x14ac:dyDescent="0.35">
      <c r="B2940" s="46"/>
      <c r="C2940" s="46"/>
      <c r="D2940" s="46"/>
      <c r="E2940" s="46"/>
      <c r="F2940" s="46"/>
      <c r="G2940" s="79"/>
    </row>
    <row r="2941" spans="2:7" x14ac:dyDescent="0.35">
      <c r="B2941" s="46"/>
      <c r="C2941" s="46"/>
      <c r="D2941" s="46"/>
      <c r="E2941" s="46"/>
      <c r="F2941" s="46"/>
      <c r="G2941" s="79"/>
    </row>
    <row r="2942" spans="2:7" x14ac:dyDescent="0.35">
      <c r="B2942" s="46"/>
      <c r="C2942" s="46"/>
      <c r="D2942" s="46"/>
      <c r="E2942" s="46"/>
      <c r="F2942" s="46"/>
      <c r="G2942" s="79"/>
    </row>
    <row r="2943" spans="2:7" x14ac:dyDescent="0.35">
      <c r="B2943" s="46"/>
      <c r="C2943" s="46"/>
      <c r="D2943" s="46"/>
      <c r="E2943" s="46"/>
      <c r="F2943" s="46"/>
      <c r="G2943" s="79"/>
    </row>
    <row r="2944" spans="2:7" x14ac:dyDescent="0.35">
      <c r="B2944" s="46"/>
      <c r="C2944" s="46"/>
      <c r="D2944" s="46"/>
      <c r="E2944" s="46"/>
      <c r="F2944" s="46"/>
      <c r="G2944" s="79"/>
    </row>
    <row r="2945" spans="2:7" x14ac:dyDescent="0.35">
      <c r="B2945" s="46"/>
      <c r="C2945" s="46"/>
      <c r="D2945" s="46"/>
      <c r="E2945" s="46"/>
      <c r="F2945" s="46"/>
      <c r="G2945" s="79"/>
    </row>
    <row r="2946" spans="2:7" x14ac:dyDescent="0.35">
      <c r="B2946" s="46"/>
      <c r="C2946" s="46"/>
      <c r="D2946" s="46"/>
      <c r="E2946" s="46"/>
      <c r="F2946" s="46"/>
      <c r="G2946" s="79"/>
    </row>
    <row r="2947" spans="2:7" x14ac:dyDescent="0.35">
      <c r="B2947" s="46"/>
      <c r="C2947" s="46"/>
      <c r="D2947" s="46"/>
      <c r="E2947" s="46"/>
      <c r="F2947" s="46"/>
      <c r="G2947" s="79"/>
    </row>
    <row r="2948" spans="2:7" x14ac:dyDescent="0.35">
      <c r="B2948" s="46"/>
      <c r="C2948" s="46"/>
      <c r="D2948" s="46"/>
      <c r="E2948" s="46"/>
      <c r="F2948" s="46"/>
      <c r="G2948" s="79"/>
    </row>
    <row r="2949" spans="2:7" x14ac:dyDescent="0.35">
      <c r="B2949" s="46"/>
      <c r="C2949" s="46"/>
      <c r="D2949" s="46"/>
      <c r="E2949" s="46"/>
      <c r="F2949" s="46"/>
      <c r="G2949" s="79"/>
    </row>
    <row r="2950" spans="2:7" x14ac:dyDescent="0.35">
      <c r="B2950" s="46"/>
      <c r="C2950" s="46"/>
      <c r="D2950" s="46"/>
      <c r="E2950" s="46"/>
      <c r="F2950" s="46"/>
      <c r="G2950" s="79"/>
    </row>
    <row r="2951" spans="2:7" x14ac:dyDescent="0.35">
      <c r="B2951" s="46"/>
      <c r="C2951" s="46"/>
      <c r="D2951" s="46"/>
      <c r="E2951" s="46"/>
      <c r="F2951" s="46"/>
      <c r="G2951" s="79"/>
    </row>
    <row r="2952" spans="2:7" x14ac:dyDescent="0.35">
      <c r="B2952" s="46"/>
      <c r="C2952" s="46"/>
      <c r="D2952" s="46"/>
      <c r="E2952" s="46"/>
      <c r="F2952" s="46"/>
      <c r="G2952" s="79"/>
    </row>
    <row r="2953" spans="2:7" x14ac:dyDescent="0.35">
      <c r="B2953" s="46"/>
      <c r="C2953" s="46"/>
      <c r="D2953" s="46"/>
      <c r="E2953" s="46"/>
      <c r="F2953" s="46"/>
      <c r="G2953" s="79"/>
    </row>
    <row r="2954" spans="2:7" x14ac:dyDescent="0.35">
      <c r="B2954" s="46"/>
      <c r="C2954" s="46"/>
      <c r="D2954" s="46"/>
      <c r="E2954" s="46"/>
      <c r="F2954" s="46"/>
      <c r="G2954" s="79"/>
    </row>
    <row r="2955" spans="2:7" x14ac:dyDescent="0.35">
      <c r="B2955" s="46"/>
      <c r="C2955" s="46"/>
      <c r="D2955" s="46"/>
      <c r="E2955" s="46"/>
      <c r="F2955" s="46"/>
      <c r="G2955" s="79"/>
    </row>
    <row r="2956" spans="2:7" x14ac:dyDescent="0.35">
      <c r="B2956" s="46"/>
      <c r="C2956" s="46"/>
      <c r="D2956" s="46"/>
      <c r="E2956" s="46"/>
      <c r="F2956" s="46"/>
      <c r="G2956" s="79"/>
    </row>
    <row r="2957" spans="2:7" x14ac:dyDescent="0.35">
      <c r="B2957" s="46"/>
      <c r="C2957" s="46"/>
      <c r="D2957" s="46"/>
      <c r="E2957" s="46"/>
      <c r="F2957" s="46"/>
      <c r="G2957" s="79"/>
    </row>
    <row r="2958" spans="2:7" x14ac:dyDescent="0.35">
      <c r="B2958" s="46"/>
      <c r="C2958" s="46"/>
      <c r="D2958" s="46"/>
      <c r="E2958" s="46"/>
      <c r="F2958" s="46"/>
      <c r="G2958" s="79"/>
    </row>
    <row r="2959" spans="2:7" x14ac:dyDescent="0.35">
      <c r="B2959" s="46"/>
      <c r="C2959" s="46"/>
      <c r="D2959" s="46"/>
      <c r="E2959" s="46"/>
      <c r="F2959" s="46"/>
      <c r="G2959" s="79"/>
    </row>
    <row r="2960" spans="2:7" x14ac:dyDescent="0.35">
      <c r="B2960" s="46"/>
      <c r="C2960" s="46"/>
      <c r="D2960" s="46"/>
      <c r="E2960" s="46"/>
      <c r="F2960" s="46"/>
      <c r="G2960" s="79"/>
    </row>
    <row r="2961" spans="2:7" x14ac:dyDescent="0.35">
      <c r="B2961" s="46"/>
      <c r="C2961" s="46"/>
      <c r="D2961" s="46"/>
      <c r="E2961" s="46"/>
      <c r="F2961" s="46"/>
      <c r="G2961" s="79"/>
    </row>
    <row r="2962" spans="2:7" x14ac:dyDescent="0.35">
      <c r="B2962" s="46"/>
      <c r="C2962" s="46"/>
      <c r="D2962" s="46"/>
      <c r="E2962" s="46"/>
      <c r="F2962" s="46"/>
      <c r="G2962" s="79"/>
    </row>
    <row r="2963" spans="2:7" x14ac:dyDescent="0.35">
      <c r="B2963" s="46"/>
      <c r="C2963" s="46"/>
      <c r="D2963" s="46"/>
      <c r="E2963" s="46"/>
      <c r="F2963" s="46"/>
      <c r="G2963" s="79"/>
    </row>
    <row r="2964" spans="2:7" x14ac:dyDescent="0.35">
      <c r="B2964" s="46"/>
      <c r="C2964" s="46"/>
      <c r="D2964" s="46"/>
      <c r="E2964" s="46"/>
      <c r="F2964" s="46"/>
      <c r="G2964" s="79"/>
    </row>
    <row r="2965" spans="2:7" x14ac:dyDescent="0.35">
      <c r="B2965" s="46"/>
      <c r="C2965" s="46"/>
      <c r="D2965" s="46"/>
      <c r="E2965" s="46"/>
      <c r="F2965" s="46"/>
      <c r="G2965" s="79"/>
    </row>
    <row r="2966" spans="2:7" x14ac:dyDescent="0.35">
      <c r="B2966" s="46"/>
      <c r="C2966" s="46"/>
      <c r="D2966" s="46"/>
      <c r="E2966" s="46"/>
      <c r="F2966" s="46"/>
      <c r="G2966" s="79"/>
    </row>
    <row r="2967" spans="2:7" x14ac:dyDescent="0.35">
      <c r="B2967" s="46"/>
      <c r="C2967" s="46"/>
      <c r="D2967" s="46"/>
      <c r="E2967" s="46"/>
      <c r="F2967" s="46"/>
      <c r="G2967" s="79"/>
    </row>
    <row r="2968" spans="2:7" x14ac:dyDescent="0.35">
      <c r="B2968" s="46"/>
      <c r="C2968" s="46"/>
      <c r="D2968" s="46"/>
      <c r="E2968" s="46"/>
      <c r="F2968" s="46"/>
      <c r="G2968" s="79"/>
    </row>
    <row r="2969" spans="2:7" x14ac:dyDescent="0.35">
      <c r="B2969" s="46"/>
      <c r="C2969" s="46"/>
      <c r="D2969" s="46"/>
      <c r="E2969" s="46"/>
      <c r="F2969" s="46"/>
      <c r="G2969" s="79"/>
    </row>
    <row r="2970" spans="2:7" x14ac:dyDescent="0.35">
      <c r="B2970" s="46"/>
      <c r="C2970" s="46"/>
      <c r="D2970" s="46"/>
      <c r="E2970" s="46"/>
      <c r="F2970" s="46"/>
      <c r="G2970" s="79"/>
    </row>
    <row r="2971" spans="2:7" x14ac:dyDescent="0.35">
      <c r="B2971" s="46"/>
      <c r="C2971" s="46"/>
      <c r="D2971" s="46"/>
      <c r="E2971" s="46"/>
      <c r="F2971" s="46"/>
      <c r="G2971" s="79"/>
    </row>
    <row r="2972" spans="2:7" x14ac:dyDescent="0.35">
      <c r="B2972" s="46"/>
      <c r="C2972" s="46"/>
      <c r="D2972" s="46"/>
      <c r="E2972" s="46"/>
      <c r="F2972" s="46"/>
      <c r="G2972" s="79"/>
    </row>
    <row r="2973" spans="2:7" x14ac:dyDescent="0.35">
      <c r="B2973" s="46"/>
      <c r="C2973" s="46"/>
      <c r="D2973" s="46"/>
      <c r="E2973" s="46"/>
      <c r="F2973" s="46"/>
      <c r="G2973" s="79"/>
    </row>
    <row r="2974" spans="2:7" x14ac:dyDescent="0.35">
      <c r="B2974" s="46"/>
      <c r="C2974" s="46"/>
      <c r="D2974" s="46"/>
      <c r="E2974" s="46"/>
      <c r="F2974" s="46"/>
      <c r="G2974" s="79"/>
    </row>
    <row r="2975" spans="2:7" x14ac:dyDescent="0.35">
      <c r="B2975" s="46"/>
      <c r="C2975" s="46"/>
      <c r="D2975" s="46"/>
      <c r="E2975" s="46"/>
      <c r="F2975" s="46"/>
      <c r="G2975" s="79"/>
    </row>
    <row r="2976" spans="2:7" x14ac:dyDescent="0.35">
      <c r="B2976" s="46"/>
      <c r="C2976" s="46"/>
      <c r="D2976" s="46"/>
      <c r="E2976" s="46"/>
      <c r="F2976" s="46"/>
      <c r="G2976" s="79"/>
    </row>
    <row r="2977" spans="2:7" x14ac:dyDescent="0.35">
      <c r="B2977" s="46"/>
      <c r="C2977" s="46"/>
      <c r="D2977" s="46"/>
      <c r="E2977" s="46"/>
      <c r="F2977" s="46"/>
      <c r="G2977" s="79"/>
    </row>
    <row r="2978" spans="2:7" x14ac:dyDescent="0.35">
      <c r="B2978" s="46"/>
      <c r="C2978" s="46"/>
      <c r="D2978" s="46"/>
      <c r="E2978" s="46"/>
      <c r="F2978" s="46"/>
      <c r="G2978" s="79"/>
    </row>
    <row r="2979" spans="2:7" x14ac:dyDescent="0.35">
      <c r="B2979" s="46"/>
      <c r="C2979" s="46"/>
      <c r="D2979" s="46"/>
      <c r="E2979" s="46"/>
      <c r="F2979" s="46"/>
      <c r="G2979" s="79"/>
    </row>
    <row r="2980" spans="2:7" x14ac:dyDescent="0.35">
      <c r="B2980" s="46"/>
      <c r="C2980" s="46"/>
      <c r="D2980" s="46"/>
      <c r="E2980" s="46"/>
      <c r="F2980" s="46"/>
      <c r="G2980" s="79"/>
    </row>
    <row r="2981" spans="2:7" x14ac:dyDescent="0.35">
      <c r="B2981" s="46"/>
      <c r="C2981" s="46"/>
      <c r="D2981" s="46"/>
      <c r="E2981" s="46"/>
      <c r="F2981" s="46"/>
      <c r="G2981" s="79"/>
    </row>
    <row r="2982" spans="2:7" x14ac:dyDescent="0.35">
      <c r="B2982" s="46"/>
      <c r="C2982" s="46"/>
      <c r="D2982" s="46"/>
      <c r="E2982" s="46"/>
      <c r="F2982" s="46"/>
      <c r="G2982" s="79"/>
    </row>
    <row r="2983" spans="2:7" x14ac:dyDescent="0.35">
      <c r="B2983" s="46"/>
      <c r="C2983" s="46"/>
      <c r="D2983" s="46"/>
      <c r="E2983" s="46"/>
      <c r="F2983" s="46"/>
      <c r="G2983" s="79"/>
    </row>
    <row r="2984" spans="2:7" x14ac:dyDescent="0.35">
      <c r="B2984" s="46"/>
      <c r="C2984" s="46"/>
      <c r="D2984" s="46"/>
      <c r="E2984" s="46"/>
      <c r="F2984" s="46"/>
      <c r="G2984" s="79"/>
    </row>
    <row r="2985" spans="2:7" x14ac:dyDescent="0.35">
      <c r="B2985" s="46"/>
      <c r="C2985" s="46"/>
      <c r="D2985" s="46"/>
      <c r="E2985" s="46"/>
      <c r="F2985" s="46"/>
      <c r="G2985" s="79"/>
    </row>
    <row r="2986" spans="2:7" x14ac:dyDescent="0.35">
      <c r="B2986" s="46"/>
      <c r="C2986" s="46"/>
      <c r="D2986" s="46"/>
      <c r="E2986" s="46"/>
      <c r="F2986" s="46"/>
      <c r="G2986" s="79"/>
    </row>
    <row r="2987" spans="2:7" x14ac:dyDescent="0.35">
      <c r="B2987" s="46"/>
      <c r="C2987" s="46"/>
      <c r="D2987" s="46"/>
      <c r="E2987" s="46"/>
      <c r="F2987" s="46"/>
      <c r="G2987" s="79"/>
    </row>
    <row r="2988" spans="2:7" x14ac:dyDescent="0.35">
      <c r="B2988" s="46"/>
      <c r="C2988" s="46"/>
      <c r="D2988" s="46"/>
      <c r="E2988" s="46"/>
      <c r="F2988" s="46"/>
      <c r="G2988" s="79"/>
    </row>
    <row r="2989" spans="2:7" x14ac:dyDescent="0.35">
      <c r="B2989" s="46"/>
      <c r="C2989" s="46"/>
      <c r="D2989" s="46"/>
      <c r="E2989" s="46"/>
      <c r="F2989" s="46"/>
      <c r="G2989" s="79"/>
    </row>
    <row r="2990" spans="2:7" x14ac:dyDescent="0.35">
      <c r="B2990" s="46"/>
      <c r="C2990" s="46"/>
      <c r="D2990" s="46"/>
      <c r="E2990" s="46"/>
      <c r="F2990" s="46"/>
      <c r="G2990" s="79"/>
    </row>
    <row r="2991" spans="2:7" x14ac:dyDescent="0.35">
      <c r="B2991" s="46"/>
      <c r="C2991" s="46"/>
      <c r="D2991" s="46"/>
      <c r="E2991" s="46"/>
      <c r="F2991" s="46"/>
      <c r="G2991" s="79"/>
    </row>
    <row r="2992" spans="2:7" x14ac:dyDescent="0.35">
      <c r="B2992" s="46"/>
      <c r="C2992" s="46"/>
      <c r="D2992" s="46"/>
      <c r="E2992" s="46"/>
      <c r="F2992" s="46"/>
      <c r="G2992" s="79"/>
    </row>
    <row r="2993" spans="2:7" x14ac:dyDescent="0.35">
      <c r="B2993" s="46"/>
      <c r="C2993" s="46"/>
      <c r="D2993" s="46"/>
      <c r="E2993" s="46"/>
      <c r="F2993" s="46"/>
      <c r="G2993" s="79"/>
    </row>
    <row r="2994" spans="2:7" x14ac:dyDescent="0.35">
      <c r="B2994" s="46"/>
      <c r="C2994" s="46"/>
      <c r="D2994" s="46"/>
      <c r="E2994" s="46"/>
      <c r="F2994" s="46"/>
      <c r="G2994" s="79"/>
    </row>
    <row r="2995" spans="2:7" x14ac:dyDescent="0.35">
      <c r="B2995" s="46"/>
      <c r="C2995" s="46"/>
      <c r="D2995" s="46"/>
      <c r="E2995" s="46"/>
      <c r="F2995" s="46"/>
      <c r="G2995" s="79"/>
    </row>
    <row r="2996" spans="2:7" x14ac:dyDescent="0.35">
      <c r="B2996" s="46"/>
      <c r="C2996" s="46"/>
      <c r="D2996" s="46"/>
      <c r="E2996" s="46"/>
      <c r="F2996" s="46"/>
      <c r="G2996" s="79"/>
    </row>
    <row r="2997" spans="2:7" x14ac:dyDescent="0.35">
      <c r="B2997" s="46"/>
      <c r="C2997" s="46"/>
      <c r="D2997" s="46"/>
      <c r="E2997" s="46"/>
      <c r="F2997" s="46"/>
      <c r="G2997" s="79"/>
    </row>
    <row r="2998" spans="2:7" x14ac:dyDescent="0.35">
      <c r="B2998" s="46"/>
      <c r="C2998" s="46"/>
      <c r="D2998" s="46"/>
      <c r="E2998" s="46"/>
      <c r="F2998" s="46"/>
      <c r="G2998" s="79"/>
    </row>
    <row r="2999" spans="2:7" x14ac:dyDescent="0.35">
      <c r="B2999" s="46"/>
      <c r="C2999" s="46"/>
      <c r="D2999" s="46"/>
      <c r="E2999" s="46"/>
      <c r="F2999" s="46"/>
      <c r="G2999" s="79"/>
    </row>
    <row r="3000" spans="2:7" x14ac:dyDescent="0.35">
      <c r="B3000" s="46"/>
      <c r="C3000" s="46"/>
      <c r="D3000" s="46"/>
      <c r="E3000" s="46"/>
      <c r="F3000" s="46"/>
      <c r="G3000" s="79"/>
    </row>
    <row r="3001" spans="2:7" x14ac:dyDescent="0.35">
      <c r="B3001" s="46"/>
      <c r="C3001" s="46"/>
      <c r="D3001" s="46"/>
      <c r="E3001" s="46"/>
      <c r="F3001" s="46"/>
      <c r="G3001" s="79"/>
    </row>
    <row r="3002" spans="2:7" x14ac:dyDescent="0.35">
      <c r="B3002" s="46"/>
      <c r="C3002" s="46"/>
      <c r="D3002" s="46"/>
      <c r="E3002" s="46"/>
      <c r="F3002" s="46"/>
      <c r="G3002" s="79"/>
    </row>
    <row r="3003" spans="2:7" x14ac:dyDescent="0.35">
      <c r="B3003" s="46"/>
      <c r="C3003" s="46"/>
      <c r="D3003" s="46"/>
      <c r="E3003" s="46"/>
      <c r="F3003" s="46"/>
      <c r="G3003" s="79"/>
    </row>
    <row r="3004" spans="2:7" x14ac:dyDescent="0.35">
      <c r="B3004" s="46"/>
      <c r="C3004" s="46"/>
      <c r="D3004" s="46"/>
      <c r="E3004" s="46"/>
      <c r="F3004" s="46"/>
      <c r="G3004" s="79"/>
    </row>
    <row r="3005" spans="2:7" x14ac:dyDescent="0.35">
      <c r="B3005" s="46"/>
      <c r="C3005" s="46"/>
      <c r="D3005" s="46"/>
      <c r="E3005" s="46"/>
      <c r="F3005" s="46"/>
      <c r="G3005" s="79"/>
    </row>
    <row r="3006" spans="2:7" x14ac:dyDescent="0.35">
      <c r="B3006" s="46"/>
      <c r="C3006" s="46"/>
      <c r="D3006" s="46"/>
      <c r="E3006" s="46"/>
      <c r="F3006" s="46"/>
      <c r="G3006" s="79"/>
    </row>
    <row r="3007" spans="2:7" x14ac:dyDescent="0.35">
      <c r="B3007" s="46"/>
      <c r="C3007" s="46"/>
      <c r="D3007" s="46"/>
      <c r="E3007" s="46"/>
      <c r="F3007" s="46"/>
      <c r="G3007" s="79"/>
    </row>
    <row r="3008" spans="2:7" x14ac:dyDescent="0.35">
      <c r="B3008" s="46"/>
      <c r="C3008" s="46"/>
      <c r="D3008" s="46"/>
      <c r="E3008" s="46"/>
      <c r="F3008" s="46"/>
      <c r="G3008" s="79"/>
    </row>
    <row r="3009" spans="2:7" x14ac:dyDescent="0.35">
      <c r="B3009" s="46"/>
      <c r="C3009" s="46"/>
      <c r="D3009" s="46"/>
      <c r="E3009" s="46"/>
      <c r="F3009" s="46"/>
      <c r="G3009" s="79"/>
    </row>
    <row r="3010" spans="2:7" x14ac:dyDescent="0.35">
      <c r="B3010" s="46"/>
      <c r="C3010" s="46"/>
      <c r="D3010" s="46"/>
      <c r="E3010" s="46"/>
      <c r="F3010" s="46"/>
      <c r="G3010" s="79"/>
    </row>
    <row r="3011" spans="2:7" x14ac:dyDescent="0.35">
      <c r="B3011" s="46"/>
      <c r="C3011" s="46"/>
      <c r="D3011" s="46"/>
      <c r="E3011" s="46"/>
      <c r="F3011" s="46"/>
      <c r="G3011" s="79"/>
    </row>
    <row r="3012" spans="2:7" x14ac:dyDescent="0.35">
      <c r="B3012" s="46"/>
      <c r="C3012" s="46"/>
      <c r="D3012" s="46"/>
      <c r="E3012" s="46"/>
      <c r="F3012" s="46"/>
      <c r="G3012" s="79"/>
    </row>
    <row r="3013" spans="2:7" x14ac:dyDescent="0.35">
      <c r="B3013" s="46"/>
      <c r="C3013" s="46"/>
      <c r="D3013" s="46"/>
      <c r="E3013" s="46"/>
      <c r="F3013" s="46"/>
      <c r="G3013" s="79"/>
    </row>
    <row r="3014" spans="2:7" x14ac:dyDescent="0.35">
      <c r="B3014" s="46"/>
      <c r="C3014" s="46"/>
      <c r="D3014" s="46"/>
      <c r="E3014" s="46"/>
      <c r="F3014" s="46"/>
      <c r="G3014" s="79"/>
    </row>
    <row r="3015" spans="2:7" x14ac:dyDescent="0.35">
      <c r="B3015" s="46"/>
      <c r="C3015" s="46"/>
      <c r="D3015" s="46"/>
      <c r="E3015" s="46"/>
      <c r="F3015" s="46"/>
      <c r="G3015" s="79"/>
    </row>
    <row r="3016" spans="2:7" x14ac:dyDescent="0.35">
      <c r="B3016" s="46"/>
      <c r="C3016" s="46"/>
      <c r="D3016" s="46"/>
      <c r="E3016" s="46"/>
      <c r="F3016" s="46"/>
      <c r="G3016" s="79"/>
    </row>
    <row r="3017" spans="2:7" x14ac:dyDescent="0.35">
      <c r="B3017" s="46"/>
      <c r="C3017" s="46"/>
      <c r="D3017" s="46"/>
      <c r="E3017" s="46"/>
      <c r="F3017" s="46"/>
      <c r="G3017" s="79"/>
    </row>
    <row r="3018" spans="2:7" x14ac:dyDescent="0.35">
      <c r="B3018" s="46"/>
      <c r="C3018" s="46"/>
      <c r="D3018" s="46"/>
      <c r="E3018" s="46"/>
      <c r="F3018" s="46"/>
      <c r="G3018" s="79"/>
    </row>
    <row r="3019" spans="2:7" x14ac:dyDescent="0.35">
      <c r="B3019" s="46"/>
      <c r="C3019" s="46"/>
      <c r="D3019" s="46"/>
      <c r="E3019" s="46"/>
      <c r="F3019" s="46"/>
      <c r="G3019" s="79"/>
    </row>
    <row r="3020" spans="2:7" x14ac:dyDescent="0.35">
      <c r="B3020" s="46"/>
      <c r="C3020" s="46"/>
      <c r="D3020" s="46"/>
      <c r="E3020" s="46"/>
      <c r="F3020" s="46"/>
      <c r="G3020" s="79"/>
    </row>
    <row r="3021" spans="2:7" x14ac:dyDescent="0.35">
      <c r="B3021" s="46"/>
      <c r="C3021" s="46"/>
      <c r="D3021" s="46"/>
      <c r="E3021" s="46"/>
      <c r="F3021" s="46"/>
      <c r="G3021" s="79"/>
    </row>
    <row r="3022" spans="2:7" x14ac:dyDescent="0.35">
      <c r="B3022" s="46"/>
      <c r="C3022" s="46"/>
      <c r="D3022" s="46"/>
      <c r="E3022" s="46"/>
      <c r="F3022" s="46"/>
      <c r="G3022" s="79"/>
    </row>
    <row r="3023" spans="2:7" x14ac:dyDescent="0.35">
      <c r="B3023" s="46"/>
      <c r="C3023" s="46"/>
      <c r="D3023" s="46"/>
      <c r="E3023" s="46"/>
      <c r="F3023" s="46"/>
      <c r="G3023" s="79"/>
    </row>
    <row r="3024" spans="2:7" x14ac:dyDescent="0.35">
      <c r="B3024" s="46"/>
      <c r="C3024" s="46"/>
      <c r="D3024" s="46"/>
      <c r="E3024" s="46"/>
      <c r="F3024" s="46"/>
      <c r="G3024" s="79"/>
    </row>
    <row r="3025" spans="2:7" x14ac:dyDescent="0.35">
      <c r="B3025" s="46"/>
      <c r="C3025" s="46"/>
      <c r="D3025" s="46"/>
      <c r="E3025" s="46"/>
      <c r="F3025" s="46"/>
      <c r="G3025" s="79"/>
    </row>
    <row r="3026" spans="2:7" x14ac:dyDescent="0.35">
      <c r="B3026" s="46"/>
      <c r="C3026" s="46"/>
      <c r="D3026" s="46"/>
      <c r="E3026" s="46"/>
      <c r="F3026" s="46"/>
      <c r="G3026" s="79"/>
    </row>
    <row r="3027" spans="2:7" x14ac:dyDescent="0.35">
      <c r="B3027" s="46"/>
      <c r="C3027" s="46"/>
      <c r="D3027" s="46"/>
      <c r="E3027" s="46"/>
      <c r="F3027" s="46"/>
      <c r="G3027" s="79"/>
    </row>
    <row r="3028" spans="2:7" x14ac:dyDescent="0.35">
      <c r="B3028" s="46"/>
      <c r="C3028" s="46"/>
      <c r="D3028" s="46"/>
      <c r="E3028" s="46"/>
      <c r="F3028" s="46"/>
      <c r="G3028" s="79"/>
    </row>
    <row r="3029" spans="2:7" x14ac:dyDescent="0.35">
      <c r="B3029" s="46"/>
      <c r="C3029" s="46"/>
      <c r="D3029" s="46"/>
      <c r="E3029" s="46"/>
      <c r="F3029" s="46"/>
      <c r="G3029" s="79"/>
    </row>
    <row r="3030" spans="2:7" x14ac:dyDescent="0.35">
      <c r="B3030" s="46"/>
      <c r="C3030" s="46"/>
      <c r="D3030" s="46"/>
      <c r="E3030" s="46"/>
      <c r="F3030" s="46"/>
      <c r="G3030" s="79"/>
    </row>
    <row r="3031" spans="2:7" x14ac:dyDescent="0.35">
      <c r="B3031" s="46"/>
      <c r="C3031" s="46"/>
      <c r="D3031" s="46"/>
      <c r="E3031" s="46"/>
      <c r="F3031" s="46"/>
      <c r="G3031" s="79"/>
    </row>
    <row r="3032" spans="2:7" x14ac:dyDescent="0.35">
      <c r="B3032" s="46"/>
      <c r="C3032" s="46"/>
      <c r="D3032" s="46"/>
      <c r="E3032" s="46"/>
      <c r="F3032" s="46"/>
      <c r="G3032" s="79"/>
    </row>
    <row r="3033" spans="2:7" x14ac:dyDescent="0.35">
      <c r="B3033" s="46"/>
      <c r="C3033" s="46"/>
      <c r="D3033" s="46"/>
      <c r="E3033" s="46"/>
      <c r="F3033" s="46"/>
      <c r="G3033" s="79"/>
    </row>
    <row r="3034" spans="2:7" x14ac:dyDescent="0.35">
      <c r="B3034" s="46"/>
      <c r="C3034" s="46"/>
      <c r="D3034" s="46"/>
      <c r="E3034" s="46"/>
      <c r="F3034" s="46"/>
      <c r="G3034" s="79"/>
    </row>
    <row r="3035" spans="2:7" x14ac:dyDescent="0.35">
      <c r="B3035" s="46"/>
      <c r="C3035" s="46"/>
      <c r="D3035" s="46"/>
      <c r="E3035" s="46"/>
      <c r="F3035" s="46"/>
      <c r="G3035" s="79"/>
    </row>
    <row r="3036" spans="2:7" x14ac:dyDescent="0.35">
      <c r="B3036" s="46"/>
      <c r="C3036" s="46"/>
      <c r="D3036" s="46"/>
      <c r="E3036" s="46"/>
      <c r="F3036" s="46"/>
      <c r="G3036" s="79"/>
    </row>
    <row r="3037" spans="2:7" x14ac:dyDescent="0.35">
      <c r="B3037" s="46"/>
      <c r="C3037" s="46"/>
      <c r="D3037" s="46"/>
      <c r="E3037" s="46"/>
      <c r="F3037" s="46"/>
      <c r="G3037" s="79"/>
    </row>
    <row r="3038" spans="2:7" x14ac:dyDescent="0.35">
      <c r="B3038" s="46"/>
      <c r="C3038" s="46"/>
      <c r="D3038" s="46"/>
      <c r="E3038" s="46"/>
      <c r="F3038" s="46"/>
      <c r="G3038" s="79"/>
    </row>
    <row r="3039" spans="2:7" x14ac:dyDescent="0.35">
      <c r="B3039" s="46"/>
      <c r="C3039" s="46"/>
      <c r="D3039" s="46"/>
      <c r="E3039" s="46"/>
      <c r="F3039" s="46"/>
      <c r="G3039" s="79"/>
    </row>
    <row r="3040" spans="2:7" x14ac:dyDescent="0.35">
      <c r="B3040" s="46"/>
      <c r="C3040" s="46"/>
      <c r="D3040" s="46"/>
      <c r="E3040" s="46"/>
      <c r="F3040" s="46"/>
      <c r="G3040" s="79"/>
    </row>
    <row r="3041" spans="2:7" x14ac:dyDescent="0.35">
      <c r="B3041" s="46"/>
      <c r="C3041" s="46"/>
      <c r="D3041" s="46"/>
      <c r="E3041" s="46"/>
      <c r="F3041" s="46"/>
      <c r="G3041" s="79"/>
    </row>
    <row r="3042" spans="2:7" x14ac:dyDescent="0.35">
      <c r="B3042" s="46"/>
      <c r="C3042" s="46"/>
      <c r="D3042" s="46"/>
      <c r="E3042" s="46"/>
      <c r="F3042" s="46"/>
      <c r="G3042" s="79"/>
    </row>
    <row r="3043" spans="2:7" x14ac:dyDescent="0.35">
      <c r="B3043" s="46"/>
      <c r="C3043" s="46"/>
      <c r="D3043" s="46"/>
      <c r="E3043" s="46"/>
      <c r="F3043" s="46"/>
      <c r="G3043" s="79"/>
    </row>
    <row r="3044" spans="2:7" x14ac:dyDescent="0.35">
      <c r="B3044" s="46"/>
      <c r="C3044" s="46"/>
      <c r="D3044" s="46"/>
      <c r="E3044" s="46"/>
      <c r="F3044" s="46"/>
      <c r="G3044" s="79"/>
    </row>
    <row r="3045" spans="2:7" x14ac:dyDescent="0.35">
      <c r="B3045" s="46"/>
      <c r="C3045" s="46"/>
      <c r="D3045" s="46"/>
      <c r="E3045" s="46"/>
      <c r="F3045" s="46"/>
      <c r="G3045" s="79"/>
    </row>
    <row r="3046" spans="2:7" x14ac:dyDescent="0.35">
      <c r="B3046" s="46"/>
      <c r="C3046" s="46"/>
      <c r="D3046" s="46"/>
      <c r="E3046" s="46"/>
      <c r="F3046" s="46"/>
      <c r="G3046" s="79"/>
    </row>
    <row r="3047" spans="2:7" x14ac:dyDescent="0.35">
      <c r="B3047" s="46"/>
      <c r="C3047" s="46"/>
      <c r="D3047" s="46"/>
      <c r="E3047" s="46"/>
      <c r="F3047" s="46"/>
      <c r="G3047" s="79"/>
    </row>
    <row r="3048" spans="2:7" x14ac:dyDescent="0.35">
      <c r="B3048" s="46"/>
      <c r="C3048" s="46"/>
      <c r="D3048" s="46"/>
      <c r="E3048" s="46"/>
      <c r="F3048" s="46"/>
      <c r="G3048" s="79"/>
    </row>
    <row r="3049" spans="2:7" x14ac:dyDescent="0.35">
      <c r="B3049" s="46"/>
      <c r="C3049" s="46"/>
      <c r="D3049" s="46"/>
      <c r="E3049" s="46"/>
      <c r="F3049" s="46"/>
      <c r="G3049" s="79"/>
    </row>
    <row r="3050" spans="2:7" x14ac:dyDescent="0.35">
      <c r="B3050" s="46"/>
      <c r="C3050" s="46"/>
      <c r="D3050" s="46"/>
      <c r="E3050" s="46"/>
      <c r="F3050" s="46"/>
      <c r="G3050" s="79"/>
    </row>
    <row r="3051" spans="2:7" x14ac:dyDescent="0.35">
      <c r="B3051" s="46"/>
      <c r="C3051" s="46"/>
      <c r="D3051" s="46"/>
      <c r="E3051" s="46"/>
      <c r="F3051" s="46"/>
      <c r="G3051" s="79"/>
    </row>
    <row r="3052" spans="2:7" x14ac:dyDescent="0.35">
      <c r="B3052" s="46"/>
      <c r="C3052" s="46"/>
      <c r="D3052" s="46"/>
      <c r="E3052" s="46"/>
      <c r="F3052" s="46"/>
      <c r="G3052" s="79"/>
    </row>
    <row r="3053" spans="2:7" x14ac:dyDescent="0.35">
      <c r="B3053" s="46"/>
      <c r="C3053" s="46"/>
      <c r="D3053" s="46"/>
      <c r="E3053" s="46"/>
      <c r="F3053" s="46"/>
      <c r="G3053" s="79"/>
    </row>
    <row r="3054" spans="2:7" x14ac:dyDescent="0.35">
      <c r="B3054" s="46"/>
      <c r="C3054" s="46"/>
      <c r="D3054" s="46"/>
      <c r="E3054" s="46"/>
      <c r="F3054" s="46"/>
      <c r="G3054" s="79"/>
    </row>
    <row r="3055" spans="2:7" x14ac:dyDescent="0.35">
      <c r="B3055" s="46"/>
      <c r="C3055" s="46"/>
      <c r="D3055" s="46"/>
      <c r="E3055" s="46"/>
      <c r="F3055" s="46"/>
      <c r="G3055" s="79"/>
    </row>
    <row r="3056" spans="2:7" x14ac:dyDescent="0.35">
      <c r="B3056" s="46"/>
      <c r="C3056" s="46"/>
      <c r="D3056" s="46"/>
      <c r="E3056" s="46"/>
      <c r="F3056" s="46"/>
      <c r="G3056" s="79"/>
    </row>
    <row r="3057" spans="2:7" x14ac:dyDescent="0.35">
      <c r="B3057" s="46"/>
      <c r="C3057" s="46"/>
      <c r="D3057" s="46"/>
      <c r="E3057" s="46"/>
      <c r="F3057" s="46"/>
      <c r="G3057" s="79"/>
    </row>
    <row r="3058" spans="2:7" x14ac:dyDescent="0.35">
      <c r="B3058" s="46"/>
      <c r="C3058" s="46"/>
      <c r="D3058" s="46"/>
      <c r="E3058" s="46"/>
      <c r="F3058" s="46"/>
      <c r="G3058" s="79"/>
    </row>
    <row r="3059" spans="2:7" x14ac:dyDescent="0.35">
      <c r="B3059" s="46"/>
      <c r="C3059" s="46"/>
      <c r="D3059" s="46"/>
      <c r="E3059" s="46"/>
      <c r="F3059" s="46"/>
      <c r="G3059" s="79"/>
    </row>
    <row r="3060" spans="2:7" x14ac:dyDescent="0.35">
      <c r="B3060" s="46"/>
      <c r="C3060" s="46"/>
      <c r="D3060" s="46"/>
      <c r="E3060" s="46"/>
      <c r="F3060" s="46"/>
      <c r="G3060" s="79"/>
    </row>
    <row r="3061" spans="2:7" x14ac:dyDescent="0.35">
      <c r="B3061" s="46"/>
      <c r="C3061" s="46"/>
      <c r="D3061" s="46"/>
      <c r="E3061" s="46"/>
      <c r="F3061" s="46"/>
      <c r="G3061" s="79"/>
    </row>
    <row r="3062" spans="2:7" x14ac:dyDescent="0.35">
      <c r="B3062" s="46"/>
      <c r="C3062" s="46"/>
      <c r="D3062" s="46"/>
      <c r="E3062" s="46"/>
      <c r="F3062" s="46"/>
      <c r="G3062" s="79"/>
    </row>
    <row r="3063" spans="2:7" x14ac:dyDescent="0.35">
      <c r="B3063" s="46"/>
      <c r="C3063" s="46"/>
      <c r="D3063" s="46"/>
      <c r="E3063" s="46"/>
      <c r="F3063" s="46"/>
      <c r="G3063" s="79"/>
    </row>
    <row r="3064" spans="2:7" x14ac:dyDescent="0.35">
      <c r="B3064" s="46"/>
      <c r="C3064" s="46"/>
      <c r="D3064" s="46"/>
      <c r="E3064" s="46"/>
      <c r="F3064" s="46"/>
      <c r="G3064" s="79"/>
    </row>
    <row r="3065" spans="2:7" x14ac:dyDescent="0.35">
      <c r="B3065" s="46"/>
      <c r="C3065" s="46"/>
      <c r="D3065" s="46"/>
      <c r="E3065" s="46"/>
      <c r="F3065" s="46"/>
      <c r="G3065" s="79"/>
    </row>
    <row r="3066" spans="2:7" x14ac:dyDescent="0.35">
      <c r="B3066" s="46"/>
      <c r="C3066" s="46"/>
      <c r="D3066" s="46"/>
      <c r="E3066" s="46"/>
      <c r="F3066" s="46"/>
      <c r="G3066" s="79"/>
    </row>
    <row r="3067" spans="2:7" x14ac:dyDescent="0.35">
      <c r="B3067" s="46"/>
      <c r="C3067" s="46"/>
      <c r="D3067" s="46"/>
      <c r="E3067" s="46"/>
      <c r="F3067" s="46"/>
      <c r="G3067" s="79"/>
    </row>
    <row r="3068" spans="2:7" x14ac:dyDescent="0.35">
      <c r="B3068" s="46"/>
      <c r="C3068" s="46"/>
      <c r="D3068" s="46"/>
      <c r="E3068" s="46"/>
      <c r="F3068" s="46"/>
      <c r="G3068" s="79"/>
    </row>
    <row r="3069" spans="2:7" x14ac:dyDescent="0.35">
      <c r="B3069" s="46"/>
      <c r="C3069" s="46"/>
      <c r="D3069" s="46"/>
      <c r="E3069" s="46"/>
      <c r="F3069" s="46"/>
      <c r="G3069" s="79"/>
    </row>
    <row r="3070" spans="2:7" x14ac:dyDescent="0.35">
      <c r="B3070" s="46"/>
      <c r="C3070" s="46"/>
      <c r="D3070" s="46"/>
      <c r="E3070" s="46"/>
      <c r="F3070" s="46"/>
      <c r="G3070" s="79"/>
    </row>
    <row r="3071" spans="2:7" x14ac:dyDescent="0.35">
      <c r="B3071" s="46"/>
      <c r="C3071" s="46"/>
      <c r="D3071" s="46"/>
      <c r="E3071" s="46"/>
      <c r="F3071" s="46"/>
      <c r="G3071" s="79"/>
    </row>
    <row r="3072" spans="2:7" x14ac:dyDescent="0.35">
      <c r="B3072" s="46"/>
      <c r="C3072" s="46"/>
      <c r="D3072" s="46"/>
      <c r="E3072" s="46"/>
      <c r="F3072" s="46"/>
      <c r="G3072" s="79"/>
    </row>
    <row r="3073" spans="2:7" x14ac:dyDescent="0.35">
      <c r="B3073" s="46"/>
      <c r="C3073" s="46"/>
      <c r="D3073" s="46"/>
      <c r="E3073" s="46"/>
      <c r="F3073" s="46"/>
      <c r="G3073" s="79"/>
    </row>
    <row r="3074" spans="2:7" x14ac:dyDescent="0.35">
      <c r="B3074" s="46"/>
      <c r="C3074" s="46"/>
      <c r="D3074" s="46"/>
      <c r="E3074" s="46"/>
      <c r="F3074" s="46"/>
      <c r="G3074" s="79"/>
    </row>
    <row r="3075" spans="2:7" x14ac:dyDescent="0.35">
      <c r="B3075" s="46"/>
      <c r="C3075" s="46"/>
      <c r="D3075" s="46"/>
      <c r="E3075" s="46"/>
      <c r="F3075" s="46"/>
      <c r="G3075" s="79"/>
    </row>
    <row r="3076" spans="2:7" x14ac:dyDescent="0.35">
      <c r="B3076" s="46"/>
      <c r="C3076" s="46"/>
      <c r="D3076" s="46"/>
      <c r="E3076" s="46"/>
      <c r="F3076" s="46"/>
      <c r="G3076" s="79"/>
    </row>
    <row r="3077" spans="2:7" x14ac:dyDescent="0.35">
      <c r="B3077" s="46"/>
      <c r="C3077" s="46"/>
      <c r="D3077" s="46"/>
      <c r="E3077" s="46"/>
      <c r="F3077" s="46"/>
      <c r="G3077" s="79"/>
    </row>
    <row r="3078" spans="2:7" x14ac:dyDescent="0.35">
      <c r="B3078" s="46"/>
      <c r="C3078" s="46"/>
      <c r="D3078" s="46"/>
      <c r="E3078" s="46"/>
      <c r="F3078" s="46"/>
      <c r="G3078" s="79"/>
    </row>
    <row r="3079" spans="2:7" x14ac:dyDescent="0.35">
      <c r="B3079" s="46"/>
      <c r="C3079" s="46"/>
      <c r="D3079" s="46"/>
      <c r="E3079" s="46"/>
      <c r="F3079" s="46"/>
      <c r="G3079" s="79"/>
    </row>
    <row r="3080" spans="2:7" x14ac:dyDescent="0.35">
      <c r="B3080" s="46"/>
      <c r="C3080" s="46"/>
      <c r="D3080" s="46"/>
      <c r="E3080" s="46"/>
      <c r="F3080" s="46"/>
      <c r="G3080" s="79"/>
    </row>
    <row r="3081" spans="2:7" x14ac:dyDescent="0.35">
      <c r="B3081" s="46"/>
      <c r="C3081" s="46"/>
      <c r="D3081" s="46"/>
      <c r="E3081" s="46"/>
      <c r="F3081" s="46"/>
      <c r="G3081" s="79"/>
    </row>
    <row r="3082" spans="2:7" x14ac:dyDescent="0.35">
      <c r="B3082" s="46"/>
      <c r="C3082" s="46"/>
      <c r="D3082" s="46"/>
      <c r="E3082" s="46"/>
      <c r="F3082" s="46"/>
      <c r="G3082" s="79"/>
    </row>
    <row r="3083" spans="2:7" x14ac:dyDescent="0.35">
      <c r="B3083" s="46"/>
      <c r="C3083" s="46"/>
      <c r="D3083" s="46"/>
      <c r="E3083" s="46"/>
      <c r="F3083" s="46"/>
      <c r="G3083" s="79"/>
    </row>
    <row r="3084" spans="2:7" x14ac:dyDescent="0.35">
      <c r="B3084" s="46"/>
      <c r="C3084" s="46"/>
      <c r="D3084" s="46"/>
      <c r="E3084" s="46"/>
      <c r="F3084" s="46"/>
      <c r="G3084" s="79"/>
    </row>
    <row r="3085" spans="2:7" x14ac:dyDescent="0.35">
      <c r="B3085" s="46"/>
      <c r="C3085" s="46"/>
      <c r="D3085" s="46"/>
      <c r="E3085" s="46"/>
      <c r="F3085" s="46"/>
      <c r="G3085" s="79"/>
    </row>
    <row r="3086" spans="2:7" x14ac:dyDescent="0.35">
      <c r="B3086" s="46"/>
      <c r="C3086" s="46"/>
      <c r="D3086" s="46"/>
      <c r="E3086" s="46"/>
      <c r="F3086" s="46"/>
      <c r="G3086" s="79"/>
    </row>
    <row r="3087" spans="2:7" x14ac:dyDescent="0.35">
      <c r="B3087" s="46"/>
      <c r="C3087" s="46"/>
      <c r="D3087" s="46"/>
      <c r="E3087" s="46"/>
      <c r="F3087" s="46"/>
      <c r="G3087" s="79"/>
    </row>
    <row r="3088" spans="2:7" x14ac:dyDescent="0.35">
      <c r="B3088" s="46"/>
      <c r="C3088" s="46"/>
      <c r="D3088" s="46"/>
      <c r="E3088" s="46"/>
      <c r="F3088" s="46"/>
      <c r="G3088" s="79"/>
    </row>
    <row r="3089" spans="2:7" x14ac:dyDescent="0.35">
      <c r="B3089" s="46"/>
      <c r="C3089" s="46"/>
      <c r="D3089" s="46"/>
      <c r="E3089" s="46"/>
      <c r="F3089" s="46"/>
      <c r="G3089" s="79"/>
    </row>
    <row r="3090" spans="2:7" x14ac:dyDescent="0.35">
      <c r="B3090" s="46"/>
      <c r="C3090" s="46"/>
      <c r="D3090" s="46"/>
      <c r="E3090" s="46"/>
      <c r="F3090" s="46"/>
      <c r="G3090" s="79"/>
    </row>
    <row r="3091" spans="2:7" x14ac:dyDescent="0.35">
      <c r="B3091" s="46"/>
      <c r="C3091" s="46"/>
      <c r="D3091" s="46"/>
      <c r="E3091" s="46"/>
      <c r="F3091" s="46"/>
      <c r="G3091" s="79"/>
    </row>
    <row r="3092" spans="2:7" x14ac:dyDescent="0.35">
      <c r="B3092" s="46"/>
      <c r="C3092" s="46"/>
      <c r="D3092" s="46"/>
      <c r="E3092" s="46"/>
      <c r="F3092" s="46"/>
      <c r="G3092" s="79"/>
    </row>
    <row r="3093" spans="2:7" x14ac:dyDescent="0.35">
      <c r="B3093" s="46"/>
      <c r="C3093" s="46"/>
      <c r="D3093" s="46"/>
      <c r="E3093" s="46"/>
      <c r="F3093" s="46"/>
      <c r="G3093" s="79"/>
    </row>
    <row r="3094" spans="2:7" x14ac:dyDescent="0.35">
      <c r="B3094" s="46"/>
      <c r="C3094" s="46"/>
      <c r="D3094" s="46"/>
      <c r="E3094" s="46"/>
      <c r="F3094" s="46"/>
      <c r="G3094" s="79"/>
    </row>
    <row r="3095" spans="2:7" x14ac:dyDescent="0.35">
      <c r="B3095" s="46"/>
      <c r="C3095" s="46"/>
      <c r="D3095" s="46"/>
      <c r="E3095" s="46"/>
      <c r="F3095" s="46"/>
      <c r="G3095" s="79"/>
    </row>
    <row r="3096" spans="2:7" x14ac:dyDescent="0.35">
      <c r="B3096" s="46"/>
      <c r="C3096" s="46"/>
      <c r="D3096" s="46"/>
      <c r="E3096" s="46"/>
      <c r="F3096" s="46"/>
      <c r="G3096" s="79"/>
    </row>
    <row r="3097" spans="2:7" x14ac:dyDescent="0.35">
      <c r="B3097" s="46"/>
      <c r="C3097" s="46"/>
      <c r="D3097" s="46"/>
      <c r="E3097" s="46"/>
      <c r="F3097" s="46"/>
      <c r="G3097" s="79"/>
    </row>
    <row r="3098" spans="2:7" x14ac:dyDescent="0.35">
      <c r="B3098" s="46"/>
      <c r="C3098" s="46"/>
      <c r="D3098" s="46"/>
      <c r="E3098" s="46"/>
      <c r="F3098" s="46"/>
      <c r="G3098" s="79"/>
    </row>
    <row r="3099" spans="2:7" x14ac:dyDescent="0.35">
      <c r="B3099" s="46"/>
      <c r="C3099" s="46"/>
      <c r="D3099" s="46"/>
      <c r="E3099" s="46"/>
      <c r="F3099" s="46"/>
      <c r="G3099" s="79"/>
    </row>
    <row r="3100" spans="2:7" x14ac:dyDescent="0.35">
      <c r="B3100" s="46"/>
      <c r="C3100" s="46"/>
      <c r="D3100" s="46"/>
      <c r="E3100" s="46"/>
      <c r="F3100" s="46"/>
      <c r="G3100" s="79"/>
    </row>
    <row r="3101" spans="2:7" x14ac:dyDescent="0.35">
      <c r="B3101" s="46"/>
      <c r="C3101" s="46"/>
      <c r="D3101" s="46"/>
      <c r="E3101" s="46"/>
      <c r="F3101" s="46"/>
      <c r="G3101" s="79"/>
    </row>
    <row r="3102" spans="2:7" x14ac:dyDescent="0.35">
      <c r="B3102" s="46"/>
      <c r="C3102" s="46"/>
      <c r="D3102" s="46"/>
      <c r="E3102" s="46"/>
      <c r="F3102" s="46"/>
      <c r="G3102" s="79"/>
    </row>
    <row r="3103" spans="2:7" x14ac:dyDescent="0.35">
      <c r="B3103" s="46"/>
      <c r="C3103" s="46"/>
      <c r="D3103" s="46"/>
      <c r="E3103" s="46"/>
      <c r="F3103" s="46"/>
      <c r="G3103" s="79"/>
    </row>
    <row r="3104" spans="2:7" x14ac:dyDescent="0.35">
      <c r="B3104" s="46"/>
      <c r="C3104" s="46"/>
      <c r="D3104" s="46"/>
      <c r="E3104" s="46"/>
      <c r="F3104" s="46"/>
      <c r="G3104" s="79"/>
    </row>
    <row r="3105" spans="2:7" x14ac:dyDescent="0.35">
      <c r="B3105" s="46"/>
      <c r="C3105" s="46"/>
      <c r="D3105" s="46"/>
      <c r="E3105" s="46"/>
      <c r="F3105" s="46"/>
      <c r="G3105" s="79"/>
    </row>
    <row r="3106" spans="2:7" x14ac:dyDescent="0.35">
      <c r="B3106" s="46"/>
      <c r="C3106" s="46"/>
      <c r="D3106" s="46"/>
      <c r="E3106" s="46"/>
      <c r="F3106" s="46"/>
      <c r="G3106" s="79"/>
    </row>
    <row r="3107" spans="2:7" x14ac:dyDescent="0.35">
      <c r="B3107" s="46"/>
      <c r="C3107" s="46"/>
      <c r="D3107" s="46"/>
      <c r="E3107" s="46"/>
      <c r="F3107" s="46"/>
      <c r="G3107" s="79"/>
    </row>
    <row r="3108" spans="2:7" x14ac:dyDescent="0.35">
      <c r="B3108" s="46"/>
      <c r="C3108" s="46"/>
      <c r="D3108" s="46"/>
      <c r="E3108" s="46"/>
      <c r="F3108" s="46"/>
      <c r="G3108" s="79"/>
    </row>
    <row r="3109" spans="2:7" x14ac:dyDescent="0.35">
      <c r="B3109" s="46"/>
      <c r="C3109" s="46"/>
      <c r="D3109" s="46"/>
      <c r="E3109" s="46"/>
      <c r="F3109" s="46"/>
      <c r="G3109" s="79"/>
    </row>
    <row r="3110" spans="2:7" x14ac:dyDescent="0.35">
      <c r="B3110" s="46"/>
      <c r="C3110" s="46"/>
      <c r="D3110" s="46"/>
      <c r="E3110" s="46"/>
      <c r="F3110" s="46"/>
      <c r="G3110" s="79"/>
    </row>
    <row r="3111" spans="2:7" x14ac:dyDescent="0.35">
      <c r="B3111" s="46"/>
      <c r="C3111" s="46"/>
      <c r="D3111" s="46"/>
      <c r="E3111" s="46"/>
      <c r="F3111" s="46"/>
      <c r="G3111" s="79"/>
    </row>
    <row r="3112" spans="2:7" x14ac:dyDescent="0.35">
      <c r="B3112" s="46"/>
      <c r="C3112" s="46"/>
      <c r="D3112" s="46"/>
      <c r="E3112" s="46"/>
      <c r="F3112" s="46"/>
      <c r="G3112" s="79"/>
    </row>
    <row r="3113" spans="2:7" x14ac:dyDescent="0.35">
      <c r="B3113" s="46"/>
      <c r="C3113" s="46"/>
      <c r="D3113" s="46"/>
      <c r="E3113" s="46"/>
      <c r="F3113" s="46"/>
      <c r="G3113" s="79"/>
    </row>
    <row r="3114" spans="2:7" x14ac:dyDescent="0.35">
      <c r="B3114" s="46"/>
      <c r="C3114" s="46"/>
      <c r="D3114" s="46"/>
      <c r="E3114" s="46"/>
      <c r="F3114" s="46"/>
      <c r="G3114" s="79"/>
    </row>
    <row r="3115" spans="2:7" x14ac:dyDescent="0.35">
      <c r="B3115" s="46"/>
      <c r="C3115" s="46"/>
      <c r="D3115" s="46"/>
      <c r="E3115" s="46"/>
      <c r="F3115" s="46"/>
      <c r="G3115" s="79"/>
    </row>
    <row r="3116" spans="2:7" x14ac:dyDescent="0.35">
      <c r="B3116" s="46"/>
      <c r="C3116" s="46"/>
      <c r="D3116" s="46"/>
      <c r="E3116" s="46"/>
      <c r="F3116" s="46"/>
      <c r="G3116" s="79"/>
    </row>
    <row r="3117" spans="2:7" x14ac:dyDescent="0.35">
      <c r="B3117" s="46"/>
      <c r="C3117" s="46"/>
      <c r="D3117" s="46"/>
      <c r="E3117" s="46"/>
      <c r="F3117" s="46"/>
      <c r="G3117" s="79"/>
    </row>
    <row r="3118" spans="2:7" x14ac:dyDescent="0.35">
      <c r="B3118" s="46"/>
      <c r="C3118" s="46"/>
      <c r="D3118" s="46"/>
      <c r="E3118" s="46"/>
      <c r="F3118" s="46"/>
      <c r="G3118" s="79"/>
    </row>
    <row r="3119" spans="2:7" x14ac:dyDescent="0.35">
      <c r="B3119" s="46"/>
      <c r="C3119" s="46"/>
      <c r="D3119" s="46"/>
      <c r="E3119" s="46"/>
      <c r="F3119" s="46"/>
      <c r="G3119" s="79"/>
    </row>
    <row r="3120" spans="2:7" x14ac:dyDescent="0.35">
      <c r="B3120" s="46"/>
      <c r="C3120" s="46"/>
      <c r="D3120" s="46"/>
      <c r="E3120" s="46"/>
      <c r="F3120" s="46"/>
      <c r="G3120" s="79"/>
    </row>
    <row r="3121" spans="2:7" x14ac:dyDescent="0.35">
      <c r="B3121" s="46"/>
      <c r="C3121" s="46"/>
      <c r="D3121" s="46"/>
      <c r="E3121" s="46"/>
      <c r="F3121" s="46"/>
      <c r="G3121" s="79"/>
    </row>
    <row r="3122" spans="2:7" x14ac:dyDescent="0.35">
      <c r="B3122" s="46"/>
      <c r="C3122" s="46"/>
      <c r="D3122" s="46"/>
      <c r="E3122" s="46"/>
      <c r="F3122" s="46"/>
      <c r="G3122" s="79"/>
    </row>
    <row r="3123" spans="2:7" x14ac:dyDescent="0.35">
      <c r="B3123" s="46"/>
      <c r="C3123" s="46"/>
      <c r="D3123" s="46"/>
      <c r="E3123" s="46"/>
      <c r="F3123" s="46"/>
      <c r="G3123" s="79"/>
    </row>
    <row r="3124" spans="2:7" x14ac:dyDescent="0.35">
      <c r="B3124" s="46"/>
      <c r="C3124" s="46"/>
      <c r="D3124" s="46"/>
      <c r="E3124" s="46"/>
      <c r="F3124" s="46"/>
      <c r="G3124" s="79"/>
    </row>
    <row r="3125" spans="2:7" x14ac:dyDescent="0.35">
      <c r="B3125" s="46"/>
      <c r="C3125" s="46"/>
      <c r="D3125" s="46"/>
      <c r="E3125" s="46"/>
      <c r="F3125" s="46"/>
      <c r="G3125" s="79"/>
    </row>
    <row r="3126" spans="2:7" x14ac:dyDescent="0.35">
      <c r="B3126" s="46"/>
      <c r="C3126" s="46"/>
      <c r="D3126" s="46"/>
      <c r="E3126" s="46"/>
      <c r="F3126" s="46"/>
      <c r="G3126" s="79"/>
    </row>
    <row r="3127" spans="2:7" x14ac:dyDescent="0.35">
      <c r="B3127" s="46"/>
      <c r="C3127" s="46"/>
      <c r="D3127" s="46"/>
      <c r="E3127" s="46"/>
      <c r="F3127" s="46"/>
      <c r="G3127" s="79"/>
    </row>
    <row r="3128" spans="2:7" x14ac:dyDescent="0.35">
      <c r="B3128" s="46"/>
      <c r="C3128" s="46"/>
      <c r="D3128" s="46"/>
      <c r="E3128" s="46"/>
      <c r="F3128" s="46"/>
      <c r="G3128" s="79"/>
    </row>
    <row r="3129" spans="2:7" x14ac:dyDescent="0.35">
      <c r="B3129" s="46"/>
      <c r="C3129" s="46"/>
      <c r="D3129" s="46"/>
      <c r="E3129" s="46"/>
      <c r="F3129" s="46"/>
      <c r="G3129" s="79"/>
    </row>
    <row r="3130" spans="2:7" x14ac:dyDescent="0.35">
      <c r="B3130" s="46"/>
      <c r="C3130" s="46"/>
      <c r="D3130" s="46"/>
      <c r="E3130" s="46"/>
      <c r="F3130" s="46"/>
      <c r="G3130" s="79"/>
    </row>
    <row r="3131" spans="2:7" x14ac:dyDescent="0.35">
      <c r="B3131" s="46"/>
      <c r="C3131" s="46"/>
      <c r="D3131" s="46"/>
      <c r="E3131" s="46"/>
      <c r="F3131" s="46"/>
      <c r="G3131" s="79"/>
    </row>
    <row r="3132" spans="2:7" x14ac:dyDescent="0.35">
      <c r="B3132" s="46"/>
      <c r="C3132" s="46"/>
      <c r="D3132" s="46"/>
      <c r="E3132" s="46"/>
      <c r="F3132" s="46"/>
      <c r="G3132" s="79"/>
    </row>
    <row r="3133" spans="2:7" x14ac:dyDescent="0.35">
      <c r="B3133" s="46"/>
      <c r="C3133" s="46"/>
      <c r="D3133" s="46"/>
      <c r="E3133" s="46"/>
      <c r="F3133" s="46"/>
      <c r="G3133" s="79"/>
    </row>
    <row r="3134" spans="2:7" x14ac:dyDescent="0.35">
      <c r="B3134" s="46"/>
      <c r="C3134" s="46"/>
      <c r="D3134" s="46"/>
      <c r="E3134" s="46"/>
      <c r="F3134" s="46"/>
      <c r="G3134" s="79"/>
    </row>
    <row r="3135" spans="2:7" x14ac:dyDescent="0.35">
      <c r="B3135" s="46"/>
      <c r="C3135" s="46"/>
      <c r="D3135" s="46"/>
      <c r="E3135" s="46"/>
      <c r="F3135" s="46"/>
      <c r="G3135" s="79"/>
    </row>
    <row r="3136" spans="2:7" x14ac:dyDescent="0.35">
      <c r="B3136" s="46"/>
      <c r="C3136" s="46"/>
      <c r="D3136" s="46"/>
      <c r="E3136" s="46"/>
      <c r="F3136" s="46"/>
      <c r="G3136" s="79"/>
    </row>
    <row r="3137" spans="2:7" x14ac:dyDescent="0.35">
      <c r="B3137" s="46"/>
      <c r="C3137" s="46"/>
      <c r="D3137" s="46"/>
      <c r="E3137" s="46"/>
      <c r="F3137" s="46"/>
      <c r="G3137" s="79"/>
    </row>
    <row r="3138" spans="2:7" x14ac:dyDescent="0.35">
      <c r="B3138" s="46"/>
      <c r="C3138" s="46"/>
      <c r="D3138" s="46"/>
      <c r="E3138" s="46"/>
      <c r="F3138" s="46"/>
      <c r="G3138" s="79"/>
    </row>
    <row r="3139" spans="2:7" x14ac:dyDescent="0.35">
      <c r="B3139" s="46"/>
      <c r="C3139" s="46"/>
      <c r="D3139" s="46"/>
      <c r="E3139" s="46"/>
      <c r="F3139" s="46"/>
      <c r="G3139" s="79"/>
    </row>
    <row r="3140" spans="2:7" x14ac:dyDescent="0.35">
      <c r="B3140" s="46"/>
      <c r="C3140" s="46"/>
      <c r="D3140" s="46"/>
      <c r="E3140" s="46"/>
      <c r="F3140" s="46"/>
      <c r="G3140" s="79"/>
    </row>
    <row r="3141" spans="2:7" x14ac:dyDescent="0.35">
      <c r="B3141" s="46"/>
      <c r="C3141" s="46"/>
      <c r="D3141" s="46"/>
      <c r="E3141" s="46"/>
      <c r="F3141" s="46"/>
      <c r="G3141" s="79"/>
    </row>
    <row r="3142" spans="2:7" x14ac:dyDescent="0.35">
      <c r="B3142" s="46"/>
      <c r="C3142" s="46"/>
      <c r="D3142" s="46"/>
      <c r="E3142" s="46"/>
      <c r="F3142" s="46"/>
      <c r="G3142" s="79"/>
    </row>
    <row r="3143" spans="2:7" x14ac:dyDescent="0.35">
      <c r="B3143" s="46"/>
      <c r="C3143" s="46"/>
      <c r="D3143" s="46"/>
      <c r="E3143" s="46"/>
      <c r="F3143" s="46"/>
      <c r="G3143" s="79"/>
    </row>
    <row r="3144" spans="2:7" x14ac:dyDescent="0.35">
      <c r="B3144" s="46"/>
      <c r="C3144" s="46"/>
      <c r="D3144" s="46"/>
      <c r="E3144" s="46"/>
      <c r="F3144" s="46"/>
      <c r="G3144" s="79"/>
    </row>
    <row r="3145" spans="2:7" x14ac:dyDescent="0.35">
      <c r="B3145" s="46"/>
      <c r="C3145" s="46"/>
      <c r="D3145" s="46"/>
      <c r="E3145" s="46"/>
      <c r="F3145" s="46"/>
      <c r="G3145" s="79"/>
    </row>
    <row r="3146" spans="2:7" x14ac:dyDescent="0.35">
      <c r="B3146" s="46"/>
      <c r="C3146" s="46"/>
      <c r="D3146" s="46"/>
      <c r="E3146" s="46"/>
      <c r="F3146" s="46"/>
      <c r="G3146" s="79"/>
    </row>
    <row r="3147" spans="2:7" x14ac:dyDescent="0.35">
      <c r="B3147" s="46"/>
      <c r="C3147" s="46"/>
      <c r="D3147" s="46"/>
      <c r="E3147" s="46"/>
      <c r="F3147" s="46"/>
      <c r="G3147" s="79"/>
    </row>
    <row r="3148" spans="2:7" x14ac:dyDescent="0.35">
      <c r="B3148" s="46"/>
      <c r="C3148" s="46"/>
      <c r="D3148" s="46"/>
      <c r="E3148" s="46"/>
      <c r="F3148" s="46"/>
      <c r="G3148" s="79"/>
    </row>
    <row r="3149" spans="2:7" x14ac:dyDescent="0.35">
      <c r="B3149" s="46"/>
      <c r="C3149" s="46"/>
      <c r="D3149" s="46"/>
      <c r="E3149" s="46"/>
      <c r="F3149" s="46"/>
      <c r="G3149" s="79"/>
    </row>
    <row r="3150" spans="2:7" x14ac:dyDescent="0.35">
      <c r="B3150" s="46"/>
      <c r="C3150" s="46"/>
      <c r="D3150" s="46"/>
      <c r="E3150" s="46"/>
      <c r="F3150" s="46"/>
      <c r="G3150" s="79"/>
    </row>
    <row r="3151" spans="2:7" x14ac:dyDescent="0.35">
      <c r="B3151" s="46"/>
      <c r="C3151" s="46"/>
      <c r="D3151" s="46"/>
      <c r="E3151" s="46"/>
      <c r="F3151" s="46"/>
      <c r="G3151" s="79"/>
    </row>
    <row r="3152" spans="2:7" x14ac:dyDescent="0.35">
      <c r="B3152" s="46"/>
      <c r="C3152" s="46"/>
      <c r="D3152" s="46"/>
      <c r="E3152" s="46"/>
      <c r="F3152" s="46"/>
      <c r="G3152" s="79"/>
    </row>
    <row r="3153" spans="2:7" x14ac:dyDescent="0.35">
      <c r="B3153" s="46"/>
      <c r="C3153" s="46"/>
      <c r="D3153" s="46"/>
      <c r="E3153" s="46"/>
      <c r="F3153" s="46"/>
      <c r="G3153" s="79"/>
    </row>
    <row r="3154" spans="2:7" x14ac:dyDescent="0.35">
      <c r="B3154" s="46"/>
      <c r="C3154" s="46"/>
      <c r="D3154" s="46"/>
      <c r="E3154" s="46"/>
      <c r="F3154" s="46"/>
      <c r="G3154" s="79"/>
    </row>
    <row r="3155" spans="2:7" x14ac:dyDescent="0.35">
      <c r="B3155" s="46"/>
      <c r="C3155" s="46"/>
      <c r="D3155" s="46"/>
      <c r="E3155" s="46"/>
      <c r="F3155" s="46"/>
      <c r="G3155" s="79"/>
    </row>
    <row r="3156" spans="2:7" x14ac:dyDescent="0.35">
      <c r="B3156" s="46"/>
      <c r="C3156" s="46"/>
      <c r="D3156" s="46"/>
      <c r="E3156" s="46"/>
      <c r="F3156" s="46"/>
      <c r="G3156" s="79"/>
    </row>
    <row r="3157" spans="2:7" x14ac:dyDescent="0.35">
      <c r="B3157" s="46"/>
      <c r="C3157" s="46"/>
      <c r="D3157" s="46"/>
      <c r="E3157" s="46"/>
      <c r="F3157" s="46"/>
      <c r="G3157" s="79"/>
    </row>
    <row r="3158" spans="2:7" x14ac:dyDescent="0.35">
      <c r="B3158" s="46"/>
      <c r="C3158" s="46"/>
      <c r="D3158" s="46"/>
      <c r="E3158" s="46"/>
      <c r="F3158" s="46"/>
      <c r="G3158" s="79"/>
    </row>
    <row r="3159" spans="2:7" x14ac:dyDescent="0.35">
      <c r="B3159" s="46"/>
      <c r="C3159" s="46"/>
      <c r="D3159" s="46"/>
      <c r="E3159" s="46"/>
      <c r="F3159" s="46"/>
      <c r="G3159" s="79"/>
    </row>
    <row r="3160" spans="2:7" x14ac:dyDescent="0.35">
      <c r="B3160" s="46"/>
      <c r="C3160" s="46"/>
      <c r="D3160" s="46"/>
      <c r="E3160" s="46"/>
      <c r="F3160" s="46"/>
      <c r="G3160" s="79"/>
    </row>
    <row r="3161" spans="2:7" x14ac:dyDescent="0.35">
      <c r="B3161" s="46"/>
      <c r="C3161" s="46"/>
      <c r="D3161" s="46"/>
      <c r="E3161" s="46"/>
      <c r="F3161" s="46"/>
      <c r="G3161" s="79"/>
    </row>
    <row r="3162" spans="2:7" x14ac:dyDescent="0.35">
      <c r="B3162" s="46"/>
      <c r="C3162" s="46"/>
      <c r="D3162" s="46"/>
      <c r="E3162" s="46"/>
      <c r="F3162" s="46"/>
      <c r="G3162" s="79"/>
    </row>
    <row r="3163" spans="2:7" x14ac:dyDescent="0.35">
      <c r="B3163" s="46"/>
      <c r="C3163" s="46"/>
      <c r="D3163" s="46"/>
      <c r="E3163" s="46"/>
      <c r="F3163" s="46"/>
      <c r="G3163" s="79"/>
    </row>
    <row r="3164" spans="2:7" x14ac:dyDescent="0.35">
      <c r="B3164" s="46"/>
      <c r="C3164" s="46"/>
      <c r="D3164" s="46"/>
      <c r="E3164" s="46"/>
      <c r="F3164" s="46"/>
      <c r="G3164" s="79"/>
    </row>
    <row r="3165" spans="2:7" x14ac:dyDescent="0.35">
      <c r="B3165" s="46"/>
      <c r="C3165" s="46"/>
      <c r="D3165" s="46"/>
      <c r="E3165" s="46"/>
      <c r="F3165" s="46"/>
      <c r="G3165" s="79"/>
    </row>
    <row r="3166" spans="2:7" x14ac:dyDescent="0.35">
      <c r="B3166" s="46"/>
      <c r="C3166" s="46"/>
      <c r="D3166" s="46"/>
      <c r="E3166" s="46"/>
      <c r="F3166" s="46"/>
      <c r="G3166" s="79"/>
    </row>
    <row r="3167" spans="2:7" x14ac:dyDescent="0.35">
      <c r="B3167" s="46"/>
      <c r="C3167" s="46"/>
      <c r="D3167" s="46"/>
      <c r="E3167" s="46"/>
      <c r="F3167" s="46"/>
      <c r="G3167" s="79"/>
    </row>
    <row r="3168" spans="2:7" x14ac:dyDescent="0.35">
      <c r="B3168" s="46"/>
      <c r="C3168" s="46"/>
      <c r="D3168" s="46"/>
      <c r="E3168" s="46"/>
      <c r="F3168" s="46"/>
      <c r="G3168" s="79"/>
    </row>
    <row r="3169" spans="2:7" x14ac:dyDescent="0.35">
      <c r="B3169" s="46"/>
      <c r="C3169" s="46"/>
      <c r="D3169" s="46"/>
      <c r="E3169" s="46"/>
      <c r="F3169" s="46"/>
      <c r="G3169" s="79"/>
    </row>
    <row r="3170" spans="2:7" x14ac:dyDescent="0.35">
      <c r="B3170" s="46"/>
      <c r="C3170" s="46"/>
      <c r="D3170" s="46"/>
      <c r="E3170" s="46"/>
      <c r="F3170" s="46"/>
      <c r="G3170" s="79"/>
    </row>
    <row r="3171" spans="2:7" x14ac:dyDescent="0.35">
      <c r="B3171" s="46"/>
      <c r="C3171" s="46"/>
      <c r="D3171" s="46"/>
      <c r="E3171" s="46"/>
      <c r="F3171" s="46"/>
      <c r="G3171" s="79"/>
    </row>
    <row r="3172" spans="2:7" x14ac:dyDescent="0.35">
      <c r="B3172" s="46"/>
      <c r="C3172" s="46"/>
      <c r="D3172" s="46"/>
      <c r="E3172" s="46"/>
      <c r="F3172" s="46"/>
      <c r="G3172" s="79"/>
    </row>
    <row r="3173" spans="2:7" x14ac:dyDescent="0.35">
      <c r="B3173" s="46"/>
      <c r="C3173" s="46"/>
      <c r="D3173" s="46"/>
      <c r="E3173" s="46"/>
      <c r="F3173" s="46"/>
      <c r="G3173" s="79"/>
    </row>
    <row r="3174" spans="2:7" x14ac:dyDescent="0.35">
      <c r="B3174" s="46"/>
      <c r="C3174" s="46"/>
      <c r="D3174" s="46"/>
      <c r="E3174" s="46"/>
      <c r="F3174" s="46"/>
      <c r="G3174" s="79"/>
    </row>
    <row r="3175" spans="2:7" x14ac:dyDescent="0.35">
      <c r="B3175" s="46"/>
      <c r="C3175" s="46"/>
      <c r="D3175" s="46"/>
      <c r="E3175" s="46"/>
      <c r="F3175" s="46"/>
      <c r="G3175" s="79"/>
    </row>
    <row r="3176" spans="2:7" x14ac:dyDescent="0.35">
      <c r="B3176" s="46"/>
      <c r="C3176" s="46"/>
      <c r="D3176" s="46"/>
      <c r="E3176" s="46"/>
      <c r="F3176" s="46"/>
      <c r="G3176" s="79"/>
    </row>
    <row r="3177" spans="2:7" x14ac:dyDescent="0.35">
      <c r="B3177" s="46"/>
      <c r="C3177" s="46"/>
      <c r="D3177" s="46"/>
      <c r="E3177" s="46"/>
      <c r="F3177" s="46"/>
      <c r="G3177" s="79"/>
    </row>
    <row r="3178" spans="2:7" x14ac:dyDescent="0.35">
      <c r="B3178" s="46"/>
      <c r="C3178" s="46"/>
      <c r="D3178" s="46"/>
      <c r="E3178" s="46"/>
      <c r="F3178" s="46"/>
      <c r="G3178" s="79"/>
    </row>
    <row r="3179" spans="2:7" x14ac:dyDescent="0.35">
      <c r="B3179" s="46"/>
      <c r="C3179" s="46"/>
      <c r="D3179" s="46"/>
      <c r="E3179" s="46"/>
      <c r="F3179" s="46"/>
      <c r="G3179" s="79"/>
    </row>
    <row r="3180" spans="2:7" x14ac:dyDescent="0.35">
      <c r="B3180" s="46"/>
      <c r="C3180" s="46"/>
      <c r="D3180" s="46"/>
      <c r="E3180" s="46"/>
      <c r="F3180" s="46"/>
      <c r="G3180" s="79"/>
    </row>
    <row r="3181" spans="2:7" x14ac:dyDescent="0.35">
      <c r="B3181" s="46"/>
      <c r="C3181" s="46"/>
      <c r="D3181" s="46"/>
      <c r="E3181" s="46"/>
      <c r="F3181" s="46"/>
      <c r="G3181" s="79"/>
    </row>
    <row r="3182" spans="2:7" x14ac:dyDescent="0.35">
      <c r="B3182" s="46"/>
      <c r="C3182" s="46"/>
      <c r="D3182" s="46"/>
      <c r="E3182" s="46"/>
      <c r="F3182" s="46"/>
      <c r="G3182" s="79"/>
    </row>
    <row r="3183" spans="2:7" x14ac:dyDescent="0.35">
      <c r="B3183" s="46"/>
      <c r="C3183" s="46"/>
      <c r="D3183" s="46"/>
      <c r="E3183" s="46"/>
      <c r="F3183" s="46"/>
      <c r="G3183" s="79"/>
    </row>
    <row r="3184" spans="2:7" x14ac:dyDescent="0.35">
      <c r="B3184" s="46"/>
      <c r="C3184" s="46"/>
      <c r="D3184" s="46"/>
      <c r="E3184" s="46"/>
      <c r="F3184" s="46"/>
      <c r="G3184" s="79"/>
    </row>
    <row r="3185" spans="2:7" x14ac:dyDescent="0.35">
      <c r="B3185" s="46"/>
      <c r="C3185" s="46"/>
      <c r="D3185" s="46"/>
      <c r="E3185" s="46"/>
      <c r="F3185" s="46"/>
      <c r="G3185" s="79"/>
    </row>
    <row r="3186" spans="2:7" x14ac:dyDescent="0.35">
      <c r="B3186" s="46"/>
      <c r="C3186" s="46"/>
      <c r="D3186" s="46"/>
      <c r="E3186" s="46"/>
      <c r="F3186" s="46"/>
      <c r="G3186" s="79"/>
    </row>
    <row r="3187" spans="2:7" x14ac:dyDescent="0.35">
      <c r="B3187" s="46"/>
      <c r="C3187" s="46"/>
      <c r="D3187" s="46"/>
      <c r="E3187" s="46"/>
      <c r="F3187" s="46"/>
      <c r="G3187" s="79"/>
    </row>
    <row r="3188" spans="2:7" x14ac:dyDescent="0.35">
      <c r="B3188" s="46"/>
      <c r="C3188" s="46"/>
      <c r="D3188" s="46"/>
      <c r="E3188" s="46"/>
      <c r="F3188" s="46"/>
      <c r="G3188" s="79"/>
    </row>
    <row r="3189" spans="2:7" x14ac:dyDescent="0.35">
      <c r="B3189" s="46"/>
      <c r="C3189" s="46"/>
      <c r="D3189" s="46"/>
      <c r="E3189" s="46"/>
      <c r="F3189" s="46"/>
      <c r="G3189" s="79"/>
    </row>
    <row r="3190" spans="2:7" x14ac:dyDescent="0.35">
      <c r="B3190" s="46"/>
      <c r="C3190" s="46"/>
      <c r="D3190" s="46"/>
      <c r="E3190" s="46"/>
      <c r="F3190" s="46"/>
      <c r="G3190" s="79"/>
    </row>
    <row r="3191" spans="2:7" x14ac:dyDescent="0.35">
      <c r="B3191" s="46"/>
      <c r="C3191" s="46"/>
      <c r="D3191" s="46"/>
      <c r="E3191" s="46"/>
      <c r="F3191" s="46"/>
      <c r="G3191" s="79"/>
    </row>
    <row r="3192" spans="2:7" x14ac:dyDescent="0.35">
      <c r="B3192" s="46"/>
      <c r="C3192" s="46"/>
      <c r="D3192" s="46"/>
      <c r="E3192" s="46"/>
      <c r="F3192" s="46"/>
      <c r="G3192" s="79"/>
    </row>
    <row r="3193" spans="2:7" x14ac:dyDescent="0.35">
      <c r="B3193" s="46"/>
      <c r="C3193" s="46"/>
      <c r="D3193" s="46"/>
      <c r="E3193" s="46"/>
      <c r="F3193" s="46"/>
      <c r="G3193" s="79"/>
    </row>
    <row r="3194" spans="2:7" x14ac:dyDescent="0.35">
      <c r="B3194" s="46"/>
      <c r="C3194" s="46"/>
      <c r="D3194" s="46"/>
      <c r="E3194" s="46"/>
      <c r="F3194" s="46"/>
      <c r="G3194" s="79"/>
    </row>
    <row r="3195" spans="2:7" x14ac:dyDescent="0.35">
      <c r="B3195" s="46"/>
      <c r="C3195" s="46"/>
      <c r="D3195" s="46"/>
      <c r="E3195" s="46"/>
      <c r="F3195" s="46"/>
      <c r="G3195" s="79"/>
    </row>
    <row r="3196" spans="2:7" x14ac:dyDescent="0.35">
      <c r="B3196" s="46"/>
      <c r="C3196" s="46"/>
      <c r="D3196" s="46"/>
      <c r="E3196" s="46"/>
      <c r="F3196" s="46"/>
      <c r="G3196" s="79"/>
    </row>
    <row r="3197" spans="2:7" x14ac:dyDescent="0.35">
      <c r="B3197" s="46"/>
      <c r="C3197" s="46"/>
      <c r="D3197" s="46"/>
      <c r="E3197" s="46"/>
      <c r="F3197" s="46"/>
      <c r="G3197" s="79"/>
    </row>
    <row r="3198" spans="2:7" x14ac:dyDescent="0.35">
      <c r="B3198" s="46"/>
      <c r="C3198" s="46"/>
      <c r="D3198" s="46"/>
      <c r="E3198" s="46"/>
      <c r="F3198" s="46"/>
      <c r="G3198" s="79"/>
    </row>
    <row r="3199" spans="2:7" x14ac:dyDescent="0.35">
      <c r="B3199" s="46"/>
      <c r="C3199" s="46"/>
      <c r="D3199" s="46"/>
      <c r="E3199" s="46"/>
      <c r="F3199" s="46"/>
      <c r="G3199" s="79"/>
    </row>
    <row r="3200" spans="2:7" x14ac:dyDescent="0.35">
      <c r="B3200" s="46"/>
      <c r="C3200" s="46"/>
      <c r="D3200" s="46"/>
      <c r="E3200" s="46"/>
      <c r="F3200" s="46"/>
      <c r="G3200" s="79"/>
    </row>
    <row r="3201" spans="2:7" x14ac:dyDescent="0.35">
      <c r="B3201" s="46"/>
      <c r="C3201" s="46"/>
      <c r="D3201" s="46"/>
      <c r="E3201" s="46"/>
      <c r="F3201" s="46"/>
      <c r="G3201" s="79"/>
    </row>
    <row r="3202" spans="2:7" x14ac:dyDescent="0.35">
      <c r="B3202" s="46"/>
      <c r="C3202" s="46"/>
      <c r="D3202" s="46"/>
      <c r="E3202" s="46"/>
      <c r="F3202" s="46"/>
      <c r="G3202" s="79"/>
    </row>
    <row r="3203" spans="2:7" x14ac:dyDescent="0.35">
      <c r="B3203" s="46"/>
      <c r="C3203" s="46"/>
      <c r="D3203" s="46"/>
      <c r="E3203" s="46"/>
      <c r="F3203" s="46"/>
      <c r="G3203" s="79"/>
    </row>
    <row r="3204" spans="2:7" x14ac:dyDescent="0.35">
      <c r="B3204" s="46"/>
      <c r="C3204" s="46"/>
      <c r="D3204" s="46"/>
      <c r="E3204" s="46"/>
      <c r="F3204" s="46"/>
      <c r="G3204" s="79"/>
    </row>
    <row r="3205" spans="2:7" x14ac:dyDescent="0.35">
      <c r="B3205" s="46"/>
      <c r="C3205" s="46"/>
      <c r="D3205" s="46"/>
      <c r="E3205" s="46"/>
      <c r="F3205" s="46"/>
      <c r="G3205" s="79"/>
    </row>
    <row r="3206" spans="2:7" x14ac:dyDescent="0.35">
      <c r="B3206" s="46"/>
      <c r="C3206" s="46"/>
      <c r="D3206" s="46"/>
      <c r="E3206" s="46"/>
      <c r="F3206" s="46"/>
      <c r="G3206" s="79"/>
    </row>
    <row r="3207" spans="2:7" x14ac:dyDescent="0.35">
      <c r="B3207" s="46"/>
      <c r="C3207" s="46"/>
      <c r="D3207" s="46"/>
      <c r="E3207" s="46"/>
      <c r="F3207" s="46"/>
      <c r="G3207" s="79"/>
    </row>
    <row r="3208" spans="2:7" x14ac:dyDescent="0.35">
      <c r="B3208" s="46"/>
      <c r="C3208" s="46"/>
      <c r="D3208" s="46"/>
      <c r="E3208" s="46"/>
      <c r="F3208" s="46"/>
      <c r="G3208" s="79"/>
    </row>
    <row r="3209" spans="2:7" x14ac:dyDescent="0.35">
      <c r="B3209" s="46"/>
      <c r="C3209" s="46"/>
      <c r="D3209" s="46"/>
      <c r="E3209" s="46"/>
      <c r="F3209" s="46"/>
      <c r="G3209" s="79"/>
    </row>
    <row r="3210" spans="2:7" x14ac:dyDescent="0.35">
      <c r="B3210" s="46"/>
      <c r="C3210" s="46"/>
      <c r="D3210" s="46"/>
      <c r="E3210" s="46"/>
      <c r="F3210" s="46"/>
      <c r="G3210" s="79"/>
    </row>
    <row r="3211" spans="2:7" x14ac:dyDescent="0.35">
      <c r="B3211" s="46"/>
      <c r="C3211" s="46"/>
      <c r="D3211" s="46"/>
      <c r="E3211" s="46"/>
      <c r="F3211" s="46"/>
      <c r="G3211" s="79"/>
    </row>
    <row r="3212" spans="2:7" x14ac:dyDescent="0.35">
      <c r="B3212" s="46"/>
      <c r="C3212" s="46"/>
      <c r="D3212" s="46"/>
      <c r="E3212" s="46"/>
      <c r="F3212" s="46"/>
      <c r="G3212" s="79"/>
    </row>
    <row r="3213" spans="2:7" x14ac:dyDescent="0.35">
      <c r="B3213" s="46"/>
      <c r="C3213" s="46"/>
      <c r="D3213" s="46"/>
      <c r="E3213" s="46"/>
      <c r="F3213" s="46"/>
      <c r="G3213" s="79"/>
    </row>
    <row r="3214" spans="2:7" x14ac:dyDescent="0.35">
      <c r="B3214" s="46"/>
      <c r="C3214" s="46"/>
      <c r="D3214" s="46"/>
      <c r="E3214" s="46"/>
      <c r="F3214" s="46"/>
      <c r="G3214" s="79"/>
    </row>
    <row r="3215" spans="2:7" x14ac:dyDescent="0.35">
      <c r="B3215" s="46"/>
      <c r="C3215" s="46"/>
      <c r="D3215" s="46"/>
      <c r="E3215" s="46"/>
      <c r="F3215" s="46"/>
      <c r="G3215" s="79"/>
    </row>
    <row r="3216" spans="2:7" x14ac:dyDescent="0.35">
      <c r="B3216" s="46"/>
      <c r="C3216" s="46"/>
      <c r="D3216" s="46"/>
      <c r="E3216" s="46"/>
      <c r="F3216" s="46"/>
      <c r="G3216" s="79"/>
    </row>
    <row r="3217" spans="2:7" x14ac:dyDescent="0.35">
      <c r="B3217" s="46"/>
      <c r="C3217" s="46"/>
      <c r="D3217" s="46"/>
      <c r="E3217" s="46"/>
      <c r="F3217" s="46"/>
      <c r="G3217" s="79"/>
    </row>
    <row r="3218" spans="2:7" x14ac:dyDescent="0.35">
      <c r="B3218" s="46"/>
      <c r="C3218" s="46"/>
      <c r="D3218" s="46"/>
      <c r="E3218" s="46"/>
      <c r="F3218" s="46"/>
      <c r="G3218" s="79"/>
    </row>
    <row r="3219" spans="2:7" x14ac:dyDescent="0.35">
      <c r="B3219" s="46"/>
      <c r="C3219" s="46"/>
      <c r="D3219" s="46"/>
      <c r="E3219" s="46"/>
      <c r="F3219" s="46"/>
      <c r="G3219" s="79"/>
    </row>
    <row r="3220" spans="2:7" x14ac:dyDescent="0.35">
      <c r="B3220" s="46"/>
      <c r="C3220" s="46"/>
      <c r="D3220" s="46"/>
      <c r="E3220" s="46"/>
      <c r="F3220" s="46"/>
      <c r="G3220" s="79"/>
    </row>
    <row r="3221" spans="2:7" x14ac:dyDescent="0.35">
      <c r="B3221" s="46"/>
      <c r="C3221" s="46"/>
      <c r="D3221" s="46"/>
      <c r="E3221" s="46"/>
      <c r="F3221" s="46"/>
      <c r="G3221" s="79"/>
    </row>
    <row r="3222" spans="2:7" x14ac:dyDescent="0.35">
      <c r="B3222" s="46"/>
      <c r="C3222" s="46"/>
      <c r="D3222" s="46"/>
      <c r="E3222" s="46"/>
      <c r="F3222" s="46"/>
      <c r="G3222" s="79"/>
    </row>
    <row r="3223" spans="2:7" x14ac:dyDescent="0.35">
      <c r="B3223" s="46"/>
      <c r="C3223" s="46"/>
      <c r="D3223" s="46"/>
      <c r="E3223" s="46"/>
      <c r="F3223" s="46"/>
      <c r="G3223" s="79"/>
    </row>
    <row r="3224" spans="2:7" x14ac:dyDescent="0.35">
      <c r="B3224" s="46"/>
      <c r="C3224" s="46"/>
      <c r="D3224" s="46"/>
      <c r="E3224" s="46"/>
      <c r="F3224" s="46"/>
      <c r="G3224" s="79"/>
    </row>
    <row r="3225" spans="2:7" x14ac:dyDescent="0.35">
      <c r="B3225" s="46"/>
      <c r="C3225" s="46"/>
      <c r="D3225" s="46"/>
      <c r="E3225" s="46"/>
      <c r="F3225" s="46"/>
      <c r="G3225" s="79"/>
    </row>
    <row r="3226" spans="2:7" x14ac:dyDescent="0.35">
      <c r="B3226" s="46"/>
      <c r="C3226" s="46"/>
      <c r="D3226" s="46"/>
      <c r="E3226" s="46"/>
      <c r="F3226" s="46"/>
      <c r="G3226" s="79"/>
    </row>
    <row r="3227" spans="2:7" x14ac:dyDescent="0.35">
      <c r="B3227" s="46"/>
      <c r="C3227" s="46"/>
      <c r="D3227" s="46"/>
      <c r="E3227" s="46"/>
      <c r="F3227" s="46"/>
      <c r="G3227" s="79"/>
    </row>
    <row r="3228" spans="2:7" x14ac:dyDescent="0.35">
      <c r="B3228" s="46"/>
      <c r="C3228" s="46"/>
      <c r="D3228" s="46"/>
      <c r="E3228" s="46"/>
      <c r="F3228" s="46"/>
      <c r="G3228" s="79"/>
    </row>
    <row r="3229" spans="2:7" x14ac:dyDescent="0.35">
      <c r="B3229" s="46"/>
      <c r="C3229" s="46"/>
      <c r="D3229" s="46"/>
      <c r="E3229" s="46"/>
      <c r="F3229" s="46"/>
      <c r="G3229" s="79"/>
    </row>
    <row r="3230" spans="2:7" x14ac:dyDescent="0.35">
      <c r="B3230" s="46"/>
      <c r="C3230" s="46"/>
      <c r="D3230" s="46"/>
      <c r="E3230" s="46"/>
      <c r="F3230" s="46"/>
      <c r="G3230" s="79"/>
    </row>
    <row r="3231" spans="2:7" x14ac:dyDescent="0.35">
      <c r="B3231" s="46"/>
      <c r="C3231" s="46"/>
      <c r="D3231" s="46"/>
      <c r="E3231" s="46"/>
      <c r="F3231" s="46"/>
      <c r="G3231" s="79"/>
    </row>
    <row r="3232" spans="2:7" x14ac:dyDescent="0.35">
      <c r="B3232" s="46"/>
      <c r="C3232" s="46"/>
      <c r="D3232" s="46"/>
      <c r="E3232" s="46"/>
      <c r="F3232" s="46"/>
      <c r="G3232" s="79"/>
    </row>
    <row r="3233" spans="2:7" x14ac:dyDescent="0.35">
      <c r="B3233" s="46"/>
      <c r="C3233" s="46"/>
      <c r="D3233" s="46"/>
      <c r="E3233" s="46"/>
      <c r="F3233" s="46"/>
      <c r="G3233" s="79"/>
    </row>
    <row r="3234" spans="2:7" x14ac:dyDescent="0.35">
      <c r="B3234" s="46"/>
      <c r="C3234" s="46"/>
      <c r="D3234" s="46"/>
      <c r="E3234" s="46"/>
      <c r="F3234" s="46"/>
      <c r="G3234" s="79"/>
    </row>
    <row r="3235" spans="2:7" x14ac:dyDescent="0.35">
      <c r="B3235" s="46"/>
      <c r="C3235" s="46"/>
      <c r="D3235" s="46"/>
      <c r="E3235" s="46"/>
      <c r="F3235" s="46"/>
      <c r="G3235" s="79"/>
    </row>
    <row r="3236" spans="2:7" x14ac:dyDescent="0.35">
      <c r="B3236" s="46"/>
      <c r="C3236" s="46"/>
      <c r="D3236" s="46"/>
      <c r="E3236" s="46"/>
      <c r="F3236" s="46"/>
      <c r="G3236" s="79"/>
    </row>
    <row r="3237" spans="2:7" x14ac:dyDescent="0.35">
      <c r="B3237" s="46"/>
      <c r="C3237" s="46"/>
      <c r="D3237" s="46"/>
      <c r="E3237" s="46"/>
      <c r="F3237" s="46"/>
      <c r="G3237" s="79"/>
    </row>
    <row r="3238" spans="2:7" x14ac:dyDescent="0.35">
      <c r="B3238" s="46"/>
      <c r="C3238" s="46"/>
      <c r="D3238" s="46"/>
      <c r="E3238" s="46"/>
      <c r="F3238" s="46"/>
      <c r="G3238" s="79"/>
    </row>
    <row r="3239" spans="2:7" x14ac:dyDescent="0.35">
      <c r="B3239" s="46"/>
      <c r="C3239" s="46"/>
      <c r="D3239" s="46"/>
      <c r="E3239" s="46"/>
      <c r="F3239" s="46"/>
      <c r="G3239" s="79"/>
    </row>
    <row r="3240" spans="2:7" x14ac:dyDescent="0.35">
      <c r="B3240" s="46"/>
      <c r="C3240" s="46"/>
      <c r="D3240" s="46"/>
      <c r="E3240" s="46"/>
      <c r="F3240" s="46"/>
      <c r="G3240" s="79"/>
    </row>
    <row r="3241" spans="2:7" x14ac:dyDescent="0.35">
      <c r="B3241" s="46"/>
      <c r="C3241" s="46"/>
      <c r="D3241" s="46"/>
      <c r="E3241" s="46"/>
      <c r="F3241" s="46"/>
      <c r="G3241" s="79"/>
    </row>
    <row r="3242" spans="2:7" x14ac:dyDescent="0.35">
      <c r="B3242" s="46"/>
      <c r="C3242" s="46"/>
      <c r="D3242" s="46"/>
      <c r="E3242" s="46"/>
      <c r="F3242" s="46"/>
      <c r="G3242" s="79"/>
    </row>
    <row r="3243" spans="2:7" x14ac:dyDescent="0.35">
      <c r="B3243" s="46"/>
      <c r="C3243" s="46"/>
      <c r="D3243" s="46"/>
      <c r="E3243" s="46"/>
      <c r="F3243" s="46"/>
      <c r="G3243" s="79"/>
    </row>
    <row r="3244" spans="2:7" x14ac:dyDescent="0.35">
      <c r="B3244" s="46"/>
      <c r="C3244" s="46"/>
      <c r="D3244" s="46"/>
      <c r="E3244" s="46"/>
      <c r="F3244" s="46"/>
      <c r="G3244" s="79"/>
    </row>
    <row r="3245" spans="2:7" x14ac:dyDescent="0.35">
      <c r="B3245" s="46"/>
      <c r="C3245" s="46"/>
      <c r="D3245" s="46"/>
      <c r="E3245" s="46"/>
      <c r="F3245" s="46"/>
      <c r="G3245" s="79"/>
    </row>
    <row r="3246" spans="2:7" x14ac:dyDescent="0.35">
      <c r="B3246" s="46"/>
      <c r="C3246" s="46"/>
      <c r="D3246" s="46"/>
      <c r="E3246" s="46"/>
      <c r="F3246" s="46"/>
      <c r="G3246" s="79"/>
    </row>
    <row r="3247" spans="2:7" x14ac:dyDescent="0.35">
      <c r="B3247" s="46"/>
      <c r="C3247" s="46"/>
      <c r="D3247" s="46"/>
      <c r="E3247" s="46"/>
      <c r="F3247" s="46"/>
      <c r="G3247" s="79"/>
    </row>
    <row r="3248" spans="2:7" x14ac:dyDescent="0.35">
      <c r="B3248" s="46"/>
      <c r="C3248" s="46"/>
      <c r="D3248" s="46"/>
      <c r="E3248" s="46"/>
      <c r="F3248" s="46"/>
      <c r="G3248" s="79"/>
    </row>
    <row r="3249" spans="2:7" x14ac:dyDescent="0.35">
      <c r="B3249" s="46"/>
      <c r="C3249" s="46"/>
      <c r="D3249" s="46"/>
      <c r="E3249" s="46"/>
      <c r="F3249" s="46"/>
      <c r="G3249" s="79"/>
    </row>
    <row r="3250" spans="2:7" x14ac:dyDescent="0.35">
      <c r="B3250" s="46"/>
      <c r="C3250" s="46"/>
      <c r="D3250" s="46"/>
      <c r="E3250" s="46"/>
      <c r="F3250" s="46"/>
      <c r="G3250" s="79"/>
    </row>
    <row r="3251" spans="2:7" x14ac:dyDescent="0.35">
      <c r="B3251" s="46"/>
      <c r="C3251" s="46"/>
      <c r="D3251" s="46"/>
      <c r="E3251" s="46"/>
      <c r="F3251" s="46"/>
      <c r="G3251" s="79"/>
    </row>
    <row r="3252" spans="2:7" x14ac:dyDescent="0.35">
      <c r="B3252" s="46"/>
      <c r="C3252" s="46"/>
      <c r="D3252" s="46"/>
      <c r="E3252" s="46"/>
      <c r="F3252" s="46"/>
      <c r="G3252" s="79"/>
    </row>
    <row r="3253" spans="2:7" x14ac:dyDescent="0.35">
      <c r="B3253" s="46"/>
      <c r="C3253" s="46"/>
      <c r="D3253" s="46"/>
      <c r="E3253" s="46"/>
      <c r="F3253" s="46"/>
      <c r="G3253" s="79"/>
    </row>
    <row r="3254" spans="2:7" x14ac:dyDescent="0.35">
      <c r="B3254" s="46"/>
      <c r="C3254" s="46"/>
      <c r="D3254" s="46"/>
      <c r="E3254" s="46"/>
      <c r="F3254" s="46"/>
      <c r="G3254" s="79"/>
    </row>
    <row r="3255" spans="2:7" x14ac:dyDescent="0.35">
      <c r="B3255" s="46"/>
      <c r="C3255" s="46"/>
      <c r="D3255" s="46"/>
      <c r="E3255" s="46"/>
      <c r="F3255" s="46"/>
      <c r="G3255" s="79"/>
    </row>
    <row r="3256" spans="2:7" x14ac:dyDescent="0.35">
      <c r="B3256" s="46"/>
      <c r="C3256" s="46"/>
      <c r="D3256" s="46"/>
      <c r="E3256" s="46"/>
      <c r="F3256" s="46"/>
      <c r="G3256" s="79"/>
    </row>
    <row r="3257" spans="2:7" x14ac:dyDescent="0.35">
      <c r="B3257" s="46"/>
      <c r="C3257" s="46"/>
      <c r="D3257" s="46"/>
      <c r="E3257" s="46"/>
      <c r="F3257" s="46"/>
      <c r="G3257" s="79"/>
    </row>
    <row r="3258" spans="2:7" x14ac:dyDescent="0.35">
      <c r="B3258" s="46"/>
      <c r="C3258" s="46"/>
      <c r="D3258" s="46"/>
      <c r="E3258" s="46"/>
      <c r="F3258" s="46"/>
      <c r="G3258" s="79"/>
    </row>
    <row r="3259" spans="2:7" x14ac:dyDescent="0.35">
      <c r="B3259" s="46"/>
      <c r="C3259" s="46"/>
      <c r="D3259" s="46"/>
      <c r="E3259" s="46"/>
      <c r="F3259" s="46"/>
      <c r="G3259" s="79"/>
    </row>
    <row r="3260" spans="2:7" x14ac:dyDescent="0.35">
      <c r="B3260" s="46"/>
      <c r="C3260" s="46"/>
      <c r="D3260" s="46"/>
      <c r="E3260" s="46"/>
      <c r="F3260" s="46"/>
      <c r="G3260" s="79"/>
    </row>
    <row r="3261" spans="2:7" x14ac:dyDescent="0.35">
      <c r="B3261" s="46"/>
      <c r="C3261" s="46"/>
      <c r="D3261" s="46"/>
      <c r="E3261" s="46"/>
      <c r="F3261" s="46"/>
      <c r="G3261" s="79"/>
    </row>
    <row r="3262" spans="2:7" x14ac:dyDescent="0.35">
      <c r="B3262" s="46"/>
      <c r="C3262" s="46"/>
      <c r="D3262" s="46"/>
      <c r="E3262" s="46"/>
      <c r="F3262" s="46"/>
      <c r="G3262" s="79"/>
    </row>
    <row r="3263" spans="2:7" x14ac:dyDescent="0.35">
      <c r="B3263" s="46"/>
      <c r="C3263" s="46"/>
      <c r="D3263" s="46"/>
      <c r="E3263" s="46"/>
      <c r="F3263" s="46"/>
      <c r="G3263" s="79"/>
    </row>
    <row r="3264" spans="2:7" x14ac:dyDescent="0.35">
      <c r="B3264" s="46"/>
      <c r="C3264" s="46"/>
      <c r="D3264" s="46"/>
      <c r="E3264" s="46"/>
      <c r="F3264" s="46"/>
      <c r="G3264" s="79"/>
    </row>
    <row r="3265" spans="2:7" x14ac:dyDescent="0.35">
      <c r="B3265" s="46"/>
      <c r="C3265" s="46"/>
      <c r="D3265" s="46"/>
      <c r="E3265" s="46"/>
      <c r="F3265" s="46"/>
      <c r="G3265" s="79"/>
    </row>
    <row r="3266" spans="2:7" x14ac:dyDescent="0.35">
      <c r="B3266" s="46"/>
      <c r="C3266" s="46"/>
      <c r="D3266" s="46"/>
      <c r="E3266" s="46"/>
      <c r="F3266" s="46"/>
      <c r="G3266" s="79"/>
    </row>
    <row r="3267" spans="2:7" x14ac:dyDescent="0.35">
      <c r="B3267" s="46"/>
      <c r="C3267" s="46"/>
      <c r="D3267" s="46"/>
      <c r="E3267" s="46"/>
      <c r="F3267" s="46"/>
      <c r="G3267" s="79"/>
    </row>
    <row r="3268" spans="2:7" x14ac:dyDescent="0.35">
      <c r="B3268" s="46"/>
      <c r="C3268" s="46"/>
      <c r="D3268" s="46"/>
      <c r="E3268" s="46"/>
      <c r="F3268" s="46"/>
      <c r="G3268" s="79"/>
    </row>
    <row r="3269" spans="2:7" x14ac:dyDescent="0.35">
      <c r="B3269" s="46"/>
      <c r="C3269" s="46"/>
      <c r="D3269" s="46"/>
      <c r="E3269" s="46"/>
      <c r="F3269" s="46"/>
      <c r="G3269" s="79"/>
    </row>
    <row r="3270" spans="2:7" x14ac:dyDescent="0.35">
      <c r="B3270" s="46"/>
      <c r="C3270" s="46"/>
      <c r="D3270" s="46"/>
      <c r="E3270" s="46"/>
      <c r="F3270" s="46"/>
      <c r="G3270" s="79"/>
    </row>
    <row r="3271" spans="2:7" x14ac:dyDescent="0.35">
      <c r="B3271" s="46"/>
      <c r="C3271" s="46"/>
      <c r="D3271" s="46"/>
      <c r="E3271" s="46"/>
      <c r="F3271" s="46"/>
      <c r="G3271" s="79"/>
    </row>
    <row r="3272" spans="2:7" x14ac:dyDescent="0.35">
      <c r="B3272" s="46"/>
      <c r="C3272" s="46"/>
      <c r="D3272" s="46"/>
      <c r="E3272" s="46"/>
      <c r="F3272" s="46"/>
      <c r="G3272" s="79"/>
    </row>
    <row r="3273" spans="2:7" x14ac:dyDescent="0.35">
      <c r="B3273" s="46"/>
      <c r="C3273" s="46"/>
      <c r="D3273" s="46"/>
      <c r="E3273" s="46"/>
      <c r="F3273" s="46"/>
      <c r="G3273" s="79"/>
    </row>
    <row r="3274" spans="2:7" x14ac:dyDescent="0.35">
      <c r="B3274" s="46"/>
      <c r="C3274" s="46"/>
      <c r="D3274" s="46"/>
      <c r="E3274" s="46"/>
      <c r="F3274" s="46"/>
      <c r="G3274" s="79"/>
    </row>
    <row r="3275" spans="2:7" x14ac:dyDescent="0.35">
      <c r="B3275" s="46"/>
      <c r="C3275" s="46"/>
      <c r="D3275" s="46"/>
      <c r="E3275" s="46"/>
      <c r="F3275" s="46"/>
      <c r="G3275" s="79"/>
    </row>
    <row r="3276" spans="2:7" x14ac:dyDescent="0.35">
      <c r="B3276" s="46"/>
      <c r="C3276" s="46"/>
      <c r="D3276" s="46"/>
      <c r="E3276" s="46"/>
      <c r="F3276" s="46"/>
      <c r="G3276" s="79"/>
    </row>
    <row r="3277" spans="2:7" x14ac:dyDescent="0.35">
      <c r="B3277" s="46"/>
      <c r="C3277" s="46"/>
      <c r="D3277" s="46"/>
      <c r="E3277" s="46"/>
      <c r="F3277" s="46"/>
      <c r="G3277" s="79"/>
    </row>
    <row r="3278" spans="2:7" x14ac:dyDescent="0.35">
      <c r="B3278" s="46"/>
      <c r="C3278" s="46"/>
      <c r="D3278" s="46"/>
      <c r="E3278" s="46"/>
      <c r="F3278" s="46"/>
      <c r="G3278" s="79"/>
    </row>
    <row r="3279" spans="2:7" x14ac:dyDescent="0.35">
      <c r="B3279" s="46"/>
      <c r="C3279" s="46"/>
      <c r="D3279" s="46"/>
      <c r="E3279" s="46"/>
      <c r="F3279" s="46"/>
      <c r="G3279" s="79"/>
    </row>
    <row r="3280" spans="2:7" x14ac:dyDescent="0.35">
      <c r="B3280" s="46"/>
      <c r="C3280" s="46"/>
      <c r="D3280" s="46"/>
      <c r="E3280" s="46"/>
      <c r="F3280" s="46"/>
      <c r="G3280" s="79"/>
    </row>
    <row r="3281" spans="2:7" x14ac:dyDescent="0.35">
      <c r="B3281" s="46"/>
      <c r="C3281" s="46"/>
      <c r="D3281" s="46"/>
      <c r="E3281" s="46"/>
      <c r="F3281" s="46"/>
      <c r="G3281" s="79"/>
    </row>
    <row r="3282" spans="2:7" x14ac:dyDescent="0.35">
      <c r="B3282" s="46"/>
      <c r="C3282" s="46"/>
      <c r="D3282" s="46"/>
      <c r="E3282" s="46"/>
      <c r="F3282" s="46"/>
      <c r="G3282" s="79"/>
    </row>
    <row r="3283" spans="2:7" x14ac:dyDescent="0.35">
      <c r="B3283" s="46"/>
      <c r="C3283" s="46"/>
      <c r="D3283" s="46"/>
      <c r="E3283" s="46"/>
      <c r="F3283" s="46"/>
      <c r="G3283" s="79"/>
    </row>
    <row r="3284" spans="2:7" x14ac:dyDescent="0.35">
      <c r="B3284" s="46"/>
      <c r="C3284" s="46"/>
      <c r="D3284" s="46"/>
      <c r="E3284" s="46"/>
      <c r="F3284" s="46"/>
      <c r="G3284" s="79"/>
    </row>
    <row r="3285" spans="2:7" x14ac:dyDescent="0.35">
      <c r="B3285" s="46"/>
      <c r="C3285" s="46"/>
      <c r="D3285" s="46"/>
      <c r="E3285" s="46"/>
      <c r="F3285" s="46"/>
      <c r="G3285" s="79"/>
    </row>
    <row r="3286" spans="2:7" x14ac:dyDescent="0.35">
      <c r="B3286" s="46"/>
      <c r="C3286" s="46"/>
      <c r="D3286" s="46"/>
      <c r="E3286" s="46"/>
      <c r="F3286" s="46"/>
      <c r="G3286" s="79"/>
    </row>
    <row r="3287" spans="2:7" x14ac:dyDescent="0.35">
      <c r="B3287" s="46"/>
      <c r="C3287" s="46"/>
      <c r="D3287" s="46"/>
      <c r="E3287" s="46"/>
      <c r="F3287" s="46"/>
      <c r="G3287" s="79"/>
    </row>
    <row r="3288" spans="2:7" x14ac:dyDescent="0.35">
      <c r="B3288" s="46"/>
      <c r="C3288" s="46"/>
      <c r="D3288" s="46"/>
      <c r="E3288" s="46"/>
      <c r="F3288" s="46"/>
      <c r="G3288" s="79"/>
    </row>
    <row r="3289" spans="2:7" x14ac:dyDescent="0.35">
      <c r="B3289" s="46"/>
      <c r="C3289" s="46"/>
      <c r="D3289" s="46"/>
      <c r="E3289" s="46"/>
      <c r="F3289" s="46"/>
      <c r="G3289" s="79"/>
    </row>
    <row r="3290" spans="2:7" x14ac:dyDescent="0.35">
      <c r="B3290" s="46"/>
      <c r="C3290" s="46"/>
      <c r="D3290" s="46"/>
      <c r="E3290" s="46"/>
      <c r="F3290" s="46"/>
      <c r="G3290" s="79"/>
    </row>
    <row r="3291" spans="2:7" x14ac:dyDescent="0.35">
      <c r="B3291" s="46"/>
      <c r="C3291" s="46"/>
      <c r="D3291" s="46"/>
      <c r="E3291" s="46"/>
      <c r="F3291" s="46"/>
      <c r="G3291" s="79"/>
    </row>
    <row r="3292" spans="2:7" x14ac:dyDescent="0.35">
      <c r="B3292" s="46"/>
      <c r="C3292" s="46"/>
      <c r="D3292" s="46"/>
      <c r="E3292" s="46"/>
      <c r="F3292" s="46"/>
      <c r="G3292" s="79"/>
    </row>
    <row r="3293" spans="2:7" x14ac:dyDescent="0.35">
      <c r="B3293" s="46"/>
      <c r="C3293" s="46"/>
      <c r="D3293" s="46"/>
      <c r="E3293" s="46"/>
      <c r="F3293" s="46"/>
      <c r="G3293" s="79"/>
    </row>
    <row r="3294" spans="2:7" x14ac:dyDescent="0.35">
      <c r="B3294" s="46"/>
      <c r="C3294" s="46"/>
      <c r="D3294" s="46"/>
      <c r="E3294" s="46"/>
      <c r="F3294" s="46"/>
      <c r="G3294" s="79"/>
    </row>
    <row r="3295" spans="2:7" x14ac:dyDescent="0.35">
      <c r="B3295" s="46"/>
      <c r="C3295" s="46"/>
      <c r="D3295" s="46"/>
      <c r="E3295" s="46"/>
      <c r="F3295" s="46"/>
      <c r="G3295" s="79"/>
    </row>
    <row r="3296" spans="2:7" x14ac:dyDescent="0.35">
      <c r="B3296" s="46"/>
      <c r="C3296" s="46"/>
      <c r="D3296" s="46"/>
      <c r="E3296" s="46"/>
      <c r="F3296" s="46"/>
      <c r="G3296" s="79"/>
    </row>
    <row r="3297" spans="2:7" x14ac:dyDescent="0.35">
      <c r="B3297" s="46"/>
      <c r="C3297" s="46"/>
      <c r="D3297" s="46"/>
      <c r="E3297" s="46"/>
      <c r="F3297" s="46"/>
      <c r="G3297" s="79"/>
    </row>
    <row r="3298" spans="2:7" x14ac:dyDescent="0.35">
      <c r="B3298" s="46"/>
      <c r="C3298" s="46"/>
      <c r="D3298" s="46"/>
      <c r="E3298" s="46"/>
      <c r="F3298" s="46"/>
      <c r="G3298" s="79"/>
    </row>
    <row r="3299" spans="2:7" x14ac:dyDescent="0.35">
      <c r="B3299" s="46"/>
      <c r="C3299" s="46"/>
      <c r="D3299" s="46"/>
      <c r="E3299" s="46"/>
      <c r="F3299" s="46"/>
      <c r="G3299" s="79"/>
    </row>
    <row r="3300" spans="2:7" x14ac:dyDescent="0.35">
      <c r="B3300" s="46"/>
      <c r="C3300" s="46"/>
      <c r="D3300" s="46"/>
      <c r="E3300" s="46"/>
      <c r="F3300" s="46"/>
      <c r="G3300" s="79"/>
    </row>
    <row r="3301" spans="2:7" x14ac:dyDescent="0.35">
      <c r="B3301" s="46"/>
      <c r="C3301" s="46"/>
      <c r="D3301" s="46"/>
      <c r="E3301" s="46"/>
      <c r="F3301" s="46"/>
      <c r="G3301" s="79"/>
    </row>
    <row r="3302" spans="2:7" x14ac:dyDescent="0.35">
      <c r="B3302" s="46"/>
      <c r="C3302" s="46"/>
      <c r="D3302" s="46"/>
      <c r="E3302" s="46"/>
      <c r="F3302" s="46"/>
      <c r="G3302" s="79"/>
    </row>
    <row r="3303" spans="2:7" x14ac:dyDescent="0.35">
      <c r="B3303" s="46"/>
      <c r="C3303" s="46"/>
      <c r="D3303" s="46"/>
      <c r="E3303" s="46"/>
      <c r="F3303" s="46"/>
      <c r="G3303" s="79"/>
    </row>
    <row r="3304" spans="2:7" x14ac:dyDescent="0.35">
      <c r="B3304" s="46"/>
      <c r="C3304" s="46"/>
      <c r="D3304" s="46"/>
      <c r="E3304" s="46"/>
      <c r="F3304" s="46"/>
      <c r="G3304" s="79"/>
    </row>
    <row r="3305" spans="2:7" x14ac:dyDescent="0.35">
      <c r="B3305" s="46"/>
      <c r="C3305" s="46"/>
      <c r="D3305" s="46"/>
      <c r="E3305" s="46"/>
      <c r="F3305" s="46"/>
      <c r="G3305" s="79"/>
    </row>
    <row r="3306" spans="2:7" x14ac:dyDescent="0.35">
      <c r="B3306" s="46"/>
      <c r="C3306" s="46"/>
      <c r="D3306" s="46"/>
      <c r="E3306" s="46"/>
      <c r="F3306" s="46"/>
      <c r="G3306" s="79"/>
    </row>
    <row r="3307" spans="2:7" x14ac:dyDescent="0.35">
      <c r="B3307" s="46"/>
      <c r="C3307" s="46"/>
      <c r="D3307" s="46"/>
      <c r="E3307" s="46"/>
      <c r="F3307" s="46"/>
      <c r="G3307" s="79"/>
    </row>
    <row r="3308" spans="2:7" x14ac:dyDescent="0.35">
      <c r="B3308" s="46"/>
      <c r="C3308" s="46"/>
      <c r="D3308" s="46"/>
      <c r="E3308" s="46"/>
      <c r="F3308" s="46"/>
      <c r="G3308" s="79"/>
    </row>
    <row r="3309" spans="2:7" x14ac:dyDescent="0.35">
      <c r="B3309" s="46"/>
      <c r="C3309" s="46"/>
      <c r="D3309" s="46"/>
      <c r="E3309" s="46"/>
      <c r="F3309" s="46"/>
      <c r="G3309" s="79"/>
    </row>
    <row r="3310" spans="2:7" x14ac:dyDescent="0.35">
      <c r="B3310" s="46"/>
      <c r="C3310" s="46"/>
      <c r="D3310" s="46"/>
      <c r="E3310" s="46"/>
      <c r="F3310" s="46"/>
      <c r="G3310" s="79"/>
    </row>
    <row r="3311" spans="2:7" x14ac:dyDescent="0.35">
      <c r="B3311" s="46"/>
      <c r="C3311" s="46"/>
      <c r="D3311" s="46"/>
      <c r="E3311" s="46"/>
      <c r="F3311" s="46"/>
      <c r="G3311" s="79"/>
    </row>
    <row r="3312" spans="2:7" x14ac:dyDescent="0.35">
      <c r="B3312" s="46"/>
      <c r="C3312" s="46"/>
      <c r="D3312" s="46"/>
      <c r="E3312" s="46"/>
      <c r="F3312" s="46"/>
      <c r="G3312" s="79"/>
    </row>
    <row r="3313" spans="2:7" x14ac:dyDescent="0.35">
      <c r="B3313" s="46"/>
      <c r="C3313" s="46"/>
      <c r="D3313" s="46"/>
      <c r="E3313" s="46"/>
      <c r="F3313" s="46"/>
      <c r="G3313" s="79"/>
    </row>
    <row r="3314" spans="2:7" x14ac:dyDescent="0.35">
      <c r="B3314" s="46"/>
      <c r="C3314" s="46"/>
      <c r="D3314" s="46"/>
      <c r="E3314" s="46"/>
      <c r="F3314" s="46"/>
      <c r="G3314" s="79"/>
    </row>
    <row r="3315" spans="2:7" x14ac:dyDescent="0.35">
      <c r="B3315" s="46"/>
      <c r="C3315" s="46"/>
      <c r="D3315" s="46"/>
      <c r="E3315" s="46"/>
      <c r="F3315" s="46"/>
      <c r="G3315" s="79"/>
    </row>
    <row r="3316" spans="2:7" x14ac:dyDescent="0.35">
      <c r="B3316" s="46"/>
      <c r="C3316" s="46"/>
      <c r="D3316" s="46"/>
      <c r="E3316" s="46"/>
      <c r="F3316" s="46"/>
      <c r="G3316" s="79"/>
    </row>
    <row r="3317" spans="2:7" x14ac:dyDescent="0.35">
      <c r="B3317" s="46"/>
      <c r="C3317" s="46"/>
      <c r="D3317" s="46"/>
      <c r="E3317" s="46"/>
      <c r="F3317" s="46"/>
      <c r="G3317" s="79"/>
    </row>
    <row r="3318" spans="2:7" x14ac:dyDescent="0.35">
      <c r="B3318" s="46"/>
      <c r="C3318" s="46"/>
      <c r="D3318" s="46"/>
      <c r="E3318" s="46"/>
      <c r="F3318" s="46"/>
      <c r="G3318" s="79"/>
    </row>
    <row r="3319" spans="2:7" x14ac:dyDescent="0.35">
      <c r="B3319" s="46"/>
      <c r="C3319" s="46"/>
      <c r="D3319" s="46"/>
      <c r="E3319" s="46"/>
      <c r="F3319" s="46"/>
      <c r="G3319" s="79"/>
    </row>
    <row r="3320" spans="2:7" x14ac:dyDescent="0.35">
      <c r="B3320" s="46"/>
      <c r="C3320" s="46"/>
      <c r="D3320" s="46"/>
      <c r="E3320" s="46"/>
      <c r="F3320" s="46"/>
      <c r="G3320" s="79"/>
    </row>
    <row r="3321" spans="2:7" x14ac:dyDescent="0.35">
      <c r="B3321" s="46"/>
      <c r="C3321" s="46"/>
      <c r="D3321" s="46"/>
      <c r="E3321" s="46"/>
      <c r="F3321" s="46"/>
      <c r="G3321" s="79"/>
    </row>
    <row r="3322" spans="2:7" x14ac:dyDescent="0.35">
      <c r="B3322" s="46"/>
      <c r="C3322" s="46"/>
      <c r="D3322" s="46"/>
      <c r="E3322" s="46"/>
      <c r="F3322" s="46"/>
      <c r="G3322" s="79"/>
    </row>
    <row r="3323" spans="2:7" x14ac:dyDescent="0.35">
      <c r="B3323" s="46"/>
      <c r="C3323" s="46"/>
      <c r="D3323" s="46"/>
      <c r="E3323" s="46"/>
      <c r="F3323" s="46"/>
      <c r="G3323" s="79"/>
    </row>
    <row r="3324" spans="2:7" x14ac:dyDescent="0.35">
      <c r="B3324" s="46"/>
      <c r="C3324" s="46"/>
      <c r="D3324" s="46"/>
      <c r="E3324" s="46"/>
      <c r="F3324" s="46"/>
      <c r="G3324" s="79"/>
    </row>
    <row r="3325" spans="2:7" x14ac:dyDescent="0.35">
      <c r="B3325" s="46"/>
      <c r="C3325" s="46"/>
      <c r="D3325" s="46"/>
      <c r="E3325" s="46"/>
      <c r="F3325" s="46"/>
      <c r="G3325" s="79"/>
    </row>
    <row r="3326" spans="2:7" x14ac:dyDescent="0.35">
      <c r="B3326" s="46"/>
      <c r="C3326" s="46"/>
      <c r="D3326" s="46"/>
      <c r="E3326" s="46"/>
      <c r="F3326" s="46"/>
      <c r="G3326" s="79"/>
    </row>
    <row r="3327" spans="2:7" x14ac:dyDescent="0.35">
      <c r="B3327" s="46"/>
      <c r="C3327" s="46"/>
      <c r="D3327" s="46"/>
      <c r="E3327" s="46"/>
      <c r="F3327" s="46"/>
      <c r="G3327" s="79"/>
    </row>
    <row r="3328" spans="2:7" x14ac:dyDescent="0.35">
      <c r="B3328" s="46"/>
      <c r="C3328" s="46"/>
      <c r="D3328" s="46"/>
      <c r="E3328" s="46"/>
      <c r="F3328" s="46"/>
      <c r="G3328" s="79"/>
    </row>
    <row r="3329" spans="2:7" x14ac:dyDescent="0.35">
      <c r="B3329" s="46"/>
      <c r="C3329" s="46"/>
      <c r="D3329" s="46"/>
      <c r="E3329" s="46"/>
      <c r="F3329" s="46"/>
      <c r="G3329" s="79"/>
    </row>
    <row r="3330" spans="2:7" x14ac:dyDescent="0.35">
      <c r="B3330" s="46"/>
      <c r="C3330" s="46"/>
      <c r="D3330" s="46"/>
      <c r="E3330" s="46"/>
      <c r="F3330" s="46"/>
      <c r="G3330" s="79"/>
    </row>
    <row r="3331" spans="2:7" x14ac:dyDescent="0.35">
      <c r="B3331" s="46"/>
      <c r="C3331" s="46"/>
      <c r="D3331" s="46"/>
      <c r="E3331" s="46"/>
      <c r="F3331" s="46"/>
      <c r="G3331" s="79"/>
    </row>
    <row r="3332" spans="2:7" x14ac:dyDescent="0.35">
      <c r="B3332" s="46"/>
      <c r="C3332" s="46"/>
      <c r="D3332" s="46"/>
      <c r="E3332" s="46"/>
      <c r="F3332" s="46"/>
      <c r="G3332" s="79"/>
    </row>
    <row r="3333" spans="2:7" x14ac:dyDescent="0.35">
      <c r="B3333" s="46"/>
      <c r="C3333" s="46"/>
      <c r="D3333" s="46"/>
      <c r="E3333" s="46"/>
      <c r="F3333" s="46"/>
      <c r="G3333" s="79"/>
    </row>
    <row r="3334" spans="2:7" x14ac:dyDescent="0.35">
      <c r="B3334" s="46"/>
      <c r="C3334" s="46"/>
      <c r="D3334" s="46"/>
      <c r="E3334" s="46"/>
      <c r="F3334" s="46"/>
      <c r="G3334" s="79"/>
    </row>
    <row r="3335" spans="2:7" x14ac:dyDescent="0.35">
      <c r="B3335" s="46"/>
      <c r="C3335" s="46"/>
      <c r="D3335" s="46"/>
      <c r="E3335" s="46"/>
      <c r="F3335" s="46"/>
      <c r="G3335" s="79"/>
    </row>
    <row r="3336" spans="2:7" x14ac:dyDescent="0.35">
      <c r="B3336" s="46"/>
      <c r="C3336" s="46"/>
      <c r="D3336" s="46"/>
      <c r="E3336" s="46"/>
      <c r="F3336" s="46"/>
      <c r="G3336" s="79"/>
    </row>
    <row r="3337" spans="2:7" x14ac:dyDescent="0.35">
      <c r="B3337" s="46"/>
      <c r="C3337" s="46"/>
      <c r="D3337" s="46"/>
      <c r="E3337" s="46"/>
      <c r="F3337" s="46"/>
      <c r="G3337" s="79"/>
    </row>
    <row r="3338" spans="2:7" x14ac:dyDescent="0.35">
      <c r="B3338" s="46"/>
      <c r="C3338" s="46"/>
      <c r="D3338" s="46"/>
      <c r="E3338" s="46"/>
      <c r="F3338" s="46"/>
      <c r="G3338" s="79"/>
    </row>
    <row r="3339" spans="2:7" x14ac:dyDescent="0.35">
      <c r="B3339" s="46"/>
      <c r="C3339" s="46"/>
      <c r="D3339" s="46"/>
      <c r="E3339" s="46"/>
      <c r="F3339" s="46"/>
      <c r="G3339" s="79"/>
    </row>
    <row r="3340" spans="2:7" x14ac:dyDescent="0.35">
      <c r="B3340" s="46"/>
      <c r="C3340" s="46"/>
      <c r="D3340" s="46"/>
      <c r="E3340" s="46"/>
      <c r="F3340" s="46"/>
      <c r="G3340" s="79"/>
    </row>
    <row r="3341" spans="2:7" x14ac:dyDescent="0.35">
      <c r="B3341" s="46"/>
      <c r="C3341" s="46"/>
      <c r="D3341" s="46"/>
      <c r="E3341" s="46"/>
      <c r="F3341" s="46"/>
      <c r="G3341" s="79"/>
    </row>
    <row r="3342" spans="2:7" x14ac:dyDescent="0.35">
      <c r="B3342" s="46"/>
      <c r="C3342" s="46"/>
      <c r="D3342" s="46"/>
      <c r="E3342" s="46"/>
      <c r="F3342" s="46"/>
      <c r="G3342" s="79"/>
    </row>
    <row r="3343" spans="2:7" x14ac:dyDescent="0.35">
      <c r="B3343" s="46"/>
      <c r="C3343" s="46"/>
      <c r="D3343" s="46"/>
      <c r="E3343" s="46"/>
      <c r="F3343" s="46"/>
      <c r="G3343" s="79"/>
    </row>
    <row r="3344" spans="2:7" x14ac:dyDescent="0.35">
      <c r="B3344" s="46"/>
      <c r="C3344" s="46"/>
      <c r="D3344" s="46"/>
      <c r="E3344" s="46"/>
      <c r="F3344" s="46"/>
      <c r="G3344" s="79"/>
    </row>
    <row r="3345" spans="2:7" x14ac:dyDescent="0.35">
      <c r="B3345" s="46"/>
      <c r="C3345" s="46"/>
      <c r="D3345" s="46"/>
      <c r="E3345" s="46"/>
      <c r="F3345" s="46"/>
      <c r="G3345" s="79"/>
    </row>
    <row r="3346" spans="2:7" x14ac:dyDescent="0.35">
      <c r="B3346" s="46"/>
      <c r="C3346" s="46"/>
      <c r="D3346" s="46"/>
      <c r="E3346" s="46"/>
      <c r="F3346" s="46"/>
      <c r="G3346" s="79"/>
    </row>
    <row r="3347" spans="2:7" x14ac:dyDescent="0.35">
      <c r="B3347" s="46"/>
      <c r="C3347" s="46"/>
      <c r="D3347" s="46"/>
      <c r="E3347" s="46"/>
      <c r="F3347" s="46"/>
      <c r="G3347" s="79"/>
    </row>
    <row r="3348" spans="2:7" x14ac:dyDescent="0.35">
      <c r="B3348" s="46"/>
      <c r="C3348" s="46"/>
      <c r="D3348" s="46"/>
      <c r="E3348" s="46"/>
      <c r="F3348" s="46"/>
      <c r="G3348" s="79"/>
    </row>
    <row r="3349" spans="2:7" x14ac:dyDescent="0.35">
      <c r="B3349" s="46"/>
      <c r="C3349" s="46"/>
      <c r="D3349" s="46"/>
      <c r="E3349" s="46"/>
      <c r="F3349" s="46"/>
      <c r="G3349" s="79"/>
    </row>
    <row r="3350" spans="2:7" x14ac:dyDescent="0.35">
      <c r="B3350" s="46"/>
      <c r="C3350" s="46"/>
      <c r="D3350" s="46"/>
      <c r="E3350" s="46"/>
      <c r="F3350" s="46"/>
      <c r="G3350" s="79"/>
    </row>
    <row r="3351" spans="2:7" x14ac:dyDescent="0.35">
      <c r="B3351" s="46"/>
      <c r="C3351" s="46"/>
      <c r="D3351" s="46"/>
      <c r="E3351" s="46"/>
      <c r="F3351" s="46"/>
      <c r="G3351" s="79"/>
    </row>
    <row r="3352" spans="2:7" x14ac:dyDescent="0.35">
      <c r="B3352" s="46"/>
      <c r="C3352" s="46"/>
      <c r="D3352" s="46"/>
      <c r="E3352" s="46"/>
      <c r="F3352" s="46"/>
      <c r="G3352" s="79"/>
    </row>
    <row r="3353" spans="2:7" x14ac:dyDescent="0.35">
      <c r="B3353" s="46"/>
      <c r="C3353" s="46"/>
      <c r="D3353" s="46"/>
      <c r="E3353" s="46"/>
      <c r="F3353" s="46"/>
      <c r="G3353" s="79"/>
    </row>
    <row r="3354" spans="2:7" x14ac:dyDescent="0.35">
      <c r="B3354" s="46"/>
      <c r="C3354" s="46"/>
      <c r="D3354" s="46"/>
      <c r="E3354" s="46"/>
      <c r="F3354" s="46"/>
      <c r="G3354" s="79"/>
    </row>
    <row r="3355" spans="2:7" x14ac:dyDescent="0.35">
      <c r="B3355" s="46"/>
      <c r="C3355" s="46"/>
      <c r="D3355" s="46"/>
      <c r="E3355" s="46"/>
      <c r="F3355" s="46"/>
      <c r="G3355" s="79"/>
    </row>
    <row r="3356" spans="2:7" x14ac:dyDescent="0.35">
      <c r="B3356" s="46"/>
      <c r="C3356" s="46"/>
      <c r="D3356" s="46"/>
      <c r="E3356" s="46"/>
      <c r="F3356" s="46"/>
      <c r="G3356" s="79"/>
    </row>
    <row r="3357" spans="2:7" x14ac:dyDescent="0.35">
      <c r="B3357" s="46"/>
      <c r="C3357" s="46"/>
      <c r="D3357" s="46"/>
      <c r="E3357" s="46"/>
      <c r="F3357" s="46"/>
      <c r="G3357" s="79"/>
    </row>
    <row r="3358" spans="2:7" x14ac:dyDescent="0.35">
      <c r="B3358" s="46"/>
      <c r="C3358" s="46"/>
      <c r="D3358" s="46"/>
      <c r="E3358" s="46"/>
      <c r="F3358" s="46"/>
      <c r="G3358" s="79"/>
    </row>
    <row r="3359" spans="2:7" x14ac:dyDescent="0.35">
      <c r="B3359" s="46"/>
      <c r="C3359" s="46"/>
      <c r="D3359" s="46"/>
      <c r="E3359" s="46"/>
      <c r="F3359" s="46"/>
      <c r="G3359" s="79"/>
    </row>
    <row r="3360" spans="2:7" x14ac:dyDescent="0.35">
      <c r="B3360" s="46"/>
      <c r="C3360" s="46"/>
      <c r="D3360" s="46"/>
      <c r="E3360" s="46"/>
      <c r="F3360" s="46"/>
      <c r="G3360" s="79"/>
    </row>
    <row r="3361" spans="2:7" x14ac:dyDescent="0.35">
      <c r="B3361" s="46"/>
      <c r="C3361" s="46"/>
      <c r="D3361" s="46"/>
      <c r="E3361" s="46"/>
      <c r="F3361" s="46"/>
      <c r="G3361" s="79"/>
    </row>
    <row r="3362" spans="2:7" x14ac:dyDescent="0.35">
      <c r="B3362" s="46"/>
      <c r="C3362" s="46"/>
      <c r="D3362" s="46"/>
      <c r="E3362" s="46"/>
      <c r="F3362" s="46"/>
      <c r="G3362" s="79"/>
    </row>
    <row r="3363" spans="2:7" x14ac:dyDescent="0.35">
      <c r="B3363" s="46"/>
      <c r="C3363" s="46"/>
      <c r="D3363" s="46"/>
      <c r="E3363" s="46"/>
      <c r="F3363" s="46"/>
      <c r="G3363" s="79"/>
    </row>
    <row r="3364" spans="2:7" x14ac:dyDescent="0.35">
      <c r="B3364" s="46"/>
      <c r="C3364" s="46"/>
      <c r="D3364" s="46"/>
      <c r="E3364" s="46"/>
      <c r="F3364" s="46"/>
      <c r="G3364" s="79"/>
    </row>
    <row r="3365" spans="2:7" x14ac:dyDescent="0.35">
      <c r="B3365" s="46"/>
      <c r="C3365" s="46"/>
      <c r="D3365" s="46"/>
      <c r="E3365" s="46"/>
      <c r="F3365" s="46"/>
      <c r="G3365" s="79"/>
    </row>
    <row r="3366" spans="2:7" x14ac:dyDescent="0.35">
      <c r="B3366" s="46"/>
      <c r="C3366" s="46"/>
      <c r="D3366" s="46"/>
      <c r="E3366" s="46"/>
      <c r="F3366" s="46"/>
      <c r="G3366" s="79"/>
    </row>
    <row r="3367" spans="2:7" x14ac:dyDescent="0.35">
      <c r="B3367" s="46"/>
      <c r="C3367" s="46"/>
      <c r="D3367" s="46"/>
      <c r="E3367" s="46"/>
      <c r="F3367" s="46"/>
      <c r="G3367" s="79"/>
    </row>
    <row r="3368" spans="2:7" x14ac:dyDescent="0.35">
      <c r="B3368" s="46"/>
      <c r="C3368" s="46"/>
      <c r="D3368" s="46"/>
      <c r="E3368" s="46"/>
      <c r="F3368" s="46"/>
      <c r="G3368" s="79"/>
    </row>
    <row r="3369" spans="2:7" x14ac:dyDescent="0.35">
      <c r="B3369" s="46"/>
      <c r="C3369" s="46"/>
      <c r="D3369" s="46"/>
      <c r="E3369" s="46"/>
      <c r="F3369" s="46"/>
      <c r="G3369" s="79"/>
    </row>
    <row r="3370" spans="2:7" x14ac:dyDescent="0.35">
      <c r="B3370" s="46"/>
      <c r="C3370" s="46"/>
      <c r="D3370" s="46"/>
      <c r="E3370" s="46"/>
      <c r="F3370" s="46"/>
      <c r="G3370" s="79"/>
    </row>
    <row r="3371" spans="2:7" x14ac:dyDescent="0.35">
      <c r="B3371" s="46"/>
      <c r="C3371" s="46"/>
      <c r="D3371" s="46"/>
      <c r="E3371" s="46"/>
      <c r="F3371" s="46"/>
      <c r="G3371" s="79"/>
    </row>
    <row r="3372" spans="2:7" x14ac:dyDescent="0.35">
      <c r="B3372" s="46"/>
      <c r="C3372" s="46"/>
      <c r="D3372" s="46"/>
      <c r="E3372" s="46"/>
      <c r="F3372" s="46"/>
      <c r="G3372" s="79"/>
    </row>
    <row r="3373" spans="2:7" x14ac:dyDescent="0.35">
      <c r="B3373" s="46"/>
      <c r="C3373" s="46"/>
      <c r="D3373" s="46"/>
      <c r="E3373" s="46"/>
      <c r="F3373" s="46"/>
      <c r="G3373" s="79"/>
    </row>
    <row r="3374" spans="2:7" x14ac:dyDescent="0.35">
      <c r="B3374" s="46"/>
      <c r="C3374" s="46"/>
      <c r="D3374" s="46"/>
      <c r="E3374" s="46"/>
      <c r="F3374" s="46"/>
      <c r="G3374" s="79"/>
    </row>
    <row r="3375" spans="2:7" x14ac:dyDescent="0.35">
      <c r="B3375" s="46"/>
      <c r="C3375" s="46"/>
      <c r="D3375" s="46"/>
      <c r="E3375" s="46"/>
      <c r="F3375" s="46"/>
      <c r="G3375" s="79"/>
    </row>
    <row r="3376" spans="2:7" x14ac:dyDescent="0.35">
      <c r="B3376" s="46"/>
      <c r="C3376" s="46"/>
      <c r="D3376" s="46"/>
      <c r="E3376" s="46"/>
      <c r="F3376" s="46"/>
      <c r="G3376" s="79"/>
    </row>
    <row r="3377" spans="2:7" x14ac:dyDescent="0.35">
      <c r="B3377" s="46"/>
      <c r="C3377" s="46"/>
      <c r="D3377" s="46"/>
      <c r="E3377" s="46"/>
      <c r="F3377" s="46"/>
      <c r="G3377" s="79"/>
    </row>
    <row r="3378" spans="2:7" x14ac:dyDescent="0.35">
      <c r="B3378" s="46"/>
      <c r="C3378" s="46"/>
      <c r="D3378" s="46"/>
      <c r="E3378" s="46"/>
      <c r="F3378" s="46"/>
      <c r="G3378" s="79"/>
    </row>
    <row r="3379" spans="2:7" x14ac:dyDescent="0.35">
      <c r="B3379" s="46"/>
      <c r="C3379" s="46"/>
      <c r="D3379" s="46"/>
      <c r="E3379" s="46"/>
      <c r="F3379" s="46"/>
      <c r="G3379" s="79"/>
    </row>
    <row r="3380" spans="2:7" x14ac:dyDescent="0.35">
      <c r="B3380" s="46"/>
      <c r="C3380" s="46"/>
      <c r="D3380" s="46"/>
      <c r="E3380" s="46"/>
      <c r="F3380" s="46"/>
      <c r="G3380" s="79"/>
    </row>
    <row r="3381" spans="2:7" x14ac:dyDescent="0.35">
      <c r="B3381" s="46"/>
      <c r="C3381" s="46"/>
      <c r="D3381" s="46"/>
      <c r="E3381" s="46"/>
      <c r="F3381" s="46"/>
      <c r="G3381" s="79"/>
    </row>
    <row r="3382" spans="2:7" x14ac:dyDescent="0.35">
      <c r="B3382" s="46"/>
      <c r="C3382" s="46"/>
      <c r="D3382" s="46"/>
      <c r="E3382" s="46"/>
      <c r="F3382" s="46"/>
      <c r="G3382" s="79"/>
    </row>
    <row r="3383" spans="2:7" x14ac:dyDescent="0.35">
      <c r="B3383" s="46"/>
      <c r="C3383" s="46"/>
      <c r="D3383" s="46"/>
      <c r="E3383" s="46"/>
      <c r="F3383" s="46"/>
      <c r="G3383" s="79"/>
    </row>
    <row r="3384" spans="2:7" x14ac:dyDescent="0.35">
      <c r="B3384" s="46"/>
      <c r="C3384" s="46"/>
      <c r="D3384" s="46"/>
      <c r="E3384" s="46"/>
      <c r="F3384" s="46"/>
      <c r="G3384" s="79"/>
    </row>
    <row r="3385" spans="2:7" x14ac:dyDescent="0.35">
      <c r="B3385" s="46"/>
      <c r="C3385" s="46"/>
      <c r="D3385" s="46"/>
      <c r="E3385" s="46"/>
      <c r="F3385" s="46"/>
      <c r="G3385" s="79"/>
    </row>
    <row r="3386" spans="2:7" x14ac:dyDescent="0.35">
      <c r="B3386" s="46"/>
      <c r="C3386" s="46"/>
      <c r="D3386" s="46"/>
      <c r="E3386" s="46"/>
      <c r="F3386" s="46"/>
      <c r="G3386" s="79"/>
    </row>
    <row r="3387" spans="2:7" x14ac:dyDescent="0.35">
      <c r="B3387" s="46"/>
      <c r="C3387" s="46"/>
      <c r="D3387" s="46"/>
      <c r="E3387" s="46"/>
      <c r="F3387" s="46"/>
      <c r="G3387" s="79"/>
    </row>
    <row r="3388" spans="2:7" x14ac:dyDescent="0.35">
      <c r="B3388" s="46"/>
      <c r="C3388" s="46"/>
      <c r="D3388" s="46"/>
      <c r="E3388" s="46"/>
      <c r="F3388" s="46"/>
      <c r="G3388" s="79"/>
    </row>
    <row r="3389" spans="2:7" x14ac:dyDescent="0.35">
      <c r="B3389" s="46"/>
      <c r="C3389" s="46"/>
      <c r="D3389" s="46"/>
      <c r="E3389" s="46"/>
      <c r="F3389" s="46"/>
      <c r="G3389" s="79"/>
    </row>
    <row r="3390" spans="2:7" x14ac:dyDescent="0.35">
      <c r="B3390" s="46"/>
      <c r="C3390" s="46"/>
      <c r="D3390" s="46"/>
      <c r="E3390" s="46"/>
      <c r="F3390" s="46"/>
      <c r="G3390" s="79"/>
    </row>
    <row r="3391" spans="2:7" x14ac:dyDescent="0.35">
      <c r="B3391" s="46"/>
      <c r="C3391" s="46"/>
      <c r="D3391" s="46"/>
      <c r="E3391" s="46"/>
      <c r="F3391" s="46"/>
      <c r="G3391" s="79"/>
    </row>
    <row r="3392" spans="2:7" x14ac:dyDescent="0.35">
      <c r="B3392" s="46"/>
      <c r="C3392" s="46"/>
      <c r="D3392" s="46"/>
      <c r="E3392" s="46"/>
      <c r="F3392" s="46"/>
      <c r="G3392" s="79"/>
    </row>
    <row r="3393" spans="2:7" x14ac:dyDescent="0.35">
      <c r="B3393" s="46"/>
      <c r="C3393" s="46"/>
      <c r="D3393" s="46"/>
      <c r="E3393" s="46"/>
      <c r="F3393" s="46"/>
      <c r="G3393" s="79"/>
    </row>
    <row r="3394" spans="2:7" x14ac:dyDescent="0.35">
      <c r="B3394" s="46"/>
      <c r="C3394" s="46"/>
      <c r="D3394" s="46"/>
      <c r="E3394" s="46"/>
      <c r="F3394" s="46"/>
      <c r="G3394" s="79"/>
    </row>
    <row r="3395" spans="2:7" x14ac:dyDescent="0.35">
      <c r="B3395" s="46"/>
      <c r="C3395" s="46"/>
      <c r="D3395" s="46"/>
      <c r="E3395" s="46"/>
      <c r="F3395" s="46"/>
      <c r="G3395" s="79"/>
    </row>
    <row r="3396" spans="2:7" x14ac:dyDescent="0.35">
      <c r="B3396" s="46"/>
      <c r="C3396" s="46"/>
      <c r="D3396" s="46"/>
      <c r="E3396" s="46"/>
      <c r="F3396" s="46"/>
      <c r="G3396" s="79"/>
    </row>
    <row r="3397" spans="2:7" x14ac:dyDescent="0.35">
      <c r="B3397" s="46"/>
      <c r="C3397" s="46"/>
      <c r="D3397" s="46"/>
      <c r="E3397" s="46"/>
      <c r="F3397" s="46"/>
      <c r="G3397" s="79"/>
    </row>
    <row r="3398" spans="2:7" x14ac:dyDescent="0.35">
      <c r="B3398" s="46"/>
      <c r="C3398" s="46"/>
      <c r="D3398" s="46"/>
      <c r="E3398" s="46"/>
      <c r="F3398" s="46"/>
      <c r="G3398" s="79"/>
    </row>
    <row r="3399" spans="2:7" x14ac:dyDescent="0.35">
      <c r="B3399" s="46"/>
      <c r="C3399" s="46"/>
      <c r="D3399" s="46"/>
      <c r="E3399" s="46"/>
      <c r="F3399" s="46"/>
      <c r="G3399" s="79"/>
    </row>
    <row r="3400" spans="2:7" x14ac:dyDescent="0.35">
      <c r="B3400" s="46"/>
      <c r="C3400" s="46"/>
      <c r="D3400" s="46"/>
      <c r="E3400" s="46"/>
      <c r="F3400" s="46"/>
      <c r="G3400" s="79"/>
    </row>
    <row r="3401" spans="2:7" x14ac:dyDescent="0.35">
      <c r="B3401" s="46"/>
      <c r="C3401" s="46"/>
      <c r="D3401" s="46"/>
      <c r="E3401" s="46"/>
      <c r="F3401" s="46"/>
      <c r="G3401" s="79"/>
    </row>
    <row r="3402" spans="2:7" x14ac:dyDescent="0.35">
      <c r="B3402" s="46"/>
      <c r="C3402" s="46"/>
      <c r="D3402" s="46"/>
      <c r="E3402" s="46"/>
      <c r="F3402" s="46"/>
      <c r="G3402" s="79"/>
    </row>
    <row r="3403" spans="2:7" x14ac:dyDescent="0.35">
      <c r="B3403" s="46"/>
      <c r="C3403" s="46"/>
      <c r="D3403" s="46"/>
      <c r="E3403" s="46"/>
      <c r="F3403" s="46"/>
      <c r="G3403" s="79"/>
    </row>
    <row r="3404" spans="2:7" x14ac:dyDescent="0.35">
      <c r="B3404" s="46"/>
      <c r="C3404" s="46"/>
      <c r="D3404" s="46"/>
      <c r="E3404" s="46"/>
      <c r="F3404" s="46"/>
      <c r="G3404" s="79"/>
    </row>
    <row r="3405" spans="2:7" x14ac:dyDescent="0.35">
      <c r="B3405" s="46"/>
      <c r="C3405" s="46"/>
      <c r="D3405" s="46"/>
      <c r="E3405" s="46"/>
      <c r="F3405" s="46"/>
      <c r="G3405" s="79"/>
    </row>
    <row r="3406" spans="2:7" x14ac:dyDescent="0.35">
      <c r="B3406" s="46"/>
      <c r="C3406" s="46"/>
      <c r="D3406" s="46"/>
      <c r="E3406" s="46"/>
      <c r="F3406" s="46"/>
      <c r="G3406" s="79"/>
    </row>
    <row r="3407" spans="2:7" x14ac:dyDescent="0.35">
      <c r="B3407" s="46"/>
      <c r="C3407" s="46"/>
      <c r="D3407" s="46"/>
      <c r="E3407" s="46"/>
      <c r="F3407" s="46"/>
      <c r="G3407" s="79"/>
    </row>
    <row r="3408" spans="2:7" x14ac:dyDescent="0.35">
      <c r="B3408" s="46"/>
      <c r="C3408" s="46"/>
      <c r="D3408" s="46"/>
      <c r="E3408" s="46"/>
      <c r="F3408" s="46"/>
      <c r="G3408" s="79"/>
    </row>
    <row r="3409" spans="2:7" x14ac:dyDescent="0.35">
      <c r="B3409" s="46"/>
      <c r="C3409" s="46"/>
      <c r="D3409" s="46"/>
      <c r="E3409" s="46"/>
      <c r="F3409" s="46"/>
      <c r="G3409" s="79"/>
    </row>
    <row r="3410" spans="2:7" x14ac:dyDescent="0.35">
      <c r="B3410" s="46"/>
      <c r="C3410" s="46"/>
      <c r="D3410" s="46"/>
      <c r="E3410" s="46"/>
      <c r="F3410" s="46"/>
      <c r="G3410" s="79"/>
    </row>
    <row r="3411" spans="2:7" x14ac:dyDescent="0.35">
      <c r="B3411" s="46"/>
      <c r="C3411" s="46"/>
      <c r="D3411" s="46"/>
      <c r="E3411" s="46"/>
      <c r="F3411" s="46"/>
      <c r="G3411" s="79"/>
    </row>
    <row r="3412" spans="2:7" x14ac:dyDescent="0.35">
      <c r="B3412" s="46"/>
      <c r="C3412" s="46"/>
      <c r="D3412" s="46"/>
      <c r="E3412" s="46"/>
      <c r="F3412" s="46"/>
      <c r="G3412" s="79"/>
    </row>
    <row r="3413" spans="2:7" x14ac:dyDescent="0.35">
      <c r="B3413" s="46"/>
      <c r="C3413" s="46"/>
      <c r="D3413" s="46"/>
      <c r="E3413" s="46"/>
      <c r="F3413" s="46"/>
      <c r="G3413" s="79"/>
    </row>
    <row r="3414" spans="2:7" x14ac:dyDescent="0.35">
      <c r="B3414" s="46"/>
      <c r="C3414" s="46"/>
      <c r="D3414" s="46"/>
      <c r="E3414" s="46"/>
      <c r="F3414" s="46"/>
      <c r="G3414" s="79"/>
    </row>
    <row r="3415" spans="2:7" x14ac:dyDescent="0.35">
      <c r="B3415" s="46"/>
      <c r="C3415" s="46"/>
      <c r="D3415" s="46"/>
      <c r="E3415" s="46"/>
      <c r="F3415" s="46"/>
      <c r="G3415" s="79"/>
    </row>
    <row r="3416" spans="2:7" x14ac:dyDescent="0.35">
      <c r="B3416" s="46"/>
      <c r="C3416" s="46"/>
      <c r="D3416" s="46"/>
      <c r="E3416" s="46"/>
      <c r="F3416" s="46"/>
      <c r="G3416" s="79"/>
    </row>
    <row r="3417" spans="2:7" x14ac:dyDescent="0.35">
      <c r="B3417" s="46"/>
      <c r="C3417" s="46"/>
      <c r="D3417" s="46"/>
      <c r="E3417" s="46"/>
      <c r="F3417" s="46"/>
      <c r="G3417" s="79"/>
    </row>
    <row r="3418" spans="2:7" x14ac:dyDescent="0.35">
      <c r="B3418" s="46"/>
      <c r="C3418" s="46"/>
      <c r="D3418" s="46"/>
      <c r="E3418" s="46"/>
      <c r="F3418" s="46"/>
      <c r="G3418" s="79"/>
    </row>
    <row r="3419" spans="2:7" x14ac:dyDescent="0.35">
      <c r="B3419" s="46"/>
      <c r="C3419" s="46"/>
      <c r="D3419" s="46"/>
      <c r="E3419" s="46"/>
      <c r="F3419" s="46"/>
      <c r="G3419" s="79"/>
    </row>
    <row r="3420" spans="2:7" x14ac:dyDescent="0.35">
      <c r="B3420" s="46"/>
      <c r="C3420" s="46"/>
      <c r="D3420" s="46"/>
      <c r="E3420" s="46"/>
      <c r="F3420" s="46"/>
      <c r="G3420" s="79"/>
    </row>
    <row r="3421" spans="2:7" x14ac:dyDescent="0.35">
      <c r="B3421" s="46"/>
      <c r="C3421" s="46"/>
      <c r="D3421" s="46"/>
      <c r="E3421" s="46"/>
      <c r="F3421" s="46"/>
      <c r="G3421" s="79"/>
    </row>
    <row r="3422" spans="2:7" x14ac:dyDescent="0.35">
      <c r="B3422" s="46"/>
      <c r="C3422" s="46"/>
      <c r="D3422" s="46"/>
      <c r="E3422" s="46"/>
      <c r="F3422" s="46"/>
      <c r="G3422" s="79"/>
    </row>
    <row r="3423" spans="2:7" x14ac:dyDescent="0.35">
      <c r="B3423" s="46"/>
      <c r="C3423" s="46"/>
      <c r="D3423" s="46"/>
      <c r="E3423" s="46"/>
      <c r="F3423" s="46"/>
      <c r="G3423" s="79"/>
    </row>
    <row r="3424" spans="2:7" x14ac:dyDescent="0.35">
      <c r="B3424" s="46"/>
      <c r="C3424" s="46"/>
      <c r="D3424" s="46"/>
      <c r="E3424" s="46"/>
      <c r="F3424" s="46"/>
      <c r="G3424" s="79"/>
    </row>
    <row r="3425" spans="2:7" x14ac:dyDescent="0.35">
      <c r="B3425" s="46"/>
      <c r="C3425" s="46"/>
      <c r="D3425" s="46"/>
      <c r="E3425" s="46"/>
      <c r="F3425" s="46"/>
      <c r="G3425" s="79"/>
    </row>
    <row r="3426" spans="2:7" x14ac:dyDescent="0.35">
      <c r="B3426" s="46"/>
      <c r="C3426" s="46"/>
      <c r="D3426" s="46"/>
      <c r="E3426" s="46"/>
      <c r="F3426" s="46"/>
      <c r="G3426" s="79"/>
    </row>
    <row r="3427" spans="2:7" x14ac:dyDescent="0.35">
      <c r="B3427" s="46"/>
      <c r="C3427" s="46"/>
      <c r="D3427" s="46"/>
      <c r="E3427" s="46"/>
      <c r="F3427" s="46"/>
      <c r="G3427" s="79"/>
    </row>
    <row r="3428" spans="2:7" x14ac:dyDescent="0.35">
      <c r="B3428" s="46"/>
      <c r="C3428" s="46"/>
      <c r="D3428" s="46"/>
      <c r="E3428" s="46"/>
      <c r="F3428" s="46"/>
      <c r="G3428" s="79"/>
    </row>
    <row r="3429" spans="2:7" x14ac:dyDescent="0.35">
      <c r="B3429" s="46"/>
      <c r="C3429" s="46"/>
      <c r="D3429" s="46"/>
      <c r="E3429" s="46"/>
      <c r="F3429" s="46"/>
      <c r="G3429" s="79"/>
    </row>
    <row r="3430" spans="2:7" x14ac:dyDescent="0.35">
      <c r="B3430" s="46"/>
      <c r="C3430" s="46"/>
      <c r="D3430" s="46"/>
      <c r="E3430" s="46"/>
      <c r="F3430" s="46"/>
      <c r="G3430" s="79"/>
    </row>
    <row r="3431" spans="2:7" x14ac:dyDescent="0.35">
      <c r="B3431" s="46"/>
      <c r="C3431" s="46"/>
      <c r="D3431" s="46"/>
      <c r="E3431" s="46"/>
      <c r="F3431" s="46"/>
      <c r="G3431" s="79"/>
    </row>
    <row r="3432" spans="2:7" x14ac:dyDescent="0.35">
      <c r="B3432" s="46"/>
      <c r="C3432" s="46"/>
      <c r="D3432" s="46"/>
      <c r="E3432" s="46"/>
      <c r="F3432" s="46"/>
      <c r="G3432" s="79"/>
    </row>
    <row r="3433" spans="2:7" x14ac:dyDescent="0.35">
      <c r="B3433" s="46"/>
      <c r="C3433" s="46"/>
      <c r="D3433" s="46"/>
      <c r="E3433" s="46"/>
      <c r="F3433" s="46"/>
      <c r="G3433" s="79"/>
    </row>
    <row r="3434" spans="2:7" x14ac:dyDescent="0.35">
      <c r="B3434" s="46"/>
      <c r="C3434" s="46"/>
      <c r="D3434" s="46"/>
      <c r="E3434" s="46"/>
      <c r="F3434" s="46"/>
      <c r="G3434" s="79"/>
    </row>
    <row r="3435" spans="2:7" x14ac:dyDescent="0.35">
      <c r="B3435" s="46"/>
      <c r="C3435" s="46"/>
      <c r="D3435" s="46"/>
      <c r="E3435" s="46"/>
      <c r="F3435" s="46"/>
      <c r="G3435" s="79"/>
    </row>
    <row r="3436" spans="2:7" x14ac:dyDescent="0.35">
      <c r="B3436" s="46"/>
      <c r="C3436" s="46"/>
      <c r="D3436" s="46"/>
      <c r="E3436" s="46"/>
      <c r="F3436" s="46"/>
      <c r="G3436" s="79"/>
    </row>
    <row r="3437" spans="2:7" x14ac:dyDescent="0.35">
      <c r="B3437" s="46"/>
      <c r="C3437" s="46"/>
      <c r="D3437" s="46"/>
      <c r="E3437" s="46"/>
      <c r="F3437" s="46"/>
      <c r="G3437" s="79"/>
    </row>
    <row r="3438" spans="2:7" x14ac:dyDescent="0.35">
      <c r="B3438" s="46"/>
      <c r="C3438" s="46"/>
      <c r="D3438" s="46"/>
      <c r="E3438" s="46"/>
      <c r="F3438" s="46"/>
      <c r="G3438" s="79"/>
    </row>
    <row r="3439" spans="2:7" x14ac:dyDescent="0.35">
      <c r="B3439" s="46"/>
      <c r="C3439" s="46"/>
      <c r="D3439" s="46"/>
      <c r="E3439" s="46"/>
      <c r="F3439" s="46"/>
      <c r="G3439" s="79"/>
    </row>
    <row r="3440" spans="2:7" x14ac:dyDescent="0.35">
      <c r="B3440" s="46"/>
      <c r="C3440" s="46"/>
      <c r="D3440" s="46"/>
      <c r="E3440" s="46"/>
      <c r="F3440" s="46"/>
      <c r="G3440" s="79"/>
    </row>
    <row r="3441" spans="2:7" x14ac:dyDescent="0.35">
      <c r="B3441" s="46"/>
      <c r="C3441" s="46"/>
      <c r="D3441" s="46"/>
      <c r="E3441" s="46"/>
      <c r="F3441" s="46"/>
      <c r="G3441" s="79"/>
    </row>
    <row r="3442" spans="2:7" x14ac:dyDescent="0.35">
      <c r="B3442" s="46"/>
      <c r="C3442" s="46"/>
      <c r="D3442" s="46"/>
      <c r="E3442" s="46"/>
      <c r="F3442" s="46"/>
      <c r="G3442" s="79"/>
    </row>
    <row r="3443" spans="2:7" x14ac:dyDescent="0.35">
      <c r="B3443" s="46"/>
      <c r="C3443" s="46"/>
      <c r="D3443" s="46"/>
      <c r="E3443" s="46"/>
      <c r="F3443" s="46"/>
      <c r="G3443" s="79"/>
    </row>
    <row r="3444" spans="2:7" x14ac:dyDescent="0.35">
      <c r="B3444" s="46"/>
      <c r="C3444" s="46"/>
      <c r="D3444" s="46"/>
      <c r="E3444" s="46"/>
      <c r="F3444" s="46"/>
      <c r="G3444" s="79"/>
    </row>
    <row r="3445" spans="2:7" x14ac:dyDescent="0.35">
      <c r="B3445" s="46"/>
      <c r="C3445" s="46"/>
      <c r="D3445" s="46"/>
      <c r="E3445" s="46"/>
      <c r="F3445" s="46"/>
      <c r="G3445" s="79"/>
    </row>
    <row r="3446" spans="2:7" x14ac:dyDescent="0.35">
      <c r="B3446" s="46"/>
      <c r="C3446" s="46"/>
      <c r="D3446" s="46"/>
      <c r="E3446" s="46"/>
      <c r="F3446" s="46"/>
      <c r="G3446" s="79"/>
    </row>
    <row r="3447" spans="2:7" x14ac:dyDescent="0.35">
      <c r="B3447" s="46"/>
      <c r="C3447" s="46"/>
      <c r="D3447" s="46"/>
      <c r="E3447" s="46"/>
      <c r="F3447" s="46"/>
      <c r="G3447" s="79"/>
    </row>
    <row r="3448" spans="2:7" x14ac:dyDescent="0.35">
      <c r="B3448" s="46"/>
      <c r="C3448" s="46"/>
      <c r="D3448" s="46"/>
      <c r="E3448" s="46"/>
      <c r="F3448" s="46"/>
      <c r="G3448" s="79"/>
    </row>
    <row r="3449" spans="2:7" x14ac:dyDescent="0.35">
      <c r="B3449" s="46"/>
      <c r="C3449" s="46"/>
      <c r="D3449" s="46"/>
      <c r="E3449" s="46"/>
      <c r="F3449" s="46"/>
      <c r="G3449" s="79"/>
    </row>
    <row r="3450" spans="2:7" x14ac:dyDescent="0.35">
      <c r="B3450" s="46"/>
      <c r="C3450" s="46"/>
      <c r="D3450" s="46"/>
      <c r="E3450" s="46"/>
      <c r="F3450" s="46"/>
      <c r="G3450" s="79"/>
    </row>
    <row r="3451" spans="2:7" x14ac:dyDescent="0.35">
      <c r="B3451" s="46"/>
      <c r="C3451" s="46"/>
      <c r="D3451" s="46"/>
      <c r="E3451" s="46"/>
      <c r="F3451" s="46"/>
      <c r="G3451" s="79"/>
    </row>
    <row r="3452" spans="2:7" x14ac:dyDescent="0.35">
      <c r="B3452" s="46"/>
      <c r="C3452" s="46"/>
      <c r="D3452" s="46"/>
      <c r="E3452" s="46"/>
      <c r="F3452" s="46"/>
      <c r="G3452" s="79"/>
    </row>
    <row r="3453" spans="2:7" x14ac:dyDescent="0.35">
      <c r="B3453" s="46"/>
      <c r="C3453" s="46"/>
      <c r="D3453" s="46"/>
      <c r="E3453" s="46"/>
      <c r="F3453" s="46"/>
      <c r="G3453" s="79"/>
    </row>
    <row r="3454" spans="2:7" x14ac:dyDescent="0.35">
      <c r="B3454" s="46"/>
      <c r="C3454" s="46"/>
      <c r="D3454" s="46"/>
      <c r="E3454" s="46"/>
      <c r="F3454" s="46"/>
      <c r="G3454" s="79"/>
    </row>
    <row r="3455" spans="2:7" x14ac:dyDescent="0.35">
      <c r="B3455" s="46"/>
      <c r="C3455" s="46"/>
      <c r="D3455" s="46"/>
      <c r="E3455" s="46"/>
      <c r="F3455" s="46"/>
      <c r="G3455" s="79"/>
    </row>
    <row r="3456" spans="2:7" x14ac:dyDescent="0.35">
      <c r="B3456" s="46"/>
      <c r="C3456" s="46"/>
      <c r="D3456" s="46"/>
      <c r="E3456" s="46"/>
      <c r="F3456" s="46"/>
      <c r="G3456" s="79"/>
    </row>
    <row r="3457" spans="2:7" x14ac:dyDescent="0.35">
      <c r="B3457" s="46"/>
      <c r="C3457" s="46"/>
      <c r="D3457" s="46"/>
      <c r="E3457" s="46"/>
      <c r="F3457" s="46"/>
      <c r="G3457" s="79"/>
    </row>
    <row r="3458" spans="2:7" x14ac:dyDescent="0.35">
      <c r="B3458" s="46"/>
      <c r="C3458" s="46"/>
      <c r="D3458" s="46"/>
      <c r="E3458" s="46"/>
      <c r="F3458" s="46"/>
      <c r="G3458" s="79"/>
    </row>
    <row r="3459" spans="2:7" x14ac:dyDescent="0.35">
      <c r="B3459" s="46"/>
      <c r="C3459" s="46"/>
      <c r="D3459" s="46"/>
      <c r="E3459" s="46"/>
      <c r="F3459" s="46"/>
      <c r="G3459" s="79"/>
    </row>
    <row r="3460" spans="2:7" x14ac:dyDescent="0.35">
      <c r="B3460" s="46"/>
      <c r="C3460" s="46"/>
      <c r="D3460" s="46"/>
      <c r="E3460" s="46"/>
      <c r="F3460" s="46"/>
      <c r="G3460" s="79"/>
    </row>
    <row r="3461" spans="2:7" x14ac:dyDescent="0.35">
      <c r="B3461" s="46"/>
      <c r="C3461" s="46"/>
      <c r="D3461" s="46"/>
      <c r="E3461" s="46"/>
      <c r="F3461" s="46"/>
      <c r="G3461" s="79"/>
    </row>
    <row r="3462" spans="2:7" x14ac:dyDescent="0.35">
      <c r="B3462" s="46"/>
      <c r="C3462" s="46"/>
      <c r="D3462" s="46"/>
      <c r="E3462" s="46"/>
      <c r="F3462" s="46"/>
      <c r="G3462" s="79"/>
    </row>
    <row r="3463" spans="2:7" x14ac:dyDescent="0.35">
      <c r="B3463" s="46"/>
      <c r="C3463" s="46"/>
      <c r="D3463" s="46"/>
      <c r="E3463" s="46"/>
      <c r="F3463" s="46"/>
      <c r="G3463" s="79"/>
    </row>
    <row r="3464" spans="2:7" x14ac:dyDescent="0.35">
      <c r="B3464" s="46"/>
      <c r="C3464" s="46"/>
      <c r="D3464" s="46"/>
      <c r="E3464" s="46"/>
      <c r="F3464" s="46"/>
      <c r="G3464" s="79"/>
    </row>
    <row r="3465" spans="2:7" x14ac:dyDescent="0.35">
      <c r="B3465" s="46"/>
      <c r="C3465" s="46"/>
      <c r="D3465" s="46"/>
      <c r="E3465" s="46"/>
      <c r="F3465" s="46"/>
      <c r="G3465" s="79"/>
    </row>
    <row r="3466" spans="2:7" x14ac:dyDescent="0.35">
      <c r="B3466" s="46"/>
      <c r="C3466" s="46"/>
      <c r="D3466" s="46"/>
      <c r="E3466" s="46"/>
      <c r="F3466" s="46"/>
      <c r="G3466" s="79"/>
    </row>
    <row r="3467" spans="2:7" x14ac:dyDescent="0.35">
      <c r="B3467" s="46"/>
      <c r="C3467" s="46"/>
      <c r="D3467" s="46"/>
      <c r="E3467" s="46"/>
      <c r="F3467" s="46"/>
      <c r="G3467" s="79"/>
    </row>
    <row r="3468" spans="2:7" x14ac:dyDescent="0.35">
      <c r="B3468" s="46"/>
      <c r="C3468" s="46"/>
      <c r="D3468" s="46"/>
      <c r="E3468" s="46"/>
      <c r="F3468" s="46"/>
      <c r="G3468" s="79"/>
    </row>
    <row r="3469" spans="2:7" x14ac:dyDescent="0.35">
      <c r="B3469" s="46"/>
      <c r="C3469" s="46"/>
      <c r="D3469" s="46"/>
      <c r="E3469" s="46"/>
      <c r="F3469" s="46"/>
      <c r="G3469" s="79"/>
    </row>
    <row r="3470" spans="2:7" x14ac:dyDescent="0.35">
      <c r="B3470" s="46"/>
      <c r="C3470" s="46"/>
      <c r="D3470" s="46"/>
      <c r="E3470" s="46"/>
      <c r="F3470" s="46"/>
      <c r="G3470" s="79"/>
    </row>
    <row r="3471" spans="2:7" x14ac:dyDescent="0.35">
      <c r="B3471" s="46"/>
      <c r="C3471" s="46"/>
      <c r="D3471" s="46"/>
      <c r="E3471" s="46"/>
      <c r="F3471" s="46"/>
      <c r="G3471" s="79"/>
    </row>
    <row r="3472" spans="2:7" x14ac:dyDescent="0.35">
      <c r="B3472" s="46"/>
      <c r="C3472" s="46"/>
      <c r="D3472" s="46"/>
      <c r="E3472" s="46"/>
      <c r="F3472" s="46"/>
      <c r="G3472" s="79"/>
    </row>
    <row r="3473" spans="2:7" x14ac:dyDescent="0.35">
      <c r="B3473" s="46"/>
      <c r="C3473" s="46"/>
      <c r="D3473" s="46"/>
      <c r="E3473" s="46"/>
      <c r="F3473" s="46"/>
      <c r="G3473" s="79"/>
    </row>
    <row r="3474" spans="2:7" x14ac:dyDescent="0.35">
      <c r="B3474" s="46"/>
      <c r="C3474" s="46"/>
      <c r="D3474" s="46"/>
      <c r="E3474" s="46"/>
      <c r="F3474" s="46"/>
      <c r="G3474" s="79"/>
    </row>
    <row r="3475" spans="2:7" x14ac:dyDescent="0.35">
      <c r="B3475" s="46"/>
      <c r="C3475" s="46"/>
      <c r="D3475" s="46"/>
      <c r="E3475" s="46"/>
      <c r="F3475" s="46"/>
      <c r="G3475" s="79"/>
    </row>
    <row r="3476" spans="2:7" x14ac:dyDescent="0.35">
      <c r="B3476" s="46"/>
      <c r="C3476" s="46"/>
      <c r="D3476" s="46"/>
      <c r="E3476" s="46"/>
      <c r="F3476" s="46"/>
      <c r="G3476" s="79"/>
    </row>
    <row r="3477" spans="2:7" x14ac:dyDescent="0.35">
      <c r="B3477" s="46"/>
      <c r="C3477" s="46"/>
      <c r="D3477" s="46"/>
      <c r="E3477" s="46"/>
      <c r="F3477" s="46"/>
      <c r="G3477" s="79"/>
    </row>
    <row r="3478" spans="2:7" x14ac:dyDescent="0.35">
      <c r="B3478" s="46"/>
      <c r="C3478" s="46"/>
      <c r="D3478" s="46"/>
      <c r="E3478" s="46"/>
      <c r="F3478" s="46"/>
      <c r="G3478" s="79"/>
    </row>
    <row r="3479" spans="2:7" x14ac:dyDescent="0.35">
      <c r="B3479" s="46"/>
      <c r="C3479" s="46"/>
      <c r="D3479" s="46"/>
      <c r="E3479" s="46"/>
      <c r="F3479" s="46"/>
      <c r="G3479" s="79"/>
    </row>
    <row r="3480" spans="2:7" x14ac:dyDescent="0.35">
      <c r="B3480" s="46"/>
      <c r="C3480" s="46"/>
      <c r="D3480" s="46"/>
      <c r="E3480" s="46"/>
      <c r="F3480" s="46"/>
      <c r="G3480" s="79"/>
    </row>
    <row r="3481" spans="2:7" x14ac:dyDescent="0.35">
      <c r="B3481" s="46"/>
      <c r="C3481" s="46"/>
      <c r="D3481" s="46"/>
      <c r="E3481" s="46"/>
      <c r="F3481" s="46"/>
      <c r="G3481" s="79"/>
    </row>
    <row r="3482" spans="2:7" x14ac:dyDescent="0.35">
      <c r="B3482" s="46"/>
      <c r="C3482" s="46"/>
      <c r="D3482" s="46"/>
      <c r="E3482" s="46"/>
      <c r="F3482" s="46"/>
      <c r="G3482" s="79"/>
    </row>
    <row r="3483" spans="2:7" x14ac:dyDescent="0.35">
      <c r="B3483" s="46"/>
      <c r="C3483" s="46"/>
      <c r="D3483" s="46"/>
      <c r="E3483" s="46"/>
      <c r="F3483" s="46"/>
      <c r="G3483" s="79"/>
    </row>
    <row r="3484" spans="2:7" x14ac:dyDescent="0.35">
      <c r="B3484" s="46"/>
      <c r="C3484" s="46"/>
      <c r="D3484" s="46"/>
      <c r="E3484" s="46"/>
      <c r="F3484" s="46"/>
      <c r="G3484" s="79"/>
    </row>
    <row r="3485" spans="2:7" x14ac:dyDescent="0.35">
      <c r="B3485" s="46"/>
      <c r="C3485" s="46"/>
      <c r="D3485" s="46"/>
      <c r="E3485" s="46"/>
      <c r="F3485" s="46"/>
      <c r="G3485" s="79"/>
    </row>
    <row r="3486" spans="2:7" x14ac:dyDescent="0.35">
      <c r="B3486" s="46"/>
      <c r="C3486" s="46"/>
      <c r="D3486" s="46"/>
      <c r="E3486" s="46"/>
      <c r="F3486" s="46"/>
      <c r="G3486" s="79"/>
    </row>
    <row r="3487" spans="2:7" x14ac:dyDescent="0.35">
      <c r="B3487" s="46"/>
      <c r="C3487" s="46"/>
      <c r="D3487" s="46"/>
      <c r="E3487" s="46"/>
      <c r="F3487" s="46"/>
      <c r="G3487" s="79"/>
    </row>
    <row r="3488" spans="2:7" x14ac:dyDescent="0.35">
      <c r="B3488" s="46"/>
      <c r="C3488" s="46"/>
      <c r="D3488" s="46"/>
      <c r="E3488" s="46"/>
      <c r="F3488" s="46"/>
      <c r="G3488" s="79"/>
    </row>
    <row r="3489" spans="2:7" x14ac:dyDescent="0.35">
      <c r="B3489" s="46"/>
      <c r="C3489" s="46"/>
      <c r="D3489" s="46"/>
      <c r="E3489" s="46"/>
      <c r="F3489" s="46"/>
      <c r="G3489" s="79"/>
    </row>
    <row r="3490" spans="2:7" x14ac:dyDescent="0.35">
      <c r="B3490" s="46"/>
      <c r="C3490" s="46"/>
      <c r="D3490" s="46"/>
      <c r="E3490" s="46"/>
      <c r="F3490" s="46"/>
      <c r="G3490" s="79"/>
    </row>
    <row r="3491" spans="2:7" x14ac:dyDescent="0.35">
      <c r="B3491" s="46"/>
      <c r="C3491" s="46"/>
      <c r="D3491" s="46"/>
      <c r="E3491" s="46"/>
      <c r="F3491" s="46"/>
      <c r="G3491" s="79"/>
    </row>
    <row r="3492" spans="2:7" x14ac:dyDescent="0.35">
      <c r="B3492" s="46"/>
      <c r="C3492" s="46"/>
      <c r="D3492" s="46"/>
      <c r="E3492" s="46"/>
      <c r="F3492" s="46"/>
      <c r="G3492" s="79"/>
    </row>
    <row r="3493" spans="2:7" x14ac:dyDescent="0.35">
      <c r="B3493" s="46"/>
      <c r="C3493" s="46"/>
      <c r="D3493" s="46"/>
      <c r="E3493" s="46"/>
      <c r="F3493" s="46"/>
      <c r="G3493" s="79"/>
    </row>
    <row r="3494" spans="2:7" x14ac:dyDescent="0.35">
      <c r="B3494" s="46"/>
      <c r="C3494" s="46"/>
      <c r="D3494" s="46"/>
      <c r="E3494" s="46"/>
      <c r="F3494" s="46"/>
      <c r="G3494" s="79"/>
    </row>
    <row r="3495" spans="2:7" x14ac:dyDescent="0.35">
      <c r="B3495" s="46"/>
      <c r="C3495" s="46"/>
      <c r="D3495" s="46"/>
      <c r="E3495" s="46"/>
      <c r="F3495" s="46"/>
      <c r="G3495" s="79"/>
    </row>
    <row r="3496" spans="2:7" x14ac:dyDescent="0.35">
      <c r="B3496" s="46"/>
      <c r="C3496" s="46"/>
      <c r="D3496" s="46"/>
      <c r="E3496" s="46"/>
      <c r="F3496" s="46"/>
      <c r="G3496" s="79"/>
    </row>
    <row r="3497" spans="2:7" x14ac:dyDescent="0.35">
      <c r="B3497" s="46"/>
      <c r="C3497" s="46"/>
      <c r="D3497" s="46"/>
      <c r="E3497" s="46"/>
      <c r="F3497" s="46"/>
      <c r="G3497" s="79"/>
    </row>
    <row r="3498" spans="2:7" x14ac:dyDescent="0.35">
      <c r="B3498" s="46"/>
      <c r="C3498" s="46"/>
      <c r="D3498" s="46"/>
      <c r="E3498" s="46"/>
      <c r="F3498" s="46"/>
      <c r="G3498" s="79"/>
    </row>
    <row r="3499" spans="2:7" x14ac:dyDescent="0.35">
      <c r="B3499" s="46"/>
      <c r="C3499" s="46"/>
      <c r="D3499" s="46"/>
      <c r="E3499" s="46"/>
      <c r="F3499" s="46"/>
      <c r="G3499" s="79"/>
    </row>
    <row r="3500" spans="2:7" x14ac:dyDescent="0.35">
      <c r="B3500" s="46"/>
      <c r="C3500" s="46"/>
      <c r="D3500" s="46"/>
      <c r="E3500" s="46"/>
      <c r="F3500" s="46"/>
      <c r="G3500" s="79"/>
    </row>
    <row r="3501" spans="2:7" x14ac:dyDescent="0.35">
      <c r="B3501" s="46"/>
      <c r="C3501" s="46"/>
      <c r="D3501" s="46"/>
      <c r="E3501" s="46"/>
      <c r="F3501" s="46"/>
      <c r="G3501" s="79"/>
    </row>
    <row r="3502" spans="2:7" x14ac:dyDescent="0.35">
      <c r="B3502" s="46"/>
      <c r="C3502" s="46"/>
      <c r="D3502" s="46"/>
      <c r="E3502" s="46"/>
      <c r="F3502" s="46"/>
      <c r="G3502" s="79"/>
    </row>
    <row r="3503" spans="2:7" x14ac:dyDescent="0.35">
      <c r="B3503" s="46"/>
      <c r="C3503" s="46"/>
      <c r="D3503" s="46"/>
      <c r="E3503" s="46"/>
      <c r="F3503" s="46"/>
      <c r="G3503" s="79"/>
    </row>
    <row r="3504" spans="2:7" x14ac:dyDescent="0.35">
      <c r="B3504" s="46"/>
      <c r="C3504" s="46"/>
      <c r="D3504" s="46"/>
      <c r="E3504" s="46"/>
      <c r="F3504" s="46"/>
      <c r="G3504" s="79"/>
    </row>
    <row r="3505" spans="2:7" x14ac:dyDescent="0.35">
      <c r="B3505" s="46"/>
      <c r="C3505" s="46"/>
      <c r="D3505" s="46"/>
      <c r="E3505" s="46"/>
      <c r="F3505" s="46"/>
      <c r="G3505" s="79"/>
    </row>
    <row r="3506" spans="2:7" x14ac:dyDescent="0.35">
      <c r="B3506" s="46"/>
      <c r="C3506" s="46"/>
      <c r="D3506" s="46"/>
      <c r="E3506" s="46"/>
      <c r="F3506" s="46"/>
      <c r="G3506" s="79"/>
    </row>
    <row r="3507" spans="2:7" x14ac:dyDescent="0.35">
      <c r="B3507" s="46"/>
      <c r="C3507" s="46"/>
      <c r="D3507" s="46"/>
      <c r="E3507" s="46"/>
      <c r="F3507" s="46"/>
      <c r="G3507" s="79"/>
    </row>
    <row r="3508" spans="2:7" x14ac:dyDescent="0.35">
      <c r="B3508" s="46"/>
      <c r="C3508" s="46"/>
      <c r="D3508" s="46"/>
      <c r="E3508" s="46"/>
      <c r="F3508" s="46"/>
      <c r="G3508" s="79"/>
    </row>
    <row r="3509" spans="2:7" x14ac:dyDescent="0.35">
      <c r="B3509" s="46"/>
      <c r="C3509" s="46"/>
      <c r="D3509" s="46"/>
      <c r="E3509" s="46"/>
      <c r="F3509" s="46"/>
      <c r="G3509" s="79"/>
    </row>
    <row r="3510" spans="2:7" x14ac:dyDescent="0.35">
      <c r="B3510" s="46"/>
      <c r="C3510" s="46"/>
      <c r="D3510" s="46"/>
      <c r="E3510" s="46"/>
      <c r="F3510" s="46"/>
      <c r="G3510" s="79"/>
    </row>
    <row r="3511" spans="2:7" x14ac:dyDescent="0.35">
      <c r="B3511" s="46"/>
      <c r="C3511" s="46"/>
      <c r="D3511" s="46"/>
      <c r="E3511" s="46"/>
      <c r="F3511" s="46"/>
      <c r="G3511" s="79"/>
    </row>
    <row r="3512" spans="2:7" x14ac:dyDescent="0.35">
      <c r="B3512" s="46"/>
      <c r="C3512" s="46"/>
      <c r="D3512" s="46"/>
      <c r="E3512" s="46"/>
      <c r="F3512" s="46"/>
      <c r="G3512" s="79"/>
    </row>
    <row r="3513" spans="2:7" x14ac:dyDescent="0.35">
      <c r="B3513" s="46"/>
      <c r="C3513" s="46"/>
      <c r="D3513" s="46"/>
      <c r="E3513" s="46"/>
      <c r="F3513" s="46"/>
      <c r="G3513" s="79"/>
    </row>
    <row r="3514" spans="2:7" x14ac:dyDescent="0.35">
      <c r="B3514" s="46"/>
      <c r="C3514" s="46"/>
      <c r="D3514" s="46"/>
      <c r="E3514" s="46"/>
      <c r="F3514" s="46"/>
      <c r="G3514" s="79"/>
    </row>
    <row r="3515" spans="2:7" x14ac:dyDescent="0.35">
      <c r="B3515" s="46"/>
      <c r="C3515" s="46"/>
      <c r="D3515" s="46"/>
      <c r="E3515" s="46"/>
      <c r="F3515" s="46"/>
      <c r="G3515" s="79"/>
    </row>
    <row r="3516" spans="2:7" x14ac:dyDescent="0.35">
      <c r="B3516" s="46"/>
      <c r="C3516" s="46"/>
      <c r="D3516" s="46"/>
      <c r="E3516" s="46"/>
      <c r="F3516" s="46"/>
      <c r="G3516" s="79"/>
    </row>
    <row r="3517" spans="2:7" x14ac:dyDescent="0.35">
      <c r="B3517" s="46"/>
      <c r="C3517" s="46"/>
      <c r="D3517" s="46"/>
      <c r="E3517" s="46"/>
      <c r="F3517" s="46"/>
      <c r="G3517" s="79"/>
    </row>
    <row r="3518" spans="2:7" x14ac:dyDescent="0.35">
      <c r="B3518" s="46"/>
      <c r="C3518" s="46"/>
      <c r="D3518" s="46"/>
      <c r="E3518" s="46"/>
      <c r="F3518" s="46"/>
      <c r="G3518" s="79"/>
    </row>
    <row r="3519" spans="2:7" x14ac:dyDescent="0.35">
      <c r="B3519" s="46"/>
      <c r="C3519" s="46"/>
      <c r="D3519" s="46"/>
      <c r="E3519" s="46"/>
      <c r="F3519" s="46"/>
      <c r="G3519" s="79"/>
    </row>
    <row r="3520" spans="2:7" x14ac:dyDescent="0.35">
      <c r="B3520" s="46"/>
      <c r="C3520" s="46"/>
      <c r="D3520" s="46"/>
      <c r="E3520" s="46"/>
      <c r="F3520" s="46"/>
      <c r="G3520" s="79"/>
    </row>
    <row r="3521" spans="2:7" x14ac:dyDescent="0.35">
      <c r="B3521" s="46"/>
      <c r="C3521" s="46"/>
      <c r="D3521" s="46"/>
      <c r="E3521" s="46"/>
      <c r="F3521" s="46"/>
      <c r="G3521" s="79"/>
    </row>
    <row r="3522" spans="2:7" x14ac:dyDescent="0.35">
      <c r="B3522" s="46"/>
      <c r="C3522" s="46"/>
      <c r="D3522" s="46"/>
      <c r="E3522" s="46"/>
      <c r="F3522" s="46"/>
      <c r="G3522" s="79"/>
    </row>
    <row r="3523" spans="2:7" x14ac:dyDescent="0.35">
      <c r="B3523" s="46"/>
      <c r="C3523" s="46"/>
      <c r="D3523" s="46"/>
      <c r="E3523" s="46"/>
      <c r="F3523" s="46"/>
      <c r="G3523" s="79"/>
    </row>
    <row r="3524" spans="2:7" x14ac:dyDescent="0.35">
      <c r="B3524" s="46"/>
      <c r="C3524" s="46"/>
      <c r="D3524" s="46"/>
      <c r="E3524" s="46"/>
      <c r="F3524" s="46"/>
      <c r="G3524" s="79"/>
    </row>
    <row r="3525" spans="2:7" x14ac:dyDescent="0.35">
      <c r="B3525" s="46"/>
      <c r="C3525" s="46"/>
      <c r="D3525" s="46"/>
      <c r="E3525" s="46"/>
      <c r="F3525" s="46"/>
      <c r="G3525" s="79"/>
    </row>
    <row r="3526" spans="2:7" x14ac:dyDescent="0.35">
      <c r="B3526" s="46"/>
      <c r="C3526" s="46"/>
      <c r="D3526" s="46"/>
      <c r="E3526" s="46"/>
      <c r="F3526" s="46"/>
      <c r="G3526" s="79"/>
    </row>
    <row r="3527" spans="2:7" x14ac:dyDescent="0.35">
      <c r="B3527" s="46"/>
      <c r="C3527" s="46"/>
      <c r="D3527" s="46"/>
      <c r="E3527" s="46"/>
      <c r="F3527" s="46"/>
      <c r="G3527" s="79"/>
    </row>
    <row r="3528" spans="2:7" x14ac:dyDescent="0.35">
      <c r="B3528" s="46"/>
      <c r="C3528" s="46"/>
      <c r="D3528" s="46"/>
      <c r="E3528" s="46"/>
      <c r="F3528" s="46"/>
      <c r="G3528" s="79"/>
    </row>
    <row r="3529" spans="2:7" x14ac:dyDescent="0.35">
      <c r="B3529" s="46"/>
      <c r="C3529" s="46"/>
      <c r="D3529" s="46"/>
      <c r="E3529" s="46"/>
      <c r="F3529" s="46"/>
      <c r="G3529" s="79"/>
    </row>
    <row r="3530" spans="2:7" x14ac:dyDescent="0.35">
      <c r="B3530" s="46"/>
      <c r="C3530" s="46"/>
      <c r="D3530" s="46"/>
      <c r="E3530" s="46"/>
      <c r="F3530" s="46"/>
      <c r="G3530" s="79"/>
    </row>
    <row r="3531" spans="2:7" x14ac:dyDescent="0.35">
      <c r="B3531" s="46"/>
      <c r="C3531" s="46"/>
      <c r="D3531" s="46"/>
      <c r="E3531" s="46"/>
      <c r="F3531" s="46"/>
      <c r="G3531" s="79"/>
    </row>
    <row r="3532" spans="2:7" x14ac:dyDescent="0.35">
      <c r="B3532" s="46"/>
      <c r="C3532" s="46"/>
      <c r="D3532" s="46"/>
      <c r="E3532" s="46"/>
      <c r="F3532" s="46"/>
      <c r="G3532" s="79"/>
    </row>
    <row r="3533" spans="2:7" x14ac:dyDescent="0.35">
      <c r="B3533" s="46"/>
      <c r="C3533" s="46"/>
      <c r="D3533" s="46"/>
      <c r="E3533" s="46"/>
      <c r="F3533" s="46"/>
      <c r="G3533" s="79"/>
    </row>
    <row r="3534" spans="2:7" x14ac:dyDescent="0.35">
      <c r="B3534" s="46"/>
      <c r="C3534" s="46"/>
      <c r="D3534" s="46"/>
      <c r="E3534" s="46"/>
      <c r="F3534" s="46"/>
      <c r="G3534" s="79"/>
    </row>
    <row r="3535" spans="2:7" x14ac:dyDescent="0.35">
      <c r="B3535" s="46"/>
      <c r="C3535" s="46"/>
      <c r="D3535" s="46"/>
      <c r="E3535" s="46"/>
      <c r="F3535" s="46"/>
      <c r="G3535" s="79"/>
    </row>
    <row r="3536" spans="2:7" x14ac:dyDescent="0.35">
      <c r="B3536" s="46"/>
      <c r="C3536" s="46"/>
      <c r="D3536" s="46"/>
      <c r="E3536" s="46"/>
      <c r="F3536" s="46"/>
      <c r="G3536" s="79"/>
    </row>
    <row r="3537" spans="2:7" x14ac:dyDescent="0.35">
      <c r="B3537" s="46"/>
      <c r="C3537" s="46"/>
      <c r="D3537" s="46"/>
      <c r="E3537" s="46"/>
      <c r="F3537" s="46"/>
      <c r="G3537" s="79"/>
    </row>
    <row r="3538" spans="2:7" x14ac:dyDescent="0.35">
      <c r="B3538" s="46"/>
      <c r="C3538" s="46"/>
      <c r="D3538" s="46"/>
      <c r="E3538" s="46"/>
      <c r="F3538" s="46"/>
      <c r="G3538" s="79"/>
    </row>
    <row r="3539" spans="2:7" x14ac:dyDescent="0.35">
      <c r="B3539" s="46"/>
      <c r="C3539" s="46"/>
      <c r="D3539" s="46"/>
      <c r="E3539" s="46"/>
      <c r="F3539" s="46"/>
      <c r="G3539" s="79"/>
    </row>
    <row r="3540" spans="2:7" x14ac:dyDescent="0.35">
      <c r="B3540" s="46"/>
      <c r="C3540" s="46"/>
      <c r="D3540" s="46"/>
      <c r="E3540" s="46"/>
      <c r="F3540" s="46"/>
      <c r="G3540" s="79"/>
    </row>
    <row r="3541" spans="2:7" x14ac:dyDescent="0.35">
      <c r="B3541" s="46"/>
      <c r="C3541" s="46"/>
      <c r="D3541" s="46"/>
      <c r="E3541" s="46"/>
      <c r="F3541" s="46"/>
      <c r="G3541" s="79"/>
    </row>
    <row r="3542" spans="2:7" x14ac:dyDescent="0.35">
      <c r="B3542" s="46"/>
      <c r="C3542" s="46"/>
      <c r="D3542" s="46"/>
      <c r="E3542" s="46"/>
      <c r="F3542" s="46"/>
      <c r="G3542" s="79"/>
    </row>
    <row r="3543" spans="2:7" x14ac:dyDescent="0.35">
      <c r="B3543" s="46"/>
      <c r="C3543" s="46"/>
      <c r="D3543" s="46"/>
      <c r="E3543" s="46"/>
      <c r="F3543" s="46"/>
      <c r="G3543" s="79"/>
    </row>
    <row r="3544" spans="2:7" x14ac:dyDescent="0.35">
      <c r="B3544" s="46"/>
      <c r="C3544" s="46"/>
      <c r="D3544" s="46"/>
      <c r="E3544" s="46"/>
      <c r="F3544" s="46"/>
      <c r="G3544" s="79"/>
    </row>
    <row r="3545" spans="2:7" x14ac:dyDescent="0.35">
      <c r="B3545" s="46"/>
      <c r="C3545" s="46"/>
      <c r="D3545" s="46"/>
      <c r="E3545" s="46"/>
      <c r="F3545" s="46"/>
      <c r="G3545" s="79"/>
    </row>
    <row r="3546" spans="2:7" x14ac:dyDescent="0.35">
      <c r="B3546" s="46"/>
      <c r="C3546" s="46"/>
      <c r="D3546" s="46"/>
      <c r="E3546" s="46"/>
      <c r="F3546" s="46"/>
      <c r="G3546" s="79"/>
    </row>
    <row r="3547" spans="2:7" x14ac:dyDescent="0.35">
      <c r="B3547" s="46"/>
      <c r="C3547" s="46"/>
      <c r="D3547" s="46"/>
      <c r="E3547" s="46"/>
      <c r="F3547" s="46"/>
      <c r="G3547" s="79"/>
    </row>
    <row r="3548" spans="2:7" x14ac:dyDescent="0.35">
      <c r="B3548" s="46"/>
      <c r="C3548" s="46"/>
      <c r="D3548" s="46"/>
      <c r="E3548" s="46"/>
      <c r="F3548" s="46"/>
      <c r="G3548" s="79"/>
    </row>
    <row r="3549" spans="2:7" x14ac:dyDescent="0.35">
      <c r="B3549" s="46"/>
      <c r="C3549" s="46"/>
      <c r="D3549" s="46"/>
      <c r="E3549" s="46"/>
      <c r="F3549" s="46"/>
      <c r="G3549" s="79"/>
    </row>
    <row r="3550" spans="2:7" x14ac:dyDescent="0.35">
      <c r="B3550" s="46"/>
      <c r="C3550" s="46"/>
      <c r="D3550" s="46"/>
      <c r="E3550" s="46"/>
      <c r="F3550" s="46"/>
      <c r="G3550" s="79"/>
    </row>
    <row r="3551" spans="2:7" x14ac:dyDescent="0.35">
      <c r="B3551" s="46"/>
      <c r="C3551" s="46"/>
      <c r="D3551" s="46"/>
      <c r="E3551" s="46"/>
      <c r="F3551" s="46"/>
      <c r="G3551" s="79"/>
    </row>
    <row r="3552" spans="2:7" x14ac:dyDescent="0.35">
      <c r="B3552" s="46"/>
      <c r="C3552" s="46"/>
      <c r="D3552" s="46"/>
      <c r="E3552" s="46"/>
      <c r="F3552" s="46"/>
      <c r="G3552" s="79"/>
    </row>
    <row r="3553" spans="2:7" x14ac:dyDescent="0.35">
      <c r="B3553" s="46"/>
      <c r="C3553" s="46"/>
      <c r="D3553" s="46"/>
      <c r="E3553" s="46"/>
      <c r="F3553" s="46"/>
      <c r="G3553" s="79"/>
    </row>
    <row r="3554" spans="2:7" x14ac:dyDescent="0.35">
      <c r="B3554" s="46"/>
      <c r="C3554" s="46"/>
      <c r="D3554" s="46"/>
      <c r="E3554" s="46"/>
      <c r="F3554" s="46"/>
      <c r="G3554" s="79"/>
    </row>
    <row r="3555" spans="2:7" x14ac:dyDescent="0.35">
      <c r="B3555" s="46"/>
      <c r="C3555" s="46"/>
      <c r="D3555" s="46"/>
      <c r="E3555" s="46"/>
      <c r="F3555" s="46"/>
      <c r="G3555" s="79"/>
    </row>
    <row r="3556" spans="2:7" x14ac:dyDescent="0.35">
      <c r="B3556" s="46"/>
      <c r="C3556" s="46"/>
      <c r="D3556" s="46"/>
      <c r="E3556" s="46"/>
      <c r="F3556" s="46"/>
      <c r="G3556" s="79"/>
    </row>
    <row r="3557" spans="2:7" x14ac:dyDescent="0.35">
      <c r="B3557" s="46"/>
      <c r="C3557" s="46"/>
      <c r="D3557" s="46"/>
      <c r="E3557" s="46"/>
      <c r="F3557" s="46"/>
      <c r="G3557" s="79"/>
    </row>
    <row r="3558" spans="2:7" x14ac:dyDescent="0.35">
      <c r="B3558" s="46"/>
      <c r="C3558" s="46"/>
      <c r="D3558" s="46"/>
      <c r="E3558" s="46"/>
      <c r="F3558" s="46"/>
      <c r="G3558" s="79"/>
    </row>
    <row r="3559" spans="2:7" x14ac:dyDescent="0.35">
      <c r="B3559" s="46"/>
      <c r="C3559" s="46"/>
      <c r="D3559" s="46"/>
      <c r="E3559" s="46"/>
      <c r="F3559" s="46"/>
      <c r="G3559" s="79"/>
    </row>
    <row r="3560" spans="2:7" x14ac:dyDescent="0.35">
      <c r="B3560" s="46"/>
      <c r="C3560" s="46"/>
      <c r="D3560" s="46"/>
      <c r="E3560" s="46"/>
      <c r="F3560" s="46"/>
      <c r="G3560" s="79"/>
    </row>
    <row r="3561" spans="2:7" x14ac:dyDescent="0.35">
      <c r="B3561" s="46"/>
      <c r="C3561" s="46"/>
      <c r="D3561" s="46"/>
      <c r="E3561" s="46"/>
      <c r="F3561" s="46"/>
      <c r="G3561" s="79"/>
    </row>
    <row r="3562" spans="2:7" x14ac:dyDescent="0.35">
      <c r="B3562" s="46"/>
      <c r="C3562" s="46"/>
      <c r="D3562" s="46"/>
      <c r="E3562" s="46"/>
      <c r="F3562" s="46"/>
      <c r="G3562" s="79"/>
    </row>
    <row r="3563" spans="2:7" x14ac:dyDescent="0.35">
      <c r="B3563" s="46"/>
      <c r="C3563" s="46"/>
      <c r="D3563" s="46"/>
      <c r="E3563" s="46"/>
      <c r="F3563" s="46"/>
      <c r="G3563" s="79"/>
    </row>
    <row r="3564" spans="2:7" x14ac:dyDescent="0.35">
      <c r="B3564" s="46"/>
      <c r="C3564" s="46"/>
      <c r="D3564" s="46"/>
      <c r="E3564" s="46"/>
      <c r="F3564" s="46"/>
      <c r="G3564" s="79"/>
    </row>
    <row r="3565" spans="2:7" x14ac:dyDescent="0.35">
      <c r="B3565" s="46"/>
      <c r="C3565" s="46"/>
      <c r="D3565" s="46"/>
      <c r="E3565" s="46"/>
      <c r="F3565" s="46"/>
      <c r="G3565" s="79"/>
    </row>
    <row r="3566" spans="2:7" x14ac:dyDescent="0.35">
      <c r="B3566" s="46"/>
      <c r="C3566" s="46"/>
      <c r="D3566" s="46"/>
      <c r="E3566" s="46"/>
      <c r="F3566" s="46"/>
      <c r="G3566" s="79"/>
    </row>
    <row r="3567" spans="2:7" x14ac:dyDescent="0.35">
      <c r="B3567" s="46"/>
      <c r="C3567" s="46"/>
      <c r="D3567" s="46"/>
      <c r="E3567" s="46"/>
      <c r="F3567" s="46"/>
      <c r="G3567" s="79"/>
    </row>
    <row r="3568" spans="2:7" x14ac:dyDescent="0.35">
      <c r="B3568" s="46"/>
      <c r="C3568" s="46"/>
      <c r="D3568" s="46"/>
      <c r="E3568" s="46"/>
      <c r="F3568" s="46"/>
      <c r="G3568" s="79"/>
    </row>
    <row r="3569" spans="2:7" x14ac:dyDescent="0.35">
      <c r="B3569" s="46"/>
      <c r="C3569" s="46"/>
      <c r="D3569" s="46"/>
      <c r="E3569" s="46"/>
      <c r="F3569" s="46"/>
      <c r="G3569" s="79"/>
    </row>
    <row r="3570" spans="2:7" x14ac:dyDescent="0.35">
      <c r="B3570" s="46"/>
      <c r="C3570" s="46"/>
      <c r="D3570" s="46"/>
      <c r="E3570" s="46"/>
      <c r="F3570" s="46"/>
      <c r="G3570" s="79"/>
    </row>
    <row r="3571" spans="2:7" x14ac:dyDescent="0.35">
      <c r="B3571" s="46"/>
      <c r="C3571" s="46"/>
      <c r="D3571" s="46"/>
      <c r="E3571" s="46"/>
      <c r="F3571" s="46"/>
      <c r="G3571" s="79"/>
    </row>
    <row r="3572" spans="2:7" x14ac:dyDescent="0.35">
      <c r="B3572" s="46"/>
      <c r="C3572" s="46"/>
      <c r="D3572" s="46"/>
      <c r="E3572" s="46"/>
      <c r="F3572" s="46"/>
      <c r="G3572" s="79"/>
    </row>
    <row r="3573" spans="2:7" x14ac:dyDescent="0.35">
      <c r="B3573" s="46"/>
      <c r="C3573" s="46"/>
      <c r="D3573" s="46"/>
      <c r="E3573" s="46"/>
      <c r="F3573" s="46"/>
      <c r="G3573" s="79"/>
    </row>
    <row r="3574" spans="2:7" x14ac:dyDescent="0.35">
      <c r="B3574" s="46"/>
      <c r="C3574" s="46"/>
      <c r="D3574" s="46"/>
      <c r="E3574" s="46"/>
      <c r="F3574" s="46"/>
      <c r="G3574" s="79"/>
    </row>
    <row r="3575" spans="2:7" x14ac:dyDescent="0.35">
      <c r="B3575" s="46"/>
      <c r="C3575" s="46"/>
      <c r="D3575" s="46"/>
      <c r="E3575" s="46"/>
      <c r="F3575" s="46"/>
      <c r="G3575" s="79"/>
    </row>
    <row r="3576" spans="2:7" x14ac:dyDescent="0.35">
      <c r="B3576" s="46"/>
      <c r="C3576" s="46"/>
      <c r="D3576" s="46"/>
      <c r="E3576" s="46"/>
      <c r="F3576" s="46"/>
      <c r="G3576" s="79"/>
    </row>
    <row r="3577" spans="2:7" x14ac:dyDescent="0.35">
      <c r="B3577" s="46"/>
      <c r="C3577" s="46"/>
      <c r="D3577" s="46"/>
      <c r="E3577" s="46"/>
      <c r="F3577" s="46"/>
      <c r="G3577" s="79"/>
    </row>
    <row r="3578" spans="2:7" x14ac:dyDescent="0.35">
      <c r="B3578" s="46"/>
      <c r="C3578" s="46"/>
      <c r="D3578" s="46"/>
      <c r="E3578" s="46"/>
      <c r="F3578" s="46"/>
      <c r="G3578" s="79"/>
    </row>
    <row r="3579" spans="2:7" x14ac:dyDescent="0.35">
      <c r="B3579" s="46"/>
      <c r="C3579" s="46"/>
      <c r="D3579" s="46"/>
      <c r="E3579" s="46"/>
      <c r="F3579" s="46"/>
      <c r="G3579" s="79"/>
    </row>
    <row r="3580" spans="2:7" x14ac:dyDescent="0.35">
      <c r="B3580" s="46"/>
      <c r="C3580" s="46"/>
      <c r="D3580" s="46"/>
      <c r="E3580" s="46"/>
      <c r="F3580" s="46"/>
      <c r="G3580" s="79"/>
    </row>
    <row r="3581" spans="2:7" x14ac:dyDescent="0.35">
      <c r="B3581" s="46"/>
      <c r="C3581" s="46"/>
      <c r="D3581" s="46"/>
      <c r="E3581" s="46"/>
      <c r="F3581" s="46"/>
      <c r="G3581" s="79"/>
    </row>
    <row r="3582" spans="2:7" x14ac:dyDescent="0.35">
      <c r="B3582" s="46"/>
      <c r="C3582" s="46"/>
      <c r="D3582" s="46"/>
      <c r="E3582" s="46"/>
      <c r="F3582" s="46"/>
      <c r="G3582" s="79"/>
    </row>
    <row r="3583" spans="2:7" x14ac:dyDescent="0.35">
      <c r="B3583" s="46"/>
      <c r="C3583" s="46"/>
      <c r="D3583" s="46"/>
      <c r="E3583" s="46"/>
      <c r="F3583" s="46"/>
      <c r="G3583" s="79"/>
    </row>
    <row r="3584" spans="2:7" x14ac:dyDescent="0.35">
      <c r="B3584" s="46"/>
      <c r="C3584" s="46"/>
      <c r="D3584" s="46"/>
      <c r="E3584" s="46"/>
      <c r="F3584" s="46"/>
      <c r="G3584" s="79"/>
    </row>
    <row r="3585" spans="2:7" x14ac:dyDescent="0.35">
      <c r="B3585" s="46"/>
      <c r="C3585" s="46"/>
      <c r="D3585" s="46"/>
      <c r="E3585" s="46"/>
      <c r="F3585" s="46"/>
      <c r="G3585" s="79"/>
    </row>
    <row r="3586" spans="2:7" x14ac:dyDescent="0.35">
      <c r="B3586" s="46"/>
      <c r="C3586" s="46"/>
      <c r="D3586" s="46"/>
      <c r="E3586" s="46"/>
      <c r="F3586" s="46"/>
      <c r="G3586" s="79"/>
    </row>
    <row r="3587" spans="2:7" x14ac:dyDescent="0.35">
      <c r="B3587" s="46"/>
      <c r="C3587" s="46"/>
      <c r="D3587" s="46"/>
      <c r="E3587" s="46"/>
      <c r="F3587" s="46"/>
      <c r="G3587" s="79"/>
    </row>
    <row r="3588" spans="2:7" x14ac:dyDescent="0.35">
      <c r="B3588" s="46"/>
      <c r="C3588" s="46"/>
      <c r="D3588" s="46"/>
      <c r="E3588" s="46"/>
      <c r="F3588" s="46"/>
      <c r="G3588" s="79"/>
    </row>
    <row r="3589" spans="2:7" x14ac:dyDescent="0.35">
      <c r="B3589" s="46"/>
      <c r="C3589" s="46"/>
      <c r="D3589" s="46"/>
      <c r="E3589" s="46"/>
      <c r="F3589" s="46"/>
      <c r="G3589" s="79"/>
    </row>
    <row r="3590" spans="2:7" x14ac:dyDescent="0.35">
      <c r="B3590" s="46"/>
      <c r="C3590" s="46"/>
      <c r="D3590" s="46"/>
      <c r="E3590" s="46"/>
      <c r="F3590" s="46"/>
      <c r="G3590" s="79"/>
    </row>
    <row r="3591" spans="2:7" x14ac:dyDescent="0.35">
      <c r="B3591" s="46"/>
      <c r="C3591" s="46"/>
      <c r="D3591" s="46"/>
      <c r="E3591" s="46"/>
      <c r="F3591" s="46"/>
      <c r="G3591" s="79"/>
    </row>
    <row r="3592" spans="2:7" x14ac:dyDescent="0.35">
      <c r="B3592" s="46"/>
      <c r="C3592" s="46"/>
      <c r="D3592" s="46"/>
      <c r="E3592" s="46"/>
      <c r="F3592" s="46"/>
      <c r="G3592" s="79"/>
    </row>
    <row r="3593" spans="2:7" x14ac:dyDescent="0.35">
      <c r="B3593" s="46"/>
      <c r="C3593" s="46"/>
      <c r="D3593" s="46"/>
      <c r="E3593" s="46"/>
      <c r="F3593" s="46"/>
      <c r="G3593" s="79"/>
    </row>
    <row r="3594" spans="2:7" x14ac:dyDescent="0.35">
      <c r="B3594" s="46"/>
      <c r="C3594" s="46"/>
      <c r="D3594" s="46"/>
      <c r="E3594" s="46"/>
      <c r="F3594" s="46"/>
      <c r="G3594" s="79"/>
    </row>
    <row r="3595" spans="2:7" x14ac:dyDescent="0.35">
      <c r="B3595" s="46"/>
      <c r="C3595" s="46"/>
      <c r="D3595" s="46"/>
      <c r="E3595" s="46"/>
      <c r="F3595" s="46"/>
      <c r="G3595" s="79"/>
    </row>
    <row r="3596" spans="2:7" x14ac:dyDescent="0.35">
      <c r="B3596" s="46"/>
      <c r="C3596" s="46"/>
      <c r="D3596" s="46"/>
      <c r="E3596" s="46"/>
      <c r="F3596" s="46"/>
      <c r="G3596" s="79"/>
    </row>
    <row r="3597" spans="2:7" x14ac:dyDescent="0.35">
      <c r="B3597" s="46"/>
      <c r="C3597" s="46"/>
      <c r="D3597" s="46"/>
      <c r="E3597" s="46"/>
      <c r="F3597" s="46"/>
      <c r="G3597" s="79"/>
    </row>
    <row r="3598" spans="2:7" x14ac:dyDescent="0.35">
      <c r="B3598" s="46"/>
      <c r="C3598" s="46"/>
      <c r="D3598" s="46"/>
      <c r="E3598" s="46"/>
      <c r="F3598" s="46"/>
      <c r="G3598" s="79"/>
    </row>
    <row r="3599" spans="2:7" x14ac:dyDescent="0.35">
      <c r="B3599" s="46"/>
      <c r="C3599" s="46"/>
      <c r="D3599" s="46"/>
      <c r="E3599" s="46"/>
      <c r="F3599" s="46"/>
      <c r="G3599" s="79"/>
    </row>
    <row r="3600" spans="2:7" x14ac:dyDescent="0.35">
      <c r="B3600" s="46"/>
      <c r="C3600" s="46"/>
      <c r="D3600" s="46"/>
      <c r="E3600" s="46"/>
      <c r="F3600" s="46"/>
      <c r="G3600" s="79"/>
    </row>
    <row r="3601" spans="2:7" x14ac:dyDescent="0.35">
      <c r="B3601" s="46"/>
      <c r="C3601" s="46"/>
      <c r="D3601" s="46"/>
      <c r="E3601" s="46"/>
      <c r="F3601" s="46"/>
      <c r="G3601" s="79"/>
    </row>
    <row r="3602" spans="2:7" x14ac:dyDescent="0.35">
      <c r="B3602" s="46"/>
      <c r="C3602" s="46"/>
      <c r="D3602" s="46"/>
      <c r="E3602" s="46"/>
      <c r="F3602" s="46"/>
      <c r="G3602" s="79"/>
    </row>
    <row r="3603" spans="2:7" x14ac:dyDescent="0.35">
      <c r="B3603" s="46"/>
      <c r="C3603" s="46"/>
      <c r="D3603" s="46"/>
      <c r="E3603" s="46"/>
      <c r="F3603" s="46"/>
      <c r="G3603" s="79"/>
    </row>
    <row r="3604" spans="2:7" x14ac:dyDescent="0.35">
      <c r="B3604" s="46"/>
      <c r="C3604" s="46"/>
      <c r="D3604" s="46"/>
      <c r="E3604" s="46"/>
      <c r="F3604" s="46"/>
      <c r="G3604" s="79"/>
    </row>
    <row r="3605" spans="2:7" x14ac:dyDescent="0.35">
      <c r="B3605" s="46"/>
      <c r="C3605" s="46"/>
      <c r="D3605" s="46"/>
      <c r="E3605" s="46"/>
      <c r="F3605" s="46"/>
      <c r="G3605" s="79"/>
    </row>
    <row r="3606" spans="2:7" x14ac:dyDescent="0.35">
      <c r="B3606" s="46"/>
      <c r="C3606" s="46"/>
      <c r="D3606" s="46"/>
      <c r="E3606" s="46"/>
      <c r="F3606" s="46"/>
      <c r="G3606" s="79"/>
    </row>
    <row r="3607" spans="2:7" x14ac:dyDescent="0.35">
      <c r="B3607" s="46"/>
      <c r="C3607" s="46"/>
      <c r="D3607" s="46"/>
      <c r="E3607" s="46"/>
      <c r="F3607" s="46"/>
      <c r="G3607" s="79"/>
    </row>
    <row r="3608" spans="2:7" x14ac:dyDescent="0.35">
      <c r="B3608" s="46"/>
      <c r="C3608" s="46"/>
      <c r="D3608" s="46"/>
      <c r="E3608" s="46"/>
      <c r="F3608" s="46"/>
      <c r="G3608" s="79"/>
    </row>
    <row r="3609" spans="2:7" x14ac:dyDescent="0.35">
      <c r="B3609" s="46"/>
      <c r="C3609" s="46"/>
      <c r="D3609" s="46"/>
      <c r="E3609" s="46"/>
      <c r="F3609" s="46"/>
      <c r="G3609" s="79"/>
    </row>
    <row r="3610" spans="2:7" x14ac:dyDescent="0.35">
      <c r="B3610" s="46"/>
      <c r="C3610" s="46"/>
      <c r="D3610" s="46"/>
      <c r="E3610" s="46"/>
      <c r="F3610" s="46"/>
      <c r="G3610" s="79"/>
    </row>
    <row r="3611" spans="2:7" x14ac:dyDescent="0.35">
      <c r="B3611" s="46"/>
      <c r="C3611" s="46"/>
      <c r="D3611" s="46"/>
      <c r="E3611" s="46"/>
      <c r="F3611" s="46"/>
      <c r="G3611" s="79"/>
    </row>
    <row r="3612" spans="2:7" x14ac:dyDescent="0.35">
      <c r="B3612" s="46"/>
      <c r="C3612" s="46"/>
      <c r="D3612" s="46"/>
      <c r="E3612" s="46"/>
      <c r="F3612" s="46"/>
      <c r="G3612" s="79"/>
    </row>
    <row r="3613" spans="2:7" x14ac:dyDescent="0.35">
      <c r="B3613" s="46"/>
      <c r="C3613" s="46"/>
      <c r="D3613" s="46"/>
      <c r="E3613" s="46"/>
      <c r="F3613" s="46"/>
      <c r="G3613" s="79"/>
    </row>
    <row r="3614" spans="2:7" x14ac:dyDescent="0.35">
      <c r="B3614" s="46"/>
      <c r="C3614" s="46"/>
      <c r="D3614" s="46"/>
      <c r="E3614" s="46"/>
      <c r="F3614" s="46"/>
      <c r="G3614" s="79"/>
    </row>
    <row r="3615" spans="2:7" x14ac:dyDescent="0.35">
      <c r="B3615" s="46"/>
      <c r="C3615" s="46"/>
      <c r="D3615" s="46"/>
      <c r="E3615" s="46"/>
      <c r="F3615" s="46"/>
      <c r="G3615" s="79"/>
    </row>
    <row r="3616" spans="2:7" x14ac:dyDescent="0.35">
      <c r="B3616" s="46"/>
      <c r="C3616" s="46"/>
      <c r="D3616" s="46"/>
      <c r="E3616" s="46"/>
      <c r="F3616" s="46"/>
      <c r="G3616" s="79"/>
    </row>
    <row r="3617" spans="2:7" x14ac:dyDescent="0.35">
      <c r="B3617" s="46"/>
      <c r="C3617" s="46"/>
      <c r="D3617" s="46"/>
      <c r="E3617" s="46"/>
      <c r="F3617" s="46"/>
      <c r="G3617" s="79"/>
    </row>
    <row r="3618" spans="2:7" x14ac:dyDescent="0.35">
      <c r="B3618" s="46"/>
      <c r="C3618" s="46"/>
      <c r="D3618" s="46"/>
      <c r="E3618" s="46"/>
      <c r="F3618" s="46"/>
      <c r="G3618" s="79"/>
    </row>
    <row r="3619" spans="2:7" x14ac:dyDescent="0.35">
      <c r="B3619" s="46"/>
      <c r="C3619" s="46"/>
      <c r="D3619" s="46"/>
      <c r="E3619" s="46"/>
      <c r="F3619" s="46"/>
      <c r="G3619" s="79"/>
    </row>
    <row r="3620" spans="2:7" x14ac:dyDescent="0.35">
      <c r="B3620" s="46"/>
      <c r="C3620" s="46"/>
      <c r="D3620" s="46"/>
      <c r="E3620" s="46"/>
      <c r="F3620" s="46"/>
      <c r="G3620" s="79"/>
    </row>
    <row r="3621" spans="2:7" x14ac:dyDescent="0.35">
      <c r="B3621" s="46"/>
      <c r="C3621" s="46"/>
      <c r="D3621" s="46"/>
      <c r="E3621" s="46"/>
      <c r="F3621" s="46"/>
      <c r="G3621" s="79"/>
    </row>
    <row r="3622" spans="2:7" x14ac:dyDescent="0.35">
      <c r="B3622" s="46"/>
      <c r="C3622" s="46"/>
      <c r="D3622" s="46"/>
      <c r="E3622" s="46"/>
      <c r="F3622" s="46"/>
      <c r="G3622" s="79"/>
    </row>
    <row r="3623" spans="2:7" x14ac:dyDescent="0.35">
      <c r="B3623" s="46"/>
      <c r="C3623" s="46"/>
      <c r="D3623" s="46"/>
      <c r="E3623" s="46"/>
      <c r="F3623" s="46"/>
      <c r="G3623" s="79"/>
    </row>
    <row r="3624" spans="2:7" x14ac:dyDescent="0.35">
      <c r="B3624" s="46"/>
      <c r="C3624" s="46"/>
      <c r="D3624" s="46"/>
      <c r="E3624" s="46"/>
      <c r="F3624" s="46"/>
      <c r="G3624" s="79"/>
    </row>
    <row r="3625" spans="2:7" x14ac:dyDescent="0.35">
      <c r="B3625" s="46"/>
      <c r="C3625" s="46"/>
      <c r="D3625" s="46"/>
      <c r="E3625" s="46"/>
      <c r="F3625" s="46"/>
      <c r="G3625" s="79"/>
    </row>
    <row r="3626" spans="2:7" x14ac:dyDescent="0.35">
      <c r="B3626" s="46"/>
      <c r="C3626" s="46"/>
      <c r="D3626" s="46"/>
      <c r="E3626" s="46"/>
      <c r="F3626" s="46"/>
      <c r="G3626" s="79"/>
    </row>
    <row r="3627" spans="2:7" x14ac:dyDescent="0.35">
      <c r="B3627" s="46"/>
      <c r="C3627" s="46"/>
      <c r="D3627" s="46"/>
      <c r="E3627" s="46"/>
      <c r="F3627" s="46"/>
      <c r="G3627" s="79"/>
    </row>
    <row r="3628" spans="2:7" x14ac:dyDescent="0.35">
      <c r="B3628" s="46"/>
      <c r="C3628" s="46"/>
      <c r="D3628" s="46"/>
      <c r="E3628" s="46"/>
      <c r="F3628" s="46"/>
      <c r="G3628" s="79"/>
    </row>
    <row r="3629" spans="2:7" x14ac:dyDescent="0.35">
      <c r="B3629" s="46"/>
      <c r="C3629" s="46"/>
      <c r="D3629" s="46"/>
      <c r="E3629" s="46"/>
      <c r="F3629" s="46"/>
      <c r="G3629" s="79"/>
    </row>
    <row r="3630" spans="2:7" x14ac:dyDescent="0.35">
      <c r="B3630" s="46"/>
      <c r="C3630" s="46"/>
      <c r="D3630" s="46"/>
      <c r="E3630" s="46"/>
      <c r="F3630" s="46"/>
      <c r="G3630" s="79"/>
    </row>
    <row r="3631" spans="2:7" x14ac:dyDescent="0.35">
      <c r="B3631" s="46"/>
      <c r="C3631" s="46"/>
      <c r="D3631" s="46"/>
      <c r="E3631" s="46"/>
      <c r="F3631" s="46"/>
      <c r="G3631" s="79"/>
    </row>
    <row r="3632" spans="2:7" x14ac:dyDescent="0.35">
      <c r="B3632" s="46"/>
      <c r="C3632" s="46"/>
      <c r="D3632" s="46"/>
      <c r="E3632" s="46"/>
      <c r="F3632" s="46"/>
      <c r="G3632" s="79"/>
    </row>
    <row r="3633" spans="2:7" x14ac:dyDescent="0.35">
      <c r="B3633" s="46"/>
      <c r="C3633" s="46"/>
      <c r="D3633" s="46"/>
      <c r="E3633" s="46"/>
      <c r="F3633" s="46"/>
      <c r="G3633" s="79"/>
    </row>
    <row r="3634" spans="2:7" x14ac:dyDescent="0.35">
      <c r="B3634" s="46"/>
      <c r="C3634" s="46"/>
      <c r="D3634" s="46"/>
      <c r="E3634" s="46"/>
      <c r="F3634" s="46"/>
      <c r="G3634" s="79"/>
    </row>
    <row r="3635" spans="2:7" x14ac:dyDescent="0.35">
      <c r="B3635" s="46"/>
      <c r="C3635" s="46"/>
      <c r="D3635" s="46"/>
      <c r="E3635" s="46"/>
      <c r="F3635" s="46"/>
      <c r="G3635" s="79"/>
    </row>
    <row r="3636" spans="2:7" x14ac:dyDescent="0.35">
      <c r="B3636" s="46"/>
      <c r="C3636" s="46"/>
      <c r="D3636" s="46"/>
      <c r="E3636" s="46"/>
      <c r="F3636" s="46"/>
      <c r="G3636" s="79"/>
    </row>
    <row r="3637" spans="2:7" x14ac:dyDescent="0.35">
      <c r="B3637" s="46"/>
      <c r="C3637" s="46"/>
      <c r="D3637" s="46"/>
      <c r="E3637" s="46"/>
      <c r="F3637" s="46"/>
      <c r="G3637" s="79"/>
    </row>
    <row r="3638" spans="2:7" x14ac:dyDescent="0.35">
      <c r="B3638" s="46"/>
      <c r="C3638" s="46"/>
      <c r="D3638" s="46"/>
      <c r="E3638" s="46"/>
      <c r="F3638" s="46"/>
      <c r="G3638" s="79"/>
    </row>
    <row r="3639" spans="2:7" x14ac:dyDescent="0.35">
      <c r="B3639" s="46"/>
      <c r="C3639" s="46"/>
      <c r="D3639" s="46"/>
      <c r="E3639" s="46"/>
      <c r="F3639" s="46"/>
      <c r="G3639" s="79"/>
    </row>
    <row r="3640" spans="2:7" x14ac:dyDescent="0.35">
      <c r="B3640" s="46"/>
      <c r="C3640" s="46"/>
      <c r="D3640" s="46"/>
      <c r="E3640" s="46"/>
      <c r="F3640" s="46"/>
      <c r="G3640" s="79"/>
    </row>
    <row r="3641" spans="2:7" x14ac:dyDescent="0.35">
      <c r="B3641" s="46"/>
      <c r="C3641" s="46"/>
      <c r="D3641" s="46"/>
      <c r="E3641" s="46"/>
      <c r="F3641" s="46"/>
      <c r="G3641" s="79"/>
    </row>
    <row r="3642" spans="2:7" x14ac:dyDescent="0.35">
      <c r="B3642" s="46"/>
      <c r="C3642" s="46"/>
      <c r="D3642" s="46"/>
      <c r="E3642" s="46"/>
      <c r="F3642" s="46"/>
      <c r="G3642" s="79"/>
    </row>
    <row r="3643" spans="2:7" x14ac:dyDescent="0.35">
      <c r="B3643" s="46"/>
      <c r="C3643" s="46"/>
      <c r="D3643" s="46"/>
      <c r="E3643" s="46"/>
      <c r="F3643" s="46"/>
      <c r="G3643" s="79"/>
    </row>
    <row r="3644" spans="2:7" x14ac:dyDescent="0.35">
      <c r="B3644" s="46"/>
      <c r="C3644" s="46"/>
      <c r="D3644" s="46"/>
      <c r="E3644" s="46"/>
      <c r="F3644" s="46"/>
      <c r="G3644" s="79"/>
    </row>
    <row r="3645" spans="2:7" x14ac:dyDescent="0.35">
      <c r="B3645" s="46"/>
      <c r="C3645" s="46"/>
      <c r="D3645" s="46"/>
      <c r="E3645" s="46"/>
      <c r="F3645" s="46"/>
      <c r="G3645" s="79"/>
    </row>
    <row r="3646" spans="2:7" x14ac:dyDescent="0.35">
      <c r="B3646" s="46"/>
      <c r="C3646" s="46"/>
      <c r="D3646" s="46"/>
      <c r="E3646" s="46"/>
      <c r="F3646" s="46"/>
      <c r="G3646" s="79"/>
    </row>
    <row r="3647" spans="2:7" x14ac:dyDescent="0.35">
      <c r="B3647" s="46"/>
      <c r="C3647" s="46"/>
      <c r="D3647" s="46"/>
      <c r="E3647" s="46"/>
      <c r="F3647" s="46"/>
      <c r="G3647" s="79"/>
    </row>
    <row r="3648" spans="2:7" x14ac:dyDescent="0.35">
      <c r="B3648" s="46"/>
      <c r="C3648" s="46"/>
      <c r="D3648" s="46"/>
      <c r="E3648" s="46"/>
      <c r="F3648" s="46"/>
      <c r="G3648" s="79"/>
    </row>
    <row r="3649" spans="2:7" x14ac:dyDescent="0.35">
      <c r="B3649" s="46"/>
      <c r="C3649" s="46"/>
      <c r="D3649" s="46"/>
      <c r="E3649" s="46"/>
      <c r="F3649" s="46"/>
      <c r="G3649" s="79"/>
    </row>
    <row r="3650" spans="2:7" x14ac:dyDescent="0.35">
      <c r="B3650" s="46"/>
      <c r="C3650" s="46"/>
      <c r="D3650" s="46"/>
      <c r="E3650" s="46"/>
      <c r="F3650" s="46"/>
      <c r="G3650" s="79"/>
    </row>
    <row r="3651" spans="2:7" x14ac:dyDescent="0.35">
      <c r="B3651" s="46"/>
      <c r="C3651" s="46"/>
      <c r="D3651" s="46"/>
      <c r="E3651" s="46"/>
      <c r="F3651" s="46"/>
      <c r="G3651" s="79"/>
    </row>
    <row r="3652" spans="2:7" x14ac:dyDescent="0.35">
      <c r="B3652" s="46"/>
      <c r="C3652" s="46"/>
      <c r="D3652" s="46"/>
      <c r="E3652" s="46"/>
      <c r="F3652" s="46"/>
      <c r="G3652" s="79"/>
    </row>
    <row r="3653" spans="2:7" x14ac:dyDescent="0.35">
      <c r="B3653" s="46"/>
      <c r="C3653" s="46"/>
      <c r="D3653" s="46"/>
      <c r="E3653" s="46"/>
      <c r="F3653" s="46"/>
      <c r="G3653" s="79"/>
    </row>
    <row r="3654" spans="2:7" x14ac:dyDescent="0.35">
      <c r="B3654" s="46"/>
      <c r="C3654" s="46"/>
      <c r="D3654" s="46"/>
      <c r="E3654" s="46"/>
      <c r="F3654" s="46"/>
      <c r="G3654" s="79"/>
    </row>
    <row r="3655" spans="2:7" x14ac:dyDescent="0.35">
      <c r="B3655" s="46"/>
      <c r="C3655" s="46"/>
      <c r="D3655" s="46"/>
      <c r="E3655" s="46"/>
      <c r="F3655" s="46"/>
      <c r="G3655" s="79"/>
    </row>
    <row r="3656" spans="2:7" x14ac:dyDescent="0.35">
      <c r="B3656" s="46"/>
      <c r="C3656" s="46"/>
      <c r="D3656" s="46"/>
      <c r="E3656" s="46"/>
      <c r="F3656" s="46"/>
      <c r="G3656" s="79"/>
    </row>
    <row r="3657" spans="2:7" x14ac:dyDescent="0.35">
      <c r="B3657" s="46"/>
      <c r="C3657" s="46"/>
      <c r="D3657" s="46"/>
      <c r="E3657" s="46"/>
      <c r="F3657" s="46"/>
      <c r="G3657" s="79"/>
    </row>
    <row r="3658" spans="2:7" x14ac:dyDescent="0.35">
      <c r="B3658" s="46"/>
      <c r="C3658" s="46"/>
      <c r="D3658" s="46"/>
      <c r="E3658" s="46"/>
      <c r="F3658" s="46"/>
      <c r="G3658" s="79"/>
    </row>
    <row r="3659" spans="2:7" x14ac:dyDescent="0.35">
      <c r="B3659" s="46"/>
      <c r="C3659" s="46"/>
      <c r="D3659" s="46"/>
      <c r="E3659" s="46"/>
      <c r="F3659" s="46"/>
      <c r="G3659" s="79"/>
    </row>
    <row r="3660" spans="2:7" x14ac:dyDescent="0.35">
      <c r="B3660" s="46"/>
      <c r="C3660" s="46"/>
      <c r="D3660" s="46"/>
      <c r="E3660" s="46"/>
      <c r="F3660" s="46"/>
      <c r="G3660" s="79"/>
    </row>
    <row r="3661" spans="2:7" x14ac:dyDescent="0.35">
      <c r="B3661" s="46"/>
      <c r="C3661" s="46"/>
      <c r="D3661" s="46"/>
      <c r="E3661" s="46"/>
      <c r="F3661" s="46"/>
      <c r="G3661" s="79"/>
    </row>
    <row r="3662" spans="2:7" x14ac:dyDescent="0.35">
      <c r="B3662" s="46"/>
      <c r="C3662" s="46"/>
      <c r="D3662" s="46"/>
      <c r="E3662" s="46"/>
      <c r="F3662" s="46"/>
      <c r="G3662" s="79"/>
    </row>
    <row r="3663" spans="2:7" x14ac:dyDescent="0.35">
      <c r="B3663" s="46"/>
      <c r="C3663" s="46"/>
      <c r="D3663" s="46"/>
      <c r="E3663" s="46"/>
      <c r="F3663" s="46"/>
      <c r="G3663" s="79"/>
    </row>
    <row r="3664" spans="2:7" x14ac:dyDescent="0.35">
      <c r="B3664" s="46"/>
      <c r="C3664" s="46"/>
      <c r="D3664" s="46"/>
      <c r="E3664" s="46"/>
      <c r="F3664" s="46"/>
      <c r="G3664" s="79"/>
    </row>
    <row r="3665" spans="2:7" x14ac:dyDescent="0.35">
      <c r="B3665" s="46"/>
      <c r="C3665" s="46"/>
      <c r="D3665" s="46"/>
      <c r="E3665" s="46"/>
      <c r="F3665" s="46"/>
      <c r="G3665" s="79"/>
    </row>
    <row r="3666" spans="2:7" x14ac:dyDescent="0.35">
      <c r="B3666" s="46"/>
      <c r="C3666" s="46"/>
      <c r="D3666" s="46"/>
      <c r="E3666" s="46"/>
      <c r="F3666" s="46"/>
      <c r="G3666" s="79"/>
    </row>
    <row r="3667" spans="2:7" x14ac:dyDescent="0.35">
      <c r="B3667" s="46"/>
      <c r="C3667" s="46"/>
      <c r="D3667" s="46"/>
      <c r="E3667" s="46"/>
      <c r="F3667" s="46"/>
      <c r="G3667" s="79"/>
    </row>
    <row r="3668" spans="2:7" x14ac:dyDescent="0.35">
      <c r="B3668" s="46"/>
      <c r="C3668" s="46"/>
      <c r="D3668" s="46"/>
      <c r="E3668" s="46"/>
      <c r="F3668" s="46"/>
      <c r="G3668" s="79"/>
    </row>
    <row r="3669" spans="2:7" x14ac:dyDescent="0.35">
      <c r="B3669" s="46"/>
      <c r="C3669" s="46"/>
      <c r="D3669" s="46"/>
      <c r="E3669" s="46"/>
      <c r="F3669" s="46"/>
      <c r="G3669" s="79"/>
    </row>
    <row r="3670" spans="2:7" x14ac:dyDescent="0.35">
      <c r="B3670" s="46"/>
      <c r="C3670" s="46"/>
      <c r="D3670" s="46"/>
      <c r="E3670" s="46"/>
      <c r="F3670" s="46"/>
      <c r="G3670" s="79"/>
    </row>
    <row r="3671" spans="2:7" x14ac:dyDescent="0.35">
      <c r="B3671" s="46"/>
      <c r="C3671" s="46"/>
      <c r="D3671" s="46"/>
      <c r="E3671" s="46"/>
      <c r="F3671" s="46"/>
      <c r="G3671" s="79"/>
    </row>
    <row r="3672" spans="2:7" x14ac:dyDescent="0.35">
      <c r="B3672" s="46"/>
      <c r="C3672" s="46"/>
      <c r="D3672" s="46"/>
      <c r="E3672" s="46"/>
      <c r="F3672" s="46"/>
      <c r="G3672" s="79"/>
    </row>
    <row r="3673" spans="2:7" x14ac:dyDescent="0.35">
      <c r="B3673" s="46"/>
      <c r="C3673" s="46"/>
      <c r="D3673" s="46"/>
      <c r="E3673" s="46"/>
      <c r="F3673" s="46"/>
      <c r="G3673" s="79"/>
    </row>
    <row r="3674" spans="2:7" x14ac:dyDescent="0.35">
      <c r="B3674" s="46"/>
      <c r="C3674" s="46"/>
      <c r="D3674" s="46"/>
      <c r="E3674" s="46"/>
      <c r="F3674" s="46"/>
      <c r="G3674" s="79"/>
    </row>
    <row r="3675" spans="2:7" x14ac:dyDescent="0.35">
      <c r="B3675" s="46"/>
      <c r="C3675" s="46"/>
      <c r="D3675" s="46"/>
      <c r="E3675" s="46"/>
      <c r="F3675" s="46"/>
      <c r="G3675" s="79"/>
    </row>
    <row r="3676" spans="2:7" x14ac:dyDescent="0.35">
      <c r="B3676" s="46"/>
      <c r="C3676" s="46"/>
      <c r="D3676" s="46"/>
      <c r="E3676" s="46"/>
      <c r="F3676" s="46"/>
      <c r="G3676" s="79"/>
    </row>
    <row r="3677" spans="2:7" x14ac:dyDescent="0.35">
      <c r="B3677" s="46"/>
      <c r="C3677" s="46"/>
      <c r="D3677" s="46"/>
      <c r="E3677" s="46"/>
      <c r="F3677" s="46"/>
      <c r="G3677" s="79"/>
    </row>
    <row r="3678" spans="2:7" x14ac:dyDescent="0.35">
      <c r="B3678" s="46"/>
      <c r="C3678" s="46"/>
      <c r="D3678" s="46"/>
      <c r="E3678" s="46"/>
      <c r="F3678" s="46"/>
      <c r="G3678" s="79"/>
    </row>
    <row r="3679" spans="2:7" x14ac:dyDescent="0.35">
      <c r="B3679" s="46"/>
      <c r="C3679" s="46"/>
      <c r="D3679" s="46"/>
      <c r="E3679" s="46"/>
      <c r="F3679" s="46"/>
      <c r="G3679" s="79"/>
    </row>
    <row r="3680" spans="2:7" x14ac:dyDescent="0.35">
      <c r="B3680" s="46"/>
      <c r="C3680" s="46"/>
      <c r="D3680" s="46"/>
      <c r="E3680" s="46"/>
      <c r="F3680" s="46"/>
      <c r="G3680" s="79"/>
    </row>
    <row r="3681" spans="2:7" x14ac:dyDescent="0.35">
      <c r="B3681" s="46"/>
      <c r="C3681" s="46"/>
      <c r="D3681" s="46"/>
      <c r="E3681" s="46"/>
      <c r="F3681" s="46"/>
      <c r="G3681" s="79"/>
    </row>
    <row r="3682" spans="2:7" x14ac:dyDescent="0.35">
      <c r="B3682" s="46"/>
      <c r="C3682" s="46"/>
      <c r="D3682" s="46"/>
      <c r="E3682" s="46"/>
      <c r="F3682" s="46"/>
      <c r="G3682" s="79"/>
    </row>
    <row r="3683" spans="2:7" x14ac:dyDescent="0.35">
      <c r="B3683" s="46"/>
      <c r="C3683" s="46"/>
      <c r="D3683" s="46"/>
      <c r="E3683" s="46"/>
      <c r="F3683" s="46"/>
      <c r="G3683" s="79"/>
    </row>
    <row r="3684" spans="2:7" x14ac:dyDescent="0.35">
      <c r="B3684" s="46"/>
      <c r="C3684" s="46"/>
      <c r="D3684" s="46"/>
      <c r="E3684" s="46"/>
      <c r="F3684" s="46"/>
      <c r="G3684" s="79"/>
    </row>
    <row r="3685" spans="2:7" x14ac:dyDescent="0.35">
      <c r="B3685" s="46"/>
      <c r="C3685" s="46"/>
      <c r="D3685" s="46"/>
      <c r="E3685" s="46"/>
      <c r="F3685" s="46"/>
      <c r="G3685" s="79"/>
    </row>
    <row r="3686" spans="2:7" x14ac:dyDescent="0.35">
      <c r="B3686" s="46"/>
      <c r="C3686" s="46"/>
      <c r="D3686" s="46"/>
      <c r="E3686" s="46"/>
      <c r="F3686" s="46"/>
      <c r="G3686" s="79"/>
    </row>
    <row r="3687" spans="2:7" x14ac:dyDescent="0.35">
      <c r="B3687" s="46"/>
      <c r="C3687" s="46"/>
      <c r="D3687" s="46"/>
      <c r="E3687" s="46"/>
      <c r="F3687" s="46"/>
      <c r="G3687" s="79"/>
    </row>
    <row r="3688" spans="2:7" x14ac:dyDescent="0.35">
      <c r="B3688" s="46"/>
      <c r="C3688" s="46"/>
      <c r="D3688" s="46"/>
      <c r="E3688" s="46"/>
      <c r="F3688" s="46"/>
      <c r="G3688" s="79"/>
    </row>
    <row r="3689" spans="2:7" x14ac:dyDescent="0.35">
      <c r="B3689" s="46"/>
      <c r="C3689" s="46"/>
      <c r="D3689" s="46"/>
      <c r="E3689" s="46"/>
      <c r="F3689" s="46"/>
      <c r="G3689" s="79"/>
    </row>
    <row r="3690" spans="2:7" x14ac:dyDescent="0.35">
      <c r="B3690" s="46"/>
      <c r="C3690" s="46"/>
      <c r="D3690" s="46"/>
      <c r="E3690" s="46"/>
      <c r="F3690" s="46"/>
      <c r="G3690" s="79"/>
    </row>
    <row r="3691" spans="2:7" x14ac:dyDescent="0.35">
      <c r="B3691" s="46"/>
      <c r="C3691" s="46"/>
      <c r="D3691" s="46"/>
      <c r="E3691" s="46"/>
      <c r="F3691" s="46"/>
      <c r="G3691" s="79"/>
    </row>
    <row r="3692" spans="2:7" x14ac:dyDescent="0.35">
      <c r="B3692" s="46"/>
      <c r="C3692" s="46"/>
      <c r="D3692" s="46"/>
      <c r="E3692" s="46"/>
      <c r="F3692" s="46"/>
      <c r="G3692" s="79"/>
    </row>
    <row r="3693" spans="2:7" x14ac:dyDescent="0.35">
      <c r="B3693" s="46"/>
      <c r="C3693" s="46"/>
      <c r="D3693" s="46"/>
      <c r="E3693" s="46"/>
      <c r="F3693" s="46"/>
      <c r="G3693" s="79"/>
    </row>
    <row r="3694" spans="2:7" x14ac:dyDescent="0.35">
      <c r="B3694" s="46"/>
      <c r="C3694" s="46"/>
      <c r="D3694" s="46"/>
      <c r="E3694" s="46"/>
      <c r="F3694" s="46"/>
      <c r="G3694" s="79"/>
    </row>
    <row r="3695" spans="2:7" x14ac:dyDescent="0.35">
      <c r="B3695" s="46"/>
      <c r="C3695" s="46"/>
      <c r="D3695" s="46"/>
      <c r="E3695" s="46"/>
      <c r="F3695" s="46"/>
      <c r="G3695" s="79"/>
    </row>
    <row r="3696" spans="2:7" x14ac:dyDescent="0.35">
      <c r="B3696" s="46"/>
      <c r="C3696" s="46"/>
      <c r="D3696" s="46"/>
      <c r="E3696" s="46"/>
      <c r="F3696" s="46"/>
      <c r="G3696" s="79"/>
    </row>
    <row r="3697" spans="2:7" x14ac:dyDescent="0.35">
      <c r="B3697" s="46"/>
      <c r="C3697" s="46"/>
      <c r="D3697" s="46"/>
      <c r="E3697" s="46"/>
      <c r="F3697" s="46"/>
      <c r="G3697" s="79"/>
    </row>
    <row r="3698" spans="2:7" x14ac:dyDescent="0.35">
      <c r="B3698" s="46"/>
      <c r="C3698" s="46"/>
      <c r="D3698" s="46"/>
      <c r="E3698" s="46"/>
      <c r="F3698" s="46"/>
      <c r="G3698" s="79"/>
    </row>
    <row r="3699" spans="2:7" x14ac:dyDescent="0.35">
      <c r="B3699" s="46"/>
      <c r="C3699" s="46"/>
      <c r="D3699" s="46"/>
      <c r="E3699" s="46"/>
      <c r="F3699" s="46"/>
      <c r="G3699" s="79"/>
    </row>
    <row r="3700" spans="2:7" x14ac:dyDescent="0.35">
      <c r="B3700" s="46"/>
      <c r="C3700" s="46"/>
      <c r="D3700" s="46"/>
      <c r="E3700" s="46"/>
      <c r="F3700" s="46"/>
      <c r="G3700" s="79"/>
    </row>
    <row r="3701" spans="2:7" x14ac:dyDescent="0.35">
      <c r="B3701" s="46"/>
      <c r="C3701" s="46"/>
      <c r="D3701" s="46"/>
      <c r="E3701" s="46"/>
      <c r="F3701" s="46"/>
      <c r="G3701" s="79"/>
    </row>
    <row r="3702" spans="2:7" x14ac:dyDescent="0.35">
      <c r="B3702" s="46"/>
      <c r="C3702" s="46"/>
      <c r="D3702" s="46"/>
      <c r="E3702" s="46"/>
      <c r="F3702" s="46"/>
      <c r="G3702" s="79"/>
    </row>
    <row r="3703" spans="2:7" x14ac:dyDescent="0.35">
      <c r="B3703" s="46"/>
      <c r="C3703" s="46"/>
      <c r="D3703" s="46"/>
      <c r="E3703" s="46"/>
      <c r="F3703" s="46"/>
      <c r="G3703" s="79"/>
    </row>
    <row r="3704" spans="2:7" x14ac:dyDescent="0.35">
      <c r="B3704" s="46"/>
      <c r="C3704" s="46"/>
      <c r="D3704" s="46"/>
      <c r="E3704" s="46"/>
      <c r="F3704" s="46"/>
      <c r="G3704" s="79"/>
    </row>
    <row r="3705" spans="2:7" x14ac:dyDescent="0.35">
      <c r="B3705" s="46"/>
      <c r="C3705" s="46"/>
      <c r="D3705" s="46"/>
      <c r="E3705" s="46"/>
      <c r="F3705" s="46"/>
      <c r="G3705" s="79"/>
    </row>
    <row r="3706" spans="2:7" x14ac:dyDescent="0.35">
      <c r="B3706" s="46"/>
      <c r="C3706" s="46"/>
      <c r="D3706" s="46"/>
      <c r="E3706" s="46"/>
      <c r="F3706" s="46"/>
      <c r="G3706" s="79"/>
    </row>
    <row r="3707" spans="2:7" x14ac:dyDescent="0.35">
      <c r="B3707" s="46"/>
      <c r="C3707" s="46"/>
      <c r="D3707" s="46"/>
      <c r="E3707" s="46"/>
      <c r="F3707" s="46"/>
      <c r="G3707" s="79"/>
    </row>
    <row r="3708" spans="2:7" x14ac:dyDescent="0.35">
      <c r="B3708" s="46"/>
      <c r="C3708" s="46"/>
      <c r="D3708" s="46"/>
      <c r="E3708" s="46"/>
      <c r="F3708" s="46"/>
      <c r="G3708" s="79"/>
    </row>
    <row r="3709" spans="2:7" x14ac:dyDescent="0.35">
      <c r="B3709" s="46"/>
      <c r="C3709" s="46"/>
      <c r="D3709" s="46"/>
      <c r="E3709" s="46"/>
      <c r="F3709" s="46"/>
      <c r="G3709" s="79"/>
    </row>
    <row r="3710" spans="2:7" x14ac:dyDescent="0.35">
      <c r="B3710" s="46"/>
      <c r="C3710" s="46"/>
      <c r="D3710" s="46"/>
      <c r="E3710" s="46"/>
      <c r="F3710" s="46"/>
      <c r="G3710" s="79"/>
    </row>
    <row r="3711" spans="2:7" x14ac:dyDescent="0.35">
      <c r="B3711" s="46"/>
      <c r="C3711" s="46"/>
      <c r="D3711" s="46"/>
      <c r="E3711" s="46"/>
      <c r="F3711" s="46"/>
      <c r="G3711" s="79"/>
    </row>
    <row r="3712" spans="2:7" x14ac:dyDescent="0.35">
      <c r="B3712" s="46"/>
      <c r="C3712" s="46"/>
      <c r="D3712" s="46"/>
      <c r="E3712" s="46"/>
      <c r="F3712" s="46"/>
      <c r="G3712" s="79"/>
    </row>
    <row r="3713" spans="2:7" x14ac:dyDescent="0.35">
      <c r="B3713" s="46"/>
      <c r="C3713" s="46"/>
      <c r="D3713" s="46"/>
      <c r="E3713" s="46"/>
      <c r="F3713" s="46"/>
      <c r="G3713" s="79"/>
    </row>
    <row r="3714" spans="2:7" x14ac:dyDescent="0.35">
      <c r="B3714" s="46"/>
      <c r="C3714" s="46"/>
      <c r="D3714" s="46"/>
      <c r="E3714" s="46"/>
      <c r="F3714" s="46"/>
      <c r="G3714" s="79"/>
    </row>
    <row r="3715" spans="2:7" x14ac:dyDescent="0.35">
      <c r="B3715" s="46"/>
      <c r="C3715" s="46"/>
      <c r="D3715" s="46"/>
      <c r="E3715" s="46"/>
      <c r="F3715" s="46"/>
      <c r="G3715" s="79"/>
    </row>
    <row r="3716" spans="2:7" x14ac:dyDescent="0.35">
      <c r="B3716" s="46"/>
      <c r="C3716" s="46"/>
      <c r="D3716" s="46"/>
      <c r="E3716" s="46"/>
      <c r="F3716" s="46"/>
      <c r="G3716" s="79"/>
    </row>
    <row r="3717" spans="2:7" x14ac:dyDescent="0.35">
      <c r="B3717" s="46"/>
      <c r="C3717" s="46"/>
      <c r="D3717" s="46"/>
      <c r="E3717" s="46"/>
      <c r="F3717" s="46"/>
      <c r="G3717" s="79"/>
    </row>
    <row r="3718" spans="2:7" x14ac:dyDescent="0.35">
      <c r="B3718" s="46"/>
      <c r="C3718" s="46"/>
      <c r="D3718" s="46"/>
      <c r="E3718" s="46"/>
      <c r="F3718" s="46"/>
      <c r="G3718" s="79"/>
    </row>
    <row r="3719" spans="2:7" x14ac:dyDescent="0.35">
      <c r="B3719" s="46"/>
      <c r="C3719" s="46"/>
      <c r="D3719" s="46"/>
      <c r="E3719" s="46"/>
      <c r="F3719" s="46"/>
      <c r="G3719" s="79"/>
    </row>
    <row r="3720" spans="2:7" x14ac:dyDescent="0.35">
      <c r="B3720" s="46"/>
      <c r="C3720" s="46"/>
      <c r="D3720" s="46"/>
      <c r="E3720" s="46"/>
      <c r="F3720" s="46"/>
      <c r="G3720" s="79"/>
    </row>
    <row r="3721" spans="2:7" x14ac:dyDescent="0.35">
      <c r="B3721" s="46"/>
      <c r="C3721" s="46"/>
      <c r="D3721" s="46"/>
      <c r="E3721" s="46"/>
      <c r="F3721" s="46"/>
      <c r="G3721" s="79"/>
    </row>
    <row r="3722" spans="2:7" x14ac:dyDescent="0.35">
      <c r="B3722" s="46"/>
      <c r="C3722" s="46"/>
      <c r="D3722" s="46"/>
      <c r="E3722" s="46"/>
      <c r="F3722" s="46"/>
      <c r="G3722" s="79"/>
    </row>
    <row r="3723" spans="2:7" x14ac:dyDescent="0.35">
      <c r="B3723" s="46"/>
      <c r="C3723" s="46"/>
      <c r="D3723" s="46"/>
      <c r="E3723" s="46"/>
      <c r="F3723" s="46"/>
      <c r="G3723" s="79"/>
    </row>
    <row r="3724" spans="2:7" x14ac:dyDescent="0.35">
      <c r="B3724" s="46"/>
      <c r="C3724" s="46"/>
      <c r="D3724" s="46"/>
      <c r="E3724" s="46"/>
      <c r="F3724" s="46"/>
      <c r="G3724" s="79"/>
    </row>
    <row r="3725" spans="2:7" x14ac:dyDescent="0.35">
      <c r="B3725" s="46"/>
      <c r="C3725" s="46"/>
      <c r="D3725" s="46"/>
      <c r="E3725" s="46"/>
      <c r="F3725" s="46"/>
      <c r="G3725" s="79"/>
    </row>
    <row r="3726" spans="2:7" x14ac:dyDescent="0.35">
      <c r="B3726" s="46"/>
      <c r="C3726" s="46"/>
      <c r="D3726" s="46"/>
      <c r="E3726" s="46"/>
      <c r="F3726" s="46"/>
      <c r="G3726" s="79"/>
    </row>
    <row r="3727" spans="2:7" x14ac:dyDescent="0.35">
      <c r="B3727" s="46"/>
      <c r="C3727" s="46"/>
      <c r="D3727" s="46"/>
      <c r="E3727" s="46"/>
      <c r="F3727" s="46"/>
      <c r="G3727" s="79"/>
    </row>
    <row r="3728" spans="2:7" x14ac:dyDescent="0.35">
      <c r="B3728" s="46"/>
      <c r="C3728" s="46"/>
      <c r="D3728" s="46"/>
      <c r="E3728" s="46"/>
      <c r="F3728" s="46"/>
      <c r="G3728" s="79"/>
    </row>
    <row r="3729" spans="2:7" x14ac:dyDescent="0.35">
      <c r="B3729" s="46"/>
      <c r="C3729" s="46"/>
      <c r="D3729" s="46"/>
      <c r="E3729" s="46"/>
      <c r="F3729" s="46"/>
      <c r="G3729" s="79"/>
    </row>
    <row r="3730" spans="2:7" x14ac:dyDescent="0.35">
      <c r="B3730" s="46"/>
      <c r="C3730" s="46"/>
      <c r="D3730" s="46"/>
      <c r="E3730" s="46"/>
      <c r="F3730" s="46"/>
      <c r="G3730" s="79"/>
    </row>
    <row r="3731" spans="2:7" x14ac:dyDescent="0.35">
      <c r="B3731" s="46"/>
      <c r="C3731" s="46"/>
      <c r="D3731" s="46"/>
      <c r="E3731" s="46"/>
      <c r="F3731" s="46"/>
      <c r="G3731" s="79"/>
    </row>
    <row r="3732" spans="2:7" x14ac:dyDescent="0.35">
      <c r="B3732" s="46"/>
      <c r="C3732" s="46"/>
      <c r="D3732" s="46"/>
      <c r="E3732" s="46"/>
      <c r="F3732" s="46"/>
      <c r="G3732" s="79"/>
    </row>
    <row r="3733" spans="2:7" x14ac:dyDescent="0.35">
      <c r="B3733" s="46"/>
      <c r="C3733" s="46"/>
      <c r="D3733" s="46"/>
      <c r="E3733" s="46"/>
      <c r="F3733" s="46"/>
      <c r="G3733" s="79"/>
    </row>
    <row r="3734" spans="2:7" x14ac:dyDescent="0.35">
      <c r="B3734" s="46"/>
      <c r="C3734" s="46"/>
      <c r="D3734" s="46"/>
      <c r="E3734" s="46"/>
      <c r="F3734" s="46"/>
      <c r="G3734" s="79"/>
    </row>
    <row r="3735" spans="2:7" x14ac:dyDescent="0.35">
      <c r="B3735" s="46"/>
      <c r="C3735" s="46"/>
      <c r="D3735" s="46"/>
      <c r="E3735" s="46"/>
      <c r="F3735" s="46"/>
      <c r="G3735" s="79"/>
    </row>
    <row r="3736" spans="2:7" x14ac:dyDescent="0.35">
      <c r="B3736" s="46"/>
      <c r="C3736" s="46"/>
      <c r="D3736" s="46"/>
      <c r="E3736" s="46"/>
      <c r="F3736" s="46"/>
      <c r="G3736" s="79"/>
    </row>
    <row r="3737" spans="2:7" x14ac:dyDescent="0.35">
      <c r="B3737" s="46"/>
      <c r="C3737" s="46"/>
      <c r="D3737" s="46"/>
      <c r="E3737" s="46"/>
      <c r="F3737" s="46"/>
      <c r="G3737" s="79"/>
    </row>
    <row r="3738" spans="2:7" x14ac:dyDescent="0.35">
      <c r="B3738" s="46"/>
      <c r="C3738" s="46"/>
      <c r="D3738" s="46"/>
      <c r="E3738" s="46"/>
      <c r="F3738" s="46"/>
      <c r="G3738" s="79"/>
    </row>
    <row r="3739" spans="2:7" x14ac:dyDescent="0.35">
      <c r="B3739" s="46"/>
      <c r="C3739" s="46"/>
      <c r="D3739" s="46"/>
      <c r="E3739" s="46"/>
      <c r="F3739" s="46"/>
      <c r="G3739" s="79"/>
    </row>
    <row r="3740" spans="2:7" x14ac:dyDescent="0.35">
      <c r="B3740" s="46"/>
      <c r="C3740" s="46"/>
      <c r="D3740" s="46"/>
      <c r="E3740" s="46"/>
      <c r="F3740" s="46"/>
      <c r="G3740" s="79"/>
    </row>
    <row r="3741" spans="2:7" x14ac:dyDescent="0.35">
      <c r="B3741" s="46"/>
      <c r="C3741" s="46"/>
      <c r="D3741" s="46"/>
      <c r="E3741" s="46"/>
      <c r="F3741" s="46"/>
      <c r="G3741" s="79"/>
    </row>
    <row r="3742" spans="2:7" x14ac:dyDescent="0.35">
      <c r="B3742" s="46"/>
      <c r="C3742" s="46"/>
      <c r="D3742" s="46"/>
      <c r="E3742" s="46"/>
      <c r="F3742" s="46"/>
      <c r="G3742" s="79"/>
    </row>
    <row r="3743" spans="2:7" x14ac:dyDescent="0.35">
      <c r="B3743" s="46"/>
      <c r="C3743" s="46"/>
      <c r="D3743" s="46"/>
      <c r="E3743" s="46"/>
      <c r="F3743" s="46"/>
      <c r="G3743" s="79"/>
    </row>
    <row r="3744" spans="2:7" x14ac:dyDescent="0.35">
      <c r="B3744" s="46"/>
      <c r="C3744" s="46"/>
      <c r="D3744" s="46"/>
      <c r="E3744" s="46"/>
      <c r="F3744" s="46"/>
      <c r="G3744" s="79"/>
    </row>
    <row r="3745" spans="2:7" x14ac:dyDescent="0.35">
      <c r="B3745" s="46"/>
      <c r="C3745" s="46"/>
      <c r="D3745" s="46"/>
      <c r="E3745" s="46"/>
      <c r="F3745" s="46"/>
      <c r="G3745" s="79"/>
    </row>
    <row r="3746" spans="2:7" x14ac:dyDescent="0.35">
      <c r="B3746" s="46"/>
      <c r="C3746" s="46"/>
      <c r="D3746" s="46"/>
      <c r="E3746" s="46"/>
      <c r="F3746" s="46"/>
      <c r="G3746" s="79"/>
    </row>
    <row r="3747" spans="2:7" x14ac:dyDescent="0.35">
      <c r="B3747" s="46"/>
      <c r="C3747" s="46"/>
      <c r="D3747" s="46"/>
      <c r="E3747" s="46"/>
      <c r="F3747" s="46"/>
      <c r="G3747" s="79"/>
    </row>
    <row r="3748" spans="2:7" x14ac:dyDescent="0.35">
      <c r="B3748" s="46"/>
      <c r="C3748" s="46"/>
      <c r="D3748" s="46"/>
      <c r="E3748" s="46"/>
      <c r="F3748" s="46"/>
      <c r="G3748" s="79"/>
    </row>
    <row r="3749" spans="2:7" x14ac:dyDescent="0.35">
      <c r="B3749" s="46"/>
      <c r="C3749" s="46"/>
      <c r="D3749" s="46"/>
      <c r="E3749" s="46"/>
      <c r="F3749" s="46"/>
      <c r="G3749" s="79"/>
    </row>
    <row r="3750" spans="2:7" x14ac:dyDescent="0.35">
      <c r="B3750" s="46"/>
      <c r="C3750" s="46"/>
      <c r="D3750" s="46"/>
      <c r="E3750" s="46"/>
      <c r="F3750" s="46"/>
      <c r="G3750" s="79"/>
    </row>
    <row r="3751" spans="2:7" x14ac:dyDescent="0.35">
      <c r="B3751" s="46"/>
      <c r="C3751" s="46"/>
      <c r="D3751" s="46"/>
      <c r="E3751" s="46"/>
      <c r="F3751" s="46"/>
      <c r="G3751" s="79"/>
    </row>
    <row r="3752" spans="2:7" x14ac:dyDescent="0.35">
      <c r="B3752" s="46"/>
      <c r="C3752" s="46"/>
      <c r="D3752" s="46"/>
      <c r="E3752" s="46"/>
      <c r="F3752" s="46"/>
      <c r="G3752" s="79"/>
    </row>
    <row r="3753" spans="2:7" x14ac:dyDescent="0.35">
      <c r="B3753" s="46"/>
      <c r="C3753" s="46"/>
      <c r="D3753" s="46"/>
      <c r="E3753" s="46"/>
      <c r="F3753" s="46"/>
      <c r="G3753" s="79"/>
    </row>
    <row r="3754" spans="2:7" x14ac:dyDescent="0.35">
      <c r="B3754" s="46"/>
      <c r="C3754" s="46"/>
      <c r="D3754" s="46"/>
      <c r="E3754" s="46"/>
      <c r="F3754" s="46"/>
      <c r="G3754" s="79"/>
    </row>
    <row r="3755" spans="2:7" x14ac:dyDescent="0.35">
      <c r="B3755" s="46"/>
      <c r="C3755" s="46"/>
      <c r="D3755" s="46"/>
      <c r="E3755" s="46"/>
      <c r="F3755" s="46"/>
      <c r="G3755" s="79"/>
    </row>
    <row r="3756" spans="2:7" x14ac:dyDescent="0.35">
      <c r="B3756" s="46"/>
      <c r="C3756" s="46"/>
      <c r="D3756" s="46"/>
      <c r="E3756" s="46"/>
      <c r="F3756" s="46"/>
      <c r="G3756" s="79"/>
    </row>
    <row r="3757" spans="2:7" x14ac:dyDescent="0.35">
      <c r="B3757" s="46"/>
      <c r="C3757" s="46"/>
      <c r="D3757" s="46"/>
      <c r="E3757" s="46"/>
      <c r="F3757" s="46"/>
      <c r="G3757" s="79"/>
    </row>
    <row r="3758" spans="2:7" x14ac:dyDescent="0.35">
      <c r="B3758" s="46"/>
      <c r="C3758" s="46"/>
      <c r="D3758" s="46"/>
      <c r="E3758" s="46"/>
      <c r="F3758" s="46"/>
      <c r="G3758" s="79"/>
    </row>
    <row r="3759" spans="2:7" x14ac:dyDescent="0.35">
      <c r="B3759" s="46"/>
      <c r="C3759" s="46"/>
      <c r="D3759" s="46"/>
      <c r="E3759" s="46"/>
      <c r="F3759" s="46"/>
      <c r="G3759" s="79"/>
    </row>
    <row r="3760" spans="2:7" x14ac:dyDescent="0.35">
      <c r="B3760" s="46"/>
      <c r="C3760" s="46"/>
      <c r="D3760" s="46"/>
      <c r="E3760" s="46"/>
      <c r="F3760" s="46"/>
      <c r="G3760" s="79"/>
    </row>
    <row r="3761" spans="2:7" x14ac:dyDescent="0.35">
      <c r="B3761" s="46"/>
      <c r="C3761" s="46"/>
      <c r="D3761" s="46"/>
      <c r="E3761" s="46"/>
      <c r="F3761" s="46"/>
      <c r="G3761" s="79"/>
    </row>
    <row r="3762" spans="2:7" x14ac:dyDescent="0.35">
      <c r="B3762" s="46"/>
      <c r="C3762" s="46"/>
      <c r="D3762" s="46"/>
      <c r="E3762" s="46"/>
      <c r="F3762" s="46"/>
      <c r="G3762" s="79"/>
    </row>
    <row r="3763" spans="2:7" x14ac:dyDescent="0.35">
      <c r="B3763" s="46"/>
      <c r="C3763" s="46"/>
      <c r="D3763" s="46"/>
      <c r="E3763" s="46"/>
      <c r="F3763" s="46"/>
      <c r="G3763" s="79"/>
    </row>
    <row r="3764" spans="2:7" x14ac:dyDescent="0.35">
      <c r="B3764" s="46"/>
      <c r="C3764" s="46"/>
      <c r="D3764" s="46"/>
      <c r="E3764" s="46"/>
      <c r="F3764" s="46"/>
      <c r="G3764" s="79"/>
    </row>
    <row r="3765" spans="2:7" x14ac:dyDescent="0.35">
      <c r="B3765" s="46"/>
      <c r="C3765" s="46"/>
      <c r="D3765" s="46"/>
      <c r="E3765" s="46"/>
      <c r="F3765" s="46"/>
      <c r="G3765" s="79"/>
    </row>
    <row r="3766" spans="2:7" x14ac:dyDescent="0.35">
      <c r="B3766" s="46"/>
      <c r="C3766" s="46"/>
      <c r="D3766" s="46"/>
      <c r="E3766" s="46"/>
      <c r="F3766" s="46"/>
      <c r="G3766" s="79"/>
    </row>
    <row r="3767" spans="2:7" x14ac:dyDescent="0.35">
      <c r="B3767" s="46"/>
      <c r="C3767" s="46"/>
      <c r="D3767" s="46"/>
      <c r="E3767" s="46"/>
      <c r="F3767" s="46"/>
      <c r="G3767" s="79"/>
    </row>
    <row r="3768" spans="2:7" x14ac:dyDescent="0.35">
      <c r="B3768" s="46"/>
      <c r="C3768" s="46"/>
      <c r="D3768" s="46"/>
      <c r="E3768" s="46"/>
      <c r="F3768" s="46"/>
      <c r="G3768" s="79"/>
    </row>
    <row r="3769" spans="2:7" x14ac:dyDescent="0.35">
      <c r="B3769" s="46"/>
      <c r="C3769" s="46"/>
      <c r="D3769" s="46"/>
      <c r="E3769" s="46"/>
      <c r="F3769" s="46"/>
      <c r="G3769" s="79"/>
    </row>
    <row r="3770" spans="2:7" x14ac:dyDescent="0.35">
      <c r="B3770" s="46"/>
      <c r="C3770" s="46"/>
      <c r="D3770" s="46"/>
      <c r="E3770" s="46"/>
      <c r="F3770" s="46"/>
      <c r="G3770" s="79"/>
    </row>
    <row r="3771" spans="2:7" x14ac:dyDescent="0.35">
      <c r="B3771" s="46"/>
      <c r="C3771" s="46"/>
      <c r="D3771" s="46"/>
      <c r="E3771" s="46"/>
      <c r="F3771" s="46"/>
      <c r="G3771" s="79"/>
    </row>
    <row r="3772" spans="2:7" x14ac:dyDescent="0.35">
      <c r="B3772" s="46"/>
      <c r="C3772" s="46"/>
      <c r="D3772" s="46"/>
      <c r="E3772" s="46"/>
      <c r="F3772" s="46"/>
      <c r="G3772" s="79"/>
    </row>
    <row r="3773" spans="2:7" x14ac:dyDescent="0.35">
      <c r="B3773" s="46"/>
      <c r="C3773" s="46"/>
      <c r="D3773" s="46"/>
      <c r="E3773" s="46"/>
      <c r="F3773" s="46"/>
      <c r="G3773" s="79"/>
    </row>
    <row r="3774" spans="2:7" x14ac:dyDescent="0.35">
      <c r="B3774" s="46"/>
      <c r="C3774" s="46"/>
      <c r="D3774" s="46"/>
      <c r="E3774" s="46"/>
      <c r="F3774" s="46"/>
      <c r="G3774" s="79"/>
    </row>
    <row r="3775" spans="2:7" x14ac:dyDescent="0.35">
      <c r="B3775" s="46"/>
      <c r="C3775" s="46"/>
      <c r="D3775" s="46"/>
      <c r="E3775" s="46"/>
      <c r="F3775" s="46"/>
      <c r="G3775" s="79"/>
    </row>
    <row r="3776" spans="2:7" x14ac:dyDescent="0.35">
      <c r="B3776" s="46"/>
      <c r="C3776" s="46"/>
      <c r="D3776" s="46"/>
      <c r="E3776" s="46"/>
      <c r="F3776" s="46"/>
      <c r="G3776" s="79"/>
    </row>
    <row r="3777" spans="2:7" x14ac:dyDescent="0.35">
      <c r="B3777" s="46"/>
      <c r="C3777" s="46"/>
      <c r="D3777" s="46"/>
      <c r="E3777" s="46"/>
      <c r="F3777" s="46"/>
      <c r="G3777" s="79"/>
    </row>
    <row r="3778" spans="2:7" x14ac:dyDescent="0.35">
      <c r="B3778" s="46"/>
      <c r="C3778" s="46"/>
      <c r="D3778" s="46"/>
      <c r="E3778" s="46"/>
      <c r="F3778" s="46"/>
      <c r="G3778" s="79"/>
    </row>
    <row r="3779" spans="2:7" x14ac:dyDescent="0.35">
      <c r="B3779" s="46"/>
      <c r="C3779" s="46"/>
      <c r="D3779" s="46"/>
      <c r="E3779" s="46"/>
      <c r="F3779" s="46"/>
      <c r="G3779" s="79"/>
    </row>
    <row r="3780" spans="2:7" x14ac:dyDescent="0.35">
      <c r="B3780" s="46"/>
      <c r="C3780" s="46"/>
      <c r="D3780" s="46"/>
      <c r="E3780" s="46"/>
      <c r="F3780" s="46"/>
      <c r="G3780" s="79"/>
    </row>
    <row r="3781" spans="2:7" x14ac:dyDescent="0.35">
      <c r="B3781" s="46"/>
      <c r="C3781" s="46"/>
      <c r="D3781" s="46"/>
      <c r="E3781" s="46"/>
      <c r="F3781" s="46"/>
      <c r="G3781" s="79"/>
    </row>
    <row r="3782" spans="2:7" x14ac:dyDescent="0.35">
      <c r="B3782" s="46"/>
      <c r="C3782" s="46"/>
      <c r="D3782" s="46"/>
      <c r="E3782" s="46"/>
      <c r="F3782" s="46"/>
      <c r="G3782" s="79"/>
    </row>
    <row r="3783" spans="2:7" x14ac:dyDescent="0.35">
      <c r="B3783" s="46"/>
      <c r="C3783" s="46"/>
      <c r="D3783" s="46"/>
      <c r="E3783" s="46"/>
      <c r="F3783" s="46"/>
      <c r="G3783" s="79"/>
    </row>
    <row r="3784" spans="2:7" x14ac:dyDescent="0.35">
      <c r="B3784" s="46"/>
      <c r="C3784" s="46"/>
      <c r="D3784" s="46"/>
      <c r="E3784" s="46"/>
      <c r="F3784" s="46"/>
      <c r="G3784" s="79"/>
    </row>
    <row r="3785" spans="2:7" x14ac:dyDescent="0.35">
      <c r="B3785" s="46"/>
      <c r="C3785" s="46"/>
      <c r="D3785" s="46"/>
      <c r="E3785" s="46"/>
      <c r="F3785" s="46"/>
      <c r="G3785" s="79"/>
    </row>
    <row r="3786" spans="2:7" x14ac:dyDescent="0.35">
      <c r="B3786" s="46"/>
      <c r="C3786" s="46"/>
      <c r="D3786" s="46"/>
      <c r="E3786" s="46"/>
      <c r="F3786" s="46"/>
      <c r="G3786" s="79"/>
    </row>
    <row r="3787" spans="2:7" x14ac:dyDescent="0.35">
      <c r="B3787" s="46"/>
      <c r="C3787" s="46"/>
      <c r="D3787" s="46"/>
      <c r="E3787" s="46"/>
      <c r="F3787" s="46"/>
      <c r="G3787" s="79"/>
    </row>
    <row r="3788" spans="2:7" x14ac:dyDescent="0.35">
      <c r="B3788" s="46"/>
      <c r="C3788" s="46"/>
      <c r="D3788" s="46"/>
      <c r="E3788" s="46"/>
      <c r="F3788" s="46"/>
      <c r="G3788" s="79"/>
    </row>
    <row r="3789" spans="2:7" x14ac:dyDescent="0.35">
      <c r="B3789" s="46"/>
      <c r="C3789" s="46"/>
      <c r="D3789" s="46"/>
      <c r="E3789" s="46"/>
      <c r="F3789" s="46"/>
      <c r="G3789" s="79"/>
    </row>
    <row r="3790" spans="2:7" x14ac:dyDescent="0.35">
      <c r="B3790" s="46"/>
      <c r="C3790" s="46"/>
      <c r="D3790" s="46"/>
      <c r="E3790" s="46"/>
      <c r="F3790" s="46"/>
      <c r="G3790" s="79"/>
    </row>
    <row r="3791" spans="2:7" x14ac:dyDescent="0.35">
      <c r="B3791" s="46"/>
      <c r="C3791" s="46"/>
      <c r="D3791" s="46"/>
      <c r="E3791" s="46"/>
      <c r="F3791" s="46"/>
      <c r="G3791" s="79"/>
    </row>
    <row r="3792" spans="2:7" x14ac:dyDescent="0.35">
      <c r="B3792" s="46"/>
      <c r="C3792" s="46"/>
      <c r="D3792" s="46"/>
      <c r="E3792" s="46"/>
      <c r="F3792" s="46"/>
      <c r="G3792" s="79"/>
    </row>
    <row r="3793" spans="2:7" x14ac:dyDescent="0.35">
      <c r="B3793" s="46"/>
      <c r="C3793" s="46"/>
      <c r="D3793" s="46"/>
      <c r="E3793" s="46"/>
      <c r="F3793" s="46"/>
      <c r="G3793" s="79"/>
    </row>
    <row r="3794" spans="2:7" x14ac:dyDescent="0.35">
      <c r="B3794" s="46"/>
      <c r="C3794" s="46"/>
      <c r="D3794" s="46"/>
      <c r="E3794" s="46"/>
      <c r="F3794" s="46"/>
      <c r="G3794" s="79"/>
    </row>
    <row r="3795" spans="2:7" x14ac:dyDescent="0.35">
      <c r="B3795" s="46"/>
      <c r="C3795" s="46"/>
      <c r="D3795" s="46"/>
      <c r="E3795" s="46"/>
      <c r="F3795" s="46"/>
      <c r="G3795" s="79"/>
    </row>
    <row r="3796" spans="2:7" x14ac:dyDescent="0.35">
      <c r="B3796" s="46"/>
      <c r="C3796" s="46"/>
      <c r="D3796" s="46"/>
      <c r="E3796" s="46"/>
      <c r="F3796" s="46"/>
      <c r="G3796" s="79"/>
    </row>
    <row r="3797" spans="2:7" x14ac:dyDescent="0.35">
      <c r="B3797" s="46"/>
      <c r="C3797" s="46"/>
      <c r="D3797" s="46"/>
      <c r="E3797" s="46"/>
      <c r="F3797" s="46"/>
      <c r="G3797" s="79"/>
    </row>
    <row r="3798" spans="2:7" x14ac:dyDescent="0.35">
      <c r="B3798" s="46"/>
      <c r="C3798" s="46"/>
      <c r="D3798" s="46"/>
      <c r="E3798" s="46"/>
      <c r="F3798" s="46"/>
      <c r="G3798" s="79"/>
    </row>
    <row r="3799" spans="2:7" x14ac:dyDescent="0.35">
      <c r="B3799" s="46"/>
      <c r="C3799" s="46"/>
      <c r="D3799" s="46"/>
      <c r="E3799" s="46"/>
      <c r="F3799" s="46"/>
      <c r="G3799" s="79"/>
    </row>
    <row r="3800" spans="2:7" x14ac:dyDescent="0.35">
      <c r="B3800" s="46"/>
      <c r="C3800" s="46"/>
      <c r="D3800" s="46"/>
      <c r="E3800" s="46"/>
      <c r="F3800" s="46"/>
      <c r="G3800" s="79"/>
    </row>
    <row r="3801" spans="2:7" x14ac:dyDescent="0.35">
      <c r="B3801" s="46"/>
      <c r="C3801" s="46"/>
      <c r="D3801" s="46"/>
      <c r="E3801" s="46"/>
      <c r="F3801" s="46"/>
      <c r="G3801" s="79"/>
    </row>
    <row r="3802" spans="2:7" x14ac:dyDescent="0.35">
      <c r="B3802" s="46"/>
      <c r="C3802" s="46"/>
      <c r="D3802" s="46"/>
      <c r="E3802" s="46"/>
      <c r="F3802" s="46"/>
      <c r="G3802" s="79"/>
    </row>
    <row r="3803" spans="2:7" x14ac:dyDescent="0.35">
      <c r="B3803" s="46"/>
      <c r="C3803" s="46"/>
      <c r="D3803" s="46"/>
      <c r="E3803" s="46"/>
      <c r="F3803" s="46"/>
      <c r="G3803" s="79"/>
    </row>
    <row r="3804" spans="2:7" x14ac:dyDescent="0.35">
      <c r="B3804" s="46"/>
      <c r="C3804" s="46"/>
      <c r="D3804" s="46"/>
      <c r="E3804" s="46"/>
      <c r="F3804" s="46"/>
      <c r="G3804" s="79"/>
    </row>
    <row r="3805" spans="2:7" x14ac:dyDescent="0.35">
      <c r="B3805" s="46"/>
      <c r="C3805" s="46"/>
      <c r="D3805" s="46"/>
      <c r="E3805" s="46"/>
      <c r="F3805" s="46"/>
      <c r="G3805" s="79"/>
    </row>
    <row r="3806" spans="2:7" x14ac:dyDescent="0.35">
      <c r="B3806" s="46"/>
      <c r="C3806" s="46"/>
      <c r="D3806" s="46"/>
      <c r="E3806" s="46"/>
      <c r="F3806" s="46"/>
      <c r="G3806" s="79"/>
    </row>
    <row r="3807" spans="2:7" x14ac:dyDescent="0.35">
      <c r="B3807" s="46"/>
      <c r="C3807" s="46"/>
      <c r="D3807" s="46"/>
      <c r="E3807" s="46"/>
      <c r="F3807" s="46"/>
      <c r="G3807" s="79"/>
    </row>
    <row r="3808" spans="2:7" x14ac:dyDescent="0.35">
      <c r="B3808" s="46"/>
      <c r="C3808" s="46"/>
      <c r="D3808" s="46"/>
      <c r="E3808" s="46"/>
      <c r="F3808" s="46"/>
      <c r="G3808" s="79"/>
    </row>
    <row r="3809" spans="2:7" x14ac:dyDescent="0.35">
      <c r="B3809" s="46"/>
      <c r="C3809" s="46"/>
      <c r="D3809" s="46"/>
      <c r="E3809" s="46"/>
      <c r="F3809" s="46"/>
      <c r="G3809" s="79"/>
    </row>
    <row r="3810" spans="2:7" x14ac:dyDescent="0.35">
      <c r="B3810" s="46"/>
      <c r="C3810" s="46"/>
      <c r="D3810" s="46"/>
      <c r="E3810" s="46"/>
      <c r="F3810" s="46"/>
      <c r="G3810" s="79"/>
    </row>
    <row r="3811" spans="2:7" x14ac:dyDescent="0.35">
      <c r="B3811" s="46"/>
      <c r="C3811" s="46"/>
      <c r="D3811" s="46"/>
      <c r="E3811" s="46"/>
      <c r="F3811" s="46"/>
      <c r="G3811" s="79"/>
    </row>
    <row r="3812" spans="2:7" x14ac:dyDescent="0.35">
      <c r="B3812" s="46"/>
      <c r="C3812" s="46"/>
      <c r="D3812" s="46"/>
      <c r="E3812" s="46"/>
      <c r="F3812" s="46"/>
      <c r="G3812" s="79"/>
    </row>
    <row r="3813" spans="2:7" x14ac:dyDescent="0.35">
      <c r="B3813" s="46"/>
      <c r="C3813" s="46"/>
      <c r="D3813" s="46"/>
      <c r="E3813" s="46"/>
      <c r="F3813" s="46"/>
      <c r="G3813" s="79"/>
    </row>
    <row r="3814" spans="2:7" x14ac:dyDescent="0.35">
      <c r="B3814" s="46"/>
      <c r="C3814" s="46"/>
      <c r="D3814" s="46"/>
      <c r="E3814" s="46"/>
      <c r="F3814" s="46"/>
      <c r="G3814" s="79"/>
    </row>
    <row r="3815" spans="2:7" x14ac:dyDescent="0.35">
      <c r="B3815" s="46"/>
      <c r="C3815" s="46"/>
      <c r="D3815" s="46"/>
      <c r="E3815" s="46"/>
      <c r="F3815" s="46"/>
      <c r="G3815" s="79"/>
    </row>
    <row r="3816" spans="2:7" x14ac:dyDescent="0.35">
      <c r="B3816" s="46"/>
      <c r="C3816" s="46"/>
      <c r="D3816" s="46"/>
      <c r="E3816" s="46"/>
      <c r="F3816" s="46"/>
      <c r="G3816" s="79"/>
    </row>
    <row r="3817" spans="2:7" x14ac:dyDescent="0.35">
      <c r="B3817" s="46"/>
      <c r="C3817" s="46"/>
      <c r="D3817" s="46"/>
      <c r="E3817" s="46"/>
      <c r="F3817" s="46"/>
      <c r="G3817" s="79"/>
    </row>
    <row r="3818" spans="2:7" x14ac:dyDescent="0.35">
      <c r="B3818" s="46"/>
      <c r="C3818" s="46"/>
      <c r="D3818" s="46"/>
      <c r="E3818" s="46"/>
      <c r="F3818" s="46"/>
      <c r="G3818" s="79"/>
    </row>
    <row r="3819" spans="2:7" x14ac:dyDescent="0.35">
      <c r="B3819" s="46"/>
      <c r="C3819" s="46"/>
      <c r="D3819" s="46"/>
      <c r="E3819" s="46"/>
      <c r="F3819" s="46"/>
      <c r="G3819" s="79"/>
    </row>
    <row r="3820" spans="2:7" x14ac:dyDescent="0.35">
      <c r="B3820" s="46"/>
      <c r="C3820" s="46"/>
      <c r="D3820" s="46"/>
      <c r="E3820" s="46"/>
      <c r="F3820" s="46"/>
      <c r="G3820" s="79"/>
    </row>
    <row r="3821" spans="2:7" x14ac:dyDescent="0.35">
      <c r="B3821" s="46"/>
      <c r="C3821" s="46"/>
      <c r="D3821" s="46"/>
      <c r="E3821" s="46"/>
      <c r="F3821" s="46"/>
      <c r="G3821" s="79"/>
    </row>
    <row r="3822" spans="2:7" x14ac:dyDescent="0.35">
      <c r="B3822" s="46"/>
      <c r="C3822" s="46"/>
      <c r="D3822" s="46"/>
      <c r="E3822" s="46"/>
      <c r="F3822" s="46"/>
      <c r="G3822" s="79"/>
    </row>
    <row r="3823" spans="2:7" x14ac:dyDescent="0.35">
      <c r="B3823" s="46"/>
      <c r="C3823" s="46"/>
      <c r="D3823" s="46"/>
      <c r="E3823" s="46"/>
      <c r="F3823" s="46"/>
      <c r="G3823" s="79"/>
    </row>
    <row r="3824" spans="2:7" x14ac:dyDescent="0.35">
      <c r="B3824" s="46"/>
      <c r="C3824" s="46"/>
      <c r="D3824" s="46"/>
      <c r="E3824" s="46"/>
      <c r="F3824" s="46"/>
      <c r="G3824" s="79"/>
    </row>
    <row r="3825" spans="2:7" x14ac:dyDescent="0.35">
      <c r="B3825" s="46"/>
      <c r="C3825" s="46"/>
      <c r="D3825" s="46"/>
      <c r="E3825" s="46"/>
      <c r="F3825" s="46"/>
      <c r="G3825" s="79"/>
    </row>
    <row r="3826" spans="2:7" x14ac:dyDescent="0.35">
      <c r="B3826" s="46"/>
      <c r="C3826" s="46"/>
      <c r="D3826" s="46"/>
      <c r="E3826" s="46"/>
      <c r="F3826" s="46"/>
      <c r="G3826" s="79"/>
    </row>
    <row r="3827" spans="2:7" x14ac:dyDescent="0.35">
      <c r="B3827" s="46"/>
      <c r="C3827" s="46"/>
      <c r="D3827" s="46"/>
      <c r="E3827" s="46"/>
      <c r="F3827" s="46"/>
      <c r="G3827" s="79"/>
    </row>
    <row r="3828" spans="2:7" x14ac:dyDescent="0.35">
      <c r="B3828" s="46"/>
      <c r="C3828" s="46"/>
      <c r="D3828" s="46"/>
      <c r="E3828" s="46"/>
      <c r="F3828" s="46"/>
      <c r="G3828" s="79"/>
    </row>
    <row r="3829" spans="2:7" x14ac:dyDescent="0.35">
      <c r="B3829" s="46"/>
      <c r="C3829" s="46"/>
      <c r="D3829" s="46"/>
      <c r="E3829" s="46"/>
      <c r="F3829" s="46"/>
      <c r="G3829" s="79"/>
    </row>
    <row r="3830" spans="2:7" x14ac:dyDescent="0.35">
      <c r="B3830" s="46"/>
      <c r="C3830" s="46"/>
      <c r="D3830" s="46"/>
      <c r="E3830" s="46"/>
      <c r="F3830" s="46"/>
      <c r="G3830" s="79"/>
    </row>
    <row r="3831" spans="2:7" x14ac:dyDescent="0.35">
      <c r="B3831" s="46"/>
      <c r="C3831" s="46"/>
      <c r="D3831" s="46"/>
      <c r="E3831" s="46"/>
      <c r="F3831" s="46"/>
      <c r="G3831" s="79"/>
    </row>
    <row r="3832" spans="2:7" x14ac:dyDescent="0.35">
      <c r="B3832" s="46"/>
      <c r="C3832" s="46"/>
      <c r="D3832" s="46"/>
      <c r="E3832" s="46"/>
      <c r="F3832" s="46"/>
      <c r="G3832" s="79"/>
    </row>
    <row r="3833" spans="2:7" x14ac:dyDescent="0.35">
      <c r="B3833" s="46"/>
      <c r="C3833" s="46"/>
      <c r="D3833" s="46"/>
      <c r="E3833" s="46"/>
      <c r="F3833" s="46"/>
      <c r="G3833" s="79"/>
    </row>
    <row r="3834" spans="2:7" x14ac:dyDescent="0.35">
      <c r="B3834" s="46"/>
      <c r="C3834" s="46"/>
      <c r="D3834" s="46"/>
      <c r="E3834" s="46"/>
      <c r="F3834" s="46"/>
      <c r="G3834" s="79"/>
    </row>
    <row r="3835" spans="2:7" x14ac:dyDescent="0.35">
      <c r="B3835" s="46"/>
      <c r="C3835" s="46"/>
      <c r="D3835" s="46"/>
      <c r="E3835" s="46"/>
      <c r="F3835" s="46"/>
      <c r="G3835" s="79"/>
    </row>
    <row r="3836" spans="2:7" x14ac:dyDescent="0.35">
      <c r="B3836" s="46"/>
      <c r="C3836" s="46"/>
      <c r="D3836" s="46"/>
      <c r="E3836" s="46"/>
      <c r="F3836" s="46"/>
      <c r="G3836" s="79"/>
    </row>
    <row r="3837" spans="2:7" x14ac:dyDescent="0.35">
      <c r="B3837" s="46"/>
      <c r="C3837" s="46"/>
      <c r="D3837" s="46"/>
      <c r="E3837" s="46"/>
      <c r="F3837" s="46"/>
      <c r="G3837" s="79"/>
    </row>
    <row r="3838" spans="2:7" x14ac:dyDescent="0.35">
      <c r="B3838" s="46"/>
      <c r="C3838" s="46"/>
      <c r="D3838" s="46"/>
      <c r="E3838" s="46"/>
      <c r="F3838" s="46"/>
      <c r="G3838" s="79"/>
    </row>
    <row r="3839" spans="2:7" x14ac:dyDescent="0.35">
      <c r="B3839" s="46"/>
      <c r="C3839" s="46"/>
      <c r="D3839" s="46"/>
      <c r="E3839" s="46"/>
      <c r="F3839" s="46"/>
      <c r="G3839" s="79"/>
    </row>
    <row r="3840" spans="2:7" x14ac:dyDescent="0.35">
      <c r="B3840" s="46"/>
      <c r="C3840" s="46"/>
      <c r="D3840" s="46"/>
      <c r="E3840" s="46"/>
      <c r="F3840" s="46"/>
      <c r="G3840" s="79"/>
    </row>
    <row r="3841" spans="2:7" x14ac:dyDescent="0.35">
      <c r="B3841" s="46"/>
      <c r="C3841" s="46"/>
      <c r="D3841" s="46"/>
      <c r="E3841" s="46"/>
      <c r="F3841" s="46"/>
      <c r="G3841" s="79"/>
    </row>
    <row r="3842" spans="2:7" x14ac:dyDescent="0.35">
      <c r="B3842" s="46"/>
      <c r="C3842" s="46"/>
      <c r="D3842" s="46"/>
      <c r="E3842" s="46"/>
      <c r="F3842" s="46"/>
      <c r="G3842" s="79"/>
    </row>
    <row r="3843" spans="2:7" x14ac:dyDescent="0.35">
      <c r="B3843" s="46"/>
      <c r="C3843" s="46"/>
      <c r="D3843" s="46"/>
      <c r="E3843" s="46"/>
      <c r="F3843" s="46"/>
      <c r="G3843" s="79"/>
    </row>
    <row r="3844" spans="2:7" x14ac:dyDescent="0.35">
      <c r="B3844" s="46"/>
      <c r="C3844" s="46"/>
      <c r="D3844" s="46"/>
      <c r="E3844" s="46"/>
      <c r="F3844" s="46"/>
      <c r="G3844" s="79"/>
    </row>
    <row r="3845" spans="2:7" x14ac:dyDescent="0.35">
      <c r="B3845" s="46"/>
      <c r="C3845" s="46"/>
      <c r="D3845" s="46"/>
      <c r="E3845" s="46"/>
      <c r="F3845" s="46"/>
      <c r="G3845" s="79"/>
    </row>
    <row r="3846" spans="2:7" x14ac:dyDescent="0.35">
      <c r="B3846" s="46"/>
      <c r="C3846" s="46"/>
      <c r="D3846" s="46"/>
      <c r="E3846" s="46"/>
      <c r="F3846" s="46"/>
      <c r="G3846" s="79"/>
    </row>
    <row r="3847" spans="2:7" x14ac:dyDescent="0.35">
      <c r="B3847" s="46"/>
      <c r="C3847" s="46"/>
      <c r="D3847" s="46"/>
      <c r="E3847" s="46"/>
      <c r="F3847" s="46"/>
      <c r="G3847" s="79"/>
    </row>
    <row r="3848" spans="2:7" x14ac:dyDescent="0.35">
      <c r="B3848" s="46"/>
      <c r="C3848" s="46"/>
      <c r="D3848" s="46"/>
      <c r="E3848" s="46"/>
      <c r="F3848" s="46"/>
      <c r="G3848" s="79"/>
    </row>
    <row r="3849" spans="2:7" x14ac:dyDescent="0.35">
      <c r="B3849" s="46"/>
      <c r="C3849" s="46"/>
      <c r="D3849" s="46"/>
      <c r="E3849" s="46"/>
      <c r="F3849" s="46"/>
      <c r="G3849" s="79"/>
    </row>
    <row r="3850" spans="2:7" x14ac:dyDescent="0.35">
      <c r="B3850" s="46"/>
      <c r="C3850" s="46"/>
      <c r="D3850" s="46"/>
      <c r="E3850" s="46"/>
      <c r="F3850" s="46"/>
      <c r="G3850" s="79"/>
    </row>
    <row r="3851" spans="2:7" x14ac:dyDescent="0.35">
      <c r="B3851" s="46"/>
      <c r="C3851" s="46"/>
      <c r="D3851" s="46"/>
      <c r="E3851" s="46"/>
      <c r="F3851" s="46"/>
      <c r="G3851" s="79"/>
    </row>
    <row r="3852" spans="2:7" x14ac:dyDescent="0.35">
      <c r="B3852" s="46"/>
      <c r="C3852" s="46"/>
      <c r="D3852" s="46"/>
      <c r="E3852" s="46"/>
      <c r="F3852" s="46"/>
      <c r="G3852" s="79"/>
    </row>
    <row r="3853" spans="2:7" x14ac:dyDescent="0.35">
      <c r="B3853" s="46"/>
      <c r="C3853" s="46"/>
      <c r="D3853" s="46"/>
      <c r="E3853" s="46"/>
      <c r="F3853" s="46"/>
      <c r="G3853" s="79"/>
    </row>
    <row r="3854" spans="2:7" x14ac:dyDescent="0.35">
      <c r="B3854" s="46"/>
      <c r="C3854" s="46"/>
      <c r="D3854" s="46"/>
      <c r="E3854" s="46"/>
      <c r="F3854" s="46"/>
      <c r="G3854" s="79"/>
    </row>
    <row r="3855" spans="2:7" x14ac:dyDescent="0.35">
      <c r="B3855" s="46"/>
      <c r="C3855" s="46"/>
      <c r="D3855" s="46"/>
      <c r="E3855" s="46"/>
      <c r="F3855" s="46"/>
      <c r="G3855" s="79"/>
    </row>
    <row r="3856" spans="2:7" x14ac:dyDescent="0.35">
      <c r="B3856" s="46"/>
      <c r="C3856" s="46"/>
      <c r="D3856" s="46"/>
      <c r="E3856" s="46"/>
      <c r="F3856" s="46"/>
      <c r="G3856" s="79"/>
    </row>
    <row r="3857" spans="2:7" x14ac:dyDescent="0.35">
      <c r="B3857" s="46"/>
      <c r="C3857" s="46"/>
      <c r="D3857" s="46"/>
      <c r="E3857" s="46"/>
      <c r="F3857" s="46"/>
      <c r="G3857" s="79"/>
    </row>
    <row r="3858" spans="2:7" x14ac:dyDescent="0.35">
      <c r="B3858" s="46"/>
      <c r="C3858" s="46"/>
      <c r="D3858" s="46"/>
      <c r="E3858" s="46"/>
      <c r="F3858" s="46"/>
      <c r="G3858" s="79"/>
    </row>
    <row r="3859" spans="2:7" x14ac:dyDescent="0.35">
      <c r="B3859" s="46"/>
      <c r="C3859" s="46"/>
      <c r="D3859" s="46"/>
      <c r="E3859" s="46"/>
      <c r="F3859" s="46"/>
      <c r="G3859" s="79"/>
    </row>
    <row r="3860" spans="2:7" x14ac:dyDescent="0.35">
      <c r="B3860" s="46"/>
      <c r="C3860" s="46"/>
      <c r="D3860" s="46"/>
      <c r="E3860" s="46"/>
      <c r="F3860" s="46"/>
      <c r="G3860" s="79"/>
    </row>
    <row r="3861" spans="2:7" x14ac:dyDescent="0.35">
      <c r="B3861" s="46"/>
      <c r="C3861" s="46"/>
      <c r="D3861" s="46"/>
      <c r="E3861" s="46"/>
      <c r="F3861" s="46"/>
      <c r="G3861" s="79"/>
    </row>
    <row r="3862" spans="2:7" x14ac:dyDescent="0.35">
      <c r="B3862" s="46"/>
      <c r="C3862" s="46"/>
      <c r="D3862" s="46"/>
      <c r="E3862" s="46"/>
      <c r="F3862" s="46"/>
      <c r="G3862" s="79"/>
    </row>
    <row r="3863" spans="2:7" x14ac:dyDescent="0.35">
      <c r="B3863" s="46"/>
      <c r="C3863" s="46"/>
      <c r="D3863" s="46"/>
      <c r="E3863" s="46"/>
      <c r="F3863" s="46"/>
      <c r="G3863" s="79"/>
    </row>
    <row r="3864" spans="2:7" x14ac:dyDescent="0.35">
      <c r="B3864" s="46"/>
      <c r="C3864" s="46"/>
      <c r="D3864" s="46"/>
      <c r="E3864" s="46"/>
      <c r="F3864" s="46"/>
      <c r="G3864" s="79"/>
    </row>
    <row r="3865" spans="2:7" x14ac:dyDescent="0.35">
      <c r="B3865" s="46"/>
      <c r="C3865" s="46"/>
      <c r="D3865" s="46"/>
      <c r="E3865" s="46"/>
      <c r="F3865" s="46"/>
      <c r="G3865" s="79"/>
    </row>
    <row r="3866" spans="2:7" x14ac:dyDescent="0.35">
      <c r="B3866" s="46"/>
      <c r="C3866" s="46"/>
      <c r="D3866" s="46"/>
      <c r="E3866" s="46"/>
      <c r="F3866" s="46"/>
      <c r="G3866" s="79"/>
    </row>
    <row r="3867" spans="2:7" x14ac:dyDescent="0.35">
      <c r="B3867" s="46"/>
      <c r="C3867" s="46"/>
      <c r="D3867" s="46"/>
      <c r="E3867" s="46"/>
      <c r="F3867" s="46"/>
      <c r="G3867" s="79"/>
    </row>
    <row r="3868" spans="2:7" x14ac:dyDescent="0.35">
      <c r="B3868" s="46"/>
      <c r="C3868" s="46"/>
      <c r="D3868" s="46"/>
      <c r="E3868" s="46"/>
      <c r="F3868" s="46"/>
      <c r="G3868" s="79"/>
    </row>
    <row r="3869" spans="2:7" x14ac:dyDescent="0.35">
      <c r="B3869" s="46"/>
      <c r="C3869" s="46"/>
      <c r="D3869" s="46"/>
      <c r="E3869" s="46"/>
      <c r="F3869" s="46"/>
      <c r="G3869" s="79"/>
    </row>
    <row r="3870" spans="2:7" x14ac:dyDescent="0.35">
      <c r="B3870" s="46"/>
      <c r="C3870" s="46"/>
      <c r="D3870" s="46"/>
      <c r="E3870" s="46"/>
      <c r="F3870" s="46"/>
      <c r="G3870" s="79"/>
    </row>
    <row r="3871" spans="2:7" x14ac:dyDescent="0.35">
      <c r="B3871" s="46"/>
      <c r="C3871" s="46"/>
      <c r="D3871" s="46"/>
      <c r="E3871" s="46"/>
      <c r="F3871" s="46"/>
      <c r="G3871" s="79"/>
    </row>
    <row r="3872" spans="2:7" x14ac:dyDescent="0.35">
      <c r="B3872" s="46"/>
      <c r="C3872" s="46"/>
      <c r="D3872" s="46"/>
      <c r="E3872" s="46"/>
      <c r="F3872" s="46"/>
      <c r="G3872" s="79"/>
    </row>
    <row r="3873" spans="2:7" x14ac:dyDescent="0.35">
      <c r="B3873" s="46"/>
      <c r="C3873" s="46"/>
      <c r="D3873" s="46"/>
      <c r="E3873" s="46"/>
      <c r="F3873" s="46"/>
      <c r="G3873" s="79"/>
    </row>
    <row r="3874" spans="2:7" x14ac:dyDescent="0.35">
      <c r="B3874" s="46"/>
      <c r="C3874" s="46"/>
      <c r="D3874" s="46"/>
      <c r="E3874" s="46"/>
      <c r="F3874" s="46"/>
      <c r="G3874" s="79"/>
    </row>
    <row r="3875" spans="2:7" x14ac:dyDescent="0.35">
      <c r="B3875" s="46"/>
      <c r="C3875" s="46"/>
      <c r="D3875" s="46"/>
      <c r="E3875" s="46"/>
      <c r="F3875" s="46"/>
      <c r="G3875" s="79"/>
    </row>
    <row r="3876" spans="2:7" x14ac:dyDescent="0.35">
      <c r="B3876" s="46"/>
      <c r="C3876" s="46"/>
      <c r="D3876" s="46"/>
      <c r="E3876" s="46"/>
      <c r="F3876" s="46"/>
      <c r="G3876" s="79"/>
    </row>
    <row r="3877" spans="2:7" x14ac:dyDescent="0.35">
      <c r="B3877" s="46"/>
      <c r="C3877" s="46"/>
      <c r="D3877" s="46"/>
      <c r="E3877" s="46"/>
      <c r="F3877" s="46"/>
      <c r="G3877" s="79"/>
    </row>
    <row r="3878" spans="2:7" x14ac:dyDescent="0.35">
      <c r="B3878" s="46"/>
      <c r="C3878" s="46"/>
      <c r="D3878" s="46"/>
      <c r="E3878" s="46"/>
      <c r="F3878" s="46"/>
      <c r="G3878" s="79"/>
    </row>
    <row r="3879" spans="2:7" x14ac:dyDescent="0.35">
      <c r="B3879" s="46"/>
      <c r="C3879" s="46"/>
      <c r="D3879" s="46"/>
      <c r="E3879" s="46"/>
      <c r="F3879" s="46"/>
      <c r="G3879" s="79"/>
    </row>
    <row r="3880" spans="2:7" x14ac:dyDescent="0.35">
      <c r="B3880" s="46"/>
      <c r="C3880" s="46"/>
      <c r="D3880" s="46"/>
      <c r="E3880" s="46"/>
      <c r="F3880" s="46"/>
      <c r="G3880" s="79"/>
    </row>
    <row r="3881" spans="2:7" x14ac:dyDescent="0.35">
      <c r="B3881" s="46"/>
      <c r="C3881" s="46"/>
      <c r="D3881" s="46"/>
      <c r="E3881" s="46"/>
      <c r="F3881" s="46"/>
      <c r="G3881" s="79"/>
    </row>
    <row r="3882" spans="2:7" x14ac:dyDescent="0.35">
      <c r="B3882" s="46"/>
      <c r="C3882" s="46"/>
      <c r="D3882" s="46"/>
      <c r="E3882" s="46"/>
      <c r="F3882" s="46"/>
      <c r="G3882" s="79"/>
    </row>
    <row r="3883" spans="2:7" x14ac:dyDescent="0.35">
      <c r="B3883" s="46"/>
      <c r="C3883" s="46"/>
      <c r="D3883" s="46"/>
      <c r="E3883" s="46"/>
      <c r="F3883" s="46"/>
      <c r="G3883" s="79"/>
    </row>
    <row r="3884" spans="2:7" x14ac:dyDescent="0.35">
      <c r="B3884" s="46"/>
      <c r="C3884" s="46"/>
      <c r="D3884" s="46"/>
      <c r="E3884" s="46"/>
      <c r="F3884" s="46"/>
      <c r="G3884" s="79"/>
    </row>
    <row r="3885" spans="2:7" x14ac:dyDescent="0.35">
      <c r="B3885" s="46"/>
      <c r="C3885" s="46"/>
      <c r="D3885" s="46"/>
      <c r="E3885" s="46"/>
      <c r="F3885" s="46"/>
      <c r="G3885" s="79"/>
    </row>
    <row r="3886" spans="2:7" x14ac:dyDescent="0.35">
      <c r="B3886" s="46"/>
      <c r="C3886" s="46"/>
      <c r="D3886" s="46"/>
      <c r="E3886" s="46"/>
      <c r="F3886" s="46"/>
      <c r="G3886" s="79"/>
    </row>
    <row r="3887" spans="2:7" x14ac:dyDescent="0.35">
      <c r="B3887" s="46"/>
      <c r="C3887" s="46"/>
      <c r="D3887" s="46"/>
      <c r="E3887" s="46"/>
      <c r="F3887" s="46"/>
      <c r="G3887" s="79"/>
    </row>
    <row r="3888" spans="2:7" x14ac:dyDescent="0.35">
      <c r="B3888" s="46"/>
      <c r="C3888" s="46"/>
      <c r="D3888" s="46"/>
      <c r="E3888" s="46"/>
      <c r="F3888" s="46"/>
      <c r="G3888" s="79"/>
    </row>
    <row r="3889" spans="2:7" x14ac:dyDescent="0.35">
      <c r="B3889" s="46"/>
      <c r="C3889" s="46"/>
      <c r="D3889" s="46"/>
      <c r="E3889" s="46"/>
      <c r="F3889" s="46"/>
      <c r="G3889" s="79"/>
    </row>
    <row r="3890" spans="2:7" x14ac:dyDescent="0.35">
      <c r="B3890" s="46"/>
      <c r="C3890" s="46"/>
      <c r="D3890" s="46"/>
      <c r="E3890" s="46"/>
      <c r="F3890" s="46"/>
      <c r="G3890" s="79"/>
    </row>
    <row r="3891" spans="2:7" x14ac:dyDescent="0.35">
      <c r="B3891" s="46"/>
      <c r="C3891" s="46"/>
      <c r="D3891" s="46"/>
      <c r="E3891" s="46"/>
      <c r="F3891" s="46"/>
      <c r="G3891" s="79"/>
    </row>
    <row r="3892" spans="2:7" x14ac:dyDescent="0.35">
      <c r="B3892" s="46"/>
      <c r="C3892" s="46"/>
      <c r="D3892" s="46"/>
      <c r="E3892" s="46"/>
      <c r="F3892" s="46"/>
      <c r="G3892" s="79"/>
    </row>
    <row r="3893" spans="2:7" x14ac:dyDescent="0.35">
      <c r="B3893" s="46"/>
      <c r="C3893" s="46"/>
      <c r="D3893" s="46"/>
      <c r="E3893" s="46"/>
      <c r="F3893" s="46"/>
      <c r="G3893" s="79"/>
    </row>
    <row r="3894" spans="2:7" x14ac:dyDescent="0.35">
      <c r="B3894" s="46"/>
      <c r="C3894" s="46"/>
      <c r="D3894" s="46"/>
      <c r="E3894" s="46"/>
      <c r="F3894" s="46"/>
      <c r="G3894" s="79"/>
    </row>
    <row r="3895" spans="2:7" x14ac:dyDescent="0.35">
      <c r="B3895" s="46"/>
      <c r="C3895" s="46"/>
      <c r="D3895" s="46"/>
      <c r="E3895" s="46"/>
      <c r="F3895" s="46"/>
      <c r="G3895" s="79"/>
    </row>
    <row r="3896" spans="2:7" x14ac:dyDescent="0.35">
      <c r="B3896" s="46"/>
      <c r="C3896" s="46"/>
      <c r="D3896" s="46"/>
      <c r="E3896" s="46"/>
      <c r="F3896" s="46"/>
      <c r="G3896" s="79"/>
    </row>
    <row r="3897" spans="2:7" x14ac:dyDescent="0.35">
      <c r="B3897" s="46"/>
      <c r="C3897" s="46"/>
      <c r="D3897" s="46"/>
      <c r="E3897" s="46"/>
      <c r="F3897" s="46"/>
      <c r="G3897" s="79"/>
    </row>
    <row r="3898" spans="2:7" x14ac:dyDescent="0.35">
      <c r="B3898" s="46"/>
      <c r="C3898" s="46"/>
      <c r="D3898" s="46"/>
      <c r="E3898" s="46"/>
      <c r="F3898" s="46"/>
      <c r="G3898" s="79"/>
    </row>
    <row r="3899" spans="2:7" x14ac:dyDescent="0.35">
      <c r="B3899" s="46"/>
      <c r="C3899" s="46"/>
      <c r="D3899" s="46"/>
      <c r="E3899" s="46"/>
      <c r="F3899" s="46"/>
      <c r="G3899" s="79"/>
    </row>
    <row r="3900" spans="2:7" x14ac:dyDescent="0.35">
      <c r="B3900" s="46"/>
      <c r="C3900" s="46"/>
      <c r="D3900" s="46"/>
      <c r="E3900" s="46"/>
      <c r="F3900" s="46"/>
      <c r="G3900" s="79"/>
    </row>
    <row r="3901" spans="2:7" x14ac:dyDescent="0.35">
      <c r="B3901" s="46"/>
      <c r="C3901" s="46"/>
      <c r="D3901" s="46"/>
      <c r="E3901" s="46"/>
      <c r="F3901" s="46"/>
      <c r="G3901" s="79"/>
    </row>
    <row r="3902" spans="2:7" x14ac:dyDescent="0.35">
      <c r="B3902" s="46"/>
      <c r="C3902" s="46"/>
      <c r="D3902" s="46"/>
      <c r="E3902" s="46"/>
      <c r="F3902" s="46"/>
      <c r="G3902" s="79"/>
    </row>
    <row r="3903" spans="2:7" x14ac:dyDescent="0.35">
      <c r="B3903" s="46"/>
      <c r="C3903" s="46"/>
      <c r="D3903" s="46"/>
      <c r="E3903" s="46"/>
      <c r="F3903" s="46"/>
      <c r="G3903" s="79"/>
    </row>
    <row r="3904" spans="2:7" x14ac:dyDescent="0.35">
      <c r="B3904" s="46"/>
      <c r="C3904" s="46"/>
      <c r="D3904" s="46"/>
      <c r="E3904" s="46"/>
      <c r="F3904" s="46"/>
      <c r="G3904" s="79"/>
    </row>
    <row r="3905" spans="2:7" x14ac:dyDescent="0.35">
      <c r="B3905" s="46"/>
      <c r="C3905" s="46"/>
      <c r="D3905" s="46"/>
      <c r="E3905" s="46"/>
      <c r="F3905" s="46"/>
      <c r="G3905" s="79"/>
    </row>
    <row r="3906" spans="2:7" x14ac:dyDescent="0.35">
      <c r="B3906" s="46"/>
      <c r="C3906" s="46"/>
      <c r="D3906" s="46"/>
      <c r="E3906" s="46"/>
      <c r="F3906" s="46"/>
      <c r="G3906" s="79"/>
    </row>
    <row r="3907" spans="2:7" x14ac:dyDescent="0.35">
      <c r="B3907" s="46"/>
      <c r="C3907" s="46"/>
      <c r="D3907" s="46"/>
      <c r="E3907" s="46"/>
      <c r="F3907" s="46"/>
      <c r="G3907" s="79"/>
    </row>
    <row r="3908" spans="2:7" x14ac:dyDescent="0.35">
      <c r="B3908" s="46"/>
      <c r="C3908" s="46"/>
      <c r="D3908" s="46"/>
      <c r="E3908" s="46"/>
      <c r="F3908" s="46"/>
      <c r="G3908" s="79"/>
    </row>
    <row r="3909" spans="2:7" x14ac:dyDescent="0.35">
      <c r="B3909" s="46"/>
      <c r="C3909" s="46"/>
      <c r="D3909" s="46"/>
      <c r="E3909" s="46"/>
      <c r="F3909" s="46"/>
      <c r="G3909" s="79"/>
    </row>
    <row r="3910" spans="2:7" x14ac:dyDescent="0.35">
      <c r="B3910" s="46"/>
      <c r="C3910" s="46"/>
      <c r="D3910" s="46"/>
      <c r="E3910" s="46"/>
      <c r="F3910" s="46"/>
      <c r="G3910" s="79"/>
    </row>
    <row r="3911" spans="2:7" x14ac:dyDescent="0.35">
      <c r="B3911" s="46"/>
      <c r="C3911" s="46"/>
      <c r="D3911" s="46"/>
      <c r="E3911" s="46"/>
      <c r="F3911" s="46"/>
      <c r="G3911" s="79"/>
    </row>
    <row r="3912" spans="2:7" x14ac:dyDescent="0.35">
      <c r="B3912" s="46"/>
      <c r="C3912" s="46"/>
      <c r="D3912" s="46"/>
      <c r="E3912" s="46"/>
      <c r="F3912" s="46"/>
      <c r="G3912" s="79"/>
    </row>
    <row r="3913" spans="2:7" x14ac:dyDescent="0.35">
      <c r="B3913" s="46"/>
      <c r="C3913" s="46"/>
      <c r="D3913" s="46"/>
      <c r="E3913" s="46"/>
      <c r="F3913" s="46"/>
      <c r="G3913" s="79"/>
    </row>
    <row r="3914" spans="2:7" x14ac:dyDescent="0.35">
      <c r="B3914" s="46"/>
      <c r="C3914" s="46"/>
      <c r="D3914" s="46"/>
      <c r="E3914" s="46"/>
      <c r="F3914" s="46"/>
      <c r="G3914" s="79"/>
    </row>
    <row r="3915" spans="2:7" x14ac:dyDescent="0.35">
      <c r="B3915" s="46"/>
      <c r="C3915" s="46"/>
      <c r="D3915" s="46"/>
      <c r="E3915" s="46"/>
      <c r="F3915" s="46"/>
      <c r="G3915" s="79"/>
    </row>
    <row r="3916" spans="2:7" x14ac:dyDescent="0.35">
      <c r="B3916" s="46"/>
      <c r="C3916" s="46"/>
      <c r="D3916" s="46"/>
      <c r="E3916" s="46"/>
      <c r="F3916" s="46"/>
      <c r="G3916" s="79"/>
    </row>
    <row r="3917" spans="2:7" x14ac:dyDescent="0.35">
      <c r="B3917" s="46"/>
      <c r="C3917" s="46"/>
      <c r="D3917" s="46"/>
      <c r="E3917" s="46"/>
      <c r="F3917" s="46"/>
      <c r="G3917" s="79"/>
    </row>
    <row r="3918" spans="2:7" x14ac:dyDescent="0.35">
      <c r="B3918" s="46"/>
      <c r="C3918" s="46"/>
      <c r="D3918" s="46"/>
      <c r="E3918" s="46"/>
      <c r="F3918" s="46"/>
      <c r="G3918" s="79"/>
    </row>
    <row r="3919" spans="2:7" x14ac:dyDescent="0.35">
      <c r="B3919" s="46"/>
      <c r="C3919" s="46"/>
      <c r="D3919" s="46"/>
      <c r="E3919" s="46"/>
      <c r="F3919" s="46"/>
      <c r="G3919" s="79"/>
    </row>
    <row r="3920" spans="2:7" x14ac:dyDescent="0.35">
      <c r="B3920" s="46"/>
      <c r="C3920" s="46"/>
      <c r="D3920" s="46"/>
      <c r="E3920" s="46"/>
      <c r="F3920" s="46"/>
      <c r="G3920" s="79"/>
    </row>
    <row r="3921" spans="2:7" x14ac:dyDescent="0.35">
      <c r="B3921" s="46"/>
      <c r="C3921" s="46"/>
      <c r="D3921" s="46"/>
      <c r="E3921" s="46"/>
      <c r="F3921" s="46"/>
      <c r="G3921" s="79"/>
    </row>
    <row r="3922" spans="2:7" x14ac:dyDescent="0.35">
      <c r="B3922" s="46"/>
      <c r="C3922" s="46"/>
      <c r="D3922" s="46"/>
      <c r="E3922" s="46"/>
      <c r="F3922" s="46"/>
      <c r="G3922" s="79"/>
    </row>
    <row r="3923" spans="2:7" x14ac:dyDescent="0.35">
      <c r="B3923" s="46"/>
      <c r="C3923" s="46"/>
      <c r="D3923" s="46"/>
      <c r="E3923" s="46"/>
      <c r="F3923" s="46"/>
      <c r="G3923" s="79"/>
    </row>
    <row r="3924" spans="2:7" x14ac:dyDescent="0.35">
      <c r="B3924" s="46"/>
      <c r="C3924" s="46"/>
      <c r="D3924" s="46"/>
      <c r="E3924" s="46"/>
      <c r="F3924" s="46"/>
      <c r="G3924" s="79"/>
    </row>
    <row r="3925" spans="2:7" x14ac:dyDescent="0.35">
      <c r="B3925" s="46"/>
      <c r="C3925" s="46"/>
      <c r="D3925" s="46"/>
      <c r="E3925" s="46"/>
      <c r="F3925" s="46"/>
      <c r="G3925" s="79"/>
    </row>
    <row r="3926" spans="2:7" x14ac:dyDescent="0.35">
      <c r="B3926" s="46"/>
      <c r="C3926" s="46"/>
      <c r="D3926" s="46"/>
      <c r="E3926" s="46"/>
      <c r="F3926" s="46"/>
      <c r="G3926" s="79"/>
    </row>
    <row r="3927" spans="2:7" x14ac:dyDescent="0.35">
      <c r="B3927" s="46"/>
      <c r="C3927" s="46"/>
      <c r="D3927" s="46"/>
      <c r="E3927" s="46"/>
      <c r="F3927" s="46"/>
      <c r="G3927" s="79"/>
    </row>
    <row r="3928" spans="2:7" x14ac:dyDescent="0.35">
      <c r="B3928" s="46"/>
      <c r="C3928" s="46"/>
      <c r="D3928" s="46"/>
      <c r="E3928" s="46"/>
      <c r="F3928" s="46"/>
      <c r="G3928" s="79"/>
    </row>
    <row r="3929" spans="2:7" x14ac:dyDescent="0.35">
      <c r="B3929" s="46"/>
      <c r="C3929" s="46"/>
      <c r="D3929" s="46"/>
      <c r="E3929" s="46"/>
      <c r="F3929" s="46"/>
      <c r="G3929" s="79"/>
    </row>
    <row r="3930" spans="2:7" x14ac:dyDescent="0.35">
      <c r="B3930" s="46"/>
      <c r="C3930" s="46"/>
      <c r="D3930" s="46"/>
      <c r="E3930" s="46"/>
      <c r="F3930" s="46"/>
      <c r="G3930" s="79"/>
    </row>
    <row r="3931" spans="2:7" x14ac:dyDescent="0.35">
      <c r="B3931" s="46"/>
      <c r="C3931" s="46"/>
      <c r="D3931" s="46"/>
      <c r="E3931" s="46"/>
      <c r="F3931" s="46"/>
      <c r="G3931" s="79"/>
    </row>
    <row r="3932" spans="2:7" x14ac:dyDescent="0.35">
      <c r="B3932" s="46"/>
      <c r="C3932" s="46"/>
      <c r="D3932" s="46"/>
      <c r="E3932" s="46"/>
      <c r="F3932" s="46"/>
      <c r="G3932" s="79"/>
    </row>
    <row r="3933" spans="2:7" x14ac:dyDescent="0.35">
      <c r="B3933" s="46"/>
      <c r="C3933" s="46"/>
      <c r="D3933" s="46"/>
      <c r="E3933" s="46"/>
      <c r="F3933" s="46"/>
      <c r="G3933" s="79"/>
    </row>
    <row r="3934" spans="2:7" x14ac:dyDescent="0.35">
      <c r="B3934" s="46"/>
      <c r="C3934" s="46"/>
      <c r="D3934" s="46"/>
      <c r="E3934" s="46"/>
      <c r="F3934" s="46"/>
      <c r="G3934" s="79"/>
    </row>
    <row r="3935" spans="2:7" x14ac:dyDescent="0.35">
      <c r="B3935" s="46"/>
      <c r="C3935" s="46"/>
      <c r="D3935" s="46"/>
      <c r="E3935" s="46"/>
      <c r="F3935" s="46"/>
      <c r="G3935" s="79"/>
    </row>
    <row r="3936" spans="2:7" x14ac:dyDescent="0.35">
      <c r="B3936" s="46"/>
      <c r="C3936" s="46"/>
      <c r="D3936" s="46"/>
      <c r="E3936" s="46"/>
      <c r="F3936" s="46"/>
      <c r="G3936" s="79"/>
    </row>
    <row r="3937" spans="2:7" x14ac:dyDescent="0.35">
      <c r="B3937" s="46"/>
      <c r="C3937" s="46"/>
      <c r="D3937" s="46"/>
      <c r="E3937" s="46"/>
      <c r="F3937" s="46"/>
      <c r="G3937" s="79"/>
    </row>
    <row r="3938" spans="2:7" x14ac:dyDescent="0.35">
      <c r="B3938" s="46"/>
      <c r="C3938" s="46"/>
      <c r="D3938" s="46"/>
      <c r="E3938" s="46"/>
      <c r="F3938" s="46"/>
      <c r="G3938" s="79"/>
    </row>
    <row r="3939" spans="2:7" x14ac:dyDescent="0.35">
      <c r="B3939" s="46"/>
      <c r="C3939" s="46"/>
      <c r="D3939" s="46"/>
      <c r="E3939" s="46"/>
      <c r="F3939" s="46"/>
      <c r="G3939" s="79"/>
    </row>
    <row r="3940" spans="2:7" x14ac:dyDescent="0.35">
      <c r="B3940" s="46"/>
      <c r="C3940" s="46"/>
      <c r="D3940" s="46"/>
      <c r="E3940" s="46"/>
      <c r="F3940" s="46"/>
      <c r="G3940" s="79"/>
    </row>
    <row r="3941" spans="2:7" x14ac:dyDescent="0.35">
      <c r="B3941" s="46"/>
      <c r="C3941" s="46"/>
      <c r="D3941" s="46"/>
      <c r="E3941" s="46"/>
      <c r="F3941" s="46"/>
      <c r="G3941" s="79"/>
    </row>
    <row r="3942" spans="2:7" x14ac:dyDescent="0.35">
      <c r="B3942" s="46"/>
      <c r="C3942" s="46"/>
      <c r="D3942" s="46"/>
      <c r="E3942" s="46"/>
      <c r="F3942" s="46"/>
      <c r="G3942" s="79"/>
    </row>
    <row r="3943" spans="2:7" x14ac:dyDescent="0.35">
      <c r="B3943" s="46"/>
      <c r="C3943" s="46"/>
      <c r="D3943" s="46"/>
      <c r="E3943" s="46"/>
      <c r="F3943" s="46"/>
      <c r="G3943" s="79"/>
    </row>
    <row r="3944" spans="2:7" x14ac:dyDescent="0.35">
      <c r="B3944" s="46"/>
      <c r="C3944" s="46"/>
      <c r="D3944" s="46"/>
      <c r="E3944" s="46"/>
      <c r="F3944" s="46"/>
      <c r="G3944" s="79"/>
    </row>
    <row r="3945" spans="2:7" x14ac:dyDescent="0.35">
      <c r="B3945" s="46"/>
      <c r="C3945" s="46"/>
      <c r="D3945" s="46"/>
      <c r="E3945" s="46"/>
      <c r="F3945" s="46"/>
      <c r="G3945" s="79"/>
    </row>
    <row r="3946" spans="2:7" x14ac:dyDescent="0.35">
      <c r="B3946" s="46"/>
      <c r="C3946" s="46"/>
      <c r="D3946" s="46"/>
      <c r="E3946" s="46"/>
      <c r="F3946" s="46"/>
      <c r="G3946" s="79"/>
    </row>
    <row r="3947" spans="2:7" x14ac:dyDescent="0.35">
      <c r="B3947" s="46"/>
      <c r="C3947" s="46"/>
      <c r="D3947" s="46"/>
      <c r="E3947" s="46"/>
      <c r="F3947" s="46"/>
      <c r="G3947" s="79"/>
    </row>
    <row r="3948" spans="2:7" x14ac:dyDescent="0.35">
      <c r="B3948" s="46"/>
      <c r="C3948" s="46"/>
      <c r="D3948" s="46"/>
      <c r="E3948" s="46"/>
      <c r="F3948" s="46"/>
      <c r="G3948" s="79"/>
    </row>
    <row r="3949" spans="2:7" x14ac:dyDescent="0.35">
      <c r="B3949" s="46"/>
      <c r="C3949" s="46"/>
      <c r="D3949" s="46"/>
      <c r="E3949" s="46"/>
      <c r="F3949" s="46"/>
      <c r="G3949" s="79"/>
    </row>
    <row r="3950" spans="2:7" x14ac:dyDescent="0.35">
      <c r="B3950" s="46"/>
      <c r="C3950" s="46"/>
      <c r="D3950" s="46"/>
      <c r="E3950" s="46"/>
      <c r="F3950" s="46"/>
      <c r="G3950" s="79"/>
    </row>
    <row r="3951" spans="2:7" x14ac:dyDescent="0.35">
      <c r="B3951" s="46"/>
      <c r="C3951" s="46"/>
      <c r="D3951" s="46"/>
      <c r="E3951" s="46"/>
      <c r="F3951" s="46"/>
      <c r="G3951" s="79"/>
    </row>
    <row r="3952" spans="2:7" x14ac:dyDescent="0.35">
      <c r="B3952" s="46"/>
      <c r="C3952" s="46"/>
      <c r="D3952" s="46"/>
      <c r="E3952" s="46"/>
      <c r="F3952" s="46"/>
      <c r="G3952" s="79"/>
    </row>
    <row r="3953" spans="2:7" x14ac:dyDescent="0.35">
      <c r="B3953" s="46"/>
      <c r="C3953" s="46"/>
      <c r="D3953" s="46"/>
      <c r="E3953" s="46"/>
      <c r="F3953" s="46"/>
      <c r="G3953" s="79"/>
    </row>
    <row r="3954" spans="2:7" x14ac:dyDescent="0.35">
      <c r="B3954" s="46"/>
      <c r="C3954" s="46"/>
      <c r="D3954" s="46"/>
      <c r="E3954" s="46"/>
      <c r="F3954" s="46"/>
      <c r="G3954" s="79"/>
    </row>
    <row r="3955" spans="2:7" x14ac:dyDescent="0.35">
      <c r="B3955" s="46"/>
      <c r="C3955" s="46"/>
      <c r="D3955" s="46"/>
      <c r="E3955" s="46"/>
      <c r="F3955" s="46"/>
      <c r="G3955" s="79"/>
    </row>
    <row r="3956" spans="2:7" x14ac:dyDescent="0.35">
      <c r="B3956" s="46"/>
      <c r="C3956" s="46"/>
      <c r="D3956" s="46"/>
      <c r="E3956" s="46"/>
      <c r="F3956" s="46"/>
      <c r="G3956" s="79"/>
    </row>
    <row r="3957" spans="2:7" x14ac:dyDescent="0.35">
      <c r="B3957" s="46"/>
      <c r="C3957" s="46"/>
      <c r="D3957" s="46"/>
      <c r="E3957" s="46"/>
      <c r="F3957" s="46"/>
      <c r="G3957" s="79"/>
    </row>
    <row r="3958" spans="2:7" x14ac:dyDescent="0.35">
      <c r="B3958" s="46"/>
      <c r="C3958" s="46"/>
      <c r="D3958" s="46"/>
      <c r="E3958" s="46"/>
      <c r="F3958" s="46"/>
      <c r="G3958" s="79"/>
    </row>
    <row r="3959" spans="2:7" x14ac:dyDescent="0.35">
      <c r="B3959" s="46"/>
      <c r="C3959" s="46"/>
      <c r="D3959" s="46"/>
      <c r="E3959" s="46"/>
      <c r="F3959" s="46"/>
      <c r="G3959" s="79"/>
    </row>
    <row r="3960" spans="2:7" x14ac:dyDescent="0.35">
      <c r="B3960" s="46"/>
      <c r="C3960" s="46"/>
      <c r="D3960" s="46"/>
      <c r="E3960" s="46"/>
      <c r="F3960" s="46"/>
      <c r="G3960" s="79"/>
    </row>
    <row r="3961" spans="2:7" x14ac:dyDescent="0.35">
      <c r="B3961" s="46"/>
      <c r="C3961" s="46"/>
      <c r="D3961" s="46"/>
      <c r="E3961" s="46"/>
      <c r="F3961" s="46"/>
      <c r="G3961" s="79"/>
    </row>
    <row r="3962" spans="2:7" x14ac:dyDescent="0.35">
      <c r="B3962" s="46"/>
      <c r="C3962" s="46"/>
      <c r="D3962" s="46"/>
      <c r="E3962" s="46"/>
      <c r="F3962" s="46"/>
      <c r="G3962" s="79"/>
    </row>
    <row r="3963" spans="2:7" x14ac:dyDescent="0.35">
      <c r="B3963" s="46"/>
      <c r="C3963" s="46"/>
      <c r="D3963" s="46"/>
      <c r="E3963" s="46"/>
      <c r="F3963" s="46"/>
      <c r="G3963" s="79"/>
    </row>
    <row r="3964" spans="2:7" x14ac:dyDescent="0.35">
      <c r="B3964" s="46"/>
      <c r="C3964" s="46"/>
      <c r="D3964" s="46"/>
      <c r="E3964" s="46"/>
      <c r="F3964" s="46"/>
      <c r="G3964" s="79"/>
    </row>
    <row r="3965" spans="2:7" x14ac:dyDescent="0.35">
      <c r="B3965" s="46"/>
      <c r="C3965" s="46"/>
      <c r="D3965" s="46"/>
      <c r="E3965" s="46"/>
      <c r="F3965" s="46"/>
      <c r="G3965" s="79"/>
    </row>
    <row r="3966" spans="2:7" x14ac:dyDescent="0.35">
      <c r="B3966" s="46"/>
      <c r="C3966" s="46"/>
      <c r="D3966" s="46"/>
      <c r="E3966" s="46"/>
      <c r="F3966" s="46"/>
      <c r="G3966" s="79"/>
    </row>
    <row r="3967" spans="2:7" x14ac:dyDescent="0.35">
      <c r="B3967" s="46"/>
      <c r="C3967" s="46"/>
      <c r="D3967" s="46"/>
      <c r="E3967" s="46"/>
      <c r="F3967" s="46"/>
      <c r="G3967" s="79"/>
    </row>
    <row r="3968" spans="2:7" x14ac:dyDescent="0.35">
      <c r="B3968" s="46"/>
      <c r="C3968" s="46"/>
      <c r="D3968" s="46"/>
      <c r="E3968" s="46"/>
      <c r="F3968" s="46"/>
      <c r="G3968" s="79"/>
    </row>
    <row r="3969" spans="2:7" x14ac:dyDescent="0.35">
      <c r="B3969" s="46"/>
      <c r="C3969" s="46"/>
      <c r="D3969" s="46"/>
      <c r="E3969" s="46"/>
      <c r="F3969" s="46"/>
      <c r="G3969" s="79"/>
    </row>
    <row r="3970" spans="2:7" x14ac:dyDescent="0.35">
      <c r="B3970" s="46"/>
      <c r="C3970" s="46"/>
      <c r="D3970" s="46"/>
      <c r="E3970" s="46"/>
      <c r="F3970" s="46"/>
      <c r="G3970" s="79"/>
    </row>
    <row r="3971" spans="2:7" x14ac:dyDescent="0.35">
      <c r="B3971" s="46"/>
      <c r="C3971" s="46"/>
      <c r="D3971" s="46"/>
      <c r="E3971" s="46"/>
      <c r="F3971" s="46"/>
      <c r="G3971" s="79"/>
    </row>
    <row r="3972" spans="2:7" x14ac:dyDescent="0.35">
      <c r="B3972" s="46"/>
      <c r="C3972" s="46"/>
      <c r="D3972" s="46"/>
      <c r="E3972" s="46"/>
      <c r="F3972" s="46"/>
      <c r="G3972" s="79"/>
    </row>
    <row r="3973" spans="2:7" x14ac:dyDescent="0.35">
      <c r="B3973" s="46"/>
      <c r="C3973" s="46"/>
      <c r="D3973" s="46"/>
      <c r="E3973" s="46"/>
      <c r="F3973" s="46"/>
      <c r="G3973" s="79"/>
    </row>
    <row r="3974" spans="2:7" x14ac:dyDescent="0.35">
      <c r="B3974" s="46"/>
      <c r="C3974" s="46"/>
      <c r="D3974" s="46"/>
      <c r="E3974" s="46"/>
      <c r="F3974" s="46"/>
      <c r="G3974" s="79"/>
    </row>
    <row r="3975" spans="2:7" x14ac:dyDescent="0.35">
      <c r="B3975" s="46"/>
      <c r="C3975" s="46"/>
      <c r="D3975" s="46"/>
      <c r="E3975" s="46"/>
      <c r="F3975" s="46"/>
      <c r="G3975" s="79"/>
    </row>
    <row r="3976" spans="2:7" x14ac:dyDescent="0.35">
      <c r="B3976" s="46"/>
      <c r="C3976" s="46"/>
      <c r="D3976" s="46"/>
      <c r="E3976" s="46"/>
      <c r="F3976" s="46"/>
      <c r="G3976" s="79"/>
    </row>
    <row r="3977" spans="2:7" x14ac:dyDescent="0.35">
      <c r="B3977" s="46"/>
      <c r="C3977" s="46"/>
      <c r="D3977" s="46"/>
      <c r="E3977" s="46"/>
      <c r="F3977" s="46"/>
      <c r="G3977" s="79"/>
    </row>
    <row r="3978" spans="2:7" x14ac:dyDescent="0.35">
      <c r="B3978" s="46"/>
      <c r="C3978" s="46"/>
      <c r="D3978" s="46"/>
      <c r="E3978" s="46"/>
      <c r="F3978" s="46"/>
      <c r="G3978" s="79"/>
    </row>
    <row r="3979" spans="2:7" x14ac:dyDescent="0.35">
      <c r="B3979" s="46"/>
      <c r="C3979" s="46"/>
      <c r="D3979" s="46"/>
      <c r="E3979" s="46"/>
      <c r="F3979" s="46"/>
      <c r="G3979" s="79"/>
    </row>
    <row r="3980" spans="2:7" x14ac:dyDescent="0.35">
      <c r="B3980" s="46"/>
      <c r="C3980" s="46"/>
      <c r="D3980" s="46"/>
      <c r="E3980" s="46"/>
      <c r="F3980" s="46"/>
      <c r="G3980" s="79"/>
    </row>
    <row r="3981" spans="2:7" x14ac:dyDescent="0.35">
      <c r="B3981" s="46"/>
      <c r="C3981" s="46"/>
      <c r="D3981" s="46"/>
      <c r="E3981" s="46"/>
      <c r="F3981" s="46"/>
      <c r="G3981" s="79"/>
    </row>
    <row r="3982" spans="2:7" x14ac:dyDescent="0.35">
      <c r="B3982" s="46"/>
      <c r="C3982" s="46"/>
      <c r="D3982" s="46"/>
      <c r="E3982" s="46"/>
      <c r="F3982" s="46"/>
      <c r="G3982" s="79"/>
    </row>
    <row r="3983" spans="2:7" x14ac:dyDescent="0.35">
      <c r="B3983" s="46"/>
      <c r="C3983" s="46"/>
      <c r="D3983" s="46"/>
      <c r="E3983" s="46"/>
      <c r="F3983" s="46"/>
      <c r="G3983" s="79"/>
    </row>
    <row r="3984" spans="2:7" x14ac:dyDescent="0.35">
      <c r="B3984" s="46"/>
      <c r="C3984" s="46"/>
      <c r="D3984" s="46"/>
      <c r="E3984" s="46"/>
      <c r="F3984" s="46"/>
      <c r="G3984" s="79"/>
    </row>
    <row r="3985" spans="2:7" x14ac:dyDescent="0.35">
      <c r="B3985" s="46"/>
      <c r="C3985" s="46"/>
      <c r="D3985" s="46"/>
      <c r="E3985" s="46"/>
      <c r="F3985" s="46"/>
      <c r="G3985" s="79"/>
    </row>
    <row r="3986" spans="2:7" x14ac:dyDescent="0.35">
      <c r="B3986" s="46"/>
      <c r="C3986" s="46"/>
      <c r="D3986" s="46"/>
      <c r="E3986" s="46"/>
      <c r="F3986" s="46"/>
      <c r="G3986" s="79"/>
    </row>
    <row r="3987" spans="2:7" x14ac:dyDescent="0.35">
      <c r="B3987" s="46"/>
      <c r="C3987" s="46"/>
      <c r="D3987" s="46"/>
      <c r="E3987" s="46"/>
      <c r="F3987" s="46"/>
      <c r="G3987" s="79"/>
    </row>
    <row r="3988" spans="2:7" x14ac:dyDescent="0.35">
      <c r="B3988" s="46"/>
      <c r="C3988" s="46"/>
      <c r="D3988" s="46"/>
      <c r="E3988" s="46"/>
      <c r="F3988" s="46"/>
      <c r="G3988" s="79"/>
    </row>
    <row r="3989" spans="2:7" x14ac:dyDescent="0.35">
      <c r="B3989" s="46"/>
      <c r="C3989" s="46"/>
      <c r="D3989" s="46"/>
      <c r="E3989" s="46"/>
      <c r="F3989" s="46"/>
      <c r="G3989" s="79"/>
    </row>
    <row r="3990" spans="2:7" x14ac:dyDescent="0.35">
      <c r="B3990" s="46"/>
      <c r="C3990" s="46"/>
      <c r="D3990" s="46"/>
      <c r="E3990" s="46"/>
      <c r="F3990" s="46"/>
      <c r="G3990" s="79"/>
    </row>
    <row r="3991" spans="2:7" x14ac:dyDescent="0.35">
      <c r="B3991" s="46"/>
      <c r="C3991" s="46"/>
      <c r="D3991" s="46"/>
      <c r="E3991" s="46"/>
      <c r="F3991" s="46"/>
      <c r="G3991" s="79"/>
    </row>
    <row r="3992" spans="2:7" x14ac:dyDescent="0.35">
      <c r="B3992" s="46"/>
      <c r="C3992" s="46"/>
      <c r="D3992" s="46"/>
      <c r="E3992" s="46"/>
      <c r="F3992" s="46"/>
      <c r="G3992" s="79"/>
    </row>
    <row r="3993" spans="2:7" x14ac:dyDescent="0.35">
      <c r="B3993" s="46"/>
      <c r="C3993" s="46"/>
      <c r="D3993" s="46"/>
      <c r="E3993" s="46"/>
      <c r="F3993" s="46"/>
      <c r="G3993" s="79"/>
    </row>
    <row r="3994" spans="2:7" x14ac:dyDescent="0.35">
      <c r="B3994" s="46"/>
      <c r="C3994" s="46"/>
      <c r="D3994" s="46"/>
      <c r="E3994" s="46"/>
      <c r="F3994" s="46"/>
      <c r="G3994" s="79"/>
    </row>
    <row r="3995" spans="2:7" x14ac:dyDescent="0.35">
      <c r="B3995" s="46"/>
      <c r="C3995" s="46"/>
      <c r="D3995" s="46"/>
      <c r="E3995" s="46"/>
      <c r="F3995" s="46"/>
      <c r="G3995" s="79"/>
    </row>
    <row r="3996" spans="2:7" x14ac:dyDescent="0.35">
      <c r="B3996" s="46"/>
      <c r="C3996" s="46"/>
      <c r="D3996" s="46"/>
      <c r="E3996" s="46"/>
      <c r="F3996" s="46"/>
      <c r="G3996" s="79"/>
    </row>
    <row r="3997" spans="2:7" x14ac:dyDescent="0.35">
      <c r="B3997" s="46"/>
      <c r="C3997" s="46"/>
      <c r="D3997" s="46"/>
      <c r="E3997" s="46"/>
      <c r="F3997" s="46"/>
      <c r="G3997" s="79"/>
    </row>
    <row r="3998" spans="2:7" x14ac:dyDescent="0.35">
      <c r="B3998" s="46"/>
      <c r="C3998" s="46"/>
      <c r="D3998" s="46"/>
      <c r="E3998" s="46"/>
      <c r="F3998" s="46"/>
      <c r="G3998" s="79"/>
    </row>
    <row r="3999" spans="2:7" x14ac:dyDescent="0.35">
      <c r="B3999" s="46"/>
      <c r="C3999" s="46"/>
      <c r="D3999" s="46"/>
      <c r="E3999" s="46"/>
      <c r="F3999" s="46"/>
      <c r="G3999" s="79"/>
    </row>
    <row r="4000" spans="2:7" x14ac:dyDescent="0.35">
      <c r="B4000" s="46"/>
      <c r="C4000" s="46"/>
      <c r="D4000" s="46"/>
      <c r="E4000" s="46"/>
      <c r="F4000" s="46"/>
      <c r="G4000" s="79"/>
    </row>
    <row r="4001" spans="2:7" x14ac:dyDescent="0.35">
      <c r="B4001" s="46"/>
      <c r="C4001" s="46"/>
      <c r="D4001" s="46"/>
      <c r="E4001" s="46"/>
      <c r="F4001" s="46"/>
      <c r="G4001" s="79"/>
    </row>
    <row r="4002" spans="2:7" x14ac:dyDescent="0.35">
      <c r="B4002" s="46"/>
      <c r="C4002" s="46"/>
      <c r="D4002" s="46"/>
      <c r="E4002" s="46"/>
      <c r="F4002" s="46"/>
      <c r="G4002" s="79"/>
    </row>
    <row r="4003" spans="2:7" x14ac:dyDescent="0.35">
      <c r="B4003" s="46"/>
      <c r="C4003" s="46"/>
      <c r="D4003" s="46"/>
      <c r="E4003" s="46"/>
      <c r="F4003" s="46"/>
      <c r="G4003" s="79"/>
    </row>
    <row r="4004" spans="2:7" x14ac:dyDescent="0.35">
      <c r="B4004" s="46"/>
      <c r="C4004" s="46"/>
      <c r="D4004" s="46"/>
      <c r="E4004" s="46"/>
      <c r="F4004" s="46"/>
      <c r="G4004" s="79"/>
    </row>
    <row r="4005" spans="2:7" x14ac:dyDescent="0.35">
      <c r="B4005" s="46"/>
      <c r="C4005" s="46"/>
      <c r="D4005" s="46"/>
      <c r="E4005" s="46"/>
      <c r="F4005" s="46"/>
      <c r="G4005" s="79"/>
    </row>
    <row r="4006" spans="2:7" x14ac:dyDescent="0.35">
      <c r="B4006" s="46"/>
      <c r="C4006" s="46"/>
      <c r="D4006" s="46"/>
      <c r="E4006" s="46"/>
      <c r="F4006" s="46"/>
      <c r="G4006" s="79"/>
    </row>
    <row r="4007" spans="2:7" x14ac:dyDescent="0.35">
      <c r="B4007" s="46"/>
      <c r="C4007" s="46"/>
      <c r="D4007" s="46"/>
      <c r="E4007" s="46"/>
      <c r="F4007" s="46"/>
      <c r="G4007" s="79"/>
    </row>
    <row r="4008" spans="2:7" x14ac:dyDescent="0.35">
      <c r="B4008" s="46"/>
      <c r="C4008" s="46"/>
      <c r="D4008" s="46"/>
      <c r="E4008" s="46"/>
      <c r="F4008" s="46"/>
      <c r="G4008" s="79"/>
    </row>
    <row r="4009" spans="2:7" x14ac:dyDescent="0.35">
      <c r="B4009" s="46"/>
      <c r="C4009" s="46"/>
      <c r="D4009" s="46"/>
      <c r="E4009" s="46"/>
      <c r="F4009" s="46"/>
      <c r="G4009" s="79"/>
    </row>
    <row r="4010" spans="2:7" x14ac:dyDescent="0.35">
      <c r="B4010" s="46"/>
      <c r="C4010" s="46"/>
      <c r="D4010" s="46"/>
      <c r="E4010" s="46"/>
      <c r="F4010" s="46"/>
      <c r="G4010" s="79"/>
    </row>
    <row r="4011" spans="2:7" x14ac:dyDescent="0.35">
      <c r="B4011" s="46"/>
      <c r="C4011" s="46"/>
      <c r="D4011" s="46"/>
      <c r="E4011" s="46"/>
      <c r="F4011" s="46"/>
      <c r="G4011" s="79"/>
    </row>
    <row r="4012" spans="2:7" x14ac:dyDescent="0.35">
      <c r="B4012" s="46"/>
      <c r="C4012" s="46"/>
      <c r="D4012" s="46"/>
      <c r="E4012" s="46"/>
      <c r="F4012" s="46"/>
      <c r="G4012" s="79"/>
    </row>
    <row r="4013" spans="2:7" x14ac:dyDescent="0.35">
      <c r="B4013" s="46"/>
      <c r="C4013" s="46"/>
      <c r="D4013" s="46"/>
      <c r="E4013" s="46"/>
      <c r="F4013" s="46"/>
      <c r="G4013" s="79"/>
    </row>
    <row r="4014" spans="2:7" x14ac:dyDescent="0.35">
      <c r="B4014" s="46"/>
      <c r="C4014" s="46"/>
      <c r="D4014" s="46"/>
      <c r="E4014" s="46"/>
      <c r="F4014" s="46"/>
      <c r="G4014" s="79"/>
    </row>
    <row r="4015" spans="2:7" x14ac:dyDescent="0.35">
      <c r="B4015" s="46"/>
      <c r="C4015" s="46"/>
      <c r="D4015" s="46"/>
      <c r="E4015" s="46"/>
      <c r="F4015" s="46"/>
      <c r="G4015" s="79"/>
    </row>
    <row r="4016" spans="2:7" x14ac:dyDescent="0.35">
      <c r="B4016" s="46"/>
      <c r="C4016" s="46"/>
      <c r="D4016" s="46"/>
      <c r="E4016" s="46"/>
      <c r="F4016" s="46"/>
      <c r="G4016" s="79"/>
    </row>
    <row r="4017" spans="2:7" x14ac:dyDescent="0.35">
      <c r="B4017" s="46"/>
      <c r="C4017" s="46"/>
      <c r="D4017" s="46"/>
      <c r="E4017" s="46"/>
      <c r="F4017" s="46"/>
      <c r="G4017" s="79"/>
    </row>
    <row r="4018" spans="2:7" x14ac:dyDescent="0.35">
      <c r="B4018" s="46"/>
      <c r="C4018" s="46"/>
      <c r="D4018" s="46"/>
      <c r="E4018" s="46"/>
      <c r="F4018" s="46"/>
      <c r="G4018" s="79"/>
    </row>
    <row r="4019" spans="2:7" x14ac:dyDescent="0.35">
      <c r="B4019" s="46"/>
      <c r="C4019" s="46"/>
      <c r="D4019" s="46"/>
      <c r="E4019" s="46"/>
      <c r="F4019" s="46"/>
      <c r="G4019" s="79"/>
    </row>
    <row r="4020" spans="2:7" x14ac:dyDescent="0.35">
      <c r="B4020" s="46"/>
      <c r="C4020" s="46"/>
      <c r="D4020" s="46"/>
      <c r="E4020" s="46"/>
      <c r="F4020" s="46"/>
      <c r="G4020" s="79"/>
    </row>
    <row r="4021" spans="2:7" x14ac:dyDescent="0.35">
      <c r="B4021" s="46"/>
      <c r="C4021" s="46"/>
      <c r="D4021" s="46"/>
      <c r="E4021" s="46"/>
      <c r="F4021" s="46"/>
      <c r="G4021" s="79"/>
    </row>
    <row r="4022" spans="2:7" x14ac:dyDescent="0.35">
      <c r="B4022" s="46"/>
      <c r="C4022" s="46"/>
      <c r="D4022" s="46"/>
      <c r="E4022" s="46"/>
      <c r="F4022" s="46"/>
      <c r="G4022" s="79"/>
    </row>
    <row r="4023" spans="2:7" x14ac:dyDescent="0.35">
      <c r="B4023" s="46"/>
      <c r="C4023" s="46"/>
      <c r="D4023" s="46"/>
      <c r="E4023" s="46"/>
      <c r="F4023" s="46"/>
      <c r="G4023" s="79"/>
    </row>
    <row r="4024" spans="2:7" x14ac:dyDescent="0.35">
      <c r="B4024" s="46"/>
      <c r="C4024" s="46"/>
      <c r="D4024" s="46"/>
      <c r="E4024" s="46"/>
      <c r="F4024" s="46"/>
      <c r="G4024" s="79"/>
    </row>
    <row r="4025" spans="2:7" x14ac:dyDescent="0.35">
      <c r="B4025" s="46"/>
      <c r="C4025" s="46"/>
      <c r="D4025" s="46"/>
      <c r="E4025" s="46"/>
      <c r="F4025" s="46"/>
      <c r="G4025" s="79"/>
    </row>
    <row r="4026" spans="2:7" x14ac:dyDescent="0.35">
      <c r="B4026" s="46"/>
      <c r="C4026" s="46"/>
      <c r="D4026" s="46"/>
      <c r="E4026" s="46"/>
      <c r="F4026" s="46"/>
      <c r="G4026" s="79"/>
    </row>
    <row r="4027" spans="2:7" x14ac:dyDescent="0.35">
      <c r="B4027" s="46"/>
      <c r="C4027" s="46"/>
      <c r="D4027" s="46"/>
      <c r="E4027" s="46"/>
      <c r="F4027" s="46"/>
      <c r="G4027" s="79"/>
    </row>
    <row r="4028" spans="2:7" x14ac:dyDescent="0.35">
      <c r="B4028" s="46"/>
      <c r="C4028" s="46"/>
      <c r="D4028" s="46"/>
      <c r="E4028" s="46"/>
      <c r="F4028" s="46"/>
      <c r="G4028" s="79"/>
    </row>
    <row r="4029" spans="2:7" x14ac:dyDescent="0.35">
      <c r="B4029" s="46"/>
      <c r="C4029" s="46"/>
      <c r="D4029" s="46"/>
      <c r="E4029" s="46"/>
      <c r="F4029" s="46"/>
      <c r="G4029" s="79"/>
    </row>
    <row r="4030" spans="2:7" x14ac:dyDescent="0.35">
      <c r="B4030" s="46"/>
      <c r="C4030" s="46"/>
      <c r="D4030" s="46"/>
      <c r="E4030" s="46"/>
      <c r="F4030" s="46"/>
      <c r="G4030" s="79"/>
    </row>
    <row r="4031" spans="2:7" x14ac:dyDescent="0.35">
      <c r="B4031" s="46"/>
      <c r="C4031" s="46"/>
      <c r="D4031" s="46"/>
      <c r="E4031" s="46"/>
      <c r="F4031" s="46"/>
      <c r="G4031" s="79"/>
    </row>
    <row r="4032" spans="2:7" x14ac:dyDescent="0.35">
      <c r="B4032" s="46"/>
      <c r="C4032" s="46"/>
      <c r="D4032" s="46"/>
      <c r="E4032" s="46"/>
      <c r="F4032" s="46"/>
      <c r="G4032" s="79"/>
    </row>
    <row r="4033" spans="2:7" x14ac:dyDescent="0.35">
      <c r="B4033" s="46"/>
      <c r="C4033" s="46"/>
      <c r="D4033" s="46"/>
      <c r="E4033" s="46"/>
      <c r="F4033" s="46"/>
      <c r="G4033" s="79"/>
    </row>
    <row r="4034" spans="2:7" x14ac:dyDescent="0.35">
      <c r="B4034" s="46"/>
      <c r="C4034" s="46"/>
      <c r="D4034" s="46"/>
      <c r="E4034" s="46"/>
      <c r="F4034" s="46"/>
      <c r="G4034" s="79"/>
    </row>
    <row r="4035" spans="2:7" x14ac:dyDescent="0.35">
      <c r="B4035" s="46"/>
      <c r="C4035" s="46"/>
      <c r="D4035" s="46"/>
      <c r="E4035" s="46"/>
      <c r="F4035" s="46"/>
      <c r="G4035" s="79"/>
    </row>
    <row r="4036" spans="2:7" x14ac:dyDescent="0.35">
      <c r="B4036" s="46"/>
      <c r="C4036" s="46"/>
      <c r="D4036" s="46"/>
      <c r="E4036" s="46"/>
      <c r="F4036" s="46"/>
      <c r="G4036" s="79"/>
    </row>
    <row r="4037" spans="2:7" x14ac:dyDescent="0.35">
      <c r="B4037" s="46"/>
      <c r="C4037" s="46"/>
      <c r="D4037" s="46"/>
      <c r="E4037" s="46"/>
      <c r="F4037" s="46"/>
      <c r="G4037" s="79"/>
    </row>
    <row r="4038" spans="2:7" x14ac:dyDescent="0.35">
      <c r="B4038" s="46"/>
      <c r="C4038" s="46"/>
      <c r="D4038" s="46"/>
      <c r="E4038" s="46"/>
      <c r="F4038" s="46"/>
      <c r="G4038" s="79"/>
    </row>
    <row r="4039" spans="2:7" x14ac:dyDescent="0.35">
      <c r="B4039" s="46"/>
      <c r="C4039" s="46"/>
      <c r="D4039" s="46"/>
      <c r="E4039" s="46"/>
      <c r="F4039" s="46"/>
      <c r="G4039" s="79"/>
    </row>
    <row r="4040" spans="2:7" x14ac:dyDescent="0.35">
      <c r="B4040" s="46"/>
      <c r="C4040" s="46"/>
      <c r="D4040" s="46"/>
      <c r="E4040" s="46"/>
      <c r="F4040" s="46"/>
      <c r="G4040" s="79"/>
    </row>
    <row r="4041" spans="2:7" x14ac:dyDescent="0.35">
      <c r="B4041" s="46"/>
      <c r="C4041" s="46"/>
      <c r="D4041" s="46"/>
      <c r="E4041" s="46"/>
      <c r="F4041" s="46"/>
      <c r="G4041" s="79"/>
    </row>
    <row r="4042" spans="2:7" x14ac:dyDescent="0.35">
      <c r="B4042" s="46"/>
      <c r="C4042" s="46"/>
      <c r="D4042" s="46"/>
      <c r="E4042" s="46"/>
      <c r="F4042" s="46"/>
      <c r="G4042" s="79"/>
    </row>
    <row r="4043" spans="2:7" x14ac:dyDescent="0.35">
      <c r="B4043" s="46"/>
      <c r="C4043" s="46"/>
      <c r="D4043" s="46"/>
      <c r="E4043" s="46"/>
      <c r="F4043" s="46"/>
      <c r="G4043" s="79"/>
    </row>
    <row r="4044" spans="2:7" x14ac:dyDescent="0.35">
      <c r="B4044" s="46"/>
      <c r="C4044" s="46"/>
      <c r="D4044" s="46"/>
      <c r="E4044" s="46"/>
      <c r="F4044" s="46"/>
      <c r="G4044" s="79"/>
    </row>
    <row r="4045" spans="2:7" x14ac:dyDescent="0.35">
      <c r="B4045" s="46"/>
      <c r="C4045" s="46"/>
      <c r="D4045" s="46"/>
      <c r="E4045" s="46"/>
      <c r="F4045" s="46"/>
      <c r="G4045" s="79"/>
    </row>
    <row r="4046" spans="2:7" x14ac:dyDescent="0.35">
      <c r="B4046" s="46"/>
      <c r="C4046" s="46"/>
      <c r="D4046" s="46"/>
      <c r="E4046" s="46"/>
      <c r="F4046" s="46"/>
      <c r="G4046" s="79"/>
    </row>
    <row r="4047" spans="2:7" x14ac:dyDescent="0.35">
      <c r="B4047" s="46"/>
      <c r="C4047" s="46"/>
      <c r="D4047" s="46"/>
      <c r="E4047" s="46"/>
      <c r="F4047" s="46"/>
      <c r="G4047" s="79"/>
    </row>
    <row r="4048" spans="2:7" x14ac:dyDescent="0.35">
      <c r="B4048" s="46"/>
      <c r="C4048" s="46"/>
      <c r="D4048" s="46"/>
      <c r="E4048" s="46"/>
      <c r="F4048" s="46"/>
      <c r="G4048" s="79"/>
    </row>
    <row r="4049" spans="2:7" x14ac:dyDescent="0.35">
      <c r="B4049" s="46"/>
      <c r="C4049" s="46"/>
      <c r="D4049" s="46"/>
      <c r="E4049" s="46"/>
      <c r="F4049" s="46"/>
      <c r="G4049" s="79"/>
    </row>
    <row r="4050" spans="2:7" x14ac:dyDescent="0.35">
      <c r="B4050" s="46"/>
      <c r="C4050" s="46"/>
      <c r="D4050" s="46"/>
      <c r="E4050" s="46"/>
      <c r="F4050" s="46"/>
      <c r="G4050" s="79"/>
    </row>
    <row r="4051" spans="2:7" x14ac:dyDescent="0.35">
      <c r="B4051" s="46"/>
      <c r="C4051" s="46"/>
      <c r="D4051" s="46"/>
      <c r="E4051" s="46"/>
      <c r="F4051" s="46"/>
      <c r="G4051" s="79"/>
    </row>
    <row r="4052" spans="2:7" x14ac:dyDescent="0.35">
      <c r="B4052" s="46"/>
      <c r="C4052" s="46"/>
      <c r="D4052" s="46"/>
      <c r="E4052" s="46"/>
      <c r="F4052" s="46"/>
      <c r="G4052" s="79"/>
    </row>
    <row r="4053" spans="2:7" x14ac:dyDescent="0.35">
      <c r="B4053" s="46"/>
      <c r="C4053" s="46"/>
      <c r="D4053" s="46"/>
      <c r="E4053" s="46"/>
      <c r="F4053" s="46"/>
      <c r="G4053" s="79"/>
    </row>
    <row r="4054" spans="2:7" x14ac:dyDescent="0.35">
      <c r="B4054" s="46"/>
      <c r="C4054" s="46"/>
      <c r="D4054" s="46"/>
      <c r="E4054" s="46"/>
      <c r="F4054" s="46"/>
      <c r="G4054" s="79"/>
    </row>
    <row r="4055" spans="2:7" x14ac:dyDescent="0.35">
      <c r="B4055" s="46"/>
      <c r="C4055" s="46"/>
      <c r="D4055" s="46"/>
      <c r="E4055" s="46"/>
      <c r="F4055" s="46"/>
      <c r="G4055" s="79"/>
    </row>
    <row r="4056" spans="2:7" x14ac:dyDescent="0.35">
      <c r="B4056" s="46"/>
      <c r="C4056" s="46"/>
      <c r="D4056" s="46"/>
      <c r="E4056" s="46"/>
      <c r="F4056" s="46"/>
      <c r="G4056" s="79"/>
    </row>
    <row r="4057" spans="2:7" x14ac:dyDescent="0.35">
      <c r="B4057" s="46"/>
      <c r="C4057" s="46"/>
      <c r="D4057" s="46"/>
      <c r="E4057" s="46"/>
      <c r="F4057" s="46"/>
      <c r="G4057" s="79"/>
    </row>
    <row r="4058" spans="2:7" x14ac:dyDescent="0.35">
      <c r="B4058" s="46"/>
      <c r="C4058" s="46"/>
      <c r="D4058" s="46"/>
      <c r="E4058" s="46"/>
      <c r="F4058" s="46"/>
      <c r="G4058" s="79"/>
    </row>
    <row r="4059" spans="2:7" x14ac:dyDescent="0.35">
      <c r="B4059" s="46"/>
      <c r="C4059" s="46"/>
      <c r="D4059" s="46"/>
      <c r="E4059" s="46"/>
      <c r="F4059" s="46"/>
      <c r="G4059" s="79"/>
    </row>
    <row r="4060" spans="2:7" x14ac:dyDescent="0.35">
      <c r="B4060" s="46"/>
      <c r="C4060" s="46"/>
      <c r="D4060" s="46"/>
      <c r="E4060" s="46"/>
      <c r="F4060" s="46"/>
      <c r="G4060" s="79"/>
    </row>
    <row r="4061" spans="2:7" x14ac:dyDescent="0.35">
      <c r="B4061" s="46"/>
      <c r="C4061" s="46"/>
      <c r="D4061" s="46"/>
      <c r="E4061" s="46"/>
      <c r="F4061" s="46"/>
      <c r="G4061" s="79"/>
    </row>
    <row r="4062" spans="2:7" x14ac:dyDescent="0.35">
      <c r="B4062" s="46"/>
      <c r="C4062" s="46"/>
      <c r="D4062" s="46"/>
      <c r="E4062" s="46"/>
      <c r="F4062" s="46"/>
      <c r="G4062" s="79"/>
    </row>
    <row r="4063" spans="2:7" x14ac:dyDescent="0.35">
      <c r="B4063" s="46"/>
      <c r="C4063" s="46"/>
      <c r="D4063" s="46"/>
      <c r="E4063" s="46"/>
      <c r="F4063" s="46"/>
      <c r="G4063" s="79"/>
    </row>
    <row r="4064" spans="2:7" x14ac:dyDescent="0.35">
      <c r="B4064" s="46"/>
      <c r="C4064" s="46"/>
      <c r="D4064" s="46"/>
      <c r="E4064" s="46"/>
      <c r="F4064" s="46"/>
      <c r="G4064" s="79"/>
    </row>
    <row r="4065" spans="2:7" x14ac:dyDescent="0.35">
      <c r="B4065" s="46"/>
      <c r="C4065" s="46"/>
      <c r="D4065" s="46"/>
      <c r="E4065" s="46"/>
      <c r="F4065" s="46"/>
      <c r="G4065" s="79"/>
    </row>
    <row r="4066" spans="2:7" x14ac:dyDescent="0.35">
      <c r="B4066" s="46"/>
      <c r="C4066" s="46"/>
      <c r="D4066" s="46"/>
      <c r="E4066" s="46"/>
      <c r="F4066" s="46"/>
      <c r="G4066" s="79"/>
    </row>
    <row r="4067" spans="2:7" x14ac:dyDescent="0.35">
      <c r="B4067" s="46"/>
      <c r="C4067" s="46"/>
      <c r="D4067" s="46"/>
      <c r="E4067" s="46"/>
      <c r="F4067" s="46"/>
      <c r="G4067" s="79"/>
    </row>
    <row r="4068" spans="2:7" x14ac:dyDescent="0.35">
      <c r="B4068" s="46"/>
      <c r="C4068" s="46"/>
      <c r="D4068" s="46"/>
      <c r="E4068" s="46"/>
      <c r="F4068" s="46"/>
      <c r="G4068" s="79"/>
    </row>
    <row r="4069" spans="2:7" x14ac:dyDescent="0.35">
      <c r="B4069" s="46"/>
      <c r="C4069" s="46"/>
      <c r="D4069" s="46"/>
      <c r="E4069" s="46"/>
      <c r="F4069" s="46"/>
      <c r="G4069" s="79"/>
    </row>
    <row r="4070" spans="2:7" x14ac:dyDescent="0.35">
      <c r="B4070" s="46"/>
      <c r="C4070" s="46"/>
      <c r="D4070" s="46"/>
      <c r="E4070" s="46"/>
      <c r="F4070" s="46"/>
      <c r="G4070" s="79"/>
    </row>
    <row r="4071" spans="2:7" x14ac:dyDescent="0.35">
      <c r="B4071" s="46"/>
      <c r="C4071" s="46"/>
      <c r="D4071" s="46"/>
      <c r="E4071" s="46"/>
      <c r="F4071" s="46"/>
      <c r="G4071" s="79"/>
    </row>
    <row r="4072" spans="2:7" x14ac:dyDescent="0.35">
      <c r="B4072" s="46"/>
      <c r="C4072" s="46"/>
      <c r="D4072" s="46"/>
      <c r="E4072" s="46"/>
      <c r="F4072" s="46"/>
      <c r="G4072" s="79"/>
    </row>
    <row r="4073" spans="2:7" x14ac:dyDescent="0.35">
      <c r="B4073" s="46"/>
      <c r="C4073" s="46"/>
      <c r="D4073" s="46"/>
      <c r="E4073" s="46"/>
      <c r="F4073" s="46"/>
      <c r="G4073" s="79"/>
    </row>
    <row r="4074" spans="2:7" x14ac:dyDescent="0.35">
      <c r="B4074" s="46"/>
      <c r="C4074" s="46"/>
      <c r="D4074" s="46"/>
      <c r="E4074" s="46"/>
      <c r="F4074" s="46"/>
      <c r="G4074" s="79"/>
    </row>
    <row r="4075" spans="2:7" x14ac:dyDescent="0.35">
      <c r="B4075" s="46"/>
      <c r="C4075" s="46"/>
      <c r="D4075" s="46"/>
      <c r="E4075" s="46"/>
      <c r="F4075" s="46"/>
      <c r="G4075" s="79"/>
    </row>
    <row r="4076" spans="2:7" x14ac:dyDescent="0.35">
      <c r="B4076" s="46"/>
      <c r="C4076" s="46"/>
      <c r="D4076" s="46"/>
      <c r="E4076" s="46"/>
      <c r="F4076" s="46"/>
      <c r="G4076" s="79"/>
    </row>
    <row r="4077" spans="2:7" x14ac:dyDescent="0.35">
      <c r="B4077" s="46"/>
      <c r="C4077" s="46"/>
      <c r="D4077" s="46"/>
      <c r="E4077" s="46"/>
      <c r="F4077" s="46"/>
      <c r="G4077" s="79"/>
    </row>
    <row r="4078" spans="2:7" x14ac:dyDescent="0.35">
      <c r="B4078" s="46"/>
      <c r="C4078" s="46"/>
      <c r="D4078" s="46"/>
      <c r="E4078" s="46"/>
      <c r="F4078" s="46"/>
      <c r="G4078" s="79"/>
    </row>
    <row r="4079" spans="2:7" x14ac:dyDescent="0.35">
      <c r="B4079" s="46"/>
      <c r="C4079" s="46"/>
      <c r="D4079" s="46"/>
      <c r="E4079" s="46"/>
      <c r="F4079" s="46"/>
      <c r="G4079" s="79"/>
    </row>
    <row r="4080" spans="2:7" x14ac:dyDescent="0.35">
      <c r="B4080" s="46"/>
      <c r="C4080" s="46"/>
      <c r="D4080" s="46"/>
      <c r="E4080" s="46"/>
      <c r="F4080" s="46"/>
      <c r="G4080" s="79"/>
    </row>
    <row r="4081" spans="2:7" x14ac:dyDescent="0.35">
      <c r="B4081" s="46"/>
      <c r="C4081" s="46"/>
      <c r="D4081" s="46"/>
      <c r="E4081" s="46"/>
      <c r="F4081" s="46"/>
      <c r="G4081" s="79"/>
    </row>
    <row r="4082" spans="2:7" x14ac:dyDescent="0.35">
      <c r="B4082" s="46"/>
      <c r="C4082" s="46"/>
      <c r="D4082" s="46"/>
      <c r="E4082" s="46"/>
      <c r="F4082" s="46"/>
      <c r="G4082" s="79"/>
    </row>
    <row r="4083" spans="2:7" x14ac:dyDescent="0.35">
      <c r="B4083" s="46"/>
      <c r="C4083" s="46"/>
      <c r="D4083" s="46"/>
      <c r="E4083" s="46"/>
      <c r="F4083" s="46"/>
      <c r="G4083" s="79"/>
    </row>
    <row r="4084" spans="2:7" x14ac:dyDescent="0.35">
      <c r="B4084" s="46"/>
      <c r="C4084" s="46"/>
      <c r="D4084" s="46"/>
      <c r="E4084" s="46"/>
      <c r="F4084" s="46"/>
      <c r="G4084" s="79"/>
    </row>
    <row r="4085" spans="2:7" x14ac:dyDescent="0.35">
      <c r="B4085" s="46"/>
      <c r="C4085" s="46"/>
      <c r="D4085" s="46"/>
      <c r="E4085" s="46"/>
      <c r="F4085" s="46"/>
      <c r="G4085" s="79"/>
    </row>
    <row r="4086" spans="2:7" x14ac:dyDescent="0.35">
      <c r="B4086" s="46"/>
      <c r="C4086" s="46"/>
      <c r="D4086" s="46"/>
      <c r="E4086" s="46"/>
      <c r="F4086" s="46"/>
      <c r="G4086" s="79"/>
    </row>
    <row r="4087" spans="2:7" x14ac:dyDescent="0.35">
      <c r="B4087" s="46"/>
      <c r="C4087" s="46"/>
      <c r="D4087" s="46"/>
      <c r="E4087" s="46"/>
      <c r="F4087" s="46"/>
      <c r="G4087" s="79"/>
    </row>
    <row r="4088" spans="2:7" x14ac:dyDescent="0.35">
      <c r="B4088" s="46"/>
      <c r="C4088" s="46"/>
      <c r="D4088" s="46"/>
      <c r="E4088" s="46"/>
      <c r="F4088" s="46"/>
      <c r="G4088" s="79"/>
    </row>
    <row r="4089" spans="2:7" x14ac:dyDescent="0.35">
      <c r="B4089" s="46"/>
      <c r="C4089" s="46"/>
      <c r="D4089" s="46"/>
      <c r="E4089" s="46"/>
      <c r="F4089" s="46"/>
      <c r="G4089" s="79"/>
    </row>
    <row r="4090" spans="2:7" x14ac:dyDescent="0.35">
      <c r="B4090" s="46"/>
      <c r="C4090" s="46"/>
      <c r="D4090" s="46"/>
      <c r="E4090" s="46"/>
      <c r="F4090" s="46"/>
      <c r="G4090" s="79"/>
    </row>
    <row r="4091" spans="2:7" x14ac:dyDescent="0.35">
      <c r="B4091" s="46"/>
      <c r="C4091" s="46"/>
      <c r="D4091" s="46"/>
      <c r="E4091" s="46"/>
      <c r="F4091" s="46"/>
      <c r="G4091" s="79"/>
    </row>
    <row r="4092" spans="2:7" x14ac:dyDescent="0.35">
      <c r="B4092" s="46"/>
      <c r="C4092" s="46"/>
      <c r="D4092" s="46"/>
      <c r="E4092" s="46"/>
      <c r="F4092" s="46"/>
      <c r="G4092" s="79"/>
    </row>
    <row r="4093" spans="2:7" x14ac:dyDescent="0.35">
      <c r="B4093" s="46"/>
      <c r="C4093" s="46"/>
      <c r="D4093" s="46"/>
      <c r="E4093" s="46"/>
      <c r="F4093" s="46"/>
      <c r="G4093" s="79"/>
    </row>
    <row r="4094" spans="2:7" x14ac:dyDescent="0.35">
      <c r="B4094" s="46"/>
      <c r="C4094" s="46"/>
      <c r="D4094" s="46"/>
      <c r="E4094" s="46"/>
      <c r="F4094" s="46"/>
      <c r="G4094" s="79"/>
    </row>
    <row r="4095" spans="2:7" x14ac:dyDescent="0.35">
      <c r="B4095" s="46"/>
      <c r="C4095" s="46"/>
      <c r="D4095" s="46"/>
      <c r="E4095" s="46"/>
      <c r="F4095" s="46"/>
      <c r="G4095" s="79"/>
    </row>
    <row r="4096" spans="2:7" x14ac:dyDescent="0.35">
      <c r="B4096" s="46"/>
      <c r="C4096" s="46"/>
      <c r="D4096" s="46"/>
      <c r="E4096" s="46"/>
      <c r="F4096" s="46"/>
      <c r="G4096" s="79"/>
    </row>
    <row r="4097" spans="2:7" x14ac:dyDescent="0.35">
      <c r="B4097" s="46"/>
      <c r="C4097" s="46"/>
      <c r="D4097" s="46"/>
      <c r="E4097" s="46"/>
      <c r="F4097" s="46"/>
      <c r="G4097" s="79"/>
    </row>
    <row r="4098" spans="2:7" x14ac:dyDescent="0.35">
      <c r="B4098" s="46"/>
      <c r="C4098" s="46"/>
      <c r="D4098" s="46"/>
      <c r="E4098" s="46"/>
      <c r="F4098" s="46"/>
      <c r="G4098" s="79"/>
    </row>
    <row r="4099" spans="2:7" x14ac:dyDescent="0.35">
      <c r="B4099" s="46"/>
      <c r="C4099" s="46"/>
      <c r="D4099" s="46"/>
      <c r="E4099" s="46"/>
      <c r="F4099" s="46"/>
      <c r="G4099" s="79"/>
    </row>
    <row r="4100" spans="2:7" x14ac:dyDescent="0.35">
      <c r="B4100" s="46"/>
      <c r="C4100" s="46"/>
      <c r="D4100" s="46"/>
      <c r="E4100" s="46"/>
      <c r="F4100" s="46"/>
      <c r="G4100" s="79"/>
    </row>
    <row r="4101" spans="2:7" x14ac:dyDescent="0.35">
      <c r="B4101" s="46"/>
      <c r="C4101" s="46"/>
      <c r="D4101" s="46"/>
      <c r="E4101" s="46"/>
      <c r="F4101" s="46"/>
      <c r="G4101" s="79"/>
    </row>
    <row r="4102" spans="2:7" x14ac:dyDescent="0.35">
      <c r="B4102" s="46"/>
      <c r="C4102" s="46"/>
      <c r="D4102" s="46"/>
      <c r="E4102" s="46"/>
      <c r="F4102" s="46"/>
      <c r="G4102" s="79"/>
    </row>
    <row r="4103" spans="2:7" x14ac:dyDescent="0.35">
      <c r="B4103" s="46"/>
      <c r="C4103" s="46"/>
      <c r="D4103" s="46"/>
      <c r="E4103" s="46"/>
      <c r="F4103" s="46"/>
      <c r="G4103" s="79"/>
    </row>
    <row r="4104" spans="2:7" x14ac:dyDescent="0.35">
      <c r="B4104" s="46"/>
      <c r="C4104" s="46"/>
      <c r="D4104" s="46"/>
      <c r="E4104" s="46"/>
      <c r="F4104" s="46"/>
      <c r="G4104" s="79"/>
    </row>
    <row r="4105" spans="2:7" x14ac:dyDescent="0.35">
      <c r="B4105" s="46"/>
      <c r="C4105" s="46"/>
      <c r="D4105" s="46"/>
      <c r="E4105" s="46"/>
      <c r="F4105" s="46"/>
      <c r="G4105" s="79"/>
    </row>
    <row r="4106" spans="2:7" x14ac:dyDescent="0.35">
      <c r="B4106" s="46"/>
      <c r="C4106" s="46"/>
      <c r="D4106" s="46"/>
      <c r="E4106" s="46"/>
      <c r="F4106" s="46"/>
      <c r="G4106" s="79"/>
    </row>
    <row r="4107" spans="2:7" x14ac:dyDescent="0.35">
      <c r="B4107" s="46"/>
      <c r="C4107" s="46"/>
      <c r="D4107" s="46"/>
      <c r="E4107" s="46"/>
      <c r="F4107" s="46"/>
      <c r="G4107" s="79"/>
    </row>
    <row r="4108" spans="2:7" x14ac:dyDescent="0.35">
      <c r="B4108" s="46"/>
      <c r="C4108" s="46"/>
      <c r="D4108" s="46"/>
      <c r="E4108" s="46"/>
      <c r="F4108" s="46"/>
      <c r="G4108" s="79"/>
    </row>
    <row r="4109" spans="2:7" x14ac:dyDescent="0.35">
      <c r="B4109" s="46"/>
      <c r="C4109" s="46"/>
      <c r="D4109" s="46"/>
      <c r="E4109" s="46"/>
      <c r="F4109" s="46"/>
      <c r="G4109" s="79"/>
    </row>
    <row r="4110" spans="2:7" x14ac:dyDescent="0.35">
      <c r="B4110" s="46"/>
      <c r="C4110" s="46"/>
      <c r="D4110" s="46"/>
      <c r="E4110" s="46"/>
      <c r="F4110" s="46"/>
      <c r="G4110" s="79"/>
    </row>
    <row r="4111" spans="2:7" x14ac:dyDescent="0.35">
      <c r="B4111" s="46"/>
      <c r="C4111" s="46"/>
      <c r="D4111" s="46"/>
      <c r="E4111" s="46"/>
      <c r="F4111" s="46"/>
      <c r="G4111" s="79"/>
    </row>
    <row r="4112" spans="2:7" x14ac:dyDescent="0.35">
      <c r="B4112" s="46"/>
      <c r="C4112" s="46"/>
      <c r="D4112" s="46"/>
      <c r="E4112" s="46"/>
      <c r="F4112" s="46"/>
      <c r="G4112" s="79"/>
    </row>
    <row r="4113" spans="2:7" x14ac:dyDescent="0.35">
      <c r="B4113" s="46"/>
      <c r="C4113" s="46"/>
      <c r="D4113" s="46"/>
      <c r="E4113" s="46"/>
      <c r="F4113" s="46"/>
      <c r="G4113" s="79"/>
    </row>
    <row r="4114" spans="2:7" x14ac:dyDescent="0.35">
      <c r="B4114" s="46"/>
      <c r="C4114" s="46"/>
      <c r="D4114" s="46"/>
      <c r="E4114" s="46"/>
      <c r="F4114" s="46"/>
      <c r="G4114" s="79"/>
    </row>
    <row r="4115" spans="2:7" x14ac:dyDescent="0.35">
      <c r="B4115" s="46"/>
      <c r="C4115" s="46"/>
      <c r="D4115" s="46"/>
      <c r="E4115" s="46"/>
      <c r="F4115" s="46"/>
      <c r="G4115" s="79"/>
    </row>
    <row r="4116" spans="2:7" x14ac:dyDescent="0.35">
      <c r="B4116" s="46"/>
      <c r="C4116" s="46"/>
      <c r="D4116" s="46"/>
      <c r="E4116" s="46"/>
      <c r="F4116" s="46"/>
      <c r="G4116" s="79"/>
    </row>
    <row r="4117" spans="2:7" x14ac:dyDescent="0.35">
      <c r="B4117" s="46"/>
      <c r="C4117" s="46"/>
      <c r="D4117" s="46"/>
      <c r="E4117" s="46"/>
      <c r="F4117" s="46"/>
      <c r="G4117" s="79"/>
    </row>
    <row r="4118" spans="2:7" x14ac:dyDescent="0.35">
      <c r="B4118" s="46"/>
      <c r="C4118" s="46"/>
      <c r="D4118" s="46"/>
      <c r="E4118" s="46"/>
      <c r="F4118" s="46"/>
      <c r="G4118" s="79"/>
    </row>
    <row r="4119" spans="2:7" x14ac:dyDescent="0.35">
      <c r="B4119" s="46"/>
      <c r="C4119" s="46"/>
      <c r="D4119" s="46"/>
      <c r="E4119" s="46"/>
      <c r="F4119" s="46"/>
      <c r="G4119" s="79"/>
    </row>
    <row r="4120" spans="2:7" x14ac:dyDescent="0.35">
      <c r="B4120" s="46"/>
      <c r="C4120" s="46"/>
      <c r="D4120" s="46"/>
      <c r="E4120" s="46"/>
      <c r="F4120" s="46"/>
      <c r="G4120" s="79"/>
    </row>
    <row r="4121" spans="2:7" x14ac:dyDescent="0.35">
      <c r="B4121" s="46"/>
      <c r="C4121" s="46"/>
      <c r="D4121" s="46"/>
      <c r="E4121" s="46"/>
      <c r="F4121" s="46"/>
      <c r="G4121" s="79"/>
    </row>
    <row r="4122" spans="2:7" x14ac:dyDescent="0.35">
      <c r="B4122" s="46"/>
      <c r="C4122" s="46"/>
      <c r="D4122" s="46"/>
      <c r="E4122" s="46"/>
      <c r="F4122" s="46"/>
      <c r="G4122" s="79"/>
    </row>
    <row r="4123" spans="2:7" x14ac:dyDescent="0.35">
      <c r="B4123" s="46"/>
      <c r="C4123" s="46"/>
      <c r="D4123" s="46"/>
      <c r="E4123" s="46"/>
      <c r="F4123" s="46"/>
      <c r="G4123" s="79"/>
    </row>
    <row r="4124" spans="2:7" x14ac:dyDescent="0.35">
      <c r="B4124" s="46"/>
      <c r="C4124" s="46"/>
      <c r="D4124" s="46"/>
      <c r="E4124" s="46"/>
      <c r="F4124" s="46"/>
      <c r="G4124" s="79"/>
    </row>
    <row r="4125" spans="2:7" x14ac:dyDescent="0.35">
      <c r="B4125" s="46"/>
      <c r="C4125" s="46"/>
      <c r="D4125" s="46"/>
      <c r="E4125" s="46"/>
      <c r="F4125" s="46"/>
      <c r="G4125" s="79"/>
    </row>
    <row r="4126" spans="2:7" x14ac:dyDescent="0.35">
      <c r="B4126" s="46"/>
      <c r="C4126" s="46"/>
      <c r="D4126" s="46"/>
      <c r="E4126" s="46"/>
      <c r="F4126" s="46"/>
      <c r="G4126" s="79"/>
    </row>
    <row r="4127" spans="2:7" x14ac:dyDescent="0.35">
      <c r="B4127" s="46"/>
      <c r="C4127" s="46"/>
      <c r="D4127" s="46"/>
      <c r="E4127" s="46"/>
      <c r="F4127" s="46"/>
      <c r="G4127" s="79"/>
    </row>
    <row r="4128" spans="2:7" x14ac:dyDescent="0.35">
      <c r="B4128" s="46"/>
      <c r="C4128" s="46"/>
      <c r="D4128" s="46"/>
      <c r="E4128" s="46"/>
      <c r="F4128" s="46"/>
      <c r="G4128" s="79"/>
    </row>
    <row r="4129" spans="2:7" x14ac:dyDescent="0.35">
      <c r="B4129" s="46"/>
      <c r="C4129" s="46"/>
      <c r="D4129" s="46"/>
      <c r="E4129" s="46"/>
      <c r="F4129" s="46"/>
      <c r="G4129" s="79"/>
    </row>
    <row r="4130" spans="2:7" x14ac:dyDescent="0.35">
      <c r="B4130" s="46"/>
      <c r="C4130" s="46"/>
      <c r="D4130" s="46"/>
      <c r="E4130" s="46"/>
      <c r="F4130" s="46"/>
      <c r="G4130" s="79"/>
    </row>
    <row r="4131" spans="2:7" x14ac:dyDescent="0.35">
      <c r="B4131" s="46"/>
      <c r="C4131" s="46"/>
      <c r="D4131" s="46"/>
      <c r="E4131" s="46"/>
      <c r="F4131" s="46"/>
      <c r="G4131" s="79"/>
    </row>
    <row r="4132" spans="2:7" x14ac:dyDescent="0.35">
      <c r="B4132" s="46"/>
      <c r="C4132" s="46"/>
      <c r="D4132" s="46"/>
      <c r="E4132" s="46"/>
      <c r="F4132" s="46"/>
      <c r="G4132" s="79"/>
    </row>
    <row r="4133" spans="2:7" x14ac:dyDescent="0.35">
      <c r="B4133" s="46"/>
      <c r="C4133" s="46"/>
      <c r="D4133" s="46"/>
      <c r="E4133" s="46"/>
      <c r="F4133" s="46"/>
      <c r="G4133" s="79"/>
    </row>
    <row r="4134" spans="2:7" x14ac:dyDescent="0.35">
      <c r="B4134" s="46"/>
      <c r="C4134" s="46"/>
      <c r="D4134" s="46"/>
      <c r="E4134" s="46"/>
      <c r="F4134" s="46"/>
      <c r="G4134" s="79"/>
    </row>
    <row r="4135" spans="2:7" x14ac:dyDescent="0.35">
      <c r="B4135" s="46"/>
      <c r="C4135" s="46"/>
      <c r="D4135" s="46"/>
      <c r="E4135" s="46"/>
      <c r="F4135" s="46"/>
      <c r="G4135" s="79"/>
    </row>
    <row r="4136" spans="2:7" x14ac:dyDescent="0.35">
      <c r="B4136" s="46"/>
      <c r="C4136" s="46"/>
      <c r="D4136" s="46"/>
      <c r="E4136" s="46"/>
      <c r="F4136" s="46"/>
      <c r="G4136" s="79"/>
    </row>
    <row r="4137" spans="2:7" x14ac:dyDescent="0.35">
      <c r="B4137" s="46"/>
      <c r="C4137" s="46"/>
      <c r="D4137" s="46"/>
      <c r="E4137" s="46"/>
      <c r="F4137" s="46"/>
      <c r="G4137" s="79"/>
    </row>
    <row r="4138" spans="2:7" x14ac:dyDescent="0.35">
      <c r="B4138" s="46"/>
      <c r="C4138" s="46"/>
      <c r="D4138" s="46"/>
      <c r="E4138" s="46"/>
      <c r="F4138" s="46"/>
      <c r="G4138" s="79"/>
    </row>
    <row r="4139" spans="2:7" x14ac:dyDescent="0.35">
      <c r="B4139" s="46"/>
      <c r="C4139" s="46"/>
      <c r="D4139" s="46"/>
      <c r="E4139" s="46"/>
      <c r="F4139" s="46"/>
      <c r="G4139" s="79"/>
    </row>
    <row r="4140" spans="2:7" x14ac:dyDescent="0.35">
      <c r="B4140" s="46"/>
      <c r="C4140" s="46"/>
      <c r="D4140" s="46"/>
      <c r="E4140" s="46"/>
      <c r="F4140" s="46"/>
      <c r="G4140" s="79"/>
    </row>
    <row r="4141" spans="2:7" x14ac:dyDescent="0.35">
      <c r="B4141" s="46"/>
      <c r="C4141" s="46"/>
      <c r="D4141" s="46"/>
      <c r="E4141" s="46"/>
      <c r="F4141" s="46"/>
      <c r="G4141" s="79"/>
    </row>
    <row r="4142" spans="2:7" x14ac:dyDescent="0.35">
      <c r="B4142" s="46"/>
      <c r="C4142" s="46"/>
      <c r="D4142" s="46"/>
      <c r="E4142" s="46"/>
      <c r="F4142" s="46"/>
      <c r="G4142" s="79"/>
    </row>
    <row r="4143" spans="2:7" x14ac:dyDescent="0.35">
      <c r="B4143" s="46"/>
      <c r="C4143" s="46"/>
      <c r="D4143" s="46"/>
      <c r="E4143" s="46"/>
      <c r="F4143" s="46"/>
      <c r="G4143" s="79"/>
    </row>
    <row r="4144" spans="2:7" x14ac:dyDescent="0.35">
      <c r="B4144" s="46"/>
      <c r="C4144" s="46"/>
      <c r="D4144" s="46"/>
      <c r="E4144" s="46"/>
      <c r="F4144" s="46"/>
      <c r="G4144" s="79"/>
    </row>
    <row r="4145" spans="2:7" x14ac:dyDescent="0.35">
      <c r="B4145" s="46"/>
      <c r="C4145" s="46"/>
      <c r="D4145" s="46"/>
      <c r="E4145" s="46"/>
      <c r="F4145" s="46"/>
      <c r="G4145" s="79"/>
    </row>
    <row r="4146" spans="2:7" x14ac:dyDescent="0.35">
      <c r="B4146" s="46"/>
      <c r="C4146" s="46"/>
      <c r="D4146" s="46"/>
      <c r="E4146" s="46"/>
      <c r="F4146" s="46"/>
      <c r="G4146" s="79"/>
    </row>
    <row r="4147" spans="2:7" x14ac:dyDescent="0.35">
      <c r="B4147" s="46"/>
      <c r="C4147" s="46"/>
      <c r="D4147" s="46"/>
      <c r="E4147" s="46"/>
      <c r="F4147" s="46"/>
      <c r="G4147" s="79"/>
    </row>
    <row r="4148" spans="2:7" x14ac:dyDescent="0.35">
      <c r="B4148" s="46"/>
      <c r="C4148" s="46"/>
      <c r="D4148" s="46"/>
      <c r="E4148" s="46"/>
      <c r="F4148" s="46"/>
      <c r="G4148" s="79"/>
    </row>
    <row r="4149" spans="2:7" x14ac:dyDescent="0.35">
      <c r="B4149" s="46"/>
      <c r="C4149" s="46"/>
      <c r="D4149" s="46"/>
      <c r="E4149" s="46"/>
      <c r="F4149" s="46"/>
      <c r="G4149" s="79"/>
    </row>
    <row r="4150" spans="2:7" x14ac:dyDescent="0.35">
      <c r="B4150" s="46"/>
      <c r="C4150" s="46"/>
      <c r="D4150" s="46"/>
      <c r="E4150" s="46"/>
      <c r="F4150" s="46"/>
      <c r="G4150" s="79"/>
    </row>
    <row r="4151" spans="2:7" x14ac:dyDescent="0.35">
      <c r="B4151" s="46"/>
      <c r="C4151" s="46"/>
      <c r="D4151" s="46"/>
      <c r="E4151" s="46"/>
      <c r="F4151" s="46"/>
      <c r="G4151" s="79"/>
    </row>
    <row r="4152" spans="2:7" x14ac:dyDescent="0.35">
      <c r="B4152" s="46"/>
      <c r="C4152" s="46"/>
      <c r="D4152" s="46"/>
      <c r="E4152" s="46"/>
      <c r="F4152" s="46"/>
      <c r="G4152" s="79"/>
    </row>
    <row r="4153" spans="2:7" x14ac:dyDescent="0.35">
      <c r="B4153" s="46"/>
      <c r="C4153" s="46"/>
      <c r="D4153" s="46"/>
      <c r="E4153" s="46"/>
      <c r="F4153" s="46"/>
      <c r="G4153" s="79"/>
    </row>
    <row r="4154" spans="2:7" x14ac:dyDescent="0.35">
      <c r="B4154" s="46"/>
      <c r="C4154" s="46"/>
      <c r="D4154" s="46"/>
      <c r="E4154" s="46"/>
      <c r="F4154" s="46"/>
      <c r="G4154" s="79"/>
    </row>
    <row r="4155" spans="2:7" x14ac:dyDescent="0.35">
      <c r="B4155" s="46"/>
      <c r="C4155" s="46"/>
      <c r="D4155" s="46"/>
      <c r="E4155" s="46"/>
      <c r="F4155" s="46"/>
      <c r="G4155" s="79"/>
    </row>
    <row r="4156" spans="2:7" x14ac:dyDescent="0.35">
      <c r="B4156" s="46"/>
      <c r="C4156" s="46"/>
      <c r="D4156" s="46"/>
      <c r="E4156" s="46"/>
      <c r="F4156" s="46"/>
      <c r="G4156" s="79"/>
    </row>
    <row r="4157" spans="2:7" x14ac:dyDescent="0.35">
      <c r="B4157" s="46"/>
      <c r="C4157" s="46"/>
      <c r="D4157" s="46"/>
      <c r="E4157" s="46"/>
      <c r="F4157" s="46"/>
      <c r="G4157" s="79"/>
    </row>
    <row r="4158" spans="2:7" x14ac:dyDescent="0.35">
      <c r="B4158" s="46"/>
      <c r="C4158" s="46"/>
      <c r="D4158" s="46"/>
      <c r="E4158" s="46"/>
      <c r="F4158" s="46"/>
      <c r="G4158" s="79"/>
    </row>
    <row r="4159" spans="2:7" x14ac:dyDescent="0.35">
      <c r="B4159" s="46"/>
      <c r="C4159" s="46"/>
      <c r="D4159" s="46"/>
      <c r="E4159" s="46"/>
      <c r="F4159" s="46"/>
      <c r="G4159" s="79"/>
    </row>
    <row r="4160" spans="2:7" x14ac:dyDescent="0.35">
      <c r="B4160" s="46"/>
      <c r="C4160" s="46"/>
      <c r="D4160" s="46"/>
      <c r="E4160" s="46"/>
      <c r="F4160" s="46"/>
      <c r="G4160" s="79"/>
    </row>
    <row r="4161" spans="2:7" x14ac:dyDescent="0.35">
      <c r="B4161" s="46"/>
      <c r="C4161" s="46"/>
      <c r="D4161" s="46"/>
      <c r="E4161" s="46"/>
      <c r="F4161" s="46"/>
      <c r="G4161" s="79"/>
    </row>
    <row r="4162" spans="2:7" x14ac:dyDescent="0.35">
      <c r="B4162" s="46"/>
      <c r="C4162" s="46"/>
      <c r="D4162" s="46"/>
      <c r="E4162" s="46"/>
      <c r="F4162" s="46"/>
      <c r="G4162" s="79"/>
    </row>
    <row r="4163" spans="2:7" x14ac:dyDescent="0.35">
      <c r="B4163" s="46"/>
      <c r="C4163" s="46"/>
      <c r="D4163" s="46"/>
      <c r="E4163" s="46"/>
      <c r="F4163" s="46"/>
      <c r="G4163" s="79"/>
    </row>
    <row r="4164" spans="2:7" x14ac:dyDescent="0.35">
      <c r="B4164" s="46"/>
      <c r="C4164" s="46"/>
      <c r="D4164" s="46"/>
      <c r="E4164" s="46"/>
      <c r="F4164" s="46"/>
      <c r="G4164" s="79"/>
    </row>
    <row r="4165" spans="2:7" x14ac:dyDescent="0.35">
      <c r="B4165" s="46"/>
      <c r="C4165" s="46"/>
      <c r="D4165" s="46"/>
      <c r="E4165" s="46"/>
      <c r="F4165" s="46"/>
      <c r="G4165" s="79"/>
    </row>
    <row r="4166" spans="2:7" x14ac:dyDescent="0.35">
      <c r="B4166" s="46"/>
      <c r="C4166" s="46"/>
      <c r="D4166" s="46"/>
      <c r="E4166" s="46"/>
      <c r="F4166" s="46"/>
      <c r="G4166" s="79"/>
    </row>
    <row r="4167" spans="2:7" x14ac:dyDescent="0.35">
      <c r="B4167" s="46"/>
      <c r="C4167" s="46"/>
      <c r="D4167" s="46"/>
      <c r="E4167" s="46"/>
      <c r="F4167" s="46"/>
      <c r="G4167" s="79"/>
    </row>
    <row r="4168" spans="2:7" x14ac:dyDescent="0.35">
      <c r="B4168" s="46"/>
      <c r="C4168" s="46"/>
      <c r="D4168" s="46"/>
      <c r="E4168" s="46"/>
      <c r="F4168" s="46"/>
      <c r="G4168" s="79"/>
    </row>
    <row r="4169" spans="2:7" x14ac:dyDescent="0.35">
      <c r="B4169" s="46"/>
      <c r="C4169" s="46"/>
      <c r="D4169" s="46"/>
      <c r="E4169" s="46"/>
      <c r="F4169" s="46"/>
      <c r="G4169" s="79"/>
    </row>
    <row r="4170" spans="2:7" x14ac:dyDescent="0.35">
      <c r="B4170" s="46"/>
      <c r="C4170" s="46"/>
      <c r="D4170" s="46"/>
      <c r="E4170" s="46"/>
      <c r="F4170" s="46"/>
      <c r="G4170" s="79"/>
    </row>
    <row r="4171" spans="2:7" x14ac:dyDescent="0.35">
      <c r="B4171" s="46"/>
      <c r="C4171" s="46"/>
      <c r="D4171" s="46"/>
      <c r="E4171" s="46"/>
      <c r="F4171" s="46"/>
      <c r="G4171" s="79"/>
    </row>
    <row r="4172" spans="2:7" x14ac:dyDescent="0.35">
      <c r="B4172" s="46"/>
      <c r="C4172" s="46"/>
      <c r="D4172" s="46"/>
      <c r="E4172" s="46"/>
      <c r="F4172" s="46"/>
      <c r="G4172" s="79"/>
    </row>
    <row r="4173" spans="2:7" x14ac:dyDescent="0.35">
      <c r="B4173" s="46"/>
      <c r="C4173" s="46"/>
      <c r="D4173" s="46"/>
      <c r="E4173" s="46"/>
      <c r="F4173" s="46"/>
      <c r="G4173" s="79"/>
    </row>
    <row r="4174" spans="2:7" x14ac:dyDescent="0.35">
      <c r="B4174" s="46"/>
      <c r="C4174" s="46"/>
      <c r="D4174" s="46"/>
      <c r="E4174" s="46"/>
      <c r="F4174" s="46"/>
      <c r="G4174" s="79"/>
    </row>
    <row r="4175" spans="2:7" x14ac:dyDescent="0.35">
      <c r="B4175" s="46"/>
      <c r="C4175" s="46"/>
      <c r="D4175" s="46"/>
      <c r="E4175" s="46"/>
      <c r="F4175" s="46"/>
      <c r="G4175" s="79"/>
    </row>
    <row r="4176" spans="2:7" x14ac:dyDescent="0.35">
      <c r="B4176" s="46"/>
      <c r="C4176" s="46"/>
      <c r="D4176" s="46"/>
      <c r="E4176" s="46"/>
      <c r="F4176" s="46"/>
      <c r="G4176" s="79"/>
    </row>
    <row r="4177" spans="2:7" x14ac:dyDescent="0.35">
      <c r="B4177" s="46"/>
      <c r="C4177" s="46"/>
      <c r="D4177" s="46"/>
      <c r="E4177" s="46"/>
      <c r="F4177" s="46"/>
      <c r="G4177" s="79"/>
    </row>
    <row r="4178" spans="2:7" x14ac:dyDescent="0.35">
      <c r="B4178" s="46"/>
      <c r="C4178" s="46"/>
      <c r="D4178" s="46"/>
      <c r="E4178" s="46"/>
      <c r="F4178" s="46"/>
      <c r="G4178" s="79"/>
    </row>
    <row r="4179" spans="2:7" x14ac:dyDescent="0.35">
      <c r="B4179" s="46"/>
      <c r="C4179" s="46"/>
      <c r="D4179" s="46"/>
      <c r="E4179" s="46"/>
      <c r="F4179" s="46"/>
      <c r="G4179" s="79"/>
    </row>
    <row r="4180" spans="2:7" x14ac:dyDescent="0.35">
      <c r="B4180" s="46"/>
      <c r="C4180" s="46"/>
      <c r="D4180" s="46"/>
      <c r="E4180" s="46"/>
      <c r="F4180" s="46"/>
      <c r="G4180" s="79"/>
    </row>
    <row r="4181" spans="2:7" x14ac:dyDescent="0.35">
      <c r="B4181" s="46"/>
      <c r="C4181" s="46"/>
      <c r="D4181" s="46"/>
      <c r="E4181" s="46"/>
      <c r="F4181" s="46"/>
      <c r="G4181" s="79"/>
    </row>
    <row r="4182" spans="2:7" x14ac:dyDescent="0.35">
      <c r="B4182" s="46"/>
      <c r="C4182" s="46"/>
      <c r="D4182" s="46"/>
      <c r="E4182" s="46"/>
      <c r="F4182" s="46"/>
      <c r="G4182" s="79"/>
    </row>
    <row r="4183" spans="2:7" x14ac:dyDescent="0.35">
      <c r="B4183" s="46"/>
      <c r="C4183" s="46"/>
      <c r="D4183" s="46"/>
      <c r="E4183" s="46"/>
      <c r="F4183" s="46"/>
      <c r="G4183" s="79"/>
    </row>
    <row r="4184" spans="2:7" x14ac:dyDescent="0.35">
      <c r="B4184" s="46"/>
      <c r="C4184" s="46"/>
      <c r="D4184" s="46"/>
      <c r="E4184" s="46"/>
      <c r="F4184" s="46"/>
      <c r="G4184" s="79"/>
    </row>
    <row r="4185" spans="2:7" x14ac:dyDescent="0.35">
      <c r="B4185" s="46"/>
      <c r="C4185" s="46"/>
      <c r="D4185" s="46"/>
      <c r="E4185" s="46"/>
      <c r="F4185" s="46"/>
      <c r="G4185" s="79"/>
    </row>
    <row r="4186" spans="2:7" x14ac:dyDescent="0.35">
      <c r="B4186" s="46"/>
      <c r="C4186" s="46"/>
      <c r="D4186" s="46"/>
      <c r="E4186" s="46"/>
      <c r="F4186" s="46"/>
      <c r="G4186" s="79"/>
    </row>
    <row r="4187" spans="2:7" x14ac:dyDescent="0.35">
      <c r="B4187" s="46"/>
      <c r="C4187" s="46"/>
      <c r="D4187" s="46"/>
      <c r="E4187" s="46"/>
      <c r="F4187" s="46"/>
      <c r="G4187" s="79"/>
    </row>
    <row r="4188" spans="2:7" x14ac:dyDescent="0.35">
      <c r="B4188" s="46"/>
      <c r="C4188" s="46"/>
      <c r="D4188" s="46"/>
      <c r="E4188" s="46"/>
      <c r="F4188" s="46"/>
      <c r="G4188" s="79"/>
    </row>
    <row r="4189" spans="2:7" x14ac:dyDescent="0.35">
      <c r="B4189" s="46"/>
      <c r="C4189" s="46"/>
      <c r="D4189" s="46"/>
      <c r="E4189" s="46"/>
      <c r="F4189" s="46"/>
      <c r="G4189" s="79"/>
    </row>
    <row r="4190" spans="2:7" x14ac:dyDescent="0.35">
      <c r="B4190" s="46"/>
      <c r="C4190" s="46"/>
      <c r="D4190" s="46"/>
      <c r="E4190" s="46"/>
      <c r="F4190" s="46"/>
      <c r="G4190" s="79"/>
    </row>
    <row r="4191" spans="2:7" x14ac:dyDescent="0.35">
      <c r="B4191" s="46"/>
      <c r="C4191" s="46"/>
      <c r="D4191" s="46"/>
      <c r="E4191" s="46"/>
      <c r="F4191" s="46"/>
      <c r="G4191" s="79"/>
    </row>
    <row r="4192" spans="2:7" x14ac:dyDescent="0.35">
      <c r="B4192" s="46"/>
      <c r="C4192" s="46"/>
      <c r="D4192" s="46"/>
      <c r="E4192" s="46"/>
      <c r="F4192" s="46"/>
      <c r="G4192" s="79"/>
    </row>
    <row r="4193" spans="2:7" x14ac:dyDescent="0.35">
      <c r="B4193" s="46"/>
      <c r="C4193" s="46"/>
      <c r="D4193" s="46"/>
      <c r="E4193" s="46"/>
      <c r="F4193" s="46"/>
      <c r="G4193" s="79"/>
    </row>
    <row r="4194" spans="2:7" x14ac:dyDescent="0.35">
      <c r="B4194" s="46"/>
      <c r="C4194" s="46"/>
      <c r="D4194" s="46"/>
      <c r="E4194" s="46"/>
      <c r="F4194" s="46"/>
      <c r="G4194" s="79"/>
    </row>
    <row r="4195" spans="2:7" x14ac:dyDescent="0.35">
      <c r="B4195" s="46"/>
      <c r="C4195" s="46"/>
      <c r="D4195" s="46"/>
      <c r="E4195" s="46"/>
      <c r="F4195" s="46"/>
      <c r="G4195" s="79"/>
    </row>
    <row r="4196" spans="2:7" x14ac:dyDescent="0.35">
      <c r="B4196" s="46"/>
      <c r="C4196" s="46"/>
      <c r="D4196" s="46"/>
      <c r="E4196" s="46"/>
      <c r="F4196" s="46"/>
      <c r="G4196" s="79"/>
    </row>
    <row r="4197" spans="2:7" x14ac:dyDescent="0.35">
      <c r="B4197" s="46"/>
      <c r="C4197" s="46"/>
      <c r="D4197" s="46"/>
      <c r="E4197" s="46"/>
      <c r="F4197" s="46"/>
      <c r="G4197" s="79"/>
    </row>
    <row r="4198" spans="2:7" x14ac:dyDescent="0.35">
      <c r="B4198" s="46"/>
      <c r="C4198" s="46"/>
      <c r="D4198" s="46"/>
      <c r="E4198" s="46"/>
      <c r="F4198" s="46"/>
      <c r="G4198" s="79"/>
    </row>
    <row r="4199" spans="2:7" x14ac:dyDescent="0.35">
      <c r="B4199" s="46"/>
      <c r="C4199" s="46"/>
      <c r="D4199" s="46"/>
      <c r="E4199" s="46"/>
      <c r="F4199" s="46"/>
      <c r="G4199" s="79"/>
    </row>
    <row r="4200" spans="2:7" x14ac:dyDescent="0.35">
      <c r="B4200" s="46"/>
      <c r="C4200" s="46"/>
      <c r="D4200" s="46"/>
      <c r="E4200" s="46"/>
      <c r="F4200" s="46"/>
      <c r="G4200" s="79"/>
    </row>
    <row r="4201" spans="2:7" x14ac:dyDescent="0.35">
      <c r="B4201" s="46"/>
      <c r="C4201" s="46"/>
      <c r="D4201" s="46"/>
      <c r="E4201" s="46"/>
      <c r="F4201" s="46"/>
      <c r="G4201" s="79"/>
    </row>
    <row r="4202" spans="2:7" x14ac:dyDescent="0.35">
      <c r="B4202" s="46"/>
      <c r="C4202" s="46"/>
      <c r="D4202" s="46"/>
      <c r="E4202" s="46"/>
      <c r="F4202" s="46"/>
      <c r="G4202" s="79"/>
    </row>
    <row r="4203" spans="2:7" x14ac:dyDescent="0.35">
      <c r="B4203" s="46"/>
      <c r="C4203" s="46"/>
      <c r="D4203" s="46"/>
      <c r="E4203" s="46"/>
      <c r="F4203" s="46"/>
      <c r="G4203" s="79"/>
    </row>
    <row r="4204" spans="2:7" x14ac:dyDescent="0.35">
      <c r="B4204" s="46"/>
      <c r="C4204" s="46"/>
      <c r="D4204" s="46"/>
      <c r="E4204" s="46"/>
      <c r="F4204" s="46"/>
      <c r="G4204" s="79"/>
    </row>
    <row r="4205" spans="2:7" x14ac:dyDescent="0.35">
      <c r="B4205" s="46"/>
      <c r="C4205" s="46"/>
      <c r="D4205" s="46"/>
      <c r="E4205" s="46"/>
      <c r="F4205" s="46"/>
      <c r="G4205" s="79"/>
    </row>
    <row r="4206" spans="2:7" x14ac:dyDescent="0.35">
      <c r="B4206" s="46"/>
      <c r="C4206" s="46"/>
      <c r="D4206" s="46"/>
      <c r="E4206" s="46"/>
      <c r="F4206" s="46"/>
      <c r="G4206" s="79"/>
    </row>
    <row r="4207" spans="2:7" x14ac:dyDescent="0.35">
      <c r="B4207" s="46"/>
      <c r="C4207" s="46"/>
      <c r="D4207" s="46"/>
      <c r="E4207" s="46"/>
      <c r="F4207" s="46"/>
      <c r="G4207" s="79"/>
    </row>
    <row r="4208" spans="2:7" x14ac:dyDescent="0.35">
      <c r="B4208" s="46"/>
      <c r="C4208" s="46"/>
      <c r="D4208" s="46"/>
      <c r="E4208" s="46"/>
      <c r="F4208" s="46"/>
      <c r="G4208" s="79"/>
    </row>
    <row r="4209" spans="2:7" x14ac:dyDescent="0.35">
      <c r="B4209" s="46"/>
      <c r="C4209" s="46"/>
      <c r="D4209" s="46"/>
      <c r="E4209" s="46"/>
      <c r="F4209" s="46"/>
      <c r="G4209" s="79"/>
    </row>
    <row r="4210" spans="2:7" x14ac:dyDescent="0.35">
      <c r="B4210" s="46"/>
      <c r="C4210" s="46"/>
      <c r="D4210" s="46"/>
      <c r="E4210" s="46"/>
      <c r="F4210" s="46"/>
      <c r="G4210" s="79"/>
    </row>
    <row r="4211" spans="2:7" x14ac:dyDescent="0.35">
      <c r="B4211" s="46"/>
      <c r="C4211" s="46"/>
      <c r="D4211" s="46"/>
      <c r="E4211" s="46"/>
      <c r="F4211" s="46"/>
      <c r="G4211" s="79"/>
    </row>
    <row r="4212" spans="2:7" x14ac:dyDescent="0.35">
      <c r="B4212" s="46"/>
      <c r="C4212" s="46"/>
      <c r="D4212" s="46"/>
      <c r="E4212" s="46"/>
      <c r="F4212" s="46"/>
      <c r="G4212" s="79"/>
    </row>
    <row r="4213" spans="2:7" x14ac:dyDescent="0.35">
      <c r="B4213" s="46"/>
      <c r="C4213" s="46"/>
      <c r="D4213" s="46"/>
      <c r="E4213" s="46"/>
      <c r="F4213" s="46"/>
      <c r="G4213" s="79"/>
    </row>
    <row r="4214" spans="2:7" x14ac:dyDescent="0.35">
      <c r="B4214" s="46"/>
      <c r="C4214" s="46"/>
      <c r="D4214" s="46"/>
      <c r="E4214" s="46"/>
      <c r="F4214" s="46"/>
      <c r="G4214" s="79"/>
    </row>
    <row r="4215" spans="2:7" x14ac:dyDescent="0.35">
      <c r="B4215" s="46"/>
      <c r="C4215" s="46"/>
      <c r="D4215" s="46"/>
      <c r="E4215" s="46"/>
      <c r="F4215" s="46"/>
      <c r="G4215" s="79"/>
    </row>
    <row r="4216" spans="2:7" x14ac:dyDescent="0.35">
      <c r="B4216" s="46"/>
      <c r="C4216" s="46"/>
      <c r="D4216" s="46"/>
      <c r="E4216" s="46"/>
      <c r="F4216" s="46"/>
      <c r="G4216" s="79"/>
    </row>
    <row r="4217" spans="2:7" x14ac:dyDescent="0.35">
      <c r="B4217" s="46"/>
      <c r="C4217" s="46"/>
      <c r="D4217" s="46"/>
      <c r="E4217" s="46"/>
      <c r="F4217" s="46"/>
      <c r="G4217" s="79"/>
    </row>
    <row r="4218" spans="2:7" x14ac:dyDescent="0.35">
      <c r="B4218" s="46"/>
      <c r="C4218" s="46"/>
      <c r="D4218" s="46"/>
      <c r="E4218" s="46"/>
      <c r="F4218" s="46"/>
      <c r="G4218" s="79"/>
    </row>
    <row r="4219" spans="2:7" x14ac:dyDescent="0.35">
      <c r="B4219" s="46"/>
      <c r="C4219" s="46"/>
      <c r="D4219" s="46"/>
      <c r="E4219" s="46"/>
      <c r="F4219" s="46"/>
      <c r="G4219" s="79"/>
    </row>
    <row r="4220" spans="2:7" x14ac:dyDescent="0.35">
      <c r="B4220" s="46"/>
      <c r="C4220" s="46"/>
      <c r="D4220" s="46"/>
      <c r="E4220" s="46"/>
      <c r="F4220" s="46"/>
      <c r="G4220" s="79"/>
    </row>
    <row r="4221" spans="2:7" x14ac:dyDescent="0.35">
      <c r="B4221" s="46"/>
      <c r="C4221" s="46"/>
      <c r="D4221" s="46"/>
      <c r="E4221" s="46"/>
      <c r="F4221" s="46"/>
      <c r="G4221" s="79"/>
    </row>
    <row r="4222" spans="2:7" x14ac:dyDescent="0.35">
      <c r="B4222" s="46"/>
      <c r="C4222" s="46"/>
      <c r="D4222" s="46"/>
      <c r="E4222" s="46"/>
      <c r="F4222" s="46"/>
      <c r="G4222" s="79"/>
    </row>
    <row r="4223" spans="2:7" x14ac:dyDescent="0.35">
      <c r="B4223" s="46"/>
      <c r="C4223" s="46"/>
      <c r="D4223" s="46"/>
      <c r="E4223" s="46"/>
      <c r="F4223" s="46"/>
      <c r="G4223" s="79"/>
    </row>
    <row r="4224" spans="2:7" x14ac:dyDescent="0.35">
      <c r="B4224" s="46"/>
      <c r="C4224" s="46"/>
      <c r="D4224" s="46"/>
      <c r="E4224" s="46"/>
      <c r="F4224" s="46"/>
      <c r="G4224" s="79"/>
    </row>
    <row r="4225" spans="2:7" x14ac:dyDescent="0.35">
      <c r="B4225" s="46"/>
      <c r="C4225" s="46"/>
      <c r="D4225" s="46"/>
      <c r="E4225" s="46"/>
      <c r="F4225" s="46"/>
      <c r="G4225" s="79"/>
    </row>
    <row r="4226" spans="2:7" x14ac:dyDescent="0.35">
      <c r="B4226" s="46"/>
      <c r="C4226" s="46"/>
      <c r="D4226" s="46"/>
      <c r="E4226" s="46"/>
      <c r="F4226" s="46"/>
      <c r="G4226" s="79"/>
    </row>
    <row r="4227" spans="2:7" x14ac:dyDescent="0.35">
      <c r="B4227" s="46"/>
      <c r="C4227" s="46"/>
      <c r="D4227" s="46"/>
      <c r="E4227" s="46"/>
      <c r="F4227" s="46"/>
      <c r="G4227" s="79"/>
    </row>
    <row r="4228" spans="2:7" x14ac:dyDescent="0.35">
      <c r="B4228" s="46"/>
      <c r="C4228" s="46"/>
      <c r="D4228" s="46"/>
      <c r="E4228" s="46"/>
      <c r="F4228" s="46"/>
      <c r="G4228" s="79"/>
    </row>
    <row r="4229" spans="2:7" x14ac:dyDescent="0.35">
      <c r="B4229" s="46"/>
      <c r="C4229" s="46"/>
      <c r="D4229" s="46"/>
      <c r="E4229" s="46"/>
      <c r="F4229" s="46"/>
      <c r="G4229" s="79"/>
    </row>
    <row r="4230" spans="2:7" x14ac:dyDescent="0.35">
      <c r="B4230" s="46"/>
      <c r="C4230" s="46"/>
      <c r="D4230" s="46"/>
      <c r="E4230" s="46"/>
      <c r="F4230" s="46"/>
      <c r="G4230" s="79"/>
    </row>
    <row r="4231" spans="2:7" x14ac:dyDescent="0.35">
      <c r="B4231" s="46"/>
      <c r="C4231" s="46"/>
      <c r="D4231" s="46"/>
      <c r="E4231" s="46"/>
      <c r="F4231" s="46"/>
      <c r="G4231" s="79"/>
    </row>
    <row r="4232" spans="2:7" x14ac:dyDescent="0.35">
      <c r="B4232" s="46"/>
      <c r="C4232" s="46"/>
      <c r="D4232" s="46"/>
      <c r="E4232" s="46"/>
      <c r="F4232" s="46"/>
      <c r="G4232" s="79"/>
    </row>
    <row r="4233" spans="2:7" x14ac:dyDescent="0.35">
      <c r="B4233" s="46"/>
      <c r="C4233" s="46"/>
      <c r="D4233" s="46"/>
      <c r="E4233" s="46"/>
      <c r="F4233" s="46"/>
      <c r="G4233" s="79"/>
    </row>
    <row r="4234" spans="2:7" x14ac:dyDescent="0.35">
      <c r="B4234" s="46"/>
      <c r="C4234" s="46"/>
      <c r="D4234" s="46"/>
      <c r="E4234" s="46"/>
      <c r="F4234" s="46"/>
      <c r="G4234" s="79"/>
    </row>
    <row r="4235" spans="2:7" x14ac:dyDescent="0.35">
      <c r="B4235" s="46"/>
      <c r="C4235" s="46"/>
      <c r="D4235" s="46"/>
      <c r="E4235" s="46"/>
      <c r="F4235" s="46"/>
      <c r="G4235" s="79"/>
    </row>
    <row r="4236" spans="2:7" x14ac:dyDescent="0.35">
      <c r="B4236" s="46"/>
      <c r="C4236" s="46"/>
      <c r="D4236" s="46"/>
      <c r="E4236" s="46"/>
      <c r="F4236" s="46"/>
      <c r="G4236" s="79"/>
    </row>
    <row r="4237" spans="2:7" x14ac:dyDescent="0.35">
      <c r="B4237" s="46"/>
      <c r="C4237" s="46"/>
      <c r="D4237" s="46"/>
      <c r="E4237" s="46"/>
      <c r="F4237" s="46"/>
      <c r="G4237" s="79"/>
    </row>
    <row r="4238" spans="2:7" x14ac:dyDescent="0.35">
      <c r="B4238" s="46"/>
      <c r="C4238" s="46"/>
      <c r="D4238" s="46"/>
      <c r="E4238" s="46"/>
      <c r="F4238" s="46"/>
      <c r="G4238" s="79"/>
    </row>
    <row r="4239" spans="2:7" x14ac:dyDescent="0.35">
      <c r="B4239" s="46"/>
      <c r="C4239" s="46"/>
      <c r="D4239" s="46"/>
      <c r="E4239" s="46"/>
      <c r="F4239" s="46"/>
      <c r="G4239" s="79"/>
    </row>
    <row r="4240" spans="2:7" x14ac:dyDescent="0.35">
      <c r="B4240" s="46"/>
      <c r="C4240" s="46"/>
      <c r="D4240" s="46"/>
      <c r="E4240" s="46"/>
      <c r="F4240" s="46"/>
      <c r="G4240" s="79"/>
    </row>
    <row r="4241" spans="2:7" x14ac:dyDescent="0.35">
      <c r="B4241" s="46"/>
      <c r="C4241" s="46"/>
      <c r="D4241" s="46"/>
      <c r="E4241" s="46"/>
      <c r="F4241" s="46"/>
      <c r="G4241" s="79"/>
    </row>
    <row r="4242" spans="2:7" x14ac:dyDescent="0.35">
      <c r="B4242" s="46"/>
      <c r="C4242" s="46"/>
      <c r="D4242" s="46"/>
      <c r="E4242" s="46"/>
      <c r="F4242" s="46"/>
      <c r="G4242" s="79"/>
    </row>
    <row r="4243" spans="2:7" x14ac:dyDescent="0.35">
      <c r="B4243" s="46"/>
      <c r="C4243" s="46"/>
      <c r="D4243" s="46"/>
      <c r="E4243" s="46"/>
      <c r="F4243" s="46"/>
      <c r="G4243" s="79"/>
    </row>
    <row r="4244" spans="2:7" x14ac:dyDescent="0.35">
      <c r="B4244" s="46"/>
      <c r="C4244" s="46"/>
      <c r="D4244" s="46"/>
      <c r="E4244" s="46"/>
      <c r="F4244" s="46"/>
      <c r="G4244" s="79"/>
    </row>
    <row r="4245" spans="2:7" x14ac:dyDescent="0.35">
      <c r="B4245" s="46"/>
      <c r="C4245" s="46"/>
      <c r="D4245" s="46"/>
      <c r="E4245" s="46"/>
      <c r="F4245" s="46"/>
      <c r="G4245" s="79"/>
    </row>
    <row r="4246" spans="2:7" x14ac:dyDescent="0.35">
      <c r="B4246" s="46"/>
      <c r="C4246" s="46"/>
      <c r="D4246" s="46"/>
      <c r="E4246" s="46"/>
      <c r="F4246" s="46"/>
      <c r="G4246" s="79"/>
    </row>
    <row r="4247" spans="2:7" x14ac:dyDescent="0.35">
      <c r="B4247" s="46"/>
      <c r="C4247" s="46"/>
      <c r="D4247" s="46"/>
      <c r="E4247" s="46"/>
      <c r="F4247" s="46"/>
      <c r="G4247" s="79"/>
    </row>
    <row r="4248" spans="2:7" x14ac:dyDescent="0.35">
      <c r="B4248" s="46"/>
      <c r="C4248" s="46"/>
      <c r="D4248" s="46"/>
      <c r="E4248" s="46"/>
      <c r="F4248" s="46"/>
      <c r="G4248" s="79"/>
    </row>
    <row r="4249" spans="2:7" x14ac:dyDescent="0.35">
      <c r="B4249" s="46"/>
      <c r="C4249" s="46"/>
      <c r="D4249" s="46"/>
      <c r="E4249" s="46"/>
      <c r="F4249" s="46"/>
      <c r="G4249" s="79"/>
    </row>
    <row r="4250" spans="2:7" x14ac:dyDescent="0.35">
      <c r="B4250" s="46"/>
      <c r="C4250" s="46"/>
      <c r="D4250" s="46"/>
      <c r="E4250" s="46"/>
      <c r="F4250" s="46"/>
      <c r="G4250" s="79"/>
    </row>
    <row r="4251" spans="2:7" x14ac:dyDescent="0.35">
      <c r="B4251" s="46"/>
      <c r="C4251" s="46"/>
      <c r="D4251" s="46"/>
      <c r="E4251" s="46"/>
      <c r="F4251" s="46"/>
      <c r="G4251" s="79"/>
    </row>
    <row r="4252" spans="2:7" x14ac:dyDescent="0.35">
      <c r="B4252" s="46"/>
      <c r="C4252" s="46"/>
      <c r="D4252" s="46"/>
      <c r="E4252" s="46"/>
      <c r="F4252" s="46"/>
      <c r="G4252" s="79"/>
    </row>
    <row r="4253" spans="2:7" x14ac:dyDescent="0.35">
      <c r="B4253" s="46"/>
      <c r="C4253" s="46"/>
      <c r="D4253" s="46"/>
      <c r="E4253" s="46"/>
      <c r="F4253" s="46"/>
      <c r="G4253" s="79"/>
    </row>
    <row r="4254" spans="2:7" x14ac:dyDescent="0.35">
      <c r="B4254" s="46"/>
      <c r="C4254" s="46"/>
      <c r="D4254" s="46"/>
      <c r="E4254" s="46"/>
      <c r="F4254" s="46"/>
      <c r="G4254" s="79"/>
    </row>
    <row r="4255" spans="2:7" x14ac:dyDescent="0.35">
      <c r="B4255" s="46"/>
      <c r="C4255" s="46"/>
      <c r="D4255" s="46"/>
      <c r="E4255" s="46"/>
      <c r="F4255" s="46"/>
      <c r="G4255" s="79"/>
    </row>
    <row r="4256" spans="2:7" x14ac:dyDescent="0.35">
      <c r="B4256" s="46"/>
      <c r="C4256" s="46"/>
      <c r="D4256" s="46"/>
      <c r="E4256" s="46"/>
      <c r="F4256" s="46"/>
      <c r="G4256" s="79"/>
    </row>
    <row r="4257" spans="2:7" x14ac:dyDescent="0.35">
      <c r="B4257" s="46"/>
      <c r="C4257" s="46"/>
      <c r="D4257" s="46"/>
      <c r="E4257" s="46"/>
      <c r="F4257" s="46"/>
      <c r="G4257" s="79"/>
    </row>
    <row r="4258" spans="2:7" x14ac:dyDescent="0.35">
      <c r="B4258" s="46"/>
      <c r="C4258" s="46"/>
      <c r="D4258" s="46"/>
      <c r="E4258" s="46"/>
      <c r="F4258" s="46"/>
      <c r="G4258" s="79"/>
    </row>
    <row r="4259" spans="2:7" x14ac:dyDescent="0.35">
      <c r="B4259" s="46"/>
      <c r="C4259" s="46"/>
      <c r="D4259" s="46"/>
      <c r="E4259" s="46"/>
      <c r="F4259" s="46"/>
      <c r="G4259" s="79"/>
    </row>
    <row r="4260" spans="2:7" x14ac:dyDescent="0.35">
      <c r="B4260" s="46"/>
      <c r="C4260" s="46"/>
      <c r="D4260" s="46"/>
      <c r="E4260" s="46"/>
      <c r="F4260" s="46"/>
      <c r="G4260" s="79"/>
    </row>
    <row r="4261" spans="2:7" x14ac:dyDescent="0.35">
      <c r="B4261" s="46"/>
      <c r="C4261" s="46"/>
      <c r="D4261" s="46"/>
      <c r="E4261" s="46"/>
      <c r="F4261" s="46"/>
      <c r="G4261" s="79"/>
    </row>
    <row r="4262" spans="2:7" x14ac:dyDescent="0.35">
      <c r="B4262" s="46"/>
      <c r="C4262" s="46"/>
      <c r="D4262" s="46"/>
      <c r="E4262" s="46"/>
      <c r="F4262" s="46"/>
      <c r="G4262" s="79"/>
    </row>
    <row r="4263" spans="2:7" x14ac:dyDescent="0.35">
      <c r="B4263" s="46"/>
      <c r="C4263" s="46"/>
      <c r="D4263" s="46"/>
      <c r="E4263" s="46"/>
      <c r="F4263" s="46"/>
      <c r="G4263" s="79"/>
    </row>
    <row r="4264" spans="2:7" x14ac:dyDescent="0.35">
      <c r="B4264" s="46"/>
      <c r="C4264" s="46"/>
      <c r="D4264" s="46"/>
      <c r="E4264" s="46"/>
      <c r="F4264" s="46"/>
      <c r="G4264" s="79"/>
    </row>
    <row r="4265" spans="2:7" x14ac:dyDescent="0.35">
      <c r="B4265" s="46"/>
      <c r="C4265" s="46"/>
      <c r="D4265" s="46"/>
      <c r="E4265" s="46"/>
      <c r="F4265" s="46"/>
      <c r="G4265" s="79"/>
    </row>
    <row r="4266" spans="2:7" x14ac:dyDescent="0.35">
      <c r="B4266" s="46"/>
      <c r="C4266" s="46"/>
      <c r="D4266" s="46"/>
      <c r="E4266" s="46"/>
      <c r="F4266" s="46"/>
      <c r="G4266" s="79"/>
    </row>
    <row r="4267" spans="2:7" x14ac:dyDescent="0.35">
      <c r="B4267" s="46"/>
      <c r="C4267" s="46"/>
      <c r="D4267" s="46"/>
      <c r="E4267" s="46"/>
      <c r="F4267" s="46"/>
      <c r="G4267" s="79"/>
    </row>
    <row r="4268" spans="2:7" x14ac:dyDescent="0.35">
      <c r="B4268" s="46"/>
      <c r="C4268" s="46"/>
      <c r="D4268" s="46"/>
      <c r="E4268" s="46"/>
      <c r="F4268" s="46"/>
      <c r="G4268" s="79"/>
    </row>
    <row r="4269" spans="2:7" x14ac:dyDescent="0.35">
      <c r="B4269" s="46"/>
      <c r="C4269" s="46"/>
      <c r="D4269" s="46"/>
      <c r="E4269" s="46"/>
      <c r="F4269" s="46"/>
      <c r="G4269" s="79"/>
    </row>
    <row r="4270" spans="2:7" x14ac:dyDescent="0.35">
      <c r="B4270" s="46"/>
      <c r="C4270" s="46"/>
      <c r="D4270" s="46"/>
      <c r="E4270" s="46"/>
      <c r="F4270" s="46"/>
      <c r="G4270" s="79"/>
    </row>
    <row r="4271" spans="2:7" x14ac:dyDescent="0.35">
      <c r="B4271" s="46"/>
      <c r="C4271" s="46"/>
      <c r="D4271" s="46"/>
      <c r="E4271" s="46"/>
      <c r="F4271" s="46"/>
      <c r="G4271" s="79"/>
    </row>
    <row r="4272" spans="2:7" x14ac:dyDescent="0.35">
      <c r="B4272" s="46"/>
      <c r="C4272" s="46"/>
      <c r="D4272" s="46"/>
      <c r="E4272" s="46"/>
      <c r="F4272" s="46"/>
      <c r="G4272" s="79"/>
    </row>
    <row r="4273" spans="2:7" x14ac:dyDescent="0.35">
      <c r="B4273" s="46"/>
      <c r="C4273" s="46"/>
      <c r="D4273" s="46"/>
      <c r="E4273" s="46"/>
      <c r="F4273" s="46"/>
      <c r="G4273" s="79"/>
    </row>
    <row r="4274" spans="2:7" x14ac:dyDescent="0.35">
      <c r="B4274" s="46"/>
      <c r="C4274" s="46"/>
      <c r="D4274" s="46"/>
      <c r="E4274" s="46"/>
      <c r="F4274" s="46"/>
      <c r="G4274" s="79"/>
    </row>
    <row r="4275" spans="2:7" x14ac:dyDescent="0.35">
      <c r="B4275" s="46"/>
      <c r="C4275" s="46"/>
      <c r="D4275" s="46"/>
      <c r="E4275" s="46"/>
      <c r="F4275" s="46"/>
      <c r="G4275" s="79"/>
    </row>
    <row r="4276" spans="2:7" x14ac:dyDescent="0.35">
      <c r="B4276" s="46"/>
      <c r="C4276" s="46"/>
      <c r="D4276" s="46"/>
      <c r="E4276" s="46"/>
      <c r="F4276" s="46"/>
      <c r="G4276" s="79"/>
    </row>
    <row r="4277" spans="2:7" x14ac:dyDescent="0.35">
      <c r="B4277" s="46"/>
      <c r="C4277" s="46"/>
      <c r="D4277" s="46"/>
      <c r="E4277" s="46"/>
      <c r="F4277" s="46"/>
      <c r="G4277" s="79"/>
    </row>
    <row r="4278" spans="2:7" x14ac:dyDescent="0.35">
      <c r="B4278" s="46"/>
      <c r="C4278" s="46"/>
      <c r="D4278" s="46"/>
      <c r="E4278" s="46"/>
      <c r="F4278" s="46"/>
      <c r="G4278" s="79"/>
    </row>
    <row r="4279" spans="2:7" x14ac:dyDescent="0.35">
      <c r="B4279" s="46"/>
      <c r="C4279" s="46"/>
      <c r="D4279" s="46"/>
      <c r="E4279" s="46"/>
      <c r="F4279" s="46"/>
      <c r="G4279" s="79"/>
    </row>
    <row r="4280" spans="2:7" x14ac:dyDescent="0.35">
      <c r="B4280" s="46"/>
      <c r="C4280" s="46"/>
      <c r="D4280" s="46"/>
      <c r="E4280" s="46"/>
      <c r="F4280" s="46"/>
      <c r="G4280" s="79"/>
    </row>
    <row r="4281" spans="2:7" x14ac:dyDescent="0.35">
      <c r="B4281" s="46"/>
      <c r="C4281" s="46"/>
      <c r="D4281" s="46"/>
      <c r="E4281" s="46"/>
      <c r="F4281" s="46"/>
      <c r="G4281" s="79"/>
    </row>
    <row r="4282" spans="2:7" x14ac:dyDescent="0.35">
      <c r="B4282" s="46"/>
      <c r="C4282" s="46"/>
      <c r="D4282" s="46"/>
      <c r="E4282" s="46"/>
      <c r="F4282" s="46"/>
      <c r="G4282" s="79"/>
    </row>
    <row r="4283" spans="2:7" x14ac:dyDescent="0.35">
      <c r="B4283" s="46"/>
      <c r="C4283" s="46"/>
      <c r="D4283" s="46"/>
      <c r="E4283" s="46"/>
      <c r="F4283" s="46"/>
      <c r="G4283" s="79"/>
    </row>
    <row r="4284" spans="2:7" x14ac:dyDescent="0.35">
      <c r="B4284" s="46"/>
      <c r="C4284" s="46"/>
      <c r="D4284" s="46"/>
      <c r="E4284" s="46"/>
      <c r="F4284" s="46"/>
      <c r="G4284" s="79"/>
    </row>
    <row r="4285" spans="2:7" x14ac:dyDescent="0.35">
      <c r="B4285" s="46"/>
      <c r="C4285" s="46"/>
      <c r="D4285" s="46"/>
      <c r="E4285" s="46"/>
      <c r="F4285" s="46"/>
      <c r="G4285" s="79"/>
    </row>
    <row r="4286" spans="2:7" x14ac:dyDescent="0.35">
      <c r="B4286" s="46"/>
      <c r="C4286" s="46"/>
      <c r="D4286" s="46"/>
      <c r="E4286" s="46"/>
      <c r="F4286" s="46"/>
      <c r="G4286" s="79"/>
    </row>
    <row r="4287" spans="2:7" x14ac:dyDescent="0.35">
      <c r="B4287" s="46"/>
      <c r="C4287" s="46"/>
      <c r="D4287" s="46"/>
      <c r="E4287" s="46"/>
      <c r="F4287" s="46"/>
      <c r="G4287" s="79"/>
    </row>
    <row r="4288" spans="2:7" x14ac:dyDescent="0.35">
      <c r="B4288" s="46"/>
      <c r="C4288" s="46"/>
      <c r="D4288" s="46"/>
      <c r="E4288" s="46"/>
      <c r="F4288" s="46"/>
      <c r="G4288" s="79"/>
    </row>
    <row r="4289" spans="2:7" x14ac:dyDescent="0.35">
      <c r="B4289" s="46"/>
      <c r="C4289" s="46"/>
      <c r="D4289" s="46"/>
      <c r="E4289" s="46"/>
      <c r="F4289" s="46"/>
      <c r="G4289" s="79"/>
    </row>
    <row r="4290" spans="2:7" x14ac:dyDescent="0.35">
      <c r="B4290" s="46"/>
      <c r="C4290" s="46"/>
      <c r="D4290" s="46"/>
      <c r="E4290" s="46"/>
      <c r="F4290" s="46"/>
      <c r="G4290" s="79"/>
    </row>
    <row r="4291" spans="2:7" x14ac:dyDescent="0.35">
      <c r="B4291" s="46"/>
      <c r="C4291" s="46"/>
      <c r="D4291" s="46"/>
      <c r="E4291" s="46"/>
      <c r="F4291" s="46"/>
      <c r="G4291" s="79"/>
    </row>
    <row r="4292" spans="2:7" x14ac:dyDescent="0.35">
      <c r="B4292" s="46"/>
      <c r="C4292" s="46"/>
      <c r="D4292" s="46"/>
      <c r="E4292" s="46"/>
      <c r="F4292" s="46"/>
      <c r="G4292" s="79"/>
    </row>
    <row r="4293" spans="2:7" x14ac:dyDescent="0.35">
      <c r="B4293" s="46"/>
      <c r="C4293" s="46"/>
      <c r="D4293" s="46"/>
      <c r="E4293" s="46"/>
      <c r="F4293" s="46"/>
      <c r="G4293" s="79"/>
    </row>
    <row r="4294" spans="2:7" x14ac:dyDescent="0.35">
      <c r="B4294" s="46"/>
      <c r="C4294" s="46"/>
      <c r="D4294" s="46"/>
      <c r="E4294" s="46"/>
      <c r="F4294" s="46"/>
      <c r="G4294" s="79"/>
    </row>
    <row r="4295" spans="2:7" x14ac:dyDescent="0.35">
      <c r="B4295" s="46"/>
      <c r="C4295" s="46"/>
      <c r="D4295" s="46"/>
      <c r="E4295" s="46"/>
      <c r="F4295" s="46"/>
      <c r="G4295" s="79"/>
    </row>
    <row r="4296" spans="2:7" x14ac:dyDescent="0.35">
      <c r="B4296" s="46"/>
      <c r="C4296" s="46"/>
      <c r="D4296" s="46"/>
      <c r="E4296" s="46"/>
      <c r="F4296" s="46"/>
      <c r="G4296" s="79"/>
    </row>
    <row r="4297" spans="2:7" x14ac:dyDescent="0.35">
      <c r="B4297" s="46"/>
      <c r="C4297" s="46"/>
      <c r="D4297" s="46"/>
      <c r="E4297" s="46"/>
      <c r="F4297" s="46"/>
      <c r="G4297" s="79"/>
    </row>
    <row r="4298" spans="2:7" x14ac:dyDescent="0.35">
      <c r="B4298" s="46"/>
      <c r="C4298" s="46"/>
      <c r="D4298" s="46"/>
      <c r="E4298" s="46"/>
      <c r="F4298" s="46"/>
      <c r="G4298" s="79"/>
    </row>
    <row r="4299" spans="2:7" x14ac:dyDescent="0.35">
      <c r="B4299" s="46"/>
      <c r="C4299" s="46"/>
      <c r="D4299" s="46"/>
      <c r="E4299" s="46"/>
      <c r="F4299" s="46"/>
      <c r="G4299" s="79"/>
    </row>
    <row r="4300" spans="2:7" x14ac:dyDescent="0.35">
      <c r="B4300" s="46"/>
      <c r="C4300" s="46"/>
      <c r="D4300" s="46"/>
      <c r="E4300" s="46"/>
      <c r="F4300" s="46"/>
      <c r="G4300" s="79"/>
    </row>
    <row r="4301" spans="2:7" x14ac:dyDescent="0.35">
      <c r="B4301" s="46"/>
      <c r="C4301" s="46"/>
      <c r="D4301" s="46"/>
      <c r="E4301" s="46"/>
      <c r="F4301" s="46"/>
      <c r="G4301" s="79"/>
    </row>
    <row r="4302" spans="2:7" x14ac:dyDescent="0.35">
      <c r="B4302" s="46"/>
      <c r="C4302" s="46"/>
      <c r="D4302" s="46"/>
      <c r="E4302" s="46"/>
      <c r="F4302" s="46"/>
      <c r="G4302" s="79"/>
    </row>
    <row r="4303" spans="2:7" x14ac:dyDescent="0.35">
      <c r="B4303" s="46"/>
      <c r="C4303" s="46"/>
      <c r="D4303" s="46"/>
      <c r="E4303" s="46"/>
      <c r="F4303" s="46"/>
      <c r="G4303" s="79"/>
    </row>
    <row r="4304" spans="2:7" x14ac:dyDescent="0.35">
      <c r="B4304" s="46"/>
      <c r="C4304" s="46"/>
      <c r="D4304" s="46"/>
      <c r="E4304" s="46"/>
      <c r="F4304" s="46"/>
      <c r="G4304" s="79"/>
    </row>
    <row r="4305" spans="2:7" x14ac:dyDescent="0.35">
      <c r="B4305" s="46"/>
      <c r="C4305" s="46"/>
      <c r="D4305" s="46"/>
      <c r="E4305" s="46"/>
      <c r="F4305" s="46"/>
      <c r="G4305" s="79"/>
    </row>
    <row r="4306" spans="2:7" x14ac:dyDescent="0.35">
      <c r="B4306" s="46"/>
      <c r="C4306" s="46"/>
      <c r="D4306" s="46"/>
      <c r="E4306" s="46"/>
      <c r="F4306" s="46"/>
      <c r="G4306" s="79"/>
    </row>
    <row r="4307" spans="2:7" x14ac:dyDescent="0.35">
      <c r="B4307" s="46"/>
      <c r="C4307" s="46"/>
      <c r="D4307" s="46"/>
      <c r="E4307" s="46"/>
      <c r="F4307" s="46"/>
      <c r="G4307" s="79"/>
    </row>
    <row r="4308" spans="2:7" x14ac:dyDescent="0.35">
      <c r="B4308" s="46"/>
      <c r="C4308" s="46"/>
      <c r="D4308" s="46"/>
      <c r="E4308" s="46"/>
      <c r="F4308" s="46"/>
      <c r="G4308" s="79"/>
    </row>
    <row r="4309" spans="2:7" x14ac:dyDescent="0.35">
      <c r="B4309" s="46"/>
      <c r="C4309" s="46"/>
      <c r="D4309" s="46"/>
      <c r="E4309" s="46"/>
      <c r="F4309" s="46"/>
      <c r="G4309" s="79"/>
    </row>
    <row r="4310" spans="2:7" x14ac:dyDescent="0.35">
      <c r="B4310" s="46"/>
      <c r="C4310" s="46"/>
      <c r="D4310" s="46"/>
      <c r="E4310" s="46"/>
      <c r="F4310" s="46"/>
      <c r="G4310" s="79"/>
    </row>
    <row r="4311" spans="2:7" x14ac:dyDescent="0.35">
      <c r="B4311" s="46"/>
      <c r="C4311" s="46"/>
      <c r="D4311" s="46"/>
      <c r="E4311" s="46"/>
      <c r="F4311" s="46"/>
      <c r="G4311" s="79"/>
    </row>
    <row r="4312" spans="2:7" x14ac:dyDescent="0.35">
      <c r="B4312" s="46"/>
      <c r="C4312" s="46"/>
      <c r="D4312" s="46"/>
      <c r="E4312" s="46"/>
      <c r="F4312" s="46"/>
      <c r="G4312" s="79"/>
    </row>
    <row r="4313" spans="2:7" x14ac:dyDescent="0.35">
      <c r="B4313" s="46"/>
      <c r="C4313" s="46"/>
      <c r="D4313" s="46"/>
      <c r="E4313" s="46"/>
      <c r="F4313" s="46"/>
      <c r="G4313" s="79"/>
    </row>
    <row r="4314" spans="2:7" x14ac:dyDescent="0.35">
      <c r="B4314" s="46"/>
      <c r="C4314" s="46"/>
      <c r="D4314" s="46"/>
      <c r="E4314" s="46"/>
      <c r="F4314" s="46"/>
      <c r="G4314" s="79"/>
    </row>
    <row r="4315" spans="2:7" x14ac:dyDescent="0.35">
      <c r="B4315" s="46"/>
      <c r="C4315" s="46"/>
      <c r="D4315" s="46"/>
      <c r="E4315" s="46"/>
      <c r="F4315" s="46"/>
      <c r="G4315" s="79"/>
    </row>
    <row r="4316" spans="2:7" x14ac:dyDescent="0.35">
      <c r="B4316" s="46"/>
      <c r="C4316" s="46"/>
      <c r="D4316" s="46"/>
      <c r="E4316" s="46"/>
      <c r="F4316" s="46"/>
      <c r="G4316" s="79"/>
    </row>
    <row r="4317" spans="2:7" x14ac:dyDescent="0.35">
      <c r="B4317" s="46"/>
      <c r="C4317" s="46"/>
      <c r="D4317" s="46"/>
      <c r="E4317" s="46"/>
      <c r="F4317" s="46"/>
      <c r="G4317" s="79"/>
    </row>
    <row r="4318" spans="2:7" x14ac:dyDescent="0.35">
      <c r="B4318" s="46"/>
      <c r="C4318" s="46"/>
      <c r="D4318" s="46"/>
      <c r="E4318" s="46"/>
      <c r="F4318" s="46"/>
      <c r="G4318" s="79"/>
    </row>
    <row r="4319" spans="2:7" x14ac:dyDescent="0.35">
      <c r="B4319" s="46"/>
      <c r="C4319" s="46"/>
      <c r="D4319" s="46"/>
      <c r="E4319" s="46"/>
      <c r="F4319" s="46"/>
      <c r="G4319" s="79"/>
    </row>
    <row r="4320" spans="2:7" x14ac:dyDescent="0.35">
      <c r="B4320" s="46"/>
      <c r="C4320" s="46"/>
      <c r="D4320" s="46"/>
      <c r="E4320" s="46"/>
      <c r="F4320" s="46"/>
      <c r="G4320" s="79"/>
    </row>
    <row r="4321" spans="2:7" x14ac:dyDescent="0.35">
      <c r="B4321" s="46"/>
      <c r="C4321" s="46"/>
      <c r="D4321" s="46"/>
      <c r="E4321" s="46"/>
      <c r="F4321" s="46"/>
      <c r="G4321" s="79"/>
    </row>
    <row r="4322" spans="2:7" x14ac:dyDescent="0.35">
      <c r="B4322" s="46"/>
      <c r="C4322" s="46"/>
      <c r="D4322" s="46"/>
      <c r="E4322" s="46"/>
      <c r="F4322" s="46"/>
      <c r="G4322" s="79"/>
    </row>
    <row r="4323" spans="2:7" x14ac:dyDescent="0.35">
      <c r="B4323" s="46"/>
      <c r="C4323" s="46"/>
      <c r="D4323" s="46"/>
      <c r="E4323" s="46"/>
      <c r="F4323" s="46"/>
      <c r="G4323" s="79"/>
    </row>
    <row r="4324" spans="2:7" x14ac:dyDescent="0.35">
      <c r="B4324" s="46"/>
      <c r="C4324" s="46"/>
      <c r="D4324" s="46"/>
      <c r="E4324" s="46"/>
      <c r="F4324" s="46"/>
      <c r="G4324" s="79"/>
    </row>
    <row r="4325" spans="2:7" x14ac:dyDescent="0.35">
      <c r="B4325" s="46"/>
      <c r="C4325" s="46"/>
      <c r="D4325" s="46"/>
      <c r="E4325" s="46"/>
      <c r="F4325" s="46"/>
      <c r="G4325" s="79"/>
    </row>
    <row r="4326" spans="2:7" x14ac:dyDescent="0.35">
      <c r="B4326" s="46"/>
      <c r="C4326" s="46"/>
      <c r="D4326" s="46"/>
      <c r="E4326" s="46"/>
      <c r="F4326" s="46"/>
      <c r="G4326" s="79"/>
    </row>
    <row r="4327" spans="2:7" x14ac:dyDescent="0.35">
      <c r="B4327" s="46"/>
      <c r="C4327" s="46"/>
      <c r="D4327" s="46"/>
      <c r="E4327" s="46"/>
      <c r="F4327" s="46"/>
      <c r="G4327" s="79"/>
    </row>
    <row r="4328" spans="2:7" x14ac:dyDescent="0.35">
      <c r="B4328" s="46"/>
      <c r="C4328" s="46"/>
      <c r="D4328" s="46"/>
      <c r="E4328" s="46"/>
      <c r="F4328" s="46"/>
      <c r="G4328" s="79"/>
    </row>
    <row r="4329" spans="2:7" x14ac:dyDescent="0.35">
      <c r="B4329" s="46"/>
      <c r="C4329" s="46"/>
      <c r="D4329" s="46"/>
      <c r="E4329" s="46"/>
      <c r="F4329" s="46"/>
      <c r="G4329" s="79"/>
    </row>
    <row r="4330" spans="2:7" x14ac:dyDescent="0.35">
      <c r="B4330" s="46"/>
      <c r="C4330" s="46"/>
      <c r="D4330" s="46"/>
      <c r="E4330" s="46"/>
      <c r="F4330" s="46"/>
      <c r="G4330" s="79"/>
    </row>
    <row r="4331" spans="2:7" x14ac:dyDescent="0.35">
      <c r="B4331" s="46"/>
      <c r="C4331" s="46"/>
      <c r="D4331" s="46"/>
      <c r="E4331" s="46"/>
      <c r="F4331" s="46"/>
      <c r="G4331" s="79"/>
    </row>
    <row r="4332" spans="2:7" x14ac:dyDescent="0.35">
      <c r="B4332" s="46"/>
      <c r="C4332" s="46"/>
      <c r="D4332" s="46"/>
      <c r="E4332" s="46"/>
      <c r="F4332" s="46"/>
      <c r="G4332" s="79"/>
    </row>
    <row r="4333" spans="2:7" x14ac:dyDescent="0.35">
      <c r="B4333" s="46"/>
      <c r="C4333" s="46"/>
      <c r="D4333" s="46"/>
      <c r="E4333" s="46"/>
      <c r="F4333" s="46"/>
      <c r="G4333" s="79"/>
    </row>
    <row r="4334" spans="2:7" x14ac:dyDescent="0.35">
      <c r="B4334" s="46"/>
      <c r="C4334" s="46"/>
      <c r="D4334" s="46"/>
      <c r="E4334" s="46"/>
      <c r="F4334" s="46"/>
      <c r="G4334" s="79"/>
    </row>
    <row r="4335" spans="2:7" x14ac:dyDescent="0.35">
      <c r="B4335" s="46"/>
      <c r="C4335" s="46"/>
      <c r="D4335" s="46"/>
      <c r="E4335" s="46"/>
      <c r="F4335" s="46"/>
      <c r="G4335" s="79"/>
    </row>
    <row r="4336" spans="2:7" x14ac:dyDescent="0.35">
      <c r="B4336" s="46"/>
      <c r="C4336" s="46"/>
      <c r="D4336" s="46"/>
      <c r="E4336" s="46"/>
      <c r="F4336" s="46"/>
      <c r="G4336" s="79"/>
    </row>
    <row r="4337" spans="2:7" x14ac:dyDescent="0.35">
      <c r="B4337" s="46"/>
      <c r="C4337" s="46"/>
      <c r="D4337" s="46"/>
      <c r="E4337" s="46"/>
      <c r="F4337" s="46"/>
      <c r="G4337" s="79"/>
    </row>
    <row r="4338" spans="2:7" x14ac:dyDescent="0.35">
      <c r="B4338" s="46"/>
      <c r="C4338" s="46"/>
      <c r="D4338" s="46"/>
      <c r="E4338" s="46"/>
      <c r="F4338" s="46"/>
      <c r="G4338" s="79"/>
    </row>
    <row r="4339" spans="2:7" x14ac:dyDescent="0.35">
      <c r="B4339" s="46"/>
      <c r="C4339" s="46"/>
      <c r="D4339" s="46"/>
      <c r="E4339" s="46"/>
      <c r="F4339" s="46"/>
      <c r="G4339" s="79"/>
    </row>
    <row r="4340" spans="2:7" x14ac:dyDescent="0.35">
      <c r="B4340" s="46"/>
      <c r="C4340" s="46"/>
      <c r="D4340" s="46"/>
      <c r="E4340" s="46"/>
      <c r="F4340" s="46"/>
      <c r="G4340" s="79"/>
    </row>
    <row r="4341" spans="2:7" x14ac:dyDescent="0.35">
      <c r="B4341" s="46"/>
      <c r="C4341" s="46"/>
      <c r="D4341" s="46"/>
      <c r="E4341" s="46"/>
      <c r="F4341" s="46"/>
      <c r="G4341" s="79"/>
    </row>
    <row r="4342" spans="2:7" x14ac:dyDescent="0.35">
      <c r="B4342" s="46"/>
      <c r="C4342" s="46"/>
      <c r="D4342" s="46"/>
      <c r="E4342" s="46"/>
      <c r="F4342" s="46"/>
      <c r="G4342" s="79"/>
    </row>
    <row r="4343" spans="2:7" x14ac:dyDescent="0.35">
      <c r="B4343" s="46"/>
      <c r="C4343" s="46"/>
      <c r="D4343" s="46"/>
      <c r="E4343" s="46"/>
      <c r="F4343" s="46"/>
      <c r="G4343" s="79"/>
    </row>
    <row r="4344" spans="2:7" x14ac:dyDescent="0.35">
      <c r="B4344" s="46"/>
      <c r="C4344" s="46"/>
      <c r="D4344" s="46"/>
      <c r="E4344" s="46"/>
      <c r="F4344" s="46"/>
      <c r="G4344" s="79"/>
    </row>
    <row r="4345" spans="2:7" x14ac:dyDescent="0.35">
      <c r="B4345" s="46"/>
      <c r="C4345" s="46"/>
      <c r="D4345" s="46"/>
      <c r="E4345" s="46"/>
      <c r="F4345" s="46"/>
      <c r="G4345" s="79"/>
    </row>
    <row r="4346" spans="2:7" x14ac:dyDescent="0.35">
      <c r="B4346" s="46"/>
      <c r="C4346" s="46"/>
      <c r="D4346" s="46"/>
      <c r="E4346" s="46"/>
      <c r="F4346" s="46"/>
      <c r="G4346" s="79"/>
    </row>
    <row r="4347" spans="2:7" x14ac:dyDescent="0.35">
      <c r="B4347" s="46"/>
      <c r="C4347" s="46"/>
      <c r="D4347" s="46"/>
      <c r="E4347" s="46"/>
      <c r="F4347" s="46"/>
      <c r="G4347" s="79"/>
    </row>
    <row r="4348" spans="2:7" x14ac:dyDescent="0.35">
      <c r="B4348" s="46"/>
      <c r="C4348" s="46"/>
      <c r="D4348" s="46"/>
      <c r="E4348" s="46"/>
      <c r="F4348" s="46"/>
      <c r="G4348" s="79"/>
    </row>
    <row r="4349" spans="2:7" x14ac:dyDescent="0.35">
      <c r="B4349" s="46"/>
      <c r="C4349" s="46"/>
      <c r="D4349" s="46"/>
      <c r="E4349" s="46"/>
      <c r="F4349" s="46"/>
      <c r="G4349" s="79"/>
    </row>
    <row r="4350" spans="2:7" x14ac:dyDescent="0.35">
      <c r="B4350" s="46"/>
      <c r="C4350" s="46"/>
      <c r="D4350" s="46"/>
      <c r="E4350" s="46"/>
      <c r="F4350" s="46"/>
      <c r="G4350" s="79"/>
    </row>
    <row r="4351" spans="2:7" x14ac:dyDescent="0.35">
      <c r="B4351" s="46"/>
      <c r="C4351" s="46"/>
      <c r="D4351" s="46"/>
      <c r="E4351" s="46"/>
      <c r="F4351" s="46"/>
      <c r="G4351" s="79"/>
    </row>
    <row r="4352" spans="2:7" x14ac:dyDescent="0.35">
      <c r="B4352" s="46"/>
      <c r="C4352" s="46"/>
      <c r="D4352" s="46"/>
      <c r="E4352" s="46"/>
      <c r="F4352" s="46"/>
      <c r="G4352" s="79"/>
    </row>
    <row r="4353" spans="2:7" x14ac:dyDescent="0.35">
      <c r="B4353" s="46"/>
      <c r="C4353" s="46"/>
      <c r="D4353" s="46"/>
      <c r="E4353" s="46"/>
      <c r="F4353" s="46"/>
      <c r="G4353" s="79"/>
    </row>
    <row r="4354" spans="2:7" x14ac:dyDescent="0.35">
      <c r="B4354" s="46"/>
      <c r="C4354" s="46"/>
      <c r="D4354" s="46"/>
      <c r="E4354" s="46"/>
      <c r="F4354" s="46"/>
      <c r="G4354" s="79"/>
    </row>
    <row r="4355" spans="2:7" x14ac:dyDescent="0.35">
      <c r="B4355" s="46"/>
      <c r="C4355" s="46"/>
      <c r="D4355" s="46"/>
      <c r="E4355" s="46"/>
      <c r="F4355" s="46"/>
      <c r="G4355" s="79"/>
    </row>
    <row r="4356" spans="2:7" x14ac:dyDescent="0.35">
      <c r="B4356" s="46"/>
      <c r="C4356" s="46"/>
      <c r="D4356" s="46"/>
      <c r="E4356" s="46"/>
      <c r="F4356" s="46"/>
      <c r="G4356" s="79"/>
    </row>
    <row r="4357" spans="2:7" x14ac:dyDescent="0.35">
      <c r="B4357" s="46"/>
      <c r="C4357" s="46"/>
      <c r="D4357" s="46"/>
      <c r="E4357" s="46"/>
      <c r="F4357" s="46"/>
      <c r="G4357" s="79"/>
    </row>
    <row r="4358" spans="2:7" x14ac:dyDescent="0.35">
      <c r="B4358" s="46"/>
      <c r="C4358" s="46"/>
      <c r="D4358" s="46"/>
      <c r="E4358" s="46"/>
      <c r="F4358" s="46"/>
      <c r="G4358" s="79"/>
    </row>
    <row r="4359" spans="2:7" x14ac:dyDescent="0.35">
      <c r="B4359" s="46"/>
      <c r="C4359" s="46"/>
      <c r="D4359" s="46"/>
      <c r="E4359" s="46"/>
      <c r="F4359" s="46"/>
      <c r="G4359" s="79"/>
    </row>
    <row r="4360" spans="2:7" x14ac:dyDescent="0.35">
      <c r="B4360" s="46"/>
      <c r="C4360" s="46"/>
      <c r="D4360" s="46"/>
      <c r="E4360" s="46"/>
      <c r="F4360" s="46"/>
      <c r="G4360" s="79"/>
    </row>
    <row r="4361" spans="2:7" x14ac:dyDescent="0.35">
      <c r="B4361" s="46"/>
      <c r="C4361" s="46"/>
      <c r="D4361" s="46"/>
      <c r="E4361" s="46"/>
      <c r="F4361" s="46"/>
      <c r="G4361" s="79"/>
    </row>
    <row r="4362" spans="2:7" x14ac:dyDescent="0.35">
      <c r="B4362" s="46"/>
      <c r="C4362" s="46"/>
      <c r="D4362" s="46"/>
      <c r="E4362" s="46"/>
      <c r="F4362" s="46"/>
      <c r="G4362" s="79"/>
    </row>
    <row r="4363" spans="2:7" x14ac:dyDescent="0.35">
      <c r="B4363" s="46"/>
      <c r="C4363" s="46"/>
      <c r="D4363" s="46"/>
      <c r="E4363" s="46"/>
      <c r="F4363" s="46"/>
      <c r="G4363" s="79"/>
    </row>
    <row r="4364" spans="2:7" x14ac:dyDescent="0.35">
      <c r="B4364" s="46"/>
      <c r="C4364" s="46"/>
      <c r="D4364" s="46"/>
      <c r="E4364" s="46"/>
      <c r="F4364" s="46"/>
      <c r="G4364" s="79"/>
    </row>
    <row r="4365" spans="2:7" x14ac:dyDescent="0.35">
      <c r="B4365" s="46"/>
      <c r="C4365" s="46"/>
      <c r="D4365" s="46"/>
      <c r="E4365" s="46"/>
      <c r="F4365" s="46"/>
      <c r="G4365" s="79"/>
    </row>
    <row r="4366" spans="2:7" x14ac:dyDescent="0.35">
      <c r="B4366" s="46"/>
      <c r="C4366" s="46"/>
      <c r="D4366" s="46"/>
      <c r="E4366" s="46"/>
      <c r="F4366" s="46"/>
      <c r="G4366" s="79"/>
    </row>
    <row r="4367" spans="2:7" x14ac:dyDescent="0.35">
      <c r="B4367" s="46"/>
      <c r="C4367" s="46"/>
      <c r="D4367" s="46"/>
      <c r="E4367" s="46"/>
      <c r="F4367" s="46"/>
      <c r="G4367" s="79"/>
    </row>
    <row r="4368" spans="2:7" x14ac:dyDescent="0.35">
      <c r="B4368" s="46"/>
      <c r="C4368" s="46"/>
      <c r="D4368" s="46"/>
      <c r="E4368" s="46"/>
      <c r="F4368" s="46"/>
      <c r="G4368" s="79"/>
    </row>
    <row r="4369" spans="2:7" x14ac:dyDescent="0.35">
      <c r="B4369" s="46"/>
      <c r="C4369" s="46"/>
      <c r="D4369" s="46"/>
      <c r="E4369" s="46"/>
      <c r="F4369" s="46"/>
      <c r="G4369" s="79"/>
    </row>
    <row r="4370" spans="2:7" x14ac:dyDescent="0.35">
      <c r="B4370" s="46"/>
      <c r="C4370" s="46"/>
      <c r="D4370" s="46"/>
      <c r="E4370" s="46"/>
      <c r="F4370" s="46"/>
      <c r="G4370" s="79"/>
    </row>
    <row r="4371" spans="2:7" x14ac:dyDescent="0.35">
      <c r="B4371" s="46"/>
      <c r="C4371" s="46"/>
      <c r="D4371" s="46"/>
      <c r="E4371" s="46"/>
      <c r="F4371" s="46"/>
      <c r="G4371" s="79"/>
    </row>
    <row r="4372" spans="2:7" x14ac:dyDescent="0.35">
      <c r="B4372" s="46"/>
      <c r="C4372" s="46"/>
      <c r="D4372" s="46"/>
      <c r="E4372" s="46"/>
      <c r="F4372" s="46"/>
      <c r="G4372" s="79"/>
    </row>
    <row r="4373" spans="2:7" x14ac:dyDescent="0.35">
      <c r="B4373" s="46"/>
      <c r="C4373" s="46"/>
      <c r="D4373" s="46"/>
      <c r="E4373" s="46"/>
      <c r="F4373" s="46"/>
      <c r="G4373" s="79"/>
    </row>
    <row r="4374" spans="2:7" x14ac:dyDescent="0.35">
      <c r="B4374" s="46"/>
      <c r="C4374" s="46"/>
      <c r="D4374" s="46"/>
      <c r="E4374" s="46"/>
      <c r="F4374" s="46"/>
      <c r="G4374" s="79"/>
    </row>
    <row r="4375" spans="2:7" x14ac:dyDescent="0.35">
      <c r="B4375" s="46"/>
      <c r="C4375" s="46"/>
      <c r="D4375" s="46"/>
      <c r="E4375" s="46"/>
      <c r="F4375" s="46"/>
      <c r="G4375" s="79"/>
    </row>
    <row r="4376" spans="2:7" x14ac:dyDescent="0.35">
      <c r="B4376" s="46"/>
      <c r="C4376" s="46"/>
      <c r="D4376" s="46"/>
      <c r="E4376" s="46"/>
      <c r="F4376" s="46"/>
      <c r="G4376" s="79"/>
    </row>
    <row r="4377" spans="2:7" x14ac:dyDescent="0.35">
      <c r="B4377" s="46"/>
      <c r="C4377" s="46"/>
      <c r="D4377" s="46"/>
      <c r="E4377" s="46"/>
      <c r="F4377" s="46"/>
      <c r="G4377" s="79"/>
    </row>
    <row r="4378" spans="2:7" x14ac:dyDescent="0.35">
      <c r="B4378" s="46"/>
      <c r="C4378" s="46"/>
      <c r="D4378" s="46"/>
      <c r="E4378" s="46"/>
      <c r="F4378" s="46"/>
      <c r="G4378" s="79"/>
    </row>
    <row r="4379" spans="2:7" x14ac:dyDescent="0.35">
      <c r="B4379" s="46"/>
      <c r="C4379" s="46"/>
      <c r="D4379" s="46"/>
      <c r="E4379" s="46"/>
      <c r="F4379" s="46"/>
      <c r="G4379" s="79"/>
    </row>
    <row r="4380" spans="2:7" x14ac:dyDescent="0.35">
      <c r="B4380" s="46"/>
      <c r="C4380" s="46"/>
      <c r="D4380" s="46"/>
      <c r="E4380" s="46"/>
      <c r="F4380" s="46"/>
      <c r="G4380" s="79"/>
    </row>
    <row r="4381" spans="2:7" x14ac:dyDescent="0.35">
      <c r="B4381" s="46"/>
      <c r="C4381" s="46"/>
      <c r="D4381" s="46"/>
      <c r="E4381" s="46"/>
      <c r="F4381" s="46"/>
      <c r="G4381" s="79"/>
    </row>
    <row r="4382" spans="2:7" x14ac:dyDescent="0.35">
      <c r="B4382" s="46"/>
      <c r="C4382" s="46"/>
      <c r="D4382" s="46"/>
      <c r="E4382" s="46"/>
      <c r="F4382" s="46"/>
      <c r="G4382" s="79"/>
    </row>
    <row r="4383" spans="2:7" x14ac:dyDescent="0.35">
      <c r="B4383" s="46"/>
      <c r="C4383" s="46"/>
      <c r="D4383" s="46"/>
      <c r="E4383" s="46"/>
      <c r="F4383" s="46"/>
      <c r="G4383" s="79"/>
    </row>
    <row r="4384" spans="2:7" x14ac:dyDescent="0.35">
      <c r="B4384" s="46"/>
      <c r="C4384" s="46"/>
      <c r="D4384" s="46"/>
      <c r="E4384" s="46"/>
      <c r="F4384" s="46"/>
      <c r="G4384" s="79"/>
    </row>
    <row r="4385" spans="2:7" x14ac:dyDescent="0.35">
      <c r="B4385" s="46"/>
      <c r="C4385" s="46"/>
      <c r="D4385" s="46"/>
      <c r="E4385" s="46"/>
      <c r="F4385" s="46"/>
      <c r="G4385" s="79"/>
    </row>
    <row r="4386" spans="2:7" x14ac:dyDescent="0.35">
      <c r="B4386" s="46"/>
      <c r="C4386" s="46"/>
      <c r="D4386" s="46"/>
      <c r="E4386" s="46"/>
      <c r="F4386" s="46"/>
      <c r="G4386" s="79"/>
    </row>
    <row r="4387" spans="2:7" x14ac:dyDescent="0.35">
      <c r="B4387" s="46"/>
      <c r="C4387" s="46"/>
      <c r="D4387" s="46"/>
      <c r="E4387" s="46"/>
      <c r="F4387" s="46"/>
      <c r="G4387" s="79"/>
    </row>
    <row r="4388" spans="2:7" x14ac:dyDescent="0.35">
      <c r="B4388" s="46"/>
      <c r="C4388" s="46"/>
      <c r="D4388" s="46"/>
      <c r="E4388" s="46"/>
      <c r="F4388" s="46"/>
      <c r="G4388" s="79"/>
    </row>
    <row r="4389" spans="2:7" x14ac:dyDescent="0.35">
      <c r="B4389" s="46"/>
      <c r="C4389" s="46"/>
      <c r="D4389" s="46"/>
      <c r="E4389" s="46"/>
      <c r="F4389" s="46"/>
      <c r="G4389" s="79"/>
    </row>
    <row r="4390" spans="2:7" x14ac:dyDescent="0.35">
      <c r="B4390" s="46"/>
      <c r="C4390" s="46"/>
      <c r="D4390" s="46"/>
      <c r="E4390" s="46"/>
      <c r="F4390" s="46"/>
      <c r="G4390" s="79"/>
    </row>
    <row r="4391" spans="2:7" x14ac:dyDescent="0.35">
      <c r="B4391" s="46"/>
      <c r="C4391" s="46"/>
      <c r="D4391" s="46"/>
      <c r="E4391" s="46"/>
      <c r="F4391" s="46"/>
      <c r="G4391" s="79"/>
    </row>
    <row r="4392" spans="2:7" x14ac:dyDescent="0.35">
      <c r="B4392" s="46"/>
      <c r="C4392" s="46"/>
      <c r="D4392" s="46"/>
      <c r="E4392" s="46"/>
      <c r="F4392" s="46"/>
      <c r="G4392" s="79"/>
    </row>
    <row r="4393" spans="2:7" x14ac:dyDescent="0.35">
      <c r="B4393" s="46"/>
      <c r="C4393" s="46"/>
      <c r="D4393" s="46"/>
      <c r="E4393" s="46"/>
      <c r="F4393" s="46"/>
      <c r="G4393" s="79"/>
    </row>
    <row r="4394" spans="2:7" x14ac:dyDescent="0.35">
      <c r="B4394" s="46"/>
      <c r="C4394" s="46"/>
      <c r="D4394" s="46"/>
      <c r="E4394" s="46"/>
      <c r="F4394" s="46"/>
      <c r="G4394" s="79"/>
    </row>
    <row r="4395" spans="2:7" x14ac:dyDescent="0.35">
      <c r="B4395" s="46"/>
      <c r="C4395" s="46"/>
      <c r="D4395" s="46"/>
      <c r="E4395" s="46"/>
      <c r="F4395" s="46"/>
      <c r="G4395" s="79"/>
    </row>
    <row r="4396" spans="2:7" x14ac:dyDescent="0.35">
      <c r="B4396" s="46"/>
      <c r="C4396" s="46"/>
      <c r="D4396" s="46"/>
      <c r="E4396" s="46"/>
      <c r="F4396" s="46"/>
      <c r="G4396" s="79"/>
    </row>
    <row r="4397" spans="2:7" x14ac:dyDescent="0.35">
      <c r="B4397" s="46"/>
      <c r="C4397" s="46"/>
      <c r="D4397" s="46"/>
      <c r="E4397" s="46"/>
      <c r="F4397" s="46"/>
      <c r="G4397" s="79"/>
    </row>
    <row r="4398" spans="2:7" x14ac:dyDescent="0.35">
      <c r="B4398" s="46"/>
      <c r="C4398" s="46"/>
      <c r="D4398" s="46"/>
      <c r="E4398" s="46"/>
      <c r="F4398" s="46"/>
      <c r="G4398" s="79"/>
    </row>
    <row r="4399" spans="2:7" x14ac:dyDescent="0.35">
      <c r="B4399" s="46"/>
      <c r="C4399" s="46"/>
      <c r="D4399" s="46"/>
      <c r="E4399" s="46"/>
      <c r="F4399" s="46"/>
      <c r="G4399" s="79"/>
    </row>
    <row r="4400" spans="2:7" x14ac:dyDescent="0.35">
      <c r="B4400" s="46"/>
      <c r="C4400" s="46"/>
      <c r="D4400" s="46"/>
      <c r="E4400" s="46"/>
      <c r="F4400" s="46"/>
      <c r="G4400" s="79"/>
    </row>
    <row r="4401" spans="2:7" x14ac:dyDescent="0.35">
      <c r="B4401" s="46"/>
      <c r="C4401" s="46"/>
      <c r="D4401" s="46"/>
      <c r="E4401" s="46"/>
      <c r="F4401" s="46"/>
      <c r="G4401" s="79"/>
    </row>
    <row r="4402" spans="2:7" x14ac:dyDescent="0.35">
      <c r="B4402" s="46"/>
      <c r="C4402" s="46"/>
      <c r="D4402" s="46"/>
      <c r="E4402" s="46"/>
      <c r="F4402" s="46"/>
      <c r="G4402" s="79"/>
    </row>
    <row r="4403" spans="2:7" x14ac:dyDescent="0.35">
      <c r="B4403" s="46"/>
      <c r="C4403" s="46"/>
      <c r="D4403" s="46"/>
      <c r="E4403" s="46"/>
      <c r="F4403" s="46"/>
      <c r="G4403" s="79"/>
    </row>
    <row r="4404" spans="2:7" x14ac:dyDescent="0.35">
      <c r="B4404" s="46"/>
      <c r="C4404" s="46"/>
      <c r="D4404" s="46"/>
      <c r="E4404" s="46"/>
      <c r="F4404" s="46"/>
      <c r="G4404" s="79"/>
    </row>
    <row r="4405" spans="2:7" x14ac:dyDescent="0.35">
      <c r="B4405" s="46"/>
      <c r="C4405" s="46"/>
      <c r="D4405" s="46"/>
      <c r="E4405" s="46"/>
      <c r="F4405" s="46"/>
      <c r="G4405" s="79"/>
    </row>
    <row r="4406" spans="2:7" x14ac:dyDescent="0.35">
      <c r="B4406" s="46"/>
      <c r="C4406" s="46"/>
      <c r="D4406" s="46"/>
      <c r="E4406" s="46"/>
      <c r="F4406" s="46"/>
      <c r="G4406" s="79"/>
    </row>
    <row r="4407" spans="2:7" x14ac:dyDescent="0.35">
      <c r="B4407" s="46"/>
      <c r="C4407" s="46"/>
      <c r="D4407" s="46"/>
      <c r="E4407" s="46"/>
      <c r="F4407" s="46"/>
      <c r="G4407" s="79"/>
    </row>
    <row r="4408" spans="2:7" x14ac:dyDescent="0.35">
      <c r="B4408" s="46"/>
      <c r="C4408" s="46"/>
      <c r="D4408" s="46"/>
      <c r="E4408" s="46"/>
      <c r="F4408" s="46"/>
      <c r="G4408" s="79"/>
    </row>
    <row r="4409" spans="2:7" x14ac:dyDescent="0.35">
      <c r="B4409" s="46"/>
      <c r="C4409" s="46"/>
      <c r="D4409" s="46"/>
      <c r="E4409" s="46"/>
      <c r="F4409" s="46"/>
      <c r="G4409" s="79"/>
    </row>
    <row r="4410" spans="2:7" x14ac:dyDescent="0.35">
      <c r="B4410" s="46"/>
      <c r="C4410" s="46"/>
      <c r="D4410" s="46"/>
      <c r="E4410" s="46"/>
      <c r="F4410" s="46"/>
      <c r="G4410" s="79"/>
    </row>
    <row r="4411" spans="2:7" x14ac:dyDescent="0.35">
      <c r="B4411" s="46"/>
      <c r="C4411" s="46"/>
      <c r="D4411" s="46"/>
      <c r="E4411" s="46"/>
      <c r="F4411" s="46"/>
      <c r="G4411" s="79"/>
    </row>
    <row r="4412" spans="2:7" x14ac:dyDescent="0.35">
      <c r="B4412" s="46"/>
      <c r="C4412" s="46"/>
      <c r="D4412" s="46"/>
      <c r="E4412" s="46"/>
      <c r="F4412" s="46"/>
      <c r="G4412" s="79"/>
    </row>
    <row r="4413" spans="2:7" x14ac:dyDescent="0.35">
      <c r="B4413" s="46"/>
      <c r="C4413" s="46"/>
      <c r="D4413" s="46"/>
      <c r="E4413" s="46"/>
      <c r="F4413" s="46"/>
      <c r="G4413" s="79"/>
    </row>
    <row r="4414" spans="2:7" x14ac:dyDescent="0.35">
      <c r="B4414" s="46"/>
      <c r="C4414" s="46"/>
      <c r="D4414" s="46"/>
      <c r="E4414" s="46"/>
      <c r="F4414" s="46"/>
      <c r="G4414" s="79"/>
    </row>
    <row r="4415" spans="2:7" x14ac:dyDescent="0.35">
      <c r="B4415" s="46"/>
      <c r="C4415" s="46"/>
      <c r="D4415" s="46"/>
      <c r="E4415" s="46"/>
      <c r="F4415" s="46"/>
      <c r="G4415" s="79"/>
    </row>
    <row r="4416" spans="2:7" x14ac:dyDescent="0.35">
      <c r="B4416" s="46"/>
      <c r="C4416" s="46"/>
      <c r="D4416" s="46"/>
      <c r="E4416" s="46"/>
      <c r="F4416" s="46"/>
      <c r="G4416" s="79"/>
    </row>
    <row r="4417" spans="2:7" x14ac:dyDescent="0.35">
      <c r="B4417" s="46"/>
      <c r="C4417" s="46"/>
      <c r="D4417" s="46"/>
      <c r="E4417" s="46"/>
      <c r="F4417" s="46"/>
      <c r="G4417" s="79"/>
    </row>
    <row r="4418" spans="2:7" x14ac:dyDescent="0.35">
      <c r="B4418" s="46"/>
      <c r="C4418" s="46"/>
      <c r="D4418" s="46"/>
      <c r="E4418" s="46"/>
      <c r="F4418" s="46"/>
      <c r="G4418" s="79"/>
    </row>
    <row r="4419" spans="2:7" x14ac:dyDescent="0.35">
      <c r="B4419" s="46"/>
      <c r="C4419" s="46"/>
      <c r="D4419" s="46"/>
      <c r="E4419" s="46"/>
      <c r="F4419" s="46"/>
      <c r="G4419" s="79"/>
    </row>
    <row r="4420" spans="2:7" x14ac:dyDescent="0.35">
      <c r="B4420" s="46"/>
      <c r="C4420" s="46"/>
      <c r="D4420" s="46"/>
      <c r="E4420" s="46"/>
      <c r="F4420" s="46"/>
      <c r="G4420" s="79"/>
    </row>
    <row r="4421" spans="2:7" x14ac:dyDescent="0.35">
      <c r="B4421" s="46"/>
      <c r="C4421" s="46"/>
      <c r="D4421" s="46"/>
      <c r="E4421" s="46"/>
      <c r="F4421" s="46"/>
      <c r="G4421" s="79"/>
    </row>
    <row r="4422" spans="2:7" x14ac:dyDescent="0.35">
      <c r="B4422" s="46"/>
      <c r="C4422" s="46"/>
      <c r="D4422" s="46"/>
      <c r="E4422" s="46"/>
      <c r="F4422" s="46"/>
      <c r="G4422" s="79"/>
    </row>
    <row r="4423" spans="2:7" x14ac:dyDescent="0.35">
      <c r="B4423" s="46"/>
      <c r="C4423" s="46"/>
      <c r="D4423" s="46"/>
      <c r="E4423" s="46"/>
      <c r="F4423" s="46"/>
      <c r="G4423" s="79"/>
    </row>
    <row r="4424" spans="2:7" x14ac:dyDescent="0.35">
      <c r="B4424" s="46"/>
      <c r="C4424" s="46"/>
      <c r="D4424" s="46"/>
      <c r="E4424" s="46"/>
      <c r="F4424" s="46"/>
      <c r="G4424" s="79"/>
    </row>
    <row r="4425" spans="2:7" x14ac:dyDescent="0.35">
      <c r="B4425" s="46"/>
      <c r="C4425" s="46"/>
      <c r="D4425" s="46"/>
      <c r="E4425" s="46"/>
      <c r="F4425" s="46"/>
      <c r="G4425" s="79"/>
    </row>
    <row r="4426" spans="2:7" x14ac:dyDescent="0.35">
      <c r="B4426" s="46"/>
      <c r="C4426" s="46"/>
      <c r="D4426" s="46"/>
      <c r="E4426" s="46"/>
      <c r="F4426" s="46"/>
      <c r="G4426" s="79"/>
    </row>
    <row r="4427" spans="2:7" x14ac:dyDescent="0.35">
      <c r="B4427" s="46"/>
      <c r="C4427" s="46"/>
      <c r="D4427" s="46"/>
      <c r="E4427" s="46"/>
      <c r="F4427" s="46"/>
      <c r="G4427" s="79"/>
    </row>
    <row r="4428" spans="2:7" x14ac:dyDescent="0.35">
      <c r="B4428" s="46"/>
      <c r="C4428" s="46"/>
      <c r="D4428" s="46"/>
      <c r="E4428" s="46"/>
      <c r="F4428" s="46"/>
      <c r="G4428" s="79"/>
    </row>
    <row r="4429" spans="2:7" x14ac:dyDescent="0.35">
      <c r="B4429" s="46"/>
      <c r="C4429" s="46"/>
      <c r="D4429" s="46"/>
      <c r="E4429" s="46"/>
      <c r="F4429" s="46"/>
      <c r="G4429" s="79"/>
    </row>
    <row r="4430" spans="2:7" x14ac:dyDescent="0.35">
      <c r="B4430" s="46"/>
      <c r="C4430" s="46"/>
      <c r="D4430" s="46"/>
      <c r="E4430" s="46"/>
      <c r="F4430" s="46"/>
      <c r="G4430" s="79"/>
    </row>
    <row r="4431" spans="2:7" x14ac:dyDescent="0.35">
      <c r="B4431" s="46"/>
      <c r="C4431" s="46"/>
      <c r="D4431" s="46"/>
      <c r="E4431" s="46"/>
      <c r="F4431" s="46"/>
      <c r="G4431" s="79"/>
    </row>
    <row r="4432" spans="2:7" x14ac:dyDescent="0.35">
      <c r="B4432" s="46"/>
      <c r="C4432" s="46"/>
      <c r="D4432" s="46"/>
      <c r="E4432" s="46"/>
      <c r="F4432" s="46"/>
      <c r="G4432" s="79"/>
    </row>
    <row r="4433" spans="2:7" x14ac:dyDescent="0.35">
      <c r="B4433" s="46"/>
      <c r="C4433" s="46"/>
      <c r="D4433" s="46"/>
      <c r="E4433" s="46"/>
      <c r="F4433" s="46"/>
      <c r="G4433" s="79"/>
    </row>
    <row r="4434" spans="2:7" x14ac:dyDescent="0.35">
      <c r="B4434" s="46"/>
      <c r="C4434" s="46"/>
      <c r="D4434" s="46"/>
      <c r="E4434" s="46"/>
      <c r="F4434" s="46"/>
      <c r="G4434" s="79"/>
    </row>
    <row r="4435" spans="2:7" x14ac:dyDescent="0.35">
      <c r="B4435" s="46"/>
      <c r="C4435" s="46"/>
      <c r="D4435" s="46"/>
      <c r="E4435" s="46"/>
      <c r="F4435" s="46"/>
      <c r="G4435" s="79"/>
    </row>
    <row r="4436" spans="2:7" x14ac:dyDescent="0.35">
      <c r="B4436" s="46"/>
      <c r="C4436" s="46"/>
      <c r="D4436" s="46"/>
      <c r="E4436" s="46"/>
      <c r="F4436" s="46"/>
      <c r="G4436" s="79"/>
    </row>
    <row r="4437" spans="2:7" x14ac:dyDescent="0.35">
      <c r="B4437" s="46"/>
      <c r="C4437" s="46"/>
      <c r="D4437" s="46"/>
      <c r="E4437" s="46"/>
      <c r="F4437" s="46"/>
      <c r="G4437" s="79"/>
    </row>
    <row r="4438" spans="2:7" x14ac:dyDescent="0.35">
      <c r="B4438" s="46"/>
      <c r="C4438" s="46"/>
      <c r="D4438" s="46"/>
      <c r="E4438" s="46"/>
      <c r="F4438" s="46"/>
      <c r="G4438" s="79"/>
    </row>
    <row r="4439" spans="2:7" x14ac:dyDescent="0.35">
      <c r="B4439" s="46"/>
      <c r="C4439" s="46"/>
      <c r="D4439" s="46"/>
      <c r="E4439" s="46"/>
      <c r="F4439" s="46"/>
      <c r="G4439" s="79"/>
    </row>
    <row r="4440" spans="2:7" x14ac:dyDescent="0.35">
      <c r="B4440" s="46"/>
      <c r="C4440" s="46"/>
      <c r="D4440" s="46"/>
      <c r="E4440" s="46"/>
      <c r="F4440" s="46"/>
      <c r="G4440" s="79"/>
    </row>
    <row r="4441" spans="2:7" x14ac:dyDescent="0.35">
      <c r="B4441" s="46"/>
      <c r="C4441" s="46"/>
      <c r="D4441" s="46"/>
      <c r="E4441" s="46"/>
      <c r="F4441" s="46"/>
      <c r="G4441" s="79"/>
    </row>
    <row r="4442" spans="2:7" x14ac:dyDescent="0.35">
      <c r="B4442" s="46"/>
      <c r="C4442" s="46"/>
      <c r="D4442" s="46"/>
      <c r="E4442" s="46"/>
      <c r="F4442" s="46"/>
      <c r="G4442" s="79"/>
    </row>
    <row r="4443" spans="2:7" x14ac:dyDescent="0.35">
      <c r="B4443" s="46"/>
      <c r="C4443" s="46"/>
      <c r="D4443" s="46"/>
      <c r="E4443" s="46"/>
      <c r="F4443" s="46"/>
      <c r="G4443" s="79"/>
    </row>
    <row r="4444" spans="2:7" x14ac:dyDescent="0.35">
      <c r="B4444" s="46"/>
      <c r="C4444" s="46"/>
      <c r="D4444" s="46"/>
      <c r="E4444" s="46"/>
      <c r="F4444" s="46"/>
      <c r="G4444" s="79"/>
    </row>
    <row r="4445" spans="2:7" x14ac:dyDescent="0.35">
      <c r="B4445" s="46"/>
      <c r="C4445" s="46"/>
      <c r="D4445" s="46"/>
      <c r="E4445" s="46"/>
      <c r="F4445" s="46"/>
      <c r="G4445" s="79"/>
    </row>
    <row r="4446" spans="2:7" x14ac:dyDescent="0.35">
      <c r="B4446" s="46"/>
      <c r="C4446" s="46"/>
      <c r="D4446" s="46"/>
      <c r="E4446" s="46"/>
      <c r="F4446" s="46"/>
      <c r="G4446" s="79"/>
    </row>
    <row r="4447" spans="2:7" x14ac:dyDescent="0.35">
      <c r="B4447" s="46"/>
      <c r="C4447" s="46"/>
      <c r="D4447" s="46"/>
      <c r="E4447" s="46"/>
      <c r="F4447" s="46"/>
      <c r="G4447" s="79"/>
    </row>
    <row r="4448" spans="2:7" x14ac:dyDescent="0.35">
      <c r="B4448" s="46"/>
      <c r="C4448" s="46"/>
      <c r="D4448" s="46"/>
      <c r="E4448" s="46"/>
      <c r="F4448" s="46"/>
      <c r="G4448" s="79"/>
    </row>
    <row r="4449" spans="2:7" x14ac:dyDescent="0.35">
      <c r="B4449" s="46"/>
      <c r="C4449" s="46"/>
      <c r="D4449" s="46"/>
      <c r="E4449" s="46"/>
      <c r="F4449" s="46"/>
      <c r="G4449" s="79"/>
    </row>
    <row r="4450" spans="2:7" x14ac:dyDescent="0.35">
      <c r="B4450" s="46"/>
      <c r="C4450" s="46"/>
      <c r="D4450" s="46"/>
      <c r="E4450" s="46"/>
      <c r="F4450" s="46"/>
      <c r="G4450" s="79"/>
    </row>
    <row r="4451" spans="2:7" x14ac:dyDescent="0.35">
      <c r="B4451" s="46"/>
      <c r="C4451" s="46"/>
      <c r="D4451" s="46"/>
      <c r="E4451" s="46"/>
      <c r="F4451" s="46"/>
      <c r="G4451" s="79"/>
    </row>
    <row r="4452" spans="2:7" x14ac:dyDescent="0.35">
      <c r="B4452" s="46"/>
      <c r="C4452" s="46"/>
      <c r="D4452" s="46"/>
      <c r="E4452" s="46"/>
      <c r="F4452" s="46"/>
      <c r="G4452" s="79"/>
    </row>
    <row r="4453" spans="2:7" x14ac:dyDescent="0.35">
      <c r="B4453" s="46"/>
      <c r="C4453" s="46"/>
      <c r="D4453" s="46"/>
      <c r="E4453" s="46"/>
      <c r="F4453" s="46"/>
      <c r="G4453" s="79"/>
    </row>
    <row r="4454" spans="2:7" x14ac:dyDescent="0.35">
      <c r="B4454" s="46"/>
      <c r="C4454" s="46"/>
      <c r="D4454" s="46"/>
      <c r="E4454" s="46"/>
      <c r="F4454" s="46"/>
      <c r="G4454" s="79"/>
    </row>
    <row r="4455" spans="2:7" x14ac:dyDescent="0.35">
      <c r="B4455" s="46"/>
      <c r="C4455" s="46"/>
      <c r="D4455" s="46"/>
      <c r="E4455" s="46"/>
      <c r="F4455" s="46"/>
      <c r="G4455" s="79"/>
    </row>
    <row r="4456" spans="2:7" x14ac:dyDescent="0.35">
      <c r="B4456" s="46"/>
      <c r="C4456" s="46"/>
      <c r="D4456" s="46"/>
      <c r="E4456" s="46"/>
      <c r="F4456" s="46"/>
      <c r="G4456" s="79"/>
    </row>
    <row r="4457" spans="2:7" x14ac:dyDescent="0.35">
      <c r="B4457" s="46"/>
      <c r="C4457" s="46"/>
      <c r="D4457" s="46"/>
      <c r="E4457" s="46"/>
      <c r="F4457" s="46"/>
      <c r="G4457" s="79"/>
    </row>
    <row r="4458" spans="2:7" x14ac:dyDescent="0.35">
      <c r="B4458" s="46"/>
      <c r="C4458" s="46"/>
      <c r="D4458" s="46"/>
      <c r="E4458" s="46"/>
      <c r="F4458" s="46"/>
      <c r="G4458" s="79"/>
    </row>
    <row r="4459" spans="2:7" x14ac:dyDescent="0.35">
      <c r="B4459" s="46"/>
      <c r="C4459" s="46"/>
      <c r="D4459" s="46"/>
      <c r="E4459" s="46"/>
      <c r="F4459" s="46"/>
      <c r="G4459" s="79"/>
    </row>
    <row r="4460" spans="2:7" x14ac:dyDescent="0.35">
      <c r="B4460" s="46"/>
      <c r="C4460" s="46"/>
      <c r="D4460" s="46"/>
      <c r="E4460" s="46"/>
      <c r="F4460" s="46"/>
      <c r="G4460" s="79"/>
    </row>
    <row r="4461" spans="2:7" x14ac:dyDescent="0.35">
      <c r="B4461" s="46"/>
      <c r="C4461" s="46"/>
      <c r="D4461" s="46"/>
      <c r="E4461" s="46"/>
      <c r="F4461" s="46"/>
      <c r="G4461" s="79"/>
    </row>
    <row r="4462" spans="2:7" x14ac:dyDescent="0.35">
      <c r="B4462" s="46"/>
      <c r="C4462" s="46"/>
      <c r="D4462" s="46"/>
      <c r="E4462" s="46"/>
      <c r="F4462" s="46"/>
      <c r="G4462" s="79"/>
    </row>
    <row r="4463" spans="2:7" x14ac:dyDescent="0.35">
      <c r="B4463" s="46"/>
      <c r="C4463" s="46"/>
      <c r="D4463" s="46"/>
      <c r="E4463" s="46"/>
      <c r="F4463" s="46"/>
      <c r="G4463" s="79"/>
    </row>
    <row r="4464" spans="2:7" x14ac:dyDescent="0.35">
      <c r="B4464" s="46"/>
      <c r="C4464" s="46"/>
      <c r="D4464" s="46"/>
      <c r="E4464" s="46"/>
      <c r="F4464" s="46"/>
      <c r="G4464" s="79"/>
    </row>
    <row r="4465" spans="2:7" x14ac:dyDescent="0.35">
      <c r="B4465" s="46"/>
      <c r="C4465" s="46"/>
      <c r="D4465" s="46"/>
      <c r="E4465" s="46"/>
      <c r="F4465" s="46"/>
      <c r="G4465" s="79"/>
    </row>
    <row r="4466" spans="2:7" x14ac:dyDescent="0.35">
      <c r="B4466" s="46"/>
      <c r="C4466" s="46"/>
      <c r="D4466" s="46"/>
      <c r="E4466" s="46"/>
      <c r="F4466" s="46"/>
      <c r="G4466" s="79"/>
    </row>
    <row r="4467" spans="2:7" x14ac:dyDescent="0.35">
      <c r="B4467" s="46"/>
      <c r="C4467" s="46"/>
      <c r="D4467" s="46"/>
      <c r="E4467" s="46"/>
      <c r="F4467" s="46"/>
      <c r="G4467" s="79"/>
    </row>
    <row r="4468" spans="2:7" x14ac:dyDescent="0.35">
      <c r="B4468" s="46"/>
      <c r="C4468" s="46"/>
      <c r="D4468" s="46"/>
      <c r="E4468" s="46"/>
      <c r="F4468" s="46"/>
      <c r="G4468" s="79"/>
    </row>
    <row r="4469" spans="2:7" x14ac:dyDescent="0.35">
      <c r="B4469" s="46"/>
      <c r="C4469" s="46"/>
      <c r="D4469" s="46"/>
      <c r="E4469" s="46"/>
      <c r="F4469" s="46"/>
      <c r="G4469" s="79"/>
    </row>
    <row r="4470" spans="2:7" x14ac:dyDescent="0.35">
      <c r="B4470" s="46"/>
      <c r="C4470" s="46"/>
      <c r="D4470" s="46"/>
      <c r="E4470" s="46"/>
      <c r="F4470" s="46"/>
      <c r="G4470" s="79"/>
    </row>
    <row r="4471" spans="2:7" x14ac:dyDescent="0.35">
      <c r="B4471" s="46"/>
      <c r="C4471" s="46"/>
      <c r="D4471" s="46"/>
      <c r="E4471" s="46"/>
      <c r="F4471" s="46"/>
      <c r="G4471" s="79"/>
    </row>
    <row r="4472" spans="2:7" x14ac:dyDescent="0.35">
      <c r="B4472" s="46"/>
      <c r="C4472" s="46"/>
      <c r="D4472" s="46"/>
      <c r="E4472" s="46"/>
      <c r="F4472" s="46"/>
      <c r="G4472" s="79"/>
    </row>
    <row r="4473" spans="2:7" x14ac:dyDescent="0.35">
      <c r="B4473" s="46"/>
      <c r="C4473" s="46"/>
      <c r="D4473" s="46"/>
      <c r="E4473" s="46"/>
      <c r="F4473" s="46"/>
      <c r="G4473" s="79"/>
    </row>
    <row r="4474" spans="2:7" x14ac:dyDescent="0.35">
      <c r="B4474" s="46"/>
      <c r="C4474" s="46"/>
      <c r="D4474" s="46"/>
      <c r="E4474" s="46"/>
      <c r="F4474" s="46"/>
      <c r="G4474" s="79"/>
    </row>
    <row r="4475" spans="2:7" x14ac:dyDescent="0.35">
      <c r="B4475" s="46"/>
      <c r="C4475" s="46"/>
      <c r="D4475" s="46"/>
      <c r="E4475" s="46"/>
      <c r="F4475" s="46"/>
      <c r="G4475" s="79"/>
    </row>
    <row r="4476" spans="2:7" x14ac:dyDescent="0.35">
      <c r="B4476" s="46"/>
      <c r="C4476" s="46"/>
      <c r="D4476" s="46"/>
      <c r="E4476" s="46"/>
      <c r="F4476" s="46"/>
      <c r="G4476" s="79"/>
    </row>
    <row r="4477" spans="2:7" x14ac:dyDescent="0.35">
      <c r="B4477" s="46"/>
      <c r="C4477" s="46"/>
      <c r="D4477" s="46"/>
      <c r="E4477" s="46"/>
      <c r="F4477" s="46"/>
      <c r="G4477" s="79"/>
    </row>
    <row r="4478" spans="2:7" x14ac:dyDescent="0.35">
      <c r="B4478" s="46"/>
      <c r="C4478" s="46"/>
      <c r="D4478" s="46"/>
      <c r="E4478" s="46"/>
      <c r="F4478" s="46"/>
      <c r="G4478" s="79"/>
    </row>
    <row r="4479" spans="2:7" x14ac:dyDescent="0.35">
      <c r="B4479" s="46"/>
      <c r="C4479" s="46"/>
      <c r="D4479" s="46"/>
      <c r="E4479" s="46"/>
      <c r="F4479" s="46"/>
      <c r="G4479" s="79"/>
    </row>
    <row r="4480" spans="2:7" x14ac:dyDescent="0.35">
      <c r="B4480" s="46"/>
      <c r="C4480" s="46"/>
      <c r="D4480" s="46"/>
      <c r="E4480" s="46"/>
      <c r="F4480" s="46"/>
      <c r="G4480" s="79"/>
    </row>
    <row r="4481" spans="2:7" x14ac:dyDescent="0.35">
      <c r="B4481" s="46"/>
      <c r="C4481" s="46"/>
      <c r="D4481" s="46"/>
      <c r="E4481" s="46"/>
      <c r="F4481" s="46"/>
      <c r="G4481" s="79"/>
    </row>
    <row r="4482" spans="2:7" x14ac:dyDescent="0.35">
      <c r="B4482" s="46"/>
      <c r="C4482" s="46"/>
      <c r="D4482" s="46"/>
      <c r="E4482" s="46"/>
      <c r="F4482" s="46"/>
      <c r="G4482" s="79"/>
    </row>
    <row r="4483" spans="2:7" x14ac:dyDescent="0.35">
      <c r="B4483" s="46"/>
      <c r="C4483" s="46"/>
      <c r="D4483" s="46"/>
      <c r="E4483" s="46"/>
      <c r="F4483" s="46"/>
      <c r="G4483" s="79"/>
    </row>
    <row r="4484" spans="2:7" x14ac:dyDescent="0.35">
      <c r="B4484" s="46"/>
      <c r="C4484" s="46"/>
      <c r="D4484" s="46"/>
      <c r="E4484" s="46"/>
      <c r="F4484" s="46"/>
      <c r="G4484" s="79"/>
    </row>
    <row r="4485" spans="2:7" x14ac:dyDescent="0.35">
      <c r="B4485" s="46"/>
      <c r="C4485" s="46"/>
      <c r="D4485" s="46"/>
      <c r="E4485" s="46"/>
      <c r="F4485" s="46"/>
      <c r="G4485" s="79"/>
    </row>
    <row r="4486" spans="2:7" x14ac:dyDescent="0.35">
      <c r="B4486" s="46"/>
      <c r="C4486" s="46"/>
      <c r="D4486" s="46"/>
      <c r="E4486" s="46"/>
      <c r="F4486" s="46"/>
      <c r="G4486" s="79"/>
    </row>
    <row r="4487" spans="2:7" x14ac:dyDescent="0.35">
      <c r="B4487" s="46"/>
      <c r="C4487" s="46"/>
      <c r="D4487" s="46"/>
      <c r="E4487" s="46"/>
      <c r="F4487" s="46"/>
      <c r="G4487" s="79"/>
    </row>
    <row r="4488" spans="2:7" x14ac:dyDescent="0.35">
      <c r="B4488" s="46"/>
      <c r="C4488" s="46"/>
      <c r="D4488" s="46"/>
      <c r="E4488" s="46"/>
      <c r="F4488" s="46"/>
      <c r="G4488" s="79"/>
    </row>
    <row r="4489" spans="2:7" x14ac:dyDescent="0.35">
      <c r="B4489" s="46"/>
      <c r="C4489" s="46"/>
      <c r="D4489" s="46"/>
      <c r="E4489" s="46"/>
      <c r="F4489" s="46"/>
      <c r="G4489" s="79"/>
    </row>
    <row r="4490" spans="2:7" x14ac:dyDescent="0.35">
      <c r="B4490" s="46"/>
      <c r="C4490" s="46"/>
      <c r="D4490" s="46"/>
      <c r="E4490" s="46"/>
      <c r="F4490" s="46"/>
      <c r="G4490" s="79"/>
    </row>
    <row r="4491" spans="2:7" x14ac:dyDescent="0.35">
      <c r="B4491" s="46"/>
      <c r="C4491" s="46"/>
      <c r="D4491" s="46"/>
      <c r="E4491" s="46"/>
      <c r="F4491" s="46"/>
      <c r="G4491" s="79"/>
    </row>
    <row r="4492" spans="2:7" x14ac:dyDescent="0.35">
      <c r="B4492" s="46"/>
      <c r="C4492" s="46"/>
      <c r="D4492" s="46"/>
      <c r="E4492" s="46"/>
      <c r="F4492" s="46"/>
      <c r="G4492" s="79"/>
    </row>
    <row r="4493" spans="2:7" x14ac:dyDescent="0.35">
      <c r="B4493" s="46"/>
      <c r="C4493" s="46"/>
      <c r="D4493" s="46"/>
      <c r="E4493" s="46"/>
      <c r="F4493" s="46"/>
      <c r="G4493" s="79"/>
    </row>
    <row r="4494" spans="2:7" x14ac:dyDescent="0.35">
      <c r="B4494" s="46"/>
      <c r="C4494" s="46"/>
      <c r="D4494" s="46"/>
      <c r="E4494" s="46"/>
      <c r="F4494" s="46"/>
      <c r="G4494" s="79"/>
    </row>
    <row r="4495" spans="2:7" x14ac:dyDescent="0.35">
      <c r="B4495" s="46"/>
      <c r="C4495" s="46"/>
      <c r="D4495" s="46"/>
      <c r="E4495" s="46"/>
      <c r="F4495" s="46"/>
      <c r="G4495" s="79"/>
    </row>
    <row r="4496" spans="2:7" x14ac:dyDescent="0.35">
      <c r="B4496" s="46"/>
      <c r="C4496" s="46"/>
      <c r="D4496" s="46"/>
      <c r="E4496" s="46"/>
      <c r="F4496" s="46"/>
      <c r="G4496" s="79"/>
    </row>
    <row r="4497" spans="2:7" x14ac:dyDescent="0.35">
      <c r="B4497" s="46"/>
      <c r="C4497" s="46"/>
      <c r="D4497" s="46"/>
      <c r="E4497" s="46"/>
      <c r="F4497" s="46"/>
      <c r="G4497" s="79"/>
    </row>
    <row r="4498" spans="2:7" x14ac:dyDescent="0.35">
      <c r="B4498" s="46"/>
      <c r="C4498" s="46"/>
      <c r="D4498" s="46"/>
      <c r="E4498" s="46"/>
      <c r="F4498" s="46"/>
      <c r="G4498" s="79"/>
    </row>
    <row r="4499" spans="2:7" x14ac:dyDescent="0.35">
      <c r="B4499" s="46"/>
      <c r="C4499" s="46"/>
      <c r="D4499" s="46"/>
      <c r="E4499" s="46"/>
      <c r="F4499" s="46"/>
      <c r="G4499" s="79"/>
    </row>
    <row r="4500" spans="2:7" x14ac:dyDescent="0.35">
      <c r="B4500" s="46"/>
      <c r="C4500" s="46"/>
      <c r="D4500" s="46"/>
      <c r="E4500" s="46"/>
      <c r="F4500" s="46"/>
      <c r="G4500" s="79"/>
    </row>
    <row r="4501" spans="2:7" x14ac:dyDescent="0.35">
      <c r="B4501" s="46"/>
      <c r="C4501" s="46"/>
      <c r="D4501" s="46"/>
      <c r="E4501" s="46"/>
      <c r="F4501" s="46"/>
      <c r="G4501" s="79"/>
    </row>
    <row r="4502" spans="2:7" x14ac:dyDescent="0.35">
      <c r="B4502" s="46"/>
      <c r="C4502" s="46"/>
      <c r="D4502" s="46"/>
      <c r="E4502" s="46"/>
      <c r="F4502" s="46"/>
      <c r="G4502" s="79"/>
    </row>
    <row r="4503" spans="2:7" x14ac:dyDescent="0.35">
      <c r="B4503" s="46"/>
      <c r="C4503" s="46"/>
      <c r="D4503" s="46"/>
      <c r="E4503" s="46"/>
      <c r="F4503" s="46"/>
      <c r="G4503" s="79"/>
    </row>
    <row r="4504" spans="2:7" x14ac:dyDescent="0.35">
      <c r="B4504" s="46"/>
      <c r="C4504" s="46"/>
      <c r="D4504" s="46"/>
      <c r="E4504" s="46"/>
      <c r="F4504" s="46"/>
      <c r="G4504" s="79"/>
    </row>
    <row r="4505" spans="2:7" x14ac:dyDescent="0.35">
      <c r="B4505" s="46"/>
      <c r="C4505" s="46"/>
      <c r="D4505" s="46"/>
      <c r="E4505" s="46"/>
      <c r="F4505" s="46"/>
      <c r="G4505" s="79"/>
    </row>
    <row r="4506" spans="2:7" x14ac:dyDescent="0.35">
      <c r="B4506" s="46"/>
      <c r="C4506" s="46"/>
      <c r="D4506" s="46"/>
      <c r="E4506" s="46"/>
      <c r="F4506" s="46"/>
      <c r="G4506" s="79"/>
    </row>
    <row r="4507" spans="2:7" x14ac:dyDescent="0.35">
      <c r="B4507" s="46"/>
      <c r="C4507" s="46"/>
      <c r="D4507" s="46"/>
      <c r="E4507" s="46"/>
      <c r="F4507" s="46"/>
      <c r="G4507" s="79"/>
    </row>
    <row r="4508" spans="2:7" x14ac:dyDescent="0.35">
      <c r="B4508" s="46"/>
      <c r="C4508" s="46"/>
      <c r="D4508" s="46"/>
      <c r="E4508" s="46"/>
      <c r="F4508" s="46"/>
      <c r="G4508" s="79"/>
    </row>
    <row r="4509" spans="2:7" x14ac:dyDescent="0.35">
      <c r="B4509" s="46"/>
      <c r="C4509" s="46"/>
      <c r="D4509" s="46"/>
      <c r="E4509" s="46"/>
      <c r="F4509" s="46"/>
      <c r="G4509" s="79"/>
    </row>
    <row r="4510" spans="2:7" x14ac:dyDescent="0.35">
      <c r="B4510" s="46"/>
      <c r="C4510" s="46"/>
      <c r="D4510" s="46"/>
      <c r="E4510" s="46"/>
      <c r="F4510" s="46"/>
      <c r="G4510" s="79"/>
    </row>
    <row r="4511" spans="2:7" x14ac:dyDescent="0.35">
      <c r="B4511" s="46"/>
      <c r="C4511" s="46"/>
      <c r="D4511" s="46"/>
      <c r="E4511" s="46"/>
      <c r="F4511" s="46"/>
      <c r="G4511" s="79"/>
    </row>
    <row r="4512" spans="2:7" x14ac:dyDescent="0.35">
      <c r="B4512" s="46"/>
      <c r="C4512" s="46"/>
      <c r="D4512" s="46"/>
      <c r="E4512" s="46"/>
      <c r="F4512" s="46"/>
      <c r="G4512" s="79"/>
    </row>
    <row r="4513" spans="2:7" x14ac:dyDescent="0.35">
      <c r="B4513" s="46"/>
      <c r="C4513" s="46"/>
      <c r="D4513" s="46"/>
      <c r="E4513" s="46"/>
      <c r="F4513" s="46"/>
      <c r="G4513" s="79"/>
    </row>
    <row r="4514" spans="2:7" x14ac:dyDescent="0.35">
      <c r="B4514" s="46"/>
      <c r="C4514" s="46"/>
      <c r="D4514" s="46"/>
      <c r="E4514" s="46"/>
      <c r="F4514" s="46"/>
      <c r="G4514" s="79"/>
    </row>
    <row r="4515" spans="2:7" x14ac:dyDescent="0.35">
      <c r="B4515" s="46"/>
      <c r="C4515" s="46"/>
      <c r="D4515" s="46"/>
      <c r="E4515" s="46"/>
      <c r="F4515" s="46"/>
      <c r="G4515" s="79"/>
    </row>
    <row r="4516" spans="2:7" x14ac:dyDescent="0.35">
      <c r="B4516" s="46"/>
      <c r="C4516" s="46"/>
      <c r="D4516" s="46"/>
      <c r="E4516" s="46"/>
      <c r="F4516" s="46"/>
      <c r="G4516" s="79"/>
    </row>
    <row r="4517" spans="2:7" x14ac:dyDescent="0.35">
      <c r="B4517" s="46"/>
      <c r="C4517" s="46"/>
      <c r="D4517" s="46"/>
      <c r="E4517" s="46"/>
      <c r="F4517" s="46"/>
      <c r="G4517" s="79"/>
    </row>
    <row r="4518" spans="2:7" x14ac:dyDescent="0.35">
      <c r="B4518" s="46"/>
      <c r="C4518" s="46"/>
      <c r="D4518" s="46"/>
      <c r="E4518" s="46"/>
      <c r="F4518" s="46"/>
      <c r="G4518" s="79"/>
    </row>
    <row r="4519" spans="2:7" x14ac:dyDescent="0.35">
      <c r="B4519" s="46"/>
      <c r="C4519" s="46"/>
      <c r="D4519" s="46"/>
      <c r="E4519" s="46"/>
      <c r="F4519" s="46"/>
      <c r="G4519" s="79"/>
    </row>
    <row r="4520" spans="2:7" x14ac:dyDescent="0.35">
      <c r="B4520" s="46"/>
      <c r="C4520" s="46"/>
      <c r="D4520" s="46"/>
      <c r="E4520" s="46"/>
      <c r="F4520" s="46"/>
      <c r="G4520" s="79"/>
    </row>
    <row r="4521" spans="2:7" x14ac:dyDescent="0.35">
      <c r="B4521" s="46"/>
      <c r="C4521" s="46"/>
      <c r="D4521" s="46"/>
      <c r="E4521" s="46"/>
      <c r="F4521" s="46"/>
      <c r="G4521" s="79"/>
    </row>
    <row r="4522" spans="2:7" x14ac:dyDescent="0.35">
      <c r="B4522" s="46"/>
      <c r="C4522" s="46"/>
      <c r="D4522" s="46"/>
      <c r="E4522" s="46"/>
      <c r="F4522" s="46"/>
      <c r="G4522" s="79"/>
    </row>
    <row r="4523" spans="2:7" x14ac:dyDescent="0.35">
      <c r="B4523" s="46"/>
      <c r="C4523" s="46"/>
      <c r="D4523" s="46"/>
      <c r="E4523" s="46"/>
      <c r="F4523" s="46"/>
      <c r="G4523" s="79"/>
    </row>
    <row r="4524" spans="2:7" x14ac:dyDescent="0.35">
      <c r="B4524" s="46"/>
      <c r="C4524" s="46"/>
      <c r="D4524" s="46"/>
      <c r="E4524" s="46"/>
      <c r="F4524" s="46"/>
      <c r="G4524" s="79"/>
    </row>
    <row r="4525" spans="2:7" x14ac:dyDescent="0.35">
      <c r="B4525" s="46"/>
      <c r="C4525" s="46"/>
      <c r="D4525" s="46"/>
      <c r="E4525" s="46"/>
      <c r="F4525" s="46"/>
      <c r="G4525" s="79"/>
    </row>
    <row r="4526" spans="2:7" x14ac:dyDescent="0.35">
      <c r="B4526" s="46"/>
      <c r="C4526" s="46"/>
      <c r="D4526" s="46"/>
      <c r="E4526" s="46"/>
      <c r="F4526" s="46"/>
      <c r="G4526" s="79"/>
    </row>
    <row r="4527" spans="2:7" x14ac:dyDescent="0.35">
      <c r="B4527" s="46"/>
      <c r="C4527" s="46"/>
      <c r="D4527" s="46"/>
      <c r="E4527" s="46"/>
      <c r="F4527" s="46"/>
      <c r="G4527" s="79"/>
    </row>
    <row r="4528" spans="2:7" x14ac:dyDescent="0.35">
      <c r="B4528" s="46"/>
      <c r="C4528" s="46"/>
      <c r="D4528" s="46"/>
      <c r="E4528" s="46"/>
      <c r="F4528" s="46"/>
      <c r="G4528" s="79"/>
    </row>
    <row r="4529" spans="2:7" x14ac:dyDescent="0.35">
      <c r="B4529" s="46"/>
      <c r="C4529" s="46"/>
      <c r="D4529" s="46"/>
      <c r="E4529" s="46"/>
      <c r="F4529" s="46"/>
      <c r="G4529" s="79"/>
    </row>
    <row r="4530" spans="2:7" x14ac:dyDescent="0.35">
      <c r="B4530" s="46"/>
      <c r="C4530" s="46"/>
      <c r="D4530" s="46"/>
      <c r="E4530" s="46"/>
      <c r="F4530" s="46"/>
      <c r="G4530" s="79"/>
    </row>
    <row r="4531" spans="2:7" x14ac:dyDescent="0.35">
      <c r="B4531" s="46"/>
      <c r="C4531" s="46"/>
      <c r="D4531" s="46"/>
      <c r="E4531" s="46"/>
      <c r="F4531" s="46"/>
      <c r="G4531" s="79"/>
    </row>
    <row r="4532" spans="2:7" x14ac:dyDescent="0.35">
      <c r="B4532" s="46"/>
      <c r="C4532" s="46"/>
      <c r="D4532" s="46"/>
      <c r="E4532" s="46"/>
      <c r="F4532" s="46"/>
      <c r="G4532" s="79"/>
    </row>
    <row r="4533" spans="2:7" x14ac:dyDescent="0.35">
      <c r="B4533" s="46"/>
      <c r="C4533" s="46"/>
      <c r="D4533" s="46"/>
      <c r="E4533" s="46"/>
      <c r="F4533" s="46"/>
      <c r="G4533" s="79"/>
    </row>
    <row r="4534" spans="2:7" x14ac:dyDescent="0.35">
      <c r="B4534" s="46"/>
      <c r="C4534" s="46"/>
      <c r="D4534" s="46"/>
      <c r="E4534" s="46"/>
      <c r="F4534" s="46"/>
      <c r="G4534" s="79"/>
    </row>
    <row r="4535" spans="2:7" x14ac:dyDescent="0.35">
      <c r="B4535" s="46"/>
      <c r="C4535" s="46"/>
      <c r="D4535" s="46"/>
      <c r="E4535" s="46"/>
      <c r="F4535" s="46"/>
      <c r="G4535" s="79"/>
    </row>
    <row r="4536" spans="2:7" x14ac:dyDescent="0.35">
      <c r="B4536" s="46"/>
      <c r="C4536" s="46"/>
      <c r="D4536" s="46"/>
      <c r="E4536" s="46"/>
      <c r="F4536" s="46"/>
      <c r="G4536" s="79"/>
    </row>
    <row r="4537" spans="2:7" x14ac:dyDescent="0.35">
      <c r="B4537" s="46"/>
      <c r="C4537" s="46"/>
      <c r="D4537" s="46"/>
      <c r="E4537" s="46"/>
      <c r="F4537" s="46"/>
      <c r="G4537" s="79"/>
    </row>
    <row r="4538" spans="2:7" x14ac:dyDescent="0.35">
      <c r="B4538" s="46"/>
      <c r="C4538" s="46"/>
      <c r="D4538" s="46"/>
      <c r="E4538" s="46"/>
      <c r="F4538" s="46"/>
      <c r="G4538" s="79"/>
    </row>
    <row r="4539" spans="2:7" x14ac:dyDescent="0.35">
      <c r="B4539" s="46"/>
      <c r="C4539" s="46"/>
      <c r="D4539" s="46"/>
      <c r="E4539" s="46"/>
      <c r="F4539" s="46"/>
      <c r="G4539" s="79"/>
    </row>
    <row r="4540" spans="2:7" x14ac:dyDescent="0.35">
      <c r="B4540" s="46"/>
      <c r="C4540" s="46"/>
      <c r="D4540" s="46"/>
      <c r="E4540" s="46"/>
      <c r="F4540" s="46"/>
      <c r="G4540" s="79"/>
    </row>
    <row r="4541" spans="2:7" x14ac:dyDescent="0.35">
      <c r="B4541" s="46"/>
      <c r="C4541" s="46"/>
      <c r="D4541" s="46"/>
      <c r="E4541" s="46"/>
      <c r="F4541" s="46"/>
      <c r="G4541" s="79"/>
    </row>
    <row r="4542" spans="2:7" x14ac:dyDescent="0.35">
      <c r="B4542" s="46"/>
      <c r="C4542" s="46"/>
      <c r="D4542" s="46"/>
      <c r="E4542" s="46"/>
      <c r="F4542" s="46"/>
      <c r="G4542" s="79"/>
    </row>
    <row r="4543" spans="2:7" x14ac:dyDescent="0.35">
      <c r="B4543" s="46"/>
      <c r="C4543" s="46"/>
      <c r="D4543" s="46"/>
      <c r="E4543" s="46"/>
      <c r="F4543" s="46"/>
      <c r="G4543" s="79"/>
    </row>
    <row r="4544" spans="2:7" x14ac:dyDescent="0.35">
      <c r="B4544" s="46"/>
      <c r="C4544" s="46"/>
      <c r="D4544" s="46"/>
      <c r="E4544" s="46"/>
      <c r="F4544" s="46"/>
      <c r="G4544" s="79"/>
    </row>
    <row r="4545" spans="2:7" x14ac:dyDescent="0.35">
      <c r="B4545" s="46"/>
      <c r="C4545" s="46"/>
      <c r="D4545" s="46"/>
      <c r="E4545" s="46"/>
      <c r="F4545" s="46"/>
      <c r="G4545" s="79"/>
    </row>
    <row r="4546" spans="2:7" x14ac:dyDescent="0.35">
      <c r="B4546" s="46"/>
      <c r="C4546" s="46"/>
      <c r="D4546" s="46"/>
      <c r="E4546" s="46"/>
      <c r="F4546" s="46"/>
      <c r="G4546" s="79"/>
    </row>
    <row r="4547" spans="2:7" x14ac:dyDescent="0.35">
      <c r="B4547" s="46"/>
      <c r="C4547" s="46"/>
      <c r="D4547" s="46"/>
      <c r="E4547" s="46"/>
      <c r="F4547" s="46"/>
      <c r="G4547" s="79"/>
    </row>
    <row r="4548" spans="2:7" x14ac:dyDescent="0.35">
      <c r="B4548" s="46"/>
      <c r="C4548" s="46"/>
      <c r="D4548" s="46"/>
      <c r="E4548" s="46"/>
      <c r="F4548" s="46"/>
      <c r="G4548" s="79"/>
    </row>
    <row r="4549" spans="2:7" x14ac:dyDescent="0.35">
      <c r="B4549" s="46"/>
      <c r="C4549" s="46"/>
      <c r="D4549" s="46"/>
      <c r="E4549" s="46"/>
      <c r="F4549" s="46"/>
      <c r="G4549" s="79"/>
    </row>
    <row r="4550" spans="2:7" x14ac:dyDescent="0.35">
      <c r="B4550" s="46"/>
      <c r="C4550" s="46"/>
      <c r="D4550" s="46"/>
      <c r="E4550" s="46"/>
      <c r="F4550" s="46"/>
      <c r="G4550" s="79"/>
    </row>
    <row r="4551" spans="2:7" x14ac:dyDescent="0.35">
      <c r="B4551" s="46"/>
      <c r="C4551" s="46"/>
      <c r="D4551" s="46"/>
      <c r="E4551" s="46"/>
      <c r="F4551" s="46"/>
      <c r="G4551" s="79"/>
    </row>
    <row r="4552" spans="2:7" x14ac:dyDescent="0.35">
      <c r="B4552" s="46"/>
      <c r="C4552" s="46"/>
      <c r="D4552" s="46"/>
      <c r="E4552" s="46"/>
      <c r="F4552" s="46"/>
      <c r="G4552" s="79"/>
    </row>
    <row r="4553" spans="2:7" x14ac:dyDescent="0.35">
      <c r="B4553" s="46"/>
      <c r="C4553" s="46"/>
      <c r="D4553" s="46"/>
      <c r="E4553" s="46"/>
      <c r="F4553" s="46"/>
      <c r="G4553" s="79"/>
    </row>
    <row r="4554" spans="2:7" x14ac:dyDescent="0.35">
      <c r="B4554" s="46"/>
      <c r="C4554" s="46"/>
      <c r="D4554" s="46"/>
      <c r="E4554" s="46"/>
      <c r="F4554" s="46"/>
      <c r="G4554" s="79"/>
    </row>
    <row r="4555" spans="2:7" x14ac:dyDescent="0.35">
      <c r="B4555" s="46"/>
      <c r="C4555" s="46"/>
      <c r="D4555" s="46"/>
      <c r="E4555" s="46"/>
      <c r="F4555" s="46"/>
      <c r="G4555" s="79"/>
    </row>
    <row r="4556" spans="2:7" x14ac:dyDescent="0.35">
      <c r="B4556" s="46"/>
      <c r="C4556" s="46"/>
      <c r="D4556" s="46"/>
      <c r="E4556" s="46"/>
      <c r="F4556" s="46"/>
      <c r="G4556" s="79"/>
    </row>
    <row r="4557" spans="2:7" x14ac:dyDescent="0.35">
      <c r="B4557" s="46"/>
      <c r="C4557" s="46"/>
      <c r="D4557" s="46"/>
      <c r="E4557" s="46"/>
      <c r="F4557" s="46"/>
      <c r="G4557" s="79"/>
    </row>
    <row r="4558" spans="2:7" x14ac:dyDescent="0.35">
      <c r="B4558" s="46"/>
      <c r="C4558" s="46"/>
      <c r="D4558" s="46"/>
      <c r="E4558" s="46"/>
      <c r="F4558" s="46"/>
      <c r="G4558" s="79"/>
    </row>
    <row r="4559" spans="2:7" x14ac:dyDescent="0.35">
      <c r="B4559" s="46"/>
      <c r="C4559" s="46"/>
      <c r="D4559" s="46"/>
      <c r="E4559" s="46"/>
      <c r="F4559" s="46"/>
      <c r="G4559" s="79"/>
    </row>
    <row r="4560" spans="2:7" x14ac:dyDescent="0.35">
      <c r="B4560" s="46"/>
      <c r="C4560" s="46"/>
      <c r="D4560" s="46"/>
      <c r="E4560" s="46"/>
      <c r="F4560" s="46"/>
      <c r="G4560" s="79"/>
    </row>
    <row r="4561" spans="2:7" x14ac:dyDescent="0.35">
      <c r="B4561" s="46"/>
      <c r="C4561" s="46"/>
      <c r="D4561" s="46"/>
      <c r="E4561" s="46"/>
      <c r="F4561" s="46"/>
      <c r="G4561" s="79"/>
    </row>
    <row r="4562" spans="2:7" x14ac:dyDescent="0.35">
      <c r="B4562" s="46"/>
      <c r="C4562" s="46"/>
      <c r="D4562" s="46"/>
      <c r="E4562" s="46"/>
      <c r="F4562" s="46"/>
      <c r="G4562" s="79"/>
    </row>
    <row r="4563" spans="2:7" x14ac:dyDescent="0.35">
      <c r="B4563" s="46"/>
      <c r="C4563" s="46"/>
      <c r="D4563" s="46"/>
      <c r="E4563" s="46"/>
      <c r="F4563" s="46"/>
      <c r="G4563" s="79"/>
    </row>
    <row r="4564" spans="2:7" x14ac:dyDescent="0.35">
      <c r="B4564" s="46"/>
      <c r="C4564" s="46"/>
      <c r="D4564" s="46"/>
      <c r="E4564" s="46"/>
      <c r="F4564" s="46"/>
      <c r="G4564" s="79"/>
    </row>
    <row r="4565" spans="2:7" x14ac:dyDescent="0.35">
      <c r="B4565" s="46"/>
      <c r="C4565" s="46"/>
      <c r="D4565" s="46"/>
      <c r="E4565" s="46"/>
      <c r="F4565" s="46"/>
      <c r="G4565" s="79"/>
    </row>
    <row r="4566" spans="2:7" x14ac:dyDescent="0.35">
      <c r="B4566" s="46"/>
      <c r="C4566" s="46"/>
      <c r="D4566" s="46"/>
      <c r="E4566" s="46"/>
      <c r="F4566" s="46"/>
      <c r="G4566" s="79"/>
    </row>
    <row r="4567" spans="2:7" x14ac:dyDescent="0.35">
      <c r="B4567" s="46"/>
      <c r="C4567" s="46"/>
      <c r="D4567" s="46"/>
      <c r="E4567" s="46"/>
      <c r="F4567" s="46"/>
      <c r="G4567" s="79"/>
    </row>
    <row r="4568" spans="2:7" x14ac:dyDescent="0.35">
      <c r="B4568" s="46"/>
      <c r="C4568" s="46"/>
      <c r="D4568" s="46"/>
      <c r="E4568" s="46"/>
      <c r="F4568" s="46"/>
      <c r="G4568" s="79"/>
    </row>
    <row r="4569" spans="2:7" x14ac:dyDescent="0.35">
      <c r="B4569" s="46"/>
      <c r="C4569" s="46"/>
      <c r="D4569" s="46"/>
      <c r="E4569" s="46"/>
      <c r="F4569" s="46"/>
      <c r="G4569" s="79"/>
    </row>
    <row r="4570" spans="2:7" x14ac:dyDescent="0.35">
      <c r="B4570" s="46"/>
      <c r="C4570" s="46"/>
      <c r="D4570" s="46"/>
      <c r="E4570" s="46"/>
      <c r="F4570" s="46"/>
      <c r="G4570" s="79"/>
    </row>
    <row r="4571" spans="2:7" x14ac:dyDescent="0.35">
      <c r="B4571" s="46"/>
      <c r="C4571" s="46"/>
      <c r="D4571" s="46"/>
      <c r="E4571" s="46"/>
      <c r="F4571" s="46"/>
      <c r="G4571" s="79"/>
    </row>
    <row r="4572" spans="2:7" x14ac:dyDescent="0.35">
      <c r="B4572" s="46"/>
      <c r="C4572" s="46"/>
      <c r="D4572" s="46"/>
      <c r="E4572" s="46"/>
      <c r="F4572" s="46"/>
      <c r="G4572" s="79"/>
    </row>
    <row r="4573" spans="2:7" x14ac:dyDescent="0.35">
      <c r="B4573" s="46"/>
      <c r="C4573" s="46"/>
      <c r="D4573" s="46"/>
      <c r="E4573" s="46"/>
      <c r="F4573" s="46"/>
      <c r="G4573" s="79"/>
    </row>
    <row r="4574" spans="2:7" x14ac:dyDescent="0.35">
      <c r="B4574" s="46"/>
      <c r="C4574" s="46"/>
      <c r="D4574" s="46"/>
      <c r="E4574" s="46"/>
      <c r="F4574" s="46"/>
      <c r="G4574" s="79"/>
    </row>
    <row r="4575" spans="2:7" x14ac:dyDescent="0.35">
      <c r="B4575" s="46"/>
      <c r="C4575" s="46"/>
      <c r="D4575" s="46"/>
      <c r="E4575" s="46"/>
      <c r="F4575" s="46"/>
      <c r="G4575" s="79"/>
    </row>
    <row r="4576" spans="2:7" x14ac:dyDescent="0.35">
      <c r="B4576" s="46"/>
      <c r="C4576" s="46"/>
      <c r="D4576" s="46"/>
      <c r="E4576" s="46"/>
      <c r="F4576" s="46"/>
      <c r="G4576" s="79"/>
    </row>
    <row r="4577" spans="2:7" x14ac:dyDescent="0.35">
      <c r="B4577" s="46"/>
      <c r="C4577" s="46"/>
      <c r="D4577" s="46"/>
      <c r="E4577" s="46"/>
      <c r="F4577" s="46"/>
      <c r="G4577" s="79"/>
    </row>
    <row r="4578" spans="2:7" x14ac:dyDescent="0.35">
      <c r="B4578" s="46"/>
      <c r="C4578" s="46"/>
      <c r="D4578" s="46"/>
      <c r="E4578" s="46"/>
      <c r="F4578" s="46"/>
      <c r="G4578" s="79"/>
    </row>
    <row r="4579" spans="2:7" x14ac:dyDescent="0.35">
      <c r="B4579" s="46"/>
      <c r="C4579" s="46"/>
      <c r="D4579" s="46"/>
      <c r="E4579" s="46"/>
      <c r="F4579" s="46"/>
      <c r="G4579" s="79"/>
    </row>
    <row r="4580" spans="2:7" x14ac:dyDescent="0.35">
      <c r="B4580" s="46"/>
      <c r="C4580" s="46"/>
      <c r="D4580" s="46"/>
      <c r="E4580" s="46"/>
      <c r="F4580" s="46"/>
      <c r="G4580" s="79"/>
    </row>
    <row r="4581" spans="2:7" x14ac:dyDescent="0.35">
      <c r="B4581" s="46"/>
      <c r="C4581" s="46"/>
      <c r="D4581" s="46"/>
      <c r="E4581" s="46"/>
      <c r="F4581" s="46"/>
      <c r="G4581" s="79"/>
    </row>
    <row r="4582" spans="2:7" x14ac:dyDescent="0.35">
      <c r="B4582" s="46"/>
      <c r="C4582" s="46"/>
      <c r="D4582" s="46"/>
      <c r="E4582" s="46"/>
      <c r="F4582" s="46"/>
      <c r="G4582" s="79"/>
    </row>
    <row r="4583" spans="2:7" x14ac:dyDescent="0.35">
      <c r="B4583" s="46"/>
      <c r="C4583" s="46"/>
      <c r="D4583" s="46"/>
      <c r="E4583" s="46"/>
      <c r="F4583" s="46"/>
      <c r="G4583" s="79"/>
    </row>
    <row r="4584" spans="2:7" x14ac:dyDescent="0.35">
      <c r="B4584" s="46"/>
      <c r="C4584" s="46"/>
      <c r="D4584" s="46"/>
      <c r="E4584" s="46"/>
      <c r="F4584" s="46"/>
      <c r="G4584" s="79"/>
    </row>
    <row r="4585" spans="2:7" x14ac:dyDescent="0.35">
      <c r="B4585" s="46"/>
      <c r="C4585" s="46"/>
      <c r="D4585" s="46"/>
      <c r="E4585" s="46"/>
      <c r="F4585" s="46"/>
      <c r="G4585" s="79"/>
    </row>
    <row r="4586" spans="2:7" x14ac:dyDescent="0.35">
      <c r="B4586" s="46"/>
      <c r="C4586" s="46"/>
      <c r="D4586" s="46"/>
      <c r="E4586" s="46"/>
      <c r="F4586" s="46"/>
      <c r="G4586" s="79"/>
    </row>
    <row r="4587" spans="2:7" x14ac:dyDescent="0.35">
      <c r="B4587" s="46"/>
      <c r="C4587" s="46"/>
      <c r="D4587" s="46"/>
      <c r="E4587" s="46"/>
      <c r="F4587" s="46"/>
      <c r="G4587" s="79"/>
    </row>
    <row r="4588" spans="2:7" x14ac:dyDescent="0.35">
      <c r="B4588" s="46"/>
      <c r="C4588" s="46"/>
      <c r="D4588" s="46"/>
      <c r="E4588" s="46"/>
      <c r="F4588" s="46"/>
      <c r="G4588" s="79"/>
    </row>
    <row r="4589" spans="2:7" x14ac:dyDescent="0.35">
      <c r="B4589" s="46"/>
      <c r="C4589" s="46"/>
      <c r="D4589" s="46"/>
      <c r="E4589" s="46"/>
      <c r="F4589" s="46"/>
      <c r="G4589" s="79"/>
    </row>
    <row r="4590" spans="2:7" x14ac:dyDescent="0.35">
      <c r="B4590" s="46"/>
      <c r="C4590" s="46"/>
      <c r="D4590" s="46"/>
      <c r="E4590" s="46"/>
      <c r="F4590" s="46"/>
      <c r="G4590" s="79"/>
    </row>
    <row r="4591" spans="2:7" x14ac:dyDescent="0.35">
      <c r="B4591" s="46"/>
      <c r="C4591" s="46"/>
      <c r="D4591" s="46"/>
      <c r="E4591" s="46"/>
      <c r="F4591" s="46"/>
      <c r="G4591" s="79"/>
    </row>
    <row r="4592" spans="2:7" x14ac:dyDescent="0.35">
      <c r="B4592" s="46"/>
      <c r="C4592" s="46"/>
      <c r="D4592" s="46"/>
      <c r="E4592" s="46"/>
      <c r="F4592" s="46"/>
      <c r="G4592" s="79"/>
    </row>
    <row r="4593" spans="2:7" x14ac:dyDescent="0.35">
      <c r="B4593" s="46"/>
      <c r="C4593" s="46"/>
      <c r="D4593" s="46"/>
      <c r="E4593" s="46"/>
      <c r="F4593" s="46"/>
      <c r="G4593" s="79"/>
    </row>
    <row r="4594" spans="2:7" x14ac:dyDescent="0.35">
      <c r="B4594" s="46"/>
      <c r="C4594" s="46"/>
      <c r="D4594" s="46"/>
      <c r="E4594" s="46"/>
      <c r="F4594" s="46"/>
      <c r="G4594" s="79"/>
    </row>
    <row r="4595" spans="2:7" x14ac:dyDescent="0.35">
      <c r="B4595" s="46"/>
      <c r="C4595" s="46"/>
      <c r="D4595" s="46"/>
      <c r="E4595" s="46"/>
      <c r="F4595" s="46"/>
      <c r="G4595" s="79"/>
    </row>
    <row r="4596" spans="2:7" x14ac:dyDescent="0.35">
      <c r="B4596" s="46"/>
      <c r="C4596" s="46"/>
      <c r="D4596" s="46"/>
      <c r="E4596" s="46"/>
      <c r="F4596" s="46"/>
      <c r="G4596" s="79"/>
    </row>
    <row r="4597" spans="2:7" x14ac:dyDescent="0.35">
      <c r="B4597" s="46"/>
      <c r="C4597" s="46"/>
      <c r="D4597" s="46"/>
      <c r="E4597" s="46"/>
      <c r="F4597" s="46"/>
      <c r="G4597" s="79"/>
    </row>
    <row r="4598" spans="2:7" x14ac:dyDescent="0.35">
      <c r="B4598" s="46"/>
      <c r="C4598" s="46"/>
      <c r="D4598" s="46"/>
      <c r="E4598" s="46"/>
      <c r="F4598" s="46"/>
      <c r="G4598" s="79"/>
    </row>
    <row r="4599" spans="2:7" x14ac:dyDescent="0.35">
      <c r="B4599" s="46"/>
      <c r="C4599" s="46"/>
      <c r="D4599" s="46"/>
      <c r="E4599" s="46"/>
      <c r="F4599" s="46"/>
      <c r="G4599" s="79"/>
    </row>
    <row r="4600" spans="2:7" x14ac:dyDescent="0.35">
      <c r="B4600" s="46"/>
      <c r="C4600" s="46"/>
      <c r="D4600" s="46"/>
      <c r="E4600" s="46"/>
      <c r="F4600" s="46"/>
      <c r="G4600" s="79"/>
    </row>
    <row r="4601" spans="2:7" x14ac:dyDescent="0.35">
      <c r="B4601" s="46"/>
      <c r="C4601" s="46"/>
      <c r="D4601" s="46"/>
      <c r="E4601" s="46"/>
      <c r="F4601" s="46"/>
      <c r="G4601" s="79"/>
    </row>
    <row r="4602" spans="2:7" x14ac:dyDescent="0.35">
      <c r="B4602" s="46"/>
      <c r="C4602" s="46"/>
      <c r="D4602" s="46"/>
      <c r="E4602" s="46"/>
      <c r="F4602" s="46"/>
      <c r="G4602" s="79"/>
    </row>
    <row r="4603" spans="2:7" x14ac:dyDescent="0.35">
      <c r="B4603" s="46"/>
      <c r="C4603" s="46"/>
      <c r="D4603" s="46"/>
      <c r="E4603" s="46"/>
      <c r="F4603" s="46"/>
      <c r="G4603" s="79"/>
    </row>
    <row r="4604" spans="2:7" x14ac:dyDescent="0.35">
      <c r="B4604" s="46"/>
      <c r="C4604" s="46"/>
      <c r="D4604" s="46"/>
      <c r="E4604" s="46"/>
      <c r="F4604" s="46"/>
      <c r="G4604" s="79"/>
    </row>
    <row r="4605" spans="2:7" x14ac:dyDescent="0.35">
      <c r="B4605" s="46"/>
      <c r="C4605" s="46"/>
      <c r="D4605" s="46"/>
      <c r="E4605" s="46"/>
      <c r="F4605" s="46"/>
      <c r="G4605" s="79"/>
    </row>
    <row r="4606" spans="2:7" x14ac:dyDescent="0.35">
      <c r="B4606" s="46"/>
      <c r="C4606" s="46"/>
      <c r="D4606" s="46"/>
      <c r="E4606" s="46"/>
      <c r="F4606" s="46"/>
      <c r="G4606" s="79"/>
    </row>
    <row r="4607" spans="2:7" x14ac:dyDescent="0.35">
      <c r="B4607" s="46"/>
      <c r="C4607" s="46"/>
      <c r="D4607" s="46"/>
      <c r="E4607" s="46"/>
      <c r="F4607" s="46"/>
      <c r="G4607" s="79"/>
    </row>
    <row r="4608" spans="2:7" x14ac:dyDescent="0.35">
      <c r="B4608" s="46"/>
      <c r="C4608" s="46"/>
      <c r="D4608" s="46"/>
      <c r="E4608" s="46"/>
      <c r="F4608" s="46"/>
      <c r="G4608" s="79"/>
    </row>
    <row r="4609" spans="2:7" x14ac:dyDescent="0.35">
      <c r="B4609" s="46"/>
      <c r="C4609" s="46"/>
      <c r="D4609" s="46"/>
      <c r="E4609" s="46"/>
      <c r="F4609" s="46"/>
      <c r="G4609" s="79"/>
    </row>
    <row r="4610" spans="2:7" x14ac:dyDescent="0.35">
      <c r="B4610" s="46"/>
      <c r="C4610" s="46"/>
      <c r="D4610" s="46"/>
      <c r="E4610" s="46"/>
      <c r="F4610" s="46"/>
      <c r="G4610" s="79"/>
    </row>
    <row r="4611" spans="2:7" x14ac:dyDescent="0.35">
      <c r="B4611" s="46"/>
      <c r="C4611" s="46"/>
      <c r="D4611" s="46"/>
      <c r="E4611" s="46"/>
      <c r="F4611" s="46"/>
      <c r="G4611" s="79"/>
    </row>
    <row r="4612" spans="2:7" x14ac:dyDescent="0.35">
      <c r="B4612" s="46"/>
      <c r="C4612" s="46"/>
      <c r="D4612" s="46"/>
      <c r="E4612" s="46"/>
      <c r="F4612" s="46"/>
      <c r="G4612" s="79"/>
    </row>
    <row r="4613" spans="2:7" x14ac:dyDescent="0.35">
      <c r="B4613" s="46"/>
      <c r="C4613" s="46"/>
      <c r="D4613" s="46"/>
      <c r="E4613" s="46"/>
      <c r="F4613" s="46"/>
      <c r="G4613" s="79"/>
    </row>
    <row r="4614" spans="2:7" x14ac:dyDescent="0.35">
      <c r="B4614" s="46"/>
      <c r="C4614" s="46"/>
      <c r="D4614" s="46"/>
      <c r="E4614" s="46"/>
      <c r="F4614" s="46"/>
      <c r="G4614" s="79"/>
    </row>
    <row r="4615" spans="2:7" x14ac:dyDescent="0.35">
      <c r="B4615" s="46"/>
      <c r="C4615" s="46"/>
      <c r="D4615" s="46"/>
      <c r="E4615" s="46"/>
      <c r="F4615" s="46"/>
      <c r="G4615" s="79"/>
    </row>
    <row r="4616" spans="2:7" x14ac:dyDescent="0.35">
      <c r="B4616" s="46"/>
      <c r="C4616" s="46"/>
      <c r="D4616" s="46"/>
      <c r="E4616" s="46"/>
      <c r="F4616" s="46"/>
      <c r="G4616" s="79"/>
    </row>
    <row r="4617" spans="2:7" x14ac:dyDescent="0.35">
      <c r="B4617" s="46"/>
      <c r="C4617" s="46"/>
      <c r="D4617" s="46"/>
      <c r="E4617" s="46"/>
      <c r="F4617" s="46"/>
      <c r="G4617" s="79"/>
    </row>
    <row r="4618" spans="2:7" x14ac:dyDescent="0.35">
      <c r="B4618" s="46"/>
      <c r="C4618" s="46"/>
      <c r="D4618" s="46"/>
      <c r="E4618" s="46"/>
      <c r="F4618" s="46"/>
      <c r="G4618" s="79"/>
    </row>
    <row r="4619" spans="2:7" x14ac:dyDescent="0.35">
      <c r="B4619" s="46"/>
      <c r="C4619" s="46"/>
      <c r="D4619" s="46"/>
      <c r="E4619" s="46"/>
      <c r="F4619" s="46"/>
      <c r="G4619" s="79"/>
    </row>
    <row r="4620" spans="2:7" x14ac:dyDescent="0.35">
      <c r="B4620" s="46"/>
      <c r="C4620" s="46"/>
      <c r="D4620" s="46"/>
      <c r="E4620" s="46"/>
      <c r="F4620" s="46"/>
      <c r="G4620" s="79"/>
    </row>
    <row r="4621" spans="2:7" x14ac:dyDescent="0.35">
      <c r="B4621" s="46"/>
      <c r="C4621" s="46"/>
      <c r="D4621" s="46"/>
      <c r="E4621" s="46"/>
      <c r="F4621" s="46"/>
      <c r="G4621" s="79"/>
    </row>
    <row r="4622" spans="2:7" x14ac:dyDescent="0.35">
      <c r="B4622" s="46"/>
      <c r="C4622" s="46"/>
      <c r="D4622" s="46"/>
      <c r="E4622" s="46"/>
      <c r="F4622" s="46"/>
      <c r="G4622" s="79"/>
    </row>
    <row r="4623" spans="2:7" x14ac:dyDescent="0.35">
      <c r="B4623" s="46"/>
      <c r="C4623" s="46"/>
      <c r="D4623" s="46"/>
      <c r="E4623" s="46"/>
      <c r="F4623" s="46"/>
      <c r="G4623" s="79"/>
    </row>
    <row r="4624" spans="2:7" x14ac:dyDescent="0.35">
      <c r="B4624" s="46"/>
      <c r="C4624" s="46"/>
      <c r="D4624" s="46"/>
      <c r="E4624" s="46"/>
      <c r="F4624" s="46"/>
      <c r="G4624" s="79"/>
    </row>
    <row r="4625" spans="2:7" x14ac:dyDescent="0.35">
      <c r="B4625" s="46"/>
      <c r="C4625" s="46"/>
      <c r="D4625" s="46"/>
      <c r="E4625" s="46"/>
      <c r="F4625" s="46"/>
      <c r="G4625" s="79"/>
    </row>
    <row r="4626" spans="2:7" x14ac:dyDescent="0.35">
      <c r="B4626" s="46"/>
      <c r="C4626" s="46"/>
      <c r="D4626" s="46"/>
      <c r="E4626" s="46"/>
      <c r="F4626" s="46"/>
      <c r="G4626" s="79"/>
    </row>
    <row r="4627" spans="2:7" x14ac:dyDescent="0.35">
      <c r="B4627" s="46"/>
      <c r="C4627" s="46"/>
      <c r="D4627" s="46"/>
      <c r="E4627" s="46"/>
      <c r="F4627" s="46"/>
      <c r="G4627" s="79"/>
    </row>
    <row r="4628" spans="2:7" x14ac:dyDescent="0.35">
      <c r="B4628" s="46"/>
      <c r="C4628" s="46"/>
      <c r="D4628" s="46"/>
      <c r="E4628" s="46"/>
      <c r="F4628" s="46"/>
      <c r="G4628" s="79"/>
    </row>
    <row r="4629" spans="2:7" x14ac:dyDescent="0.35">
      <c r="B4629" s="46"/>
      <c r="C4629" s="46"/>
      <c r="D4629" s="46"/>
      <c r="E4629" s="46"/>
      <c r="F4629" s="46"/>
      <c r="G4629" s="79"/>
    </row>
    <row r="4630" spans="2:7" x14ac:dyDescent="0.35">
      <c r="B4630" s="46"/>
      <c r="C4630" s="46"/>
      <c r="D4630" s="46"/>
      <c r="E4630" s="46"/>
      <c r="F4630" s="46"/>
      <c r="G4630" s="79"/>
    </row>
    <row r="4631" spans="2:7" x14ac:dyDescent="0.35">
      <c r="B4631" s="46"/>
      <c r="C4631" s="46"/>
      <c r="D4631" s="46"/>
      <c r="E4631" s="46"/>
      <c r="F4631" s="46"/>
      <c r="G4631" s="79"/>
    </row>
    <row r="4632" spans="2:7" x14ac:dyDescent="0.35">
      <c r="B4632" s="46"/>
      <c r="C4632" s="46"/>
      <c r="D4632" s="46"/>
      <c r="E4632" s="46"/>
      <c r="F4632" s="46"/>
      <c r="G4632" s="79"/>
    </row>
    <row r="4633" spans="2:7" x14ac:dyDescent="0.35">
      <c r="B4633" s="46"/>
      <c r="C4633" s="46"/>
      <c r="D4633" s="46"/>
      <c r="E4633" s="46"/>
      <c r="F4633" s="46"/>
      <c r="G4633" s="79"/>
    </row>
    <row r="4634" spans="2:7" x14ac:dyDescent="0.35">
      <c r="B4634" s="46"/>
      <c r="C4634" s="46"/>
      <c r="D4634" s="46"/>
      <c r="E4634" s="46"/>
      <c r="F4634" s="46"/>
      <c r="G4634" s="79"/>
    </row>
    <row r="4635" spans="2:7" x14ac:dyDescent="0.35">
      <c r="B4635" s="46"/>
      <c r="C4635" s="46"/>
      <c r="D4635" s="46"/>
      <c r="E4635" s="46"/>
      <c r="F4635" s="46"/>
      <c r="G4635" s="79"/>
    </row>
    <row r="4636" spans="2:7" x14ac:dyDescent="0.35">
      <c r="B4636" s="46"/>
      <c r="C4636" s="46"/>
      <c r="D4636" s="46"/>
      <c r="E4636" s="46"/>
      <c r="F4636" s="46"/>
      <c r="G4636" s="79"/>
    </row>
    <row r="4637" spans="2:7" x14ac:dyDescent="0.35">
      <c r="B4637" s="46"/>
      <c r="C4637" s="46"/>
      <c r="D4637" s="46"/>
      <c r="E4637" s="46"/>
      <c r="F4637" s="46"/>
      <c r="G4637" s="79"/>
    </row>
    <row r="4638" spans="2:7" x14ac:dyDescent="0.35">
      <c r="B4638" s="46"/>
      <c r="C4638" s="46"/>
      <c r="D4638" s="46"/>
      <c r="E4638" s="46"/>
      <c r="F4638" s="46"/>
      <c r="G4638" s="79"/>
    </row>
    <row r="4639" spans="2:7" x14ac:dyDescent="0.35">
      <c r="B4639" s="46"/>
      <c r="C4639" s="46"/>
      <c r="D4639" s="46"/>
      <c r="E4639" s="46"/>
      <c r="F4639" s="46"/>
      <c r="G4639" s="79"/>
    </row>
    <row r="4640" spans="2:7" x14ac:dyDescent="0.35">
      <c r="B4640" s="46"/>
      <c r="C4640" s="46"/>
      <c r="D4640" s="46"/>
      <c r="E4640" s="46"/>
      <c r="F4640" s="46"/>
      <c r="G4640" s="79"/>
    </row>
    <row r="4641" spans="2:7" x14ac:dyDescent="0.35">
      <c r="B4641" s="46"/>
      <c r="C4641" s="46"/>
      <c r="D4641" s="46"/>
      <c r="E4641" s="46"/>
      <c r="F4641" s="46"/>
      <c r="G4641" s="79"/>
    </row>
    <row r="4642" spans="2:7" x14ac:dyDescent="0.35">
      <c r="B4642" s="46"/>
      <c r="C4642" s="46"/>
      <c r="D4642" s="46"/>
      <c r="E4642" s="46"/>
      <c r="F4642" s="46"/>
      <c r="G4642" s="79"/>
    </row>
    <row r="4643" spans="2:7" x14ac:dyDescent="0.35">
      <c r="B4643" s="46"/>
      <c r="C4643" s="46"/>
      <c r="D4643" s="46"/>
      <c r="E4643" s="46"/>
      <c r="F4643" s="46"/>
      <c r="G4643" s="79"/>
    </row>
    <row r="4644" spans="2:7" x14ac:dyDescent="0.35">
      <c r="B4644" s="46"/>
      <c r="C4644" s="46"/>
      <c r="D4644" s="46"/>
      <c r="E4644" s="46"/>
      <c r="F4644" s="46"/>
      <c r="G4644" s="79"/>
    </row>
    <row r="4645" spans="2:7" x14ac:dyDescent="0.35">
      <c r="B4645" s="46"/>
      <c r="C4645" s="46"/>
      <c r="D4645" s="46"/>
      <c r="E4645" s="46"/>
      <c r="F4645" s="46"/>
      <c r="G4645" s="79"/>
    </row>
    <row r="4646" spans="2:7" x14ac:dyDescent="0.35">
      <c r="B4646" s="46"/>
      <c r="C4646" s="46"/>
      <c r="D4646" s="46"/>
      <c r="E4646" s="46"/>
      <c r="F4646" s="46"/>
      <c r="G4646" s="79"/>
    </row>
    <row r="4647" spans="2:7" x14ac:dyDescent="0.35">
      <c r="B4647" s="46"/>
      <c r="C4647" s="46"/>
      <c r="D4647" s="46"/>
      <c r="E4647" s="46"/>
      <c r="F4647" s="46"/>
      <c r="G4647" s="79"/>
    </row>
    <row r="4648" spans="2:7" x14ac:dyDescent="0.35">
      <c r="B4648" s="46"/>
      <c r="C4648" s="46"/>
      <c r="D4648" s="46"/>
      <c r="E4648" s="46"/>
      <c r="F4648" s="46"/>
      <c r="G4648" s="79"/>
    </row>
    <row r="4649" spans="2:7" x14ac:dyDescent="0.35">
      <c r="B4649" s="46"/>
      <c r="C4649" s="46"/>
      <c r="D4649" s="46"/>
      <c r="E4649" s="46"/>
      <c r="F4649" s="46"/>
      <c r="G4649" s="79"/>
    </row>
    <row r="4650" spans="2:7" x14ac:dyDescent="0.35">
      <c r="B4650" s="46"/>
      <c r="C4650" s="46"/>
      <c r="D4650" s="46"/>
      <c r="E4650" s="46"/>
      <c r="F4650" s="46"/>
      <c r="G4650" s="79"/>
    </row>
    <row r="4651" spans="2:7" x14ac:dyDescent="0.35">
      <c r="B4651" s="46"/>
      <c r="C4651" s="46"/>
      <c r="D4651" s="46"/>
      <c r="E4651" s="46"/>
      <c r="F4651" s="46"/>
      <c r="G4651" s="79"/>
    </row>
    <row r="4652" spans="2:7" x14ac:dyDescent="0.35">
      <c r="B4652" s="46"/>
      <c r="C4652" s="46"/>
      <c r="D4652" s="46"/>
      <c r="E4652" s="46"/>
      <c r="F4652" s="46"/>
      <c r="G4652" s="79"/>
    </row>
    <row r="4653" spans="2:7" x14ac:dyDescent="0.35">
      <c r="B4653" s="46"/>
      <c r="C4653" s="46"/>
      <c r="D4653" s="46"/>
      <c r="E4653" s="46"/>
      <c r="F4653" s="46"/>
      <c r="G4653" s="79"/>
    </row>
    <row r="4654" spans="2:7" x14ac:dyDescent="0.35">
      <c r="B4654" s="46"/>
      <c r="C4654" s="46"/>
      <c r="D4654" s="46"/>
      <c r="E4654" s="46"/>
      <c r="F4654" s="46"/>
      <c r="G4654" s="79"/>
    </row>
    <row r="4655" spans="2:7" x14ac:dyDescent="0.35">
      <c r="B4655" s="46"/>
      <c r="C4655" s="46"/>
      <c r="D4655" s="46"/>
      <c r="E4655" s="46"/>
      <c r="F4655" s="46"/>
      <c r="G4655" s="79"/>
    </row>
    <row r="4656" spans="2:7" x14ac:dyDescent="0.35">
      <c r="B4656" s="46"/>
      <c r="C4656" s="46"/>
      <c r="D4656" s="46"/>
      <c r="E4656" s="46"/>
      <c r="F4656" s="46"/>
      <c r="G4656" s="79"/>
    </row>
    <row r="4657" spans="2:7" x14ac:dyDescent="0.35">
      <c r="B4657" s="46"/>
      <c r="C4657" s="46"/>
      <c r="D4657" s="46"/>
      <c r="E4657" s="46"/>
      <c r="F4657" s="46"/>
      <c r="G4657" s="79"/>
    </row>
    <row r="4658" spans="2:7" x14ac:dyDescent="0.35">
      <c r="B4658" s="46"/>
      <c r="C4658" s="46"/>
      <c r="D4658" s="46"/>
      <c r="E4658" s="46"/>
      <c r="F4658" s="46"/>
      <c r="G4658" s="79"/>
    </row>
    <row r="4659" spans="2:7" x14ac:dyDescent="0.35">
      <c r="B4659" s="46"/>
      <c r="C4659" s="46"/>
      <c r="D4659" s="46"/>
      <c r="E4659" s="46"/>
      <c r="F4659" s="46"/>
      <c r="G4659" s="79"/>
    </row>
    <row r="4660" spans="2:7" x14ac:dyDescent="0.35">
      <c r="B4660" s="46"/>
      <c r="C4660" s="46"/>
      <c r="D4660" s="46"/>
      <c r="E4660" s="46"/>
      <c r="F4660" s="46"/>
      <c r="G4660" s="79"/>
    </row>
    <row r="4661" spans="2:7" x14ac:dyDescent="0.35">
      <c r="B4661" s="46"/>
      <c r="C4661" s="46"/>
      <c r="D4661" s="46"/>
      <c r="E4661" s="46"/>
      <c r="F4661" s="46"/>
      <c r="G4661" s="79"/>
    </row>
    <row r="4662" spans="2:7" x14ac:dyDescent="0.35">
      <c r="B4662" s="46"/>
      <c r="C4662" s="46"/>
      <c r="D4662" s="46"/>
      <c r="E4662" s="46"/>
      <c r="F4662" s="46"/>
      <c r="G4662" s="79"/>
    </row>
    <row r="4663" spans="2:7" x14ac:dyDescent="0.35">
      <c r="B4663" s="46"/>
      <c r="C4663" s="46"/>
      <c r="D4663" s="46"/>
      <c r="E4663" s="46"/>
      <c r="F4663" s="46"/>
      <c r="G4663" s="79"/>
    </row>
    <row r="4664" spans="2:7" x14ac:dyDescent="0.35">
      <c r="B4664" s="46"/>
      <c r="C4664" s="46"/>
      <c r="D4664" s="46"/>
      <c r="E4664" s="46"/>
      <c r="F4664" s="46"/>
      <c r="G4664" s="79"/>
    </row>
    <row r="4665" spans="2:7" x14ac:dyDescent="0.35">
      <c r="B4665" s="46"/>
      <c r="C4665" s="46"/>
      <c r="D4665" s="46"/>
      <c r="E4665" s="46"/>
      <c r="F4665" s="46"/>
      <c r="G4665" s="79"/>
    </row>
    <row r="4666" spans="2:7" x14ac:dyDescent="0.35">
      <c r="B4666" s="46"/>
      <c r="C4666" s="46"/>
      <c r="D4666" s="46"/>
      <c r="E4666" s="46"/>
      <c r="F4666" s="46"/>
      <c r="G4666" s="79"/>
    </row>
    <row r="4667" spans="2:7" x14ac:dyDescent="0.35">
      <c r="B4667" s="46"/>
      <c r="C4667" s="46"/>
      <c r="D4667" s="46"/>
      <c r="E4667" s="46"/>
      <c r="F4667" s="46"/>
      <c r="G4667" s="79"/>
    </row>
    <row r="4668" spans="2:7" x14ac:dyDescent="0.35">
      <c r="B4668" s="46"/>
      <c r="C4668" s="46"/>
      <c r="D4668" s="46"/>
      <c r="E4668" s="46"/>
      <c r="F4668" s="46"/>
      <c r="G4668" s="79"/>
    </row>
    <row r="4669" spans="2:7" x14ac:dyDescent="0.35">
      <c r="B4669" s="46"/>
      <c r="C4669" s="46"/>
      <c r="D4669" s="46"/>
      <c r="E4669" s="46"/>
      <c r="F4669" s="46"/>
      <c r="G4669" s="79"/>
    </row>
    <row r="4670" spans="2:7" x14ac:dyDescent="0.35">
      <c r="B4670" s="46"/>
      <c r="C4670" s="46"/>
      <c r="D4670" s="46"/>
      <c r="E4670" s="46"/>
      <c r="F4670" s="46"/>
      <c r="G4670" s="79"/>
    </row>
    <row r="4671" spans="2:7" x14ac:dyDescent="0.35">
      <c r="B4671" s="46"/>
      <c r="C4671" s="46"/>
      <c r="D4671" s="46"/>
      <c r="E4671" s="46"/>
      <c r="F4671" s="46"/>
      <c r="G4671" s="79"/>
    </row>
    <row r="4672" spans="2:7" x14ac:dyDescent="0.35">
      <c r="B4672" s="46"/>
      <c r="C4672" s="46"/>
      <c r="D4672" s="46"/>
      <c r="E4672" s="46"/>
      <c r="F4672" s="46"/>
      <c r="G4672" s="79"/>
    </row>
    <row r="4673" spans="2:7" x14ac:dyDescent="0.35">
      <c r="B4673" s="46"/>
      <c r="C4673" s="46"/>
      <c r="D4673" s="46"/>
      <c r="E4673" s="46"/>
      <c r="F4673" s="46"/>
      <c r="G4673" s="79"/>
    </row>
    <row r="4674" spans="2:7" x14ac:dyDescent="0.35">
      <c r="B4674" s="46"/>
      <c r="C4674" s="46"/>
      <c r="D4674" s="46"/>
      <c r="E4674" s="46"/>
      <c r="F4674" s="46"/>
      <c r="G4674" s="79"/>
    </row>
    <row r="4675" spans="2:7" x14ac:dyDescent="0.35">
      <c r="B4675" s="46"/>
      <c r="C4675" s="46"/>
      <c r="D4675" s="46"/>
      <c r="E4675" s="46"/>
      <c r="F4675" s="46"/>
      <c r="G4675" s="79"/>
    </row>
    <row r="4676" spans="2:7" x14ac:dyDescent="0.35">
      <c r="B4676" s="46"/>
      <c r="C4676" s="46"/>
      <c r="D4676" s="46"/>
      <c r="E4676" s="46"/>
      <c r="F4676" s="46"/>
      <c r="G4676" s="79"/>
    </row>
    <row r="4677" spans="2:7" x14ac:dyDescent="0.35">
      <c r="B4677" s="46"/>
      <c r="C4677" s="46"/>
      <c r="D4677" s="46"/>
      <c r="E4677" s="46"/>
      <c r="F4677" s="46"/>
      <c r="G4677" s="79"/>
    </row>
    <row r="4678" spans="2:7" x14ac:dyDescent="0.35">
      <c r="B4678" s="46"/>
      <c r="C4678" s="46"/>
      <c r="D4678" s="46"/>
      <c r="E4678" s="46"/>
      <c r="F4678" s="46"/>
      <c r="G4678" s="79"/>
    </row>
    <row r="4679" spans="2:7" x14ac:dyDescent="0.35">
      <c r="B4679" s="46"/>
      <c r="C4679" s="46"/>
      <c r="D4679" s="46"/>
      <c r="E4679" s="46"/>
      <c r="F4679" s="46"/>
      <c r="G4679" s="79"/>
    </row>
    <row r="4680" spans="2:7" x14ac:dyDescent="0.35">
      <c r="B4680" s="46"/>
      <c r="C4680" s="46"/>
      <c r="D4680" s="46"/>
      <c r="E4680" s="46"/>
      <c r="F4680" s="46"/>
      <c r="G4680" s="79"/>
    </row>
    <row r="4681" spans="2:7" x14ac:dyDescent="0.35">
      <c r="B4681" s="46"/>
      <c r="C4681" s="46"/>
      <c r="D4681" s="46"/>
      <c r="E4681" s="46"/>
      <c r="F4681" s="46"/>
      <c r="G4681" s="79"/>
    </row>
    <row r="4682" spans="2:7" x14ac:dyDescent="0.35">
      <c r="B4682" s="46"/>
      <c r="C4682" s="46"/>
      <c r="D4682" s="46"/>
      <c r="E4682" s="46"/>
      <c r="F4682" s="46"/>
      <c r="G4682" s="79"/>
    </row>
    <row r="4683" spans="2:7" x14ac:dyDescent="0.35">
      <c r="B4683" s="46"/>
      <c r="C4683" s="46"/>
      <c r="D4683" s="46"/>
      <c r="E4683" s="46"/>
      <c r="F4683" s="46"/>
      <c r="G4683" s="79"/>
    </row>
    <row r="4684" spans="2:7" x14ac:dyDescent="0.35">
      <c r="B4684" s="46"/>
      <c r="C4684" s="46"/>
      <c r="D4684" s="46"/>
      <c r="E4684" s="46"/>
      <c r="F4684" s="46"/>
      <c r="G4684" s="79"/>
    </row>
    <row r="4685" spans="2:7" x14ac:dyDescent="0.35">
      <c r="B4685" s="46"/>
      <c r="C4685" s="46"/>
      <c r="D4685" s="46"/>
      <c r="E4685" s="46"/>
      <c r="F4685" s="46"/>
      <c r="G4685" s="79"/>
    </row>
    <row r="4686" spans="2:7" x14ac:dyDescent="0.35">
      <c r="B4686" s="46"/>
      <c r="C4686" s="46"/>
      <c r="D4686" s="46"/>
      <c r="E4686" s="46"/>
      <c r="F4686" s="46"/>
      <c r="G4686" s="79"/>
    </row>
    <row r="4687" spans="2:7" x14ac:dyDescent="0.35">
      <c r="B4687" s="46"/>
      <c r="C4687" s="46"/>
      <c r="D4687" s="46"/>
      <c r="E4687" s="46"/>
      <c r="F4687" s="46"/>
      <c r="G4687" s="79"/>
    </row>
    <row r="4688" spans="2:7" x14ac:dyDescent="0.35">
      <c r="B4688" s="46"/>
      <c r="C4688" s="46"/>
      <c r="D4688" s="46"/>
      <c r="E4688" s="46"/>
      <c r="F4688" s="46"/>
      <c r="G4688" s="79"/>
    </row>
    <row r="4689" spans="2:7" x14ac:dyDescent="0.35">
      <c r="B4689" s="46"/>
      <c r="C4689" s="46"/>
      <c r="D4689" s="46"/>
      <c r="E4689" s="46"/>
      <c r="F4689" s="46"/>
      <c r="G4689" s="79"/>
    </row>
    <row r="4690" spans="2:7" x14ac:dyDescent="0.35">
      <c r="B4690" s="46"/>
      <c r="C4690" s="46"/>
      <c r="D4690" s="46"/>
      <c r="E4690" s="46"/>
      <c r="F4690" s="46"/>
      <c r="G4690" s="79"/>
    </row>
    <row r="4691" spans="2:7" x14ac:dyDescent="0.35">
      <c r="B4691" s="46"/>
      <c r="C4691" s="46"/>
      <c r="D4691" s="46"/>
      <c r="E4691" s="46"/>
      <c r="F4691" s="46"/>
      <c r="G4691" s="79"/>
    </row>
    <row r="4692" spans="2:7" x14ac:dyDescent="0.35">
      <c r="B4692" s="46"/>
      <c r="C4692" s="46"/>
      <c r="D4692" s="46"/>
      <c r="E4692" s="46"/>
      <c r="F4692" s="46"/>
      <c r="G4692" s="79"/>
    </row>
    <row r="4693" spans="2:7" x14ac:dyDescent="0.35">
      <c r="B4693" s="46"/>
      <c r="C4693" s="46"/>
      <c r="D4693" s="46"/>
      <c r="E4693" s="46"/>
      <c r="F4693" s="46"/>
      <c r="G4693" s="79"/>
    </row>
    <row r="4694" spans="2:7" x14ac:dyDescent="0.35">
      <c r="B4694" s="46"/>
      <c r="C4694" s="46"/>
      <c r="D4694" s="46"/>
      <c r="E4694" s="46"/>
      <c r="F4694" s="46"/>
      <c r="G4694" s="79"/>
    </row>
    <row r="4695" spans="2:7" x14ac:dyDescent="0.35">
      <c r="B4695" s="46"/>
      <c r="C4695" s="46"/>
      <c r="D4695" s="46"/>
      <c r="E4695" s="46"/>
      <c r="F4695" s="46"/>
      <c r="G4695" s="79"/>
    </row>
    <row r="4696" spans="2:7" x14ac:dyDescent="0.35">
      <c r="B4696" s="46"/>
      <c r="C4696" s="46"/>
      <c r="D4696" s="46"/>
      <c r="E4696" s="46"/>
      <c r="F4696" s="46"/>
      <c r="G4696" s="79"/>
    </row>
    <row r="4697" spans="2:7" x14ac:dyDescent="0.35">
      <c r="B4697" s="46"/>
      <c r="C4697" s="46"/>
      <c r="D4697" s="46"/>
      <c r="E4697" s="46"/>
      <c r="F4697" s="46"/>
      <c r="G4697" s="79"/>
    </row>
    <row r="4698" spans="2:7" x14ac:dyDescent="0.35">
      <c r="B4698" s="46"/>
      <c r="C4698" s="46"/>
      <c r="D4698" s="46"/>
      <c r="E4698" s="46"/>
      <c r="F4698" s="46"/>
      <c r="G4698" s="79"/>
    </row>
    <row r="4699" spans="2:7" x14ac:dyDescent="0.35">
      <c r="B4699" s="46"/>
      <c r="C4699" s="46"/>
      <c r="D4699" s="46"/>
      <c r="E4699" s="46"/>
      <c r="F4699" s="46"/>
      <c r="G4699" s="79"/>
    </row>
    <row r="4700" spans="2:7" x14ac:dyDescent="0.35">
      <c r="B4700" s="46"/>
      <c r="C4700" s="46"/>
      <c r="D4700" s="46"/>
      <c r="E4700" s="46"/>
      <c r="F4700" s="46"/>
      <c r="G4700" s="79"/>
    </row>
    <row r="4701" spans="2:7" x14ac:dyDescent="0.35">
      <c r="B4701" s="46"/>
      <c r="C4701" s="46"/>
      <c r="D4701" s="46"/>
      <c r="E4701" s="46"/>
      <c r="F4701" s="46"/>
      <c r="G4701" s="79"/>
    </row>
    <row r="4702" spans="2:7" x14ac:dyDescent="0.35">
      <c r="B4702" s="46"/>
      <c r="C4702" s="46"/>
      <c r="D4702" s="46"/>
      <c r="E4702" s="46"/>
      <c r="F4702" s="46"/>
      <c r="G4702" s="79"/>
    </row>
    <row r="4703" spans="2:7" x14ac:dyDescent="0.35">
      <c r="B4703" s="46"/>
      <c r="C4703" s="46"/>
      <c r="D4703" s="46"/>
      <c r="E4703" s="46"/>
      <c r="F4703" s="46"/>
      <c r="G4703" s="79"/>
    </row>
    <row r="4704" spans="2:7" x14ac:dyDescent="0.35">
      <c r="B4704" s="46"/>
      <c r="C4704" s="46"/>
      <c r="D4704" s="46"/>
      <c r="E4704" s="46"/>
      <c r="F4704" s="46"/>
      <c r="G4704" s="79"/>
    </row>
    <row r="4705" spans="2:7" x14ac:dyDescent="0.35">
      <c r="B4705" s="46"/>
      <c r="C4705" s="46"/>
      <c r="D4705" s="46"/>
      <c r="E4705" s="46"/>
      <c r="F4705" s="46"/>
      <c r="G4705" s="79"/>
    </row>
    <row r="4706" spans="2:7" x14ac:dyDescent="0.35">
      <c r="B4706" s="46"/>
      <c r="C4706" s="46"/>
      <c r="D4706" s="46"/>
      <c r="E4706" s="46"/>
      <c r="F4706" s="46"/>
      <c r="G4706" s="79"/>
    </row>
    <row r="4707" spans="2:7" x14ac:dyDescent="0.35">
      <c r="B4707" s="46"/>
      <c r="C4707" s="46"/>
      <c r="D4707" s="46"/>
      <c r="E4707" s="46"/>
      <c r="F4707" s="46"/>
      <c r="G4707" s="79"/>
    </row>
    <row r="4708" spans="2:7" x14ac:dyDescent="0.35">
      <c r="B4708" s="46"/>
      <c r="C4708" s="46"/>
      <c r="D4708" s="46"/>
      <c r="E4708" s="46"/>
      <c r="F4708" s="46"/>
      <c r="G4708" s="79"/>
    </row>
    <row r="4709" spans="2:7" x14ac:dyDescent="0.35">
      <c r="B4709" s="46"/>
      <c r="C4709" s="46"/>
      <c r="D4709" s="46"/>
      <c r="E4709" s="46"/>
      <c r="F4709" s="46"/>
      <c r="G4709" s="79"/>
    </row>
    <row r="4710" spans="2:7" x14ac:dyDescent="0.35">
      <c r="B4710" s="46"/>
      <c r="C4710" s="46"/>
      <c r="D4710" s="46"/>
      <c r="E4710" s="46"/>
      <c r="F4710" s="46"/>
      <c r="G4710" s="79"/>
    </row>
    <row r="4711" spans="2:7" x14ac:dyDescent="0.35">
      <c r="B4711" s="46"/>
      <c r="C4711" s="46"/>
      <c r="D4711" s="46"/>
      <c r="E4711" s="46"/>
      <c r="F4711" s="46"/>
      <c r="G4711" s="79"/>
    </row>
    <row r="4712" spans="2:7" x14ac:dyDescent="0.35">
      <c r="B4712" s="46"/>
      <c r="C4712" s="46"/>
      <c r="D4712" s="46"/>
      <c r="E4712" s="46"/>
      <c r="F4712" s="46"/>
      <c r="G4712" s="79"/>
    </row>
    <row r="4713" spans="2:7" x14ac:dyDescent="0.35">
      <c r="B4713" s="46"/>
      <c r="C4713" s="46"/>
      <c r="D4713" s="46"/>
      <c r="E4713" s="46"/>
      <c r="F4713" s="46"/>
      <c r="G4713" s="79"/>
    </row>
    <row r="4714" spans="2:7" x14ac:dyDescent="0.35">
      <c r="B4714" s="46"/>
      <c r="C4714" s="46"/>
      <c r="D4714" s="46"/>
      <c r="E4714" s="46"/>
      <c r="F4714" s="46"/>
      <c r="G4714" s="79"/>
    </row>
    <row r="4715" spans="2:7" x14ac:dyDescent="0.35">
      <c r="B4715" s="46"/>
      <c r="C4715" s="46"/>
      <c r="D4715" s="46"/>
      <c r="E4715" s="46"/>
      <c r="F4715" s="46"/>
      <c r="G4715" s="79"/>
    </row>
    <row r="4716" spans="2:7" x14ac:dyDescent="0.35">
      <c r="B4716" s="46"/>
      <c r="C4716" s="46"/>
      <c r="D4716" s="46"/>
      <c r="E4716" s="46"/>
      <c r="F4716" s="46"/>
      <c r="G4716" s="79"/>
    </row>
    <row r="4717" spans="2:7" x14ac:dyDescent="0.35">
      <c r="B4717" s="46"/>
      <c r="C4717" s="46"/>
      <c r="D4717" s="46"/>
      <c r="E4717" s="46"/>
      <c r="F4717" s="46"/>
      <c r="G4717" s="79"/>
    </row>
    <row r="4718" spans="2:7" x14ac:dyDescent="0.35">
      <c r="B4718" s="46"/>
      <c r="C4718" s="46"/>
      <c r="D4718" s="46"/>
      <c r="E4718" s="46"/>
      <c r="F4718" s="46"/>
      <c r="G4718" s="79"/>
    </row>
    <row r="4719" spans="2:7" x14ac:dyDescent="0.35">
      <c r="B4719" s="46"/>
      <c r="C4719" s="46"/>
      <c r="D4719" s="46"/>
      <c r="E4719" s="46"/>
      <c r="F4719" s="46"/>
      <c r="G4719" s="79"/>
    </row>
    <row r="4720" spans="2:7" x14ac:dyDescent="0.35">
      <c r="B4720" s="46"/>
      <c r="C4720" s="46"/>
      <c r="D4720" s="46"/>
      <c r="E4720" s="46"/>
      <c r="F4720" s="46"/>
      <c r="G4720" s="79"/>
    </row>
    <row r="4721" spans="2:7" x14ac:dyDescent="0.35">
      <c r="B4721" s="46"/>
      <c r="C4721" s="46"/>
      <c r="D4721" s="46"/>
      <c r="E4721" s="46"/>
      <c r="F4721" s="46"/>
      <c r="G4721" s="79"/>
    </row>
    <row r="4722" spans="2:7" x14ac:dyDescent="0.35">
      <c r="B4722" s="46"/>
      <c r="C4722" s="46"/>
      <c r="D4722" s="46"/>
      <c r="E4722" s="46"/>
      <c r="F4722" s="46"/>
      <c r="G4722" s="79"/>
    </row>
    <row r="4723" spans="2:7" x14ac:dyDescent="0.35">
      <c r="B4723" s="46"/>
      <c r="C4723" s="46"/>
      <c r="D4723" s="46"/>
      <c r="E4723" s="46"/>
      <c r="F4723" s="46"/>
      <c r="G4723" s="79"/>
    </row>
    <row r="4724" spans="2:7" x14ac:dyDescent="0.35">
      <c r="B4724" s="46"/>
      <c r="C4724" s="46"/>
      <c r="D4724" s="46"/>
      <c r="E4724" s="46"/>
      <c r="F4724" s="46"/>
      <c r="G4724" s="79"/>
    </row>
    <row r="4725" spans="2:7" x14ac:dyDescent="0.35">
      <c r="B4725" s="46"/>
      <c r="C4725" s="46"/>
      <c r="D4725" s="46"/>
      <c r="E4725" s="46"/>
      <c r="F4725" s="46"/>
      <c r="G4725" s="79"/>
    </row>
    <row r="4726" spans="2:7" x14ac:dyDescent="0.35">
      <c r="B4726" s="46"/>
      <c r="C4726" s="46"/>
      <c r="D4726" s="46"/>
      <c r="E4726" s="46"/>
      <c r="F4726" s="46"/>
      <c r="G4726" s="79"/>
    </row>
    <row r="4727" spans="2:7" x14ac:dyDescent="0.35">
      <c r="B4727" s="46"/>
      <c r="C4727" s="46"/>
      <c r="D4727" s="46"/>
      <c r="E4727" s="46"/>
      <c r="F4727" s="46"/>
      <c r="G4727" s="79"/>
    </row>
    <row r="4728" spans="2:7" x14ac:dyDescent="0.35">
      <c r="B4728" s="46"/>
      <c r="C4728" s="46"/>
      <c r="D4728" s="46"/>
      <c r="E4728" s="46"/>
      <c r="F4728" s="46"/>
      <c r="G4728" s="79"/>
    </row>
    <row r="4729" spans="2:7" x14ac:dyDescent="0.35">
      <c r="B4729" s="46"/>
      <c r="C4729" s="46"/>
      <c r="D4729" s="46"/>
      <c r="E4729" s="46"/>
      <c r="F4729" s="46"/>
      <c r="G4729" s="79"/>
    </row>
    <row r="4730" spans="2:7" x14ac:dyDescent="0.35">
      <c r="B4730" s="46"/>
      <c r="C4730" s="46"/>
      <c r="D4730" s="46"/>
      <c r="E4730" s="46"/>
      <c r="F4730" s="46"/>
      <c r="G4730" s="79"/>
    </row>
    <row r="4731" spans="2:7" x14ac:dyDescent="0.35">
      <c r="B4731" s="46"/>
      <c r="C4731" s="46"/>
      <c r="D4731" s="46"/>
      <c r="E4731" s="46"/>
      <c r="F4731" s="46"/>
      <c r="G4731" s="79"/>
    </row>
    <row r="4732" spans="2:7" x14ac:dyDescent="0.35">
      <c r="B4732" s="46"/>
      <c r="C4732" s="46"/>
      <c r="D4732" s="46"/>
      <c r="E4732" s="46"/>
      <c r="F4732" s="46"/>
      <c r="G4732" s="79"/>
    </row>
    <row r="4733" spans="2:7" x14ac:dyDescent="0.35">
      <c r="B4733" s="46"/>
      <c r="C4733" s="46"/>
      <c r="D4733" s="46"/>
      <c r="E4733" s="46"/>
      <c r="F4733" s="46"/>
      <c r="G4733" s="79"/>
    </row>
    <row r="4734" spans="2:7" x14ac:dyDescent="0.35">
      <c r="B4734" s="46"/>
      <c r="C4734" s="46"/>
      <c r="D4734" s="46"/>
      <c r="E4734" s="46"/>
      <c r="F4734" s="46"/>
      <c r="G4734" s="79"/>
    </row>
    <row r="4735" spans="2:7" x14ac:dyDescent="0.35">
      <c r="B4735" s="46"/>
      <c r="C4735" s="46"/>
      <c r="D4735" s="46"/>
      <c r="E4735" s="46"/>
      <c r="F4735" s="46"/>
      <c r="G4735" s="79"/>
    </row>
    <row r="4736" spans="2:7" x14ac:dyDescent="0.35">
      <c r="B4736" s="46"/>
      <c r="C4736" s="46"/>
      <c r="D4736" s="46"/>
      <c r="E4736" s="46"/>
      <c r="F4736" s="46"/>
      <c r="G4736" s="79"/>
    </row>
    <row r="4737" spans="2:7" x14ac:dyDescent="0.35">
      <c r="B4737" s="46"/>
      <c r="C4737" s="46"/>
      <c r="D4737" s="46"/>
      <c r="E4737" s="46"/>
      <c r="F4737" s="46"/>
      <c r="G4737" s="79"/>
    </row>
    <row r="4738" spans="2:7" x14ac:dyDescent="0.35">
      <c r="B4738" s="46"/>
      <c r="C4738" s="46"/>
      <c r="D4738" s="46"/>
      <c r="E4738" s="46"/>
      <c r="F4738" s="46"/>
      <c r="G4738" s="79"/>
    </row>
    <row r="4739" spans="2:7" x14ac:dyDescent="0.35">
      <c r="B4739" s="46"/>
      <c r="C4739" s="46"/>
      <c r="D4739" s="46"/>
      <c r="E4739" s="46"/>
      <c r="F4739" s="46"/>
      <c r="G4739" s="79"/>
    </row>
    <row r="4740" spans="2:7" x14ac:dyDescent="0.35">
      <c r="B4740" s="46"/>
      <c r="C4740" s="46"/>
      <c r="D4740" s="46"/>
      <c r="E4740" s="46"/>
      <c r="F4740" s="46"/>
      <c r="G4740" s="79"/>
    </row>
    <row r="4741" spans="2:7" x14ac:dyDescent="0.35">
      <c r="B4741" s="46"/>
      <c r="C4741" s="46"/>
      <c r="D4741" s="46"/>
      <c r="E4741" s="46"/>
      <c r="F4741" s="46"/>
      <c r="G4741" s="79"/>
    </row>
    <row r="4742" spans="2:7" x14ac:dyDescent="0.35">
      <c r="B4742" s="46"/>
      <c r="C4742" s="46"/>
      <c r="D4742" s="46"/>
      <c r="E4742" s="46"/>
      <c r="F4742" s="46"/>
      <c r="G4742" s="79"/>
    </row>
    <row r="4743" spans="2:7" x14ac:dyDescent="0.35">
      <c r="B4743" s="46"/>
      <c r="C4743" s="46"/>
      <c r="D4743" s="46"/>
      <c r="E4743" s="46"/>
      <c r="F4743" s="46"/>
      <c r="G4743" s="79"/>
    </row>
    <row r="4744" spans="2:7" x14ac:dyDescent="0.35">
      <c r="B4744" s="46"/>
      <c r="C4744" s="46"/>
      <c r="D4744" s="46"/>
      <c r="E4744" s="46"/>
      <c r="F4744" s="46"/>
      <c r="G4744" s="79"/>
    </row>
    <row r="4745" spans="2:7" x14ac:dyDescent="0.35">
      <c r="B4745" s="46"/>
      <c r="C4745" s="46"/>
      <c r="D4745" s="46"/>
      <c r="E4745" s="46"/>
      <c r="F4745" s="46"/>
      <c r="G4745" s="79"/>
    </row>
    <row r="4746" spans="2:7" x14ac:dyDescent="0.35">
      <c r="B4746" s="46"/>
      <c r="C4746" s="46"/>
      <c r="D4746" s="46"/>
      <c r="E4746" s="46"/>
      <c r="F4746" s="46"/>
      <c r="G4746" s="79"/>
    </row>
    <row r="4747" spans="2:7" x14ac:dyDescent="0.35">
      <c r="B4747" s="46"/>
      <c r="C4747" s="46"/>
      <c r="D4747" s="46"/>
      <c r="E4747" s="46"/>
      <c r="F4747" s="46"/>
      <c r="G4747" s="79"/>
    </row>
    <row r="4748" spans="2:7" x14ac:dyDescent="0.35">
      <c r="B4748" s="46"/>
      <c r="C4748" s="46"/>
      <c r="D4748" s="46"/>
      <c r="E4748" s="46"/>
      <c r="F4748" s="46"/>
      <c r="G4748" s="79"/>
    </row>
    <row r="4749" spans="2:7" x14ac:dyDescent="0.35">
      <c r="B4749" s="46"/>
      <c r="C4749" s="46"/>
      <c r="D4749" s="46"/>
      <c r="E4749" s="46"/>
      <c r="F4749" s="46"/>
      <c r="G4749" s="79"/>
    </row>
    <row r="4750" spans="2:7" x14ac:dyDescent="0.35">
      <c r="B4750" s="46"/>
      <c r="C4750" s="46"/>
      <c r="D4750" s="46"/>
      <c r="E4750" s="46"/>
      <c r="F4750" s="46"/>
      <c r="G4750" s="79"/>
    </row>
    <row r="4751" spans="2:7" x14ac:dyDescent="0.35">
      <c r="B4751" s="46"/>
      <c r="C4751" s="46"/>
      <c r="D4751" s="46"/>
      <c r="E4751" s="46"/>
      <c r="F4751" s="46"/>
      <c r="G4751" s="79"/>
    </row>
    <row r="4752" spans="2:7" x14ac:dyDescent="0.35">
      <c r="B4752" s="46"/>
      <c r="C4752" s="46"/>
      <c r="D4752" s="46"/>
      <c r="E4752" s="46"/>
      <c r="F4752" s="46"/>
      <c r="G4752" s="79"/>
    </row>
    <row r="4753" spans="2:7" x14ac:dyDescent="0.35">
      <c r="B4753" s="46"/>
      <c r="C4753" s="46"/>
      <c r="D4753" s="46"/>
      <c r="E4753" s="46"/>
      <c r="F4753" s="46"/>
      <c r="G4753" s="79"/>
    </row>
    <row r="4754" spans="2:7" x14ac:dyDescent="0.35">
      <c r="B4754" s="46"/>
      <c r="C4754" s="46"/>
      <c r="D4754" s="46"/>
      <c r="E4754" s="46"/>
      <c r="F4754" s="46"/>
      <c r="G4754" s="79"/>
    </row>
    <row r="4755" spans="2:7" x14ac:dyDescent="0.35">
      <c r="B4755" s="46"/>
      <c r="C4755" s="46"/>
      <c r="D4755" s="46"/>
      <c r="E4755" s="46"/>
      <c r="F4755" s="46"/>
      <c r="G4755" s="79"/>
    </row>
    <row r="4756" spans="2:7" x14ac:dyDescent="0.35">
      <c r="B4756" s="46"/>
      <c r="C4756" s="46"/>
      <c r="D4756" s="46"/>
      <c r="E4756" s="46"/>
      <c r="F4756" s="46"/>
      <c r="G4756" s="79"/>
    </row>
    <row r="4757" spans="2:7" x14ac:dyDescent="0.35">
      <c r="B4757" s="46"/>
      <c r="C4757" s="46"/>
      <c r="D4757" s="46"/>
      <c r="E4757" s="46"/>
      <c r="F4757" s="46"/>
      <c r="G4757" s="79"/>
    </row>
    <row r="4758" spans="2:7" x14ac:dyDescent="0.35">
      <c r="B4758" s="46"/>
      <c r="C4758" s="46"/>
      <c r="D4758" s="46"/>
      <c r="E4758" s="46"/>
      <c r="F4758" s="46"/>
      <c r="G4758" s="79"/>
    </row>
    <row r="4759" spans="2:7" x14ac:dyDescent="0.35">
      <c r="B4759" s="46"/>
      <c r="C4759" s="46"/>
      <c r="D4759" s="46"/>
      <c r="E4759" s="46"/>
      <c r="F4759" s="46"/>
      <c r="G4759" s="79"/>
    </row>
    <row r="4760" spans="2:7" x14ac:dyDescent="0.35">
      <c r="B4760" s="46"/>
      <c r="C4760" s="46"/>
      <c r="D4760" s="46"/>
      <c r="E4760" s="46"/>
      <c r="F4760" s="46"/>
      <c r="G4760" s="79"/>
    </row>
    <row r="4761" spans="2:7" x14ac:dyDescent="0.35">
      <c r="B4761" s="46"/>
      <c r="C4761" s="46"/>
      <c r="D4761" s="46"/>
      <c r="E4761" s="46"/>
      <c r="F4761" s="46"/>
      <c r="G4761" s="79"/>
    </row>
    <row r="4762" spans="2:7" x14ac:dyDescent="0.35">
      <c r="B4762" s="46"/>
      <c r="C4762" s="46"/>
      <c r="D4762" s="46"/>
      <c r="E4762" s="46"/>
      <c r="F4762" s="46"/>
      <c r="G4762" s="79"/>
    </row>
    <row r="4763" spans="2:7" x14ac:dyDescent="0.35">
      <c r="B4763" s="46"/>
      <c r="C4763" s="46"/>
      <c r="D4763" s="46"/>
      <c r="E4763" s="46"/>
      <c r="F4763" s="46"/>
      <c r="G4763" s="79"/>
    </row>
    <row r="4764" spans="2:7" x14ac:dyDescent="0.35">
      <c r="B4764" s="46"/>
      <c r="C4764" s="46"/>
      <c r="D4764" s="46"/>
      <c r="E4764" s="46"/>
      <c r="F4764" s="46"/>
      <c r="G4764" s="79"/>
    </row>
    <row r="4765" spans="2:7" x14ac:dyDescent="0.35">
      <c r="B4765" s="46"/>
      <c r="C4765" s="46"/>
      <c r="D4765" s="46"/>
      <c r="E4765" s="46"/>
      <c r="F4765" s="46"/>
      <c r="G4765" s="79"/>
    </row>
    <row r="4766" spans="2:7" x14ac:dyDescent="0.35">
      <c r="B4766" s="46"/>
      <c r="C4766" s="46"/>
      <c r="D4766" s="46"/>
      <c r="E4766" s="46"/>
      <c r="F4766" s="46"/>
      <c r="G4766" s="79"/>
    </row>
    <row r="4767" spans="2:7" x14ac:dyDescent="0.35">
      <c r="B4767" s="46"/>
      <c r="C4767" s="46"/>
      <c r="D4767" s="46"/>
      <c r="E4767" s="46"/>
      <c r="F4767" s="46"/>
      <c r="G4767" s="79"/>
    </row>
    <row r="4768" spans="2:7" x14ac:dyDescent="0.35">
      <c r="B4768" s="46"/>
      <c r="C4768" s="46"/>
      <c r="D4768" s="46"/>
      <c r="E4768" s="46"/>
      <c r="F4768" s="46"/>
      <c r="G4768" s="79"/>
    </row>
    <row r="4769" spans="2:7" x14ac:dyDescent="0.35">
      <c r="B4769" s="46"/>
      <c r="C4769" s="46"/>
      <c r="D4769" s="46"/>
      <c r="E4769" s="46"/>
      <c r="F4769" s="46"/>
      <c r="G4769" s="79"/>
    </row>
    <row r="4770" spans="2:7" x14ac:dyDescent="0.35">
      <c r="B4770" s="46"/>
      <c r="C4770" s="46"/>
      <c r="D4770" s="46"/>
      <c r="E4770" s="46"/>
      <c r="F4770" s="46"/>
      <c r="G4770" s="79"/>
    </row>
    <row r="4771" spans="2:7" x14ac:dyDescent="0.35">
      <c r="B4771" s="46"/>
      <c r="C4771" s="46"/>
      <c r="D4771" s="46"/>
      <c r="E4771" s="46"/>
      <c r="F4771" s="46"/>
      <c r="G4771" s="79"/>
    </row>
    <row r="4772" spans="2:7" x14ac:dyDescent="0.35">
      <c r="B4772" s="46"/>
      <c r="C4772" s="46"/>
      <c r="D4772" s="46"/>
      <c r="E4772" s="46"/>
      <c r="F4772" s="46"/>
      <c r="G4772" s="79"/>
    </row>
    <row r="4773" spans="2:7" x14ac:dyDescent="0.35">
      <c r="B4773" s="46"/>
      <c r="C4773" s="46"/>
      <c r="D4773" s="46"/>
      <c r="E4773" s="46"/>
      <c r="F4773" s="46"/>
      <c r="G4773" s="79"/>
    </row>
    <row r="4774" spans="2:7" x14ac:dyDescent="0.35">
      <c r="B4774" s="46"/>
      <c r="C4774" s="46"/>
      <c r="D4774" s="46"/>
      <c r="E4774" s="46"/>
      <c r="F4774" s="46"/>
      <c r="G4774" s="79"/>
    </row>
    <row r="4775" spans="2:7" x14ac:dyDescent="0.35">
      <c r="B4775" s="46"/>
      <c r="C4775" s="46"/>
      <c r="D4775" s="46"/>
      <c r="E4775" s="46"/>
      <c r="F4775" s="46"/>
      <c r="G4775" s="79"/>
    </row>
    <row r="4776" spans="2:7" x14ac:dyDescent="0.35">
      <c r="B4776" s="46"/>
      <c r="C4776" s="46"/>
      <c r="D4776" s="46"/>
      <c r="E4776" s="46"/>
      <c r="F4776" s="46"/>
      <c r="G4776" s="79"/>
    </row>
    <row r="4777" spans="2:7" x14ac:dyDescent="0.35">
      <c r="B4777" s="46"/>
      <c r="C4777" s="46"/>
      <c r="D4777" s="46"/>
      <c r="E4777" s="46"/>
      <c r="F4777" s="46"/>
      <c r="G4777" s="79"/>
    </row>
    <row r="4778" spans="2:7" x14ac:dyDescent="0.35">
      <c r="B4778" s="46"/>
      <c r="C4778" s="46"/>
      <c r="D4778" s="46"/>
      <c r="E4778" s="46"/>
      <c r="F4778" s="46"/>
      <c r="G4778" s="79"/>
    </row>
    <row r="4779" spans="2:7" x14ac:dyDescent="0.35">
      <c r="B4779" s="46"/>
      <c r="C4779" s="46"/>
      <c r="D4779" s="46"/>
      <c r="E4779" s="46"/>
      <c r="F4779" s="46"/>
      <c r="G4779" s="79"/>
    </row>
    <row r="4780" spans="2:7" x14ac:dyDescent="0.35">
      <c r="B4780" s="46"/>
      <c r="C4780" s="46"/>
      <c r="D4780" s="46"/>
      <c r="E4780" s="46"/>
      <c r="F4780" s="46"/>
      <c r="G4780" s="79"/>
    </row>
    <row r="4781" spans="2:7" x14ac:dyDescent="0.35">
      <c r="B4781" s="46"/>
      <c r="C4781" s="46"/>
      <c r="D4781" s="46"/>
      <c r="E4781" s="46"/>
      <c r="F4781" s="46"/>
      <c r="G4781" s="79"/>
    </row>
    <row r="4782" spans="2:7" x14ac:dyDescent="0.35">
      <c r="B4782" s="46"/>
      <c r="C4782" s="46"/>
      <c r="D4782" s="46"/>
      <c r="E4782" s="46"/>
      <c r="F4782" s="46"/>
      <c r="G4782" s="79"/>
    </row>
    <row r="4783" spans="2:7" x14ac:dyDescent="0.35">
      <c r="B4783" s="46"/>
      <c r="C4783" s="46"/>
      <c r="D4783" s="46"/>
      <c r="E4783" s="46"/>
      <c r="F4783" s="46"/>
      <c r="G4783" s="79"/>
    </row>
    <row r="4784" spans="2:7" x14ac:dyDescent="0.35">
      <c r="B4784" s="46"/>
      <c r="C4784" s="46"/>
      <c r="D4784" s="46"/>
      <c r="E4784" s="46"/>
      <c r="F4784" s="46"/>
      <c r="G4784" s="79"/>
    </row>
    <row r="4785" spans="2:7" x14ac:dyDescent="0.35">
      <c r="B4785" s="46"/>
      <c r="C4785" s="46"/>
      <c r="D4785" s="46"/>
      <c r="E4785" s="46"/>
      <c r="F4785" s="46"/>
      <c r="G4785" s="79"/>
    </row>
    <row r="4786" spans="2:7" x14ac:dyDescent="0.35">
      <c r="B4786" s="46"/>
      <c r="C4786" s="46"/>
      <c r="D4786" s="46"/>
      <c r="E4786" s="46"/>
      <c r="F4786" s="46"/>
      <c r="G4786" s="79"/>
    </row>
    <row r="4787" spans="2:7" x14ac:dyDescent="0.35">
      <c r="B4787" s="46"/>
      <c r="C4787" s="46"/>
      <c r="D4787" s="46"/>
      <c r="E4787" s="46"/>
      <c r="F4787" s="46"/>
      <c r="G4787" s="79"/>
    </row>
    <row r="4788" spans="2:7" x14ac:dyDescent="0.35">
      <c r="B4788" s="46"/>
      <c r="C4788" s="46"/>
      <c r="D4788" s="46"/>
      <c r="E4788" s="46"/>
      <c r="F4788" s="46"/>
      <c r="G4788" s="79"/>
    </row>
    <row r="4789" spans="2:7" x14ac:dyDescent="0.35">
      <c r="B4789" s="46"/>
      <c r="C4789" s="46"/>
      <c r="D4789" s="46"/>
      <c r="E4789" s="46"/>
      <c r="F4789" s="46"/>
      <c r="G4789" s="79"/>
    </row>
    <row r="4790" spans="2:7" x14ac:dyDescent="0.35">
      <c r="B4790" s="46"/>
      <c r="C4790" s="46"/>
      <c r="D4790" s="46"/>
      <c r="E4790" s="46"/>
      <c r="F4790" s="46"/>
      <c r="G4790" s="79"/>
    </row>
    <row r="4791" spans="2:7" x14ac:dyDescent="0.35">
      <c r="B4791" s="46"/>
      <c r="C4791" s="46"/>
      <c r="D4791" s="46"/>
      <c r="E4791" s="46"/>
      <c r="F4791" s="46"/>
      <c r="G4791" s="79"/>
    </row>
    <row r="4792" spans="2:7" x14ac:dyDescent="0.35">
      <c r="B4792" s="46"/>
      <c r="C4792" s="46"/>
      <c r="D4792" s="46"/>
      <c r="E4792" s="46"/>
      <c r="F4792" s="46"/>
      <c r="G4792" s="79"/>
    </row>
    <row r="4793" spans="2:7" x14ac:dyDescent="0.35">
      <c r="B4793" s="46"/>
      <c r="C4793" s="46"/>
      <c r="D4793" s="46"/>
      <c r="E4793" s="46"/>
      <c r="F4793" s="46"/>
      <c r="G4793" s="79"/>
    </row>
    <row r="4794" spans="2:7" x14ac:dyDescent="0.35">
      <c r="B4794" s="46"/>
      <c r="C4794" s="46"/>
      <c r="D4794" s="46"/>
      <c r="E4794" s="46"/>
      <c r="F4794" s="46"/>
      <c r="G4794" s="79"/>
    </row>
    <row r="4795" spans="2:7" x14ac:dyDescent="0.35">
      <c r="B4795" s="46"/>
      <c r="C4795" s="46"/>
      <c r="D4795" s="46"/>
      <c r="E4795" s="46"/>
      <c r="F4795" s="46"/>
      <c r="G4795" s="79"/>
    </row>
    <row r="4796" spans="2:7" x14ac:dyDescent="0.35">
      <c r="B4796" s="46"/>
      <c r="C4796" s="46"/>
      <c r="D4796" s="46"/>
      <c r="E4796" s="46"/>
      <c r="F4796" s="46"/>
      <c r="G4796" s="79"/>
    </row>
    <row r="4797" spans="2:7" x14ac:dyDescent="0.35">
      <c r="B4797" s="46"/>
      <c r="C4797" s="46"/>
      <c r="D4797" s="46"/>
      <c r="E4797" s="46"/>
      <c r="F4797" s="46"/>
      <c r="G4797" s="79"/>
    </row>
    <row r="4798" spans="2:7" x14ac:dyDescent="0.35">
      <c r="B4798" s="46"/>
      <c r="C4798" s="46"/>
      <c r="D4798" s="46"/>
      <c r="E4798" s="46"/>
      <c r="F4798" s="46"/>
      <c r="G4798" s="79"/>
    </row>
    <row r="4799" spans="2:7" x14ac:dyDescent="0.35">
      <c r="B4799" s="46"/>
      <c r="C4799" s="46"/>
      <c r="D4799" s="46"/>
      <c r="E4799" s="46"/>
      <c r="F4799" s="46"/>
      <c r="G4799" s="79"/>
    </row>
    <row r="4800" spans="2:7" x14ac:dyDescent="0.35">
      <c r="B4800" s="46"/>
      <c r="C4800" s="46"/>
      <c r="D4800" s="46"/>
      <c r="E4800" s="46"/>
      <c r="F4800" s="46"/>
      <c r="G4800" s="79"/>
    </row>
    <row r="4801" spans="2:7" x14ac:dyDescent="0.35">
      <c r="B4801" s="46"/>
      <c r="C4801" s="46"/>
      <c r="D4801" s="46"/>
      <c r="E4801" s="46"/>
      <c r="F4801" s="46"/>
      <c r="G4801" s="79"/>
    </row>
    <row r="4802" spans="2:7" x14ac:dyDescent="0.35">
      <c r="B4802" s="46"/>
      <c r="C4802" s="46"/>
      <c r="D4802" s="46"/>
      <c r="E4802" s="46"/>
      <c r="F4802" s="46"/>
      <c r="G4802" s="79"/>
    </row>
    <row r="4803" spans="2:7" x14ac:dyDescent="0.35">
      <c r="B4803" s="46"/>
      <c r="C4803" s="46"/>
      <c r="D4803" s="46"/>
      <c r="E4803" s="46"/>
      <c r="F4803" s="46"/>
      <c r="G4803" s="79"/>
    </row>
    <row r="4804" spans="2:7" x14ac:dyDescent="0.35">
      <c r="B4804" s="46"/>
      <c r="C4804" s="46"/>
      <c r="D4804" s="46"/>
      <c r="E4804" s="46"/>
      <c r="F4804" s="46"/>
      <c r="G4804" s="79"/>
    </row>
    <row r="4805" spans="2:7" x14ac:dyDescent="0.35">
      <c r="B4805" s="46"/>
      <c r="C4805" s="46"/>
      <c r="D4805" s="46"/>
      <c r="E4805" s="46"/>
      <c r="F4805" s="46"/>
      <c r="G4805" s="79"/>
    </row>
    <row r="4806" spans="2:7" x14ac:dyDescent="0.35">
      <c r="B4806" s="46"/>
      <c r="C4806" s="46"/>
      <c r="D4806" s="46"/>
      <c r="E4806" s="46"/>
      <c r="F4806" s="46"/>
      <c r="G4806" s="79"/>
    </row>
    <row r="4807" spans="2:7" x14ac:dyDescent="0.35">
      <c r="B4807" s="46"/>
      <c r="C4807" s="46"/>
      <c r="D4807" s="46"/>
      <c r="E4807" s="46"/>
      <c r="F4807" s="46"/>
      <c r="G4807" s="79"/>
    </row>
    <row r="4808" spans="2:7" x14ac:dyDescent="0.35">
      <c r="B4808" s="46"/>
      <c r="C4808" s="46"/>
      <c r="D4808" s="46"/>
      <c r="E4808" s="46"/>
      <c r="F4808" s="46"/>
      <c r="G4808" s="79"/>
    </row>
    <row r="4809" spans="2:7" x14ac:dyDescent="0.35">
      <c r="B4809" s="46"/>
      <c r="C4809" s="46"/>
      <c r="D4809" s="46"/>
      <c r="E4809" s="46"/>
      <c r="F4809" s="46"/>
      <c r="G4809" s="79"/>
    </row>
    <row r="4810" spans="2:7" x14ac:dyDescent="0.35">
      <c r="B4810" s="46"/>
      <c r="C4810" s="46"/>
      <c r="D4810" s="46"/>
      <c r="E4810" s="46"/>
      <c r="F4810" s="46"/>
      <c r="G4810" s="79"/>
    </row>
    <row r="4811" spans="2:7" x14ac:dyDescent="0.35">
      <c r="B4811" s="46"/>
      <c r="C4811" s="46"/>
      <c r="D4811" s="46"/>
      <c r="E4811" s="46"/>
      <c r="F4811" s="46"/>
      <c r="G4811" s="79"/>
    </row>
    <row r="4812" spans="2:7" x14ac:dyDescent="0.35">
      <c r="B4812" s="46"/>
      <c r="C4812" s="46"/>
      <c r="D4812" s="46"/>
      <c r="E4812" s="46"/>
      <c r="F4812" s="46"/>
      <c r="G4812" s="79"/>
    </row>
    <row r="4813" spans="2:7" x14ac:dyDescent="0.35">
      <c r="B4813" s="46"/>
      <c r="C4813" s="46"/>
      <c r="D4813" s="46"/>
      <c r="E4813" s="46"/>
      <c r="F4813" s="46"/>
      <c r="G4813" s="79"/>
    </row>
    <row r="4814" spans="2:7" x14ac:dyDescent="0.35">
      <c r="B4814" s="46"/>
      <c r="C4814" s="46"/>
      <c r="D4814" s="46"/>
      <c r="E4814" s="46"/>
      <c r="F4814" s="46"/>
      <c r="G4814" s="79"/>
    </row>
    <row r="4815" spans="2:7" x14ac:dyDescent="0.35">
      <c r="B4815" s="46"/>
      <c r="C4815" s="46"/>
      <c r="D4815" s="46"/>
      <c r="E4815" s="46"/>
      <c r="F4815" s="46"/>
      <c r="G4815" s="79"/>
    </row>
    <row r="4816" spans="2:7" x14ac:dyDescent="0.35">
      <c r="B4816" s="46"/>
      <c r="C4816" s="46"/>
      <c r="D4816" s="46"/>
      <c r="E4816" s="46"/>
      <c r="F4816" s="46"/>
      <c r="G4816" s="79"/>
    </row>
    <row r="4817" spans="2:7" x14ac:dyDescent="0.35">
      <c r="B4817" s="46"/>
      <c r="C4817" s="46"/>
      <c r="D4817" s="46"/>
      <c r="E4817" s="46"/>
      <c r="F4817" s="46"/>
      <c r="G4817" s="79"/>
    </row>
    <row r="4818" spans="2:7" x14ac:dyDescent="0.35">
      <c r="B4818" s="46"/>
      <c r="C4818" s="46"/>
      <c r="D4818" s="46"/>
      <c r="E4818" s="46"/>
      <c r="F4818" s="46"/>
      <c r="G4818" s="79"/>
    </row>
    <row r="4819" spans="2:7" x14ac:dyDescent="0.35">
      <c r="B4819" s="46"/>
      <c r="C4819" s="46"/>
      <c r="D4819" s="46"/>
      <c r="E4819" s="46"/>
      <c r="F4819" s="46"/>
      <c r="G4819" s="79"/>
    </row>
    <row r="4820" spans="2:7" x14ac:dyDescent="0.35">
      <c r="B4820" s="46"/>
      <c r="C4820" s="46"/>
      <c r="D4820" s="46"/>
      <c r="E4820" s="46"/>
      <c r="F4820" s="46"/>
      <c r="G4820" s="79"/>
    </row>
    <row r="4821" spans="2:7" x14ac:dyDescent="0.35">
      <c r="B4821" s="46"/>
      <c r="C4821" s="46"/>
      <c r="D4821" s="46"/>
      <c r="E4821" s="46"/>
      <c r="F4821" s="46"/>
      <c r="G4821" s="79"/>
    </row>
    <row r="4822" spans="2:7" x14ac:dyDescent="0.35">
      <c r="B4822" s="46"/>
      <c r="C4822" s="46"/>
      <c r="D4822" s="46"/>
      <c r="E4822" s="46"/>
      <c r="F4822" s="46"/>
      <c r="G4822" s="79"/>
    </row>
    <row r="4823" spans="2:7" x14ac:dyDescent="0.35">
      <c r="B4823" s="46"/>
      <c r="C4823" s="46"/>
      <c r="D4823" s="46"/>
      <c r="E4823" s="46"/>
      <c r="F4823" s="46"/>
      <c r="G4823" s="79"/>
    </row>
    <row r="4824" spans="2:7" x14ac:dyDescent="0.35">
      <c r="B4824" s="46"/>
      <c r="C4824" s="46"/>
      <c r="D4824" s="46"/>
      <c r="E4824" s="46"/>
      <c r="F4824" s="46"/>
      <c r="G4824" s="79"/>
    </row>
    <row r="4825" spans="2:7" x14ac:dyDescent="0.35">
      <c r="B4825" s="46"/>
      <c r="C4825" s="46"/>
      <c r="D4825" s="46"/>
      <c r="E4825" s="46"/>
      <c r="F4825" s="46"/>
      <c r="G4825" s="79"/>
    </row>
    <row r="4826" spans="2:7" x14ac:dyDescent="0.35">
      <c r="B4826" s="46"/>
      <c r="C4826" s="46"/>
      <c r="D4826" s="46"/>
      <c r="E4826" s="46"/>
      <c r="F4826" s="46"/>
      <c r="G4826" s="79"/>
    </row>
    <row r="4827" spans="2:7" x14ac:dyDescent="0.35">
      <c r="B4827" s="46"/>
      <c r="C4827" s="46"/>
      <c r="D4827" s="46"/>
      <c r="E4827" s="46"/>
      <c r="F4827" s="46"/>
      <c r="G4827" s="79"/>
    </row>
    <row r="4828" spans="2:7" x14ac:dyDescent="0.35">
      <c r="B4828" s="46"/>
      <c r="C4828" s="46"/>
      <c r="D4828" s="46"/>
      <c r="E4828" s="46"/>
      <c r="F4828" s="46"/>
      <c r="G4828" s="79"/>
    </row>
    <row r="4829" spans="2:7" x14ac:dyDescent="0.35">
      <c r="B4829" s="46"/>
      <c r="C4829" s="46"/>
      <c r="D4829" s="46"/>
      <c r="E4829" s="46"/>
      <c r="F4829" s="46"/>
      <c r="G4829" s="79"/>
    </row>
    <row r="4830" spans="2:7" x14ac:dyDescent="0.35">
      <c r="B4830" s="46"/>
      <c r="C4830" s="46"/>
      <c r="D4830" s="46"/>
      <c r="E4830" s="46"/>
      <c r="F4830" s="46"/>
      <c r="G4830" s="79"/>
    </row>
    <row r="4831" spans="2:7" x14ac:dyDescent="0.35">
      <c r="B4831" s="46"/>
      <c r="C4831" s="46"/>
      <c r="D4831" s="46"/>
      <c r="E4831" s="46"/>
      <c r="F4831" s="46"/>
      <c r="G4831" s="79"/>
    </row>
    <row r="4832" spans="2:7" x14ac:dyDescent="0.35">
      <c r="B4832" s="46"/>
      <c r="C4832" s="46"/>
      <c r="D4832" s="46"/>
      <c r="E4832" s="46"/>
      <c r="F4832" s="46"/>
      <c r="G4832" s="79"/>
    </row>
    <row r="4833" spans="2:7" x14ac:dyDescent="0.35">
      <c r="B4833" s="46"/>
      <c r="C4833" s="46"/>
      <c r="D4833" s="46"/>
      <c r="E4833" s="46"/>
      <c r="F4833" s="46"/>
      <c r="G4833" s="79"/>
    </row>
    <row r="4834" spans="2:7" x14ac:dyDescent="0.35">
      <c r="B4834" s="46"/>
      <c r="C4834" s="46"/>
      <c r="D4834" s="46"/>
      <c r="E4834" s="46"/>
      <c r="F4834" s="46"/>
      <c r="G4834" s="79"/>
    </row>
    <row r="4835" spans="2:7" x14ac:dyDescent="0.35">
      <c r="B4835" s="46"/>
      <c r="C4835" s="46"/>
      <c r="D4835" s="46"/>
      <c r="E4835" s="46"/>
      <c r="F4835" s="46"/>
      <c r="G4835" s="79"/>
    </row>
    <row r="4836" spans="2:7" x14ac:dyDescent="0.35">
      <c r="B4836" s="46"/>
      <c r="C4836" s="46"/>
      <c r="D4836" s="46"/>
      <c r="E4836" s="46"/>
      <c r="F4836" s="46"/>
      <c r="G4836" s="79"/>
    </row>
    <row r="4837" spans="2:7" x14ac:dyDescent="0.35">
      <c r="B4837" s="46"/>
      <c r="C4837" s="46"/>
      <c r="D4837" s="46"/>
      <c r="E4837" s="46"/>
      <c r="F4837" s="46"/>
      <c r="G4837" s="79"/>
    </row>
    <row r="4838" spans="2:7" x14ac:dyDescent="0.35">
      <c r="B4838" s="46"/>
      <c r="C4838" s="46"/>
      <c r="D4838" s="46"/>
      <c r="E4838" s="46"/>
      <c r="F4838" s="46"/>
      <c r="G4838" s="79"/>
    </row>
    <row r="4839" spans="2:7" x14ac:dyDescent="0.35">
      <c r="B4839" s="46"/>
      <c r="C4839" s="46"/>
      <c r="D4839" s="46"/>
      <c r="E4839" s="46"/>
      <c r="F4839" s="46"/>
      <c r="G4839" s="79"/>
    </row>
    <row r="4840" spans="2:7" x14ac:dyDescent="0.35">
      <c r="B4840" s="46"/>
      <c r="C4840" s="46"/>
      <c r="D4840" s="46"/>
      <c r="E4840" s="46"/>
      <c r="F4840" s="46"/>
      <c r="G4840" s="79"/>
    </row>
    <row r="4841" spans="2:7" x14ac:dyDescent="0.35">
      <c r="B4841" s="46"/>
      <c r="C4841" s="46"/>
      <c r="D4841" s="46"/>
      <c r="E4841" s="46"/>
      <c r="F4841" s="46"/>
      <c r="G4841" s="79"/>
    </row>
    <row r="4842" spans="2:7" x14ac:dyDescent="0.35">
      <c r="B4842" s="46"/>
      <c r="C4842" s="46"/>
      <c r="D4842" s="46"/>
      <c r="E4842" s="46"/>
      <c r="F4842" s="46"/>
      <c r="G4842" s="79"/>
    </row>
    <row r="4843" spans="2:7" x14ac:dyDescent="0.35">
      <c r="B4843" s="46"/>
      <c r="C4843" s="46"/>
      <c r="D4843" s="46"/>
      <c r="E4843" s="46"/>
      <c r="F4843" s="46"/>
      <c r="G4843" s="79"/>
    </row>
    <row r="4844" spans="2:7" x14ac:dyDescent="0.35">
      <c r="B4844" s="46"/>
      <c r="C4844" s="46"/>
      <c r="D4844" s="46"/>
      <c r="E4844" s="46"/>
      <c r="F4844" s="46"/>
      <c r="G4844" s="79"/>
    </row>
    <row r="4845" spans="2:7" x14ac:dyDescent="0.35">
      <c r="B4845" s="46"/>
      <c r="C4845" s="46"/>
      <c r="D4845" s="46"/>
      <c r="E4845" s="46"/>
      <c r="F4845" s="46"/>
      <c r="G4845" s="79"/>
    </row>
    <row r="4846" spans="2:7" x14ac:dyDescent="0.35">
      <c r="B4846" s="46"/>
      <c r="C4846" s="46"/>
      <c r="D4846" s="46"/>
      <c r="E4846" s="46"/>
      <c r="F4846" s="46"/>
      <c r="G4846" s="79"/>
    </row>
    <row r="4847" spans="2:7" x14ac:dyDescent="0.35">
      <c r="B4847" s="46"/>
      <c r="C4847" s="46"/>
      <c r="D4847" s="46"/>
      <c r="E4847" s="46"/>
      <c r="F4847" s="46"/>
      <c r="G4847" s="79"/>
    </row>
    <row r="4848" spans="2:7" x14ac:dyDescent="0.35">
      <c r="B4848" s="46"/>
      <c r="C4848" s="46"/>
      <c r="D4848" s="46"/>
      <c r="E4848" s="46"/>
      <c r="F4848" s="46"/>
      <c r="G4848" s="79"/>
    </row>
    <row r="4849" spans="2:7" x14ac:dyDescent="0.35">
      <c r="B4849" s="46"/>
      <c r="C4849" s="46"/>
      <c r="D4849" s="46"/>
      <c r="E4849" s="46"/>
      <c r="F4849" s="46"/>
      <c r="G4849" s="79"/>
    </row>
    <row r="4850" spans="2:7" x14ac:dyDescent="0.35">
      <c r="B4850" s="46"/>
      <c r="C4850" s="46"/>
      <c r="D4850" s="46"/>
      <c r="E4850" s="46"/>
      <c r="F4850" s="46"/>
      <c r="G4850" s="79"/>
    </row>
    <row r="4851" spans="2:7" x14ac:dyDescent="0.35">
      <c r="B4851" s="46"/>
      <c r="C4851" s="46"/>
      <c r="D4851" s="46"/>
      <c r="E4851" s="46"/>
      <c r="F4851" s="46"/>
      <c r="G4851" s="79"/>
    </row>
    <row r="4852" spans="2:7" x14ac:dyDescent="0.35">
      <c r="B4852" s="46"/>
      <c r="C4852" s="46"/>
      <c r="D4852" s="46"/>
      <c r="E4852" s="46"/>
      <c r="F4852" s="46"/>
      <c r="G4852" s="79"/>
    </row>
    <row r="4853" spans="2:7" x14ac:dyDescent="0.35">
      <c r="B4853" s="46"/>
      <c r="C4853" s="46"/>
      <c r="D4853" s="46"/>
      <c r="E4853" s="46"/>
      <c r="F4853" s="46"/>
      <c r="G4853" s="79"/>
    </row>
    <row r="4854" spans="2:7" x14ac:dyDescent="0.35">
      <c r="B4854" s="46"/>
      <c r="C4854" s="46"/>
      <c r="D4854" s="46"/>
      <c r="E4854" s="46"/>
      <c r="F4854" s="46"/>
      <c r="G4854" s="79"/>
    </row>
    <row r="4855" spans="2:7" x14ac:dyDescent="0.35">
      <c r="B4855" s="46"/>
      <c r="C4855" s="46"/>
      <c r="D4855" s="46"/>
      <c r="E4855" s="46"/>
      <c r="F4855" s="46"/>
      <c r="G4855" s="79"/>
    </row>
    <row r="4856" spans="2:7" x14ac:dyDescent="0.35">
      <c r="B4856" s="46"/>
      <c r="C4856" s="46"/>
      <c r="D4856" s="46"/>
      <c r="E4856" s="46"/>
      <c r="F4856" s="46"/>
      <c r="G4856" s="79"/>
    </row>
    <row r="4857" spans="2:7" x14ac:dyDescent="0.35">
      <c r="B4857" s="46"/>
      <c r="C4857" s="46"/>
      <c r="D4857" s="46"/>
      <c r="E4857" s="46"/>
      <c r="F4857" s="46"/>
      <c r="G4857" s="79"/>
    </row>
    <row r="4858" spans="2:7" x14ac:dyDescent="0.35">
      <c r="B4858" s="46"/>
      <c r="C4858" s="46"/>
      <c r="D4858" s="46"/>
      <c r="E4858" s="46"/>
      <c r="F4858" s="46"/>
      <c r="G4858" s="79"/>
    </row>
    <row r="4859" spans="2:7" x14ac:dyDescent="0.35">
      <c r="B4859" s="46"/>
      <c r="C4859" s="46"/>
      <c r="D4859" s="46"/>
      <c r="E4859" s="46"/>
      <c r="F4859" s="46"/>
      <c r="G4859" s="79"/>
    </row>
    <row r="4860" spans="2:7" x14ac:dyDescent="0.35">
      <c r="B4860" s="46"/>
      <c r="C4860" s="46"/>
      <c r="D4860" s="46"/>
      <c r="E4860" s="46"/>
      <c r="F4860" s="46"/>
      <c r="G4860" s="79"/>
    </row>
    <row r="4861" spans="2:7" x14ac:dyDescent="0.35">
      <c r="B4861" s="46"/>
      <c r="C4861" s="46"/>
      <c r="D4861" s="46"/>
      <c r="E4861" s="46"/>
      <c r="F4861" s="46"/>
      <c r="G4861" s="79"/>
    </row>
    <row r="4862" spans="2:7" x14ac:dyDescent="0.35">
      <c r="B4862" s="46"/>
      <c r="C4862" s="46"/>
      <c r="D4862" s="46"/>
      <c r="E4862" s="46"/>
      <c r="F4862" s="46"/>
      <c r="G4862" s="79"/>
    </row>
    <row r="4863" spans="2:7" x14ac:dyDescent="0.35">
      <c r="B4863" s="46"/>
      <c r="C4863" s="46"/>
      <c r="D4863" s="46"/>
      <c r="E4863" s="46"/>
      <c r="F4863" s="46"/>
      <c r="G4863" s="79"/>
    </row>
    <row r="4864" spans="2:7" x14ac:dyDescent="0.35">
      <c r="B4864" s="46"/>
      <c r="C4864" s="46"/>
      <c r="D4864" s="46"/>
      <c r="E4864" s="46"/>
      <c r="F4864" s="46"/>
      <c r="G4864" s="79"/>
    </row>
    <row r="4865" spans="2:7" x14ac:dyDescent="0.35">
      <c r="B4865" s="46"/>
      <c r="C4865" s="46"/>
      <c r="D4865" s="46"/>
      <c r="E4865" s="46"/>
      <c r="F4865" s="46"/>
      <c r="G4865" s="79"/>
    </row>
    <row r="4866" spans="2:7" x14ac:dyDescent="0.35">
      <c r="B4866" s="46"/>
      <c r="C4866" s="46"/>
      <c r="D4866" s="46"/>
      <c r="E4866" s="46"/>
      <c r="F4866" s="46"/>
      <c r="G4866" s="79"/>
    </row>
    <row r="4867" spans="2:7" x14ac:dyDescent="0.35">
      <c r="B4867" s="46"/>
      <c r="C4867" s="46"/>
      <c r="D4867" s="46"/>
      <c r="E4867" s="46"/>
      <c r="F4867" s="46"/>
      <c r="G4867" s="79"/>
    </row>
    <row r="4868" spans="2:7" x14ac:dyDescent="0.35">
      <c r="B4868" s="46"/>
      <c r="C4868" s="46"/>
      <c r="D4868" s="46"/>
      <c r="E4868" s="46"/>
      <c r="F4868" s="46"/>
      <c r="G4868" s="79"/>
    </row>
    <row r="4869" spans="2:7" x14ac:dyDescent="0.35">
      <c r="B4869" s="46"/>
      <c r="C4869" s="46"/>
      <c r="D4869" s="46"/>
      <c r="E4869" s="46"/>
      <c r="F4869" s="46"/>
      <c r="G4869" s="79"/>
    </row>
    <row r="4870" spans="2:7" x14ac:dyDescent="0.35">
      <c r="B4870" s="46"/>
      <c r="C4870" s="46"/>
      <c r="D4870" s="46"/>
      <c r="E4870" s="46"/>
      <c r="F4870" s="46"/>
      <c r="G4870" s="79"/>
    </row>
    <row r="4871" spans="2:7" x14ac:dyDescent="0.35">
      <c r="B4871" s="46"/>
      <c r="C4871" s="46"/>
      <c r="D4871" s="46"/>
      <c r="E4871" s="46"/>
      <c r="F4871" s="46"/>
      <c r="G4871" s="79"/>
    </row>
    <row r="4872" spans="2:7" x14ac:dyDescent="0.35">
      <c r="B4872" s="46"/>
      <c r="C4872" s="46"/>
      <c r="D4872" s="46"/>
      <c r="E4872" s="46"/>
      <c r="F4872" s="46"/>
      <c r="G4872" s="79"/>
    </row>
    <row r="4873" spans="2:7" x14ac:dyDescent="0.35">
      <c r="B4873" s="46"/>
      <c r="C4873" s="46"/>
      <c r="D4873" s="46"/>
      <c r="E4873" s="46"/>
      <c r="F4873" s="46"/>
      <c r="G4873" s="79"/>
    </row>
    <row r="4874" spans="2:7" x14ac:dyDescent="0.35">
      <c r="B4874" s="46"/>
      <c r="C4874" s="46"/>
      <c r="D4874" s="46"/>
      <c r="E4874" s="46"/>
      <c r="F4874" s="46"/>
      <c r="G4874" s="79"/>
    </row>
    <row r="4875" spans="2:7" x14ac:dyDescent="0.35">
      <c r="B4875" s="46"/>
      <c r="C4875" s="46"/>
      <c r="D4875" s="46"/>
      <c r="E4875" s="46"/>
      <c r="F4875" s="46"/>
      <c r="G4875" s="79"/>
    </row>
    <row r="4876" spans="2:7" x14ac:dyDescent="0.35">
      <c r="B4876" s="46"/>
      <c r="C4876" s="46"/>
      <c r="D4876" s="46"/>
      <c r="E4876" s="46"/>
      <c r="F4876" s="46"/>
      <c r="G4876" s="79"/>
    </row>
    <row r="4877" spans="2:7" x14ac:dyDescent="0.35">
      <c r="B4877" s="46"/>
      <c r="C4877" s="46"/>
      <c r="D4877" s="46"/>
      <c r="E4877" s="46"/>
      <c r="F4877" s="46"/>
      <c r="G4877" s="79"/>
    </row>
    <row r="4878" spans="2:7" x14ac:dyDescent="0.35">
      <c r="B4878" s="46"/>
      <c r="C4878" s="46"/>
      <c r="D4878" s="46"/>
      <c r="E4878" s="46"/>
      <c r="F4878" s="46"/>
      <c r="G4878" s="79"/>
    </row>
    <row r="4879" spans="2:7" x14ac:dyDescent="0.35">
      <c r="B4879" s="46"/>
      <c r="C4879" s="46"/>
      <c r="D4879" s="46"/>
      <c r="E4879" s="46"/>
      <c r="F4879" s="46"/>
      <c r="G4879" s="79"/>
    </row>
    <row r="4880" spans="2:7" x14ac:dyDescent="0.35">
      <c r="B4880" s="46"/>
      <c r="C4880" s="46"/>
      <c r="D4880" s="46"/>
      <c r="E4880" s="46"/>
      <c r="F4880" s="46"/>
      <c r="G4880" s="79"/>
    </row>
    <row r="4881" spans="2:7" x14ac:dyDescent="0.35">
      <c r="B4881" s="46"/>
      <c r="C4881" s="46"/>
      <c r="D4881" s="46"/>
      <c r="E4881" s="46"/>
      <c r="F4881" s="46"/>
      <c r="G4881" s="79"/>
    </row>
    <row r="4882" spans="2:7" x14ac:dyDescent="0.35">
      <c r="B4882" s="46"/>
      <c r="C4882" s="46"/>
      <c r="D4882" s="46"/>
      <c r="E4882" s="46"/>
      <c r="F4882" s="46"/>
      <c r="G4882" s="79"/>
    </row>
    <row r="4883" spans="2:7" x14ac:dyDescent="0.35">
      <c r="B4883" s="46"/>
      <c r="C4883" s="46"/>
      <c r="D4883" s="46"/>
      <c r="E4883" s="46"/>
      <c r="F4883" s="46"/>
      <c r="G4883" s="79"/>
    </row>
    <row r="4884" spans="2:7" x14ac:dyDescent="0.35">
      <c r="B4884" s="46"/>
      <c r="C4884" s="46"/>
      <c r="D4884" s="46"/>
      <c r="E4884" s="46"/>
      <c r="F4884" s="46"/>
      <c r="G4884" s="79"/>
    </row>
    <row r="4885" spans="2:7" x14ac:dyDescent="0.35">
      <c r="B4885" s="46"/>
      <c r="C4885" s="46"/>
      <c r="D4885" s="46"/>
      <c r="E4885" s="46"/>
      <c r="F4885" s="46"/>
      <c r="G4885" s="79"/>
    </row>
    <row r="4886" spans="2:7" x14ac:dyDescent="0.35">
      <c r="B4886" s="46"/>
      <c r="C4886" s="46"/>
      <c r="D4886" s="46"/>
      <c r="E4886" s="46"/>
      <c r="F4886" s="46"/>
      <c r="G4886" s="79"/>
    </row>
    <row r="4887" spans="2:7" x14ac:dyDescent="0.35">
      <c r="B4887" s="46"/>
      <c r="C4887" s="46"/>
      <c r="D4887" s="46"/>
      <c r="E4887" s="46"/>
      <c r="F4887" s="46"/>
      <c r="G4887" s="79"/>
    </row>
    <row r="4888" spans="2:7" x14ac:dyDescent="0.35">
      <c r="B4888" s="46"/>
      <c r="C4888" s="46"/>
      <c r="D4888" s="46"/>
      <c r="E4888" s="46"/>
      <c r="F4888" s="46"/>
      <c r="G4888" s="79"/>
    </row>
    <row r="4889" spans="2:7" x14ac:dyDescent="0.35">
      <c r="B4889" s="46"/>
      <c r="C4889" s="46"/>
      <c r="D4889" s="46"/>
      <c r="E4889" s="46"/>
      <c r="F4889" s="46"/>
      <c r="G4889" s="79"/>
    </row>
    <row r="4890" spans="2:7" x14ac:dyDescent="0.35">
      <c r="B4890" s="46"/>
      <c r="C4890" s="46"/>
      <c r="D4890" s="46"/>
      <c r="E4890" s="46"/>
      <c r="F4890" s="46"/>
      <c r="G4890" s="79"/>
    </row>
    <row r="4891" spans="2:7" x14ac:dyDescent="0.35">
      <c r="B4891" s="46"/>
      <c r="C4891" s="46"/>
      <c r="D4891" s="46"/>
      <c r="E4891" s="46"/>
      <c r="F4891" s="46"/>
      <c r="G4891" s="79"/>
    </row>
    <row r="4892" spans="2:7" x14ac:dyDescent="0.35">
      <c r="B4892" s="46"/>
      <c r="C4892" s="46"/>
      <c r="D4892" s="46"/>
      <c r="E4892" s="46"/>
      <c r="F4892" s="46"/>
      <c r="G4892" s="79"/>
    </row>
    <row r="4893" spans="2:7" x14ac:dyDescent="0.35">
      <c r="B4893" s="46"/>
      <c r="C4893" s="46"/>
      <c r="D4893" s="46"/>
      <c r="E4893" s="46"/>
      <c r="F4893" s="46"/>
      <c r="G4893" s="79"/>
    </row>
    <row r="4894" spans="2:7" x14ac:dyDescent="0.35">
      <c r="B4894" s="46"/>
      <c r="C4894" s="46"/>
      <c r="D4894" s="46"/>
      <c r="E4894" s="46"/>
      <c r="F4894" s="46"/>
      <c r="G4894" s="79"/>
    </row>
    <row r="4895" spans="2:7" x14ac:dyDescent="0.35">
      <c r="B4895" s="46"/>
      <c r="C4895" s="46"/>
      <c r="D4895" s="46"/>
      <c r="E4895" s="46"/>
      <c r="F4895" s="46"/>
      <c r="G4895" s="79"/>
    </row>
    <row r="4896" spans="2:7" x14ac:dyDescent="0.35">
      <c r="B4896" s="46"/>
      <c r="C4896" s="46"/>
      <c r="D4896" s="46"/>
      <c r="E4896" s="46"/>
      <c r="F4896" s="46"/>
      <c r="G4896" s="79"/>
    </row>
    <row r="4897" spans="2:7" x14ac:dyDescent="0.35">
      <c r="B4897" s="46"/>
      <c r="C4897" s="46"/>
      <c r="D4897" s="46"/>
      <c r="E4897" s="46"/>
      <c r="F4897" s="46"/>
      <c r="G4897" s="79"/>
    </row>
    <row r="4898" spans="2:7" x14ac:dyDescent="0.35">
      <c r="B4898" s="46"/>
      <c r="C4898" s="46"/>
      <c r="D4898" s="46"/>
      <c r="E4898" s="46"/>
      <c r="F4898" s="46"/>
      <c r="G4898" s="79"/>
    </row>
    <row r="4899" spans="2:7" x14ac:dyDescent="0.35">
      <c r="B4899" s="46"/>
      <c r="C4899" s="46"/>
      <c r="D4899" s="46"/>
      <c r="E4899" s="46"/>
      <c r="F4899" s="46"/>
      <c r="G4899" s="79"/>
    </row>
    <row r="4900" spans="2:7" x14ac:dyDescent="0.35">
      <c r="B4900" s="46"/>
      <c r="C4900" s="46"/>
      <c r="D4900" s="46"/>
      <c r="E4900" s="46"/>
      <c r="F4900" s="46"/>
      <c r="G4900" s="79"/>
    </row>
    <row r="4901" spans="2:7" x14ac:dyDescent="0.35">
      <c r="B4901" s="46"/>
      <c r="C4901" s="46"/>
      <c r="D4901" s="46"/>
      <c r="E4901" s="46"/>
      <c r="F4901" s="46"/>
      <c r="G4901" s="79"/>
    </row>
    <row r="4902" spans="2:7" x14ac:dyDescent="0.35">
      <c r="B4902" s="46"/>
      <c r="C4902" s="46"/>
      <c r="D4902" s="46"/>
      <c r="E4902" s="46"/>
      <c r="F4902" s="46"/>
      <c r="G4902" s="79"/>
    </row>
    <row r="4903" spans="2:7" x14ac:dyDescent="0.35">
      <c r="B4903" s="46"/>
      <c r="C4903" s="46"/>
      <c r="D4903" s="46"/>
      <c r="E4903" s="46"/>
      <c r="F4903" s="46"/>
      <c r="G4903" s="79"/>
    </row>
    <row r="4904" spans="2:7" x14ac:dyDescent="0.35">
      <c r="B4904" s="46"/>
      <c r="C4904" s="46"/>
      <c r="D4904" s="46"/>
      <c r="E4904" s="46"/>
      <c r="F4904" s="46"/>
      <c r="G4904" s="79"/>
    </row>
    <row r="4905" spans="2:7" x14ac:dyDescent="0.35">
      <c r="B4905" s="46"/>
      <c r="C4905" s="46"/>
      <c r="D4905" s="46"/>
      <c r="E4905" s="46"/>
      <c r="F4905" s="46"/>
      <c r="G4905" s="79"/>
    </row>
    <row r="4906" spans="2:7" x14ac:dyDescent="0.35">
      <c r="B4906" s="46"/>
      <c r="C4906" s="46"/>
      <c r="D4906" s="46"/>
      <c r="E4906" s="46"/>
      <c r="F4906" s="46"/>
      <c r="G4906" s="79"/>
    </row>
    <row r="4907" spans="2:7" x14ac:dyDescent="0.35">
      <c r="B4907" s="46"/>
      <c r="C4907" s="46"/>
      <c r="D4907" s="46"/>
      <c r="E4907" s="46"/>
      <c r="F4907" s="46"/>
      <c r="G4907" s="79"/>
    </row>
    <row r="4908" spans="2:7" x14ac:dyDescent="0.35">
      <c r="B4908" s="46"/>
      <c r="C4908" s="46"/>
      <c r="D4908" s="46"/>
      <c r="E4908" s="46"/>
      <c r="F4908" s="46"/>
      <c r="G4908" s="79"/>
    </row>
    <row r="4909" spans="2:7" x14ac:dyDescent="0.35">
      <c r="B4909" s="46"/>
      <c r="C4909" s="46"/>
      <c r="D4909" s="46"/>
      <c r="E4909" s="46"/>
      <c r="F4909" s="46"/>
      <c r="G4909" s="79"/>
    </row>
    <row r="4910" spans="2:7" x14ac:dyDescent="0.35">
      <c r="B4910" s="46"/>
      <c r="C4910" s="46"/>
      <c r="D4910" s="46"/>
      <c r="E4910" s="46"/>
      <c r="F4910" s="46"/>
      <c r="G4910" s="79"/>
    </row>
    <row r="4911" spans="2:7" x14ac:dyDescent="0.35">
      <c r="B4911" s="46"/>
      <c r="C4911" s="46"/>
      <c r="D4911" s="46"/>
      <c r="E4911" s="46"/>
      <c r="F4911" s="46"/>
      <c r="G4911" s="79"/>
    </row>
    <row r="4912" spans="2:7" x14ac:dyDescent="0.35">
      <c r="B4912" s="46"/>
      <c r="C4912" s="46"/>
      <c r="D4912" s="46"/>
      <c r="E4912" s="46"/>
      <c r="F4912" s="46"/>
      <c r="G4912" s="79"/>
    </row>
    <row r="4913" spans="2:7" x14ac:dyDescent="0.35">
      <c r="B4913" s="46"/>
      <c r="C4913" s="46"/>
      <c r="D4913" s="46"/>
      <c r="E4913" s="46"/>
      <c r="F4913" s="46"/>
      <c r="G4913" s="79"/>
    </row>
    <row r="4914" spans="2:7" x14ac:dyDescent="0.35">
      <c r="B4914" s="46"/>
      <c r="C4914" s="46"/>
      <c r="D4914" s="46"/>
      <c r="E4914" s="46"/>
      <c r="F4914" s="46"/>
      <c r="G4914" s="79"/>
    </row>
    <row r="4915" spans="2:7" x14ac:dyDescent="0.35">
      <c r="B4915" s="46"/>
      <c r="C4915" s="46"/>
      <c r="D4915" s="46"/>
      <c r="E4915" s="46"/>
      <c r="F4915" s="46"/>
      <c r="G4915" s="79"/>
    </row>
    <row r="4916" spans="2:7" x14ac:dyDescent="0.35">
      <c r="B4916" s="46"/>
      <c r="C4916" s="46"/>
      <c r="D4916" s="46"/>
      <c r="E4916" s="46"/>
      <c r="F4916" s="46"/>
      <c r="G4916" s="79"/>
    </row>
    <row r="4917" spans="2:7" x14ac:dyDescent="0.35">
      <c r="B4917" s="46"/>
      <c r="C4917" s="46"/>
      <c r="D4917" s="46"/>
      <c r="E4917" s="46"/>
      <c r="F4917" s="46"/>
      <c r="G4917" s="79"/>
    </row>
    <row r="4918" spans="2:7" x14ac:dyDescent="0.35">
      <c r="B4918" s="46"/>
      <c r="C4918" s="46"/>
      <c r="D4918" s="46"/>
      <c r="E4918" s="46"/>
      <c r="F4918" s="46"/>
      <c r="G4918" s="79"/>
    </row>
    <row r="4919" spans="2:7" x14ac:dyDescent="0.35">
      <c r="B4919" s="46"/>
      <c r="C4919" s="46"/>
      <c r="D4919" s="46"/>
      <c r="E4919" s="46"/>
      <c r="F4919" s="46"/>
      <c r="G4919" s="79"/>
    </row>
    <row r="4920" spans="2:7" x14ac:dyDescent="0.35">
      <c r="B4920" s="46"/>
      <c r="C4920" s="46"/>
      <c r="D4920" s="46"/>
      <c r="E4920" s="46"/>
      <c r="F4920" s="46"/>
      <c r="G4920" s="79"/>
    </row>
    <row r="4921" spans="2:7" x14ac:dyDescent="0.35">
      <c r="B4921" s="46"/>
      <c r="C4921" s="46"/>
      <c r="D4921" s="46"/>
      <c r="E4921" s="46"/>
      <c r="F4921" s="46"/>
      <c r="G4921" s="79"/>
    </row>
    <row r="4922" spans="2:7" x14ac:dyDescent="0.35">
      <c r="B4922" s="46"/>
      <c r="C4922" s="46"/>
      <c r="D4922" s="46"/>
      <c r="E4922" s="46"/>
      <c r="F4922" s="46"/>
      <c r="G4922" s="79"/>
    </row>
    <row r="4923" spans="2:7" x14ac:dyDescent="0.35">
      <c r="B4923" s="46"/>
      <c r="C4923" s="46"/>
      <c r="D4923" s="46"/>
      <c r="E4923" s="46"/>
      <c r="F4923" s="46"/>
      <c r="G4923" s="79"/>
    </row>
    <row r="4924" spans="2:7" x14ac:dyDescent="0.35">
      <c r="B4924" s="46"/>
      <c r="C4924" s="46"/>
      <c r="D4924" s="46"/>
      <c r="E4924" s="46"/>
      <c r="F4924" s="46"/>
      <c r="G4924" s="79"/>
    </row>
    <row r="4925" spans="2:7" x14ac:dyDescent="0.35">
      <c r="B4925" s="46"/>
      <c r="C4925" s="46"/>
      <c r="D4925" s="46"/>
      <c r="E4925" s="46"/>
      <c r="F4925" s="46"/>
      <c r="G4925" s="79"/>
    </row>
    <row r="4926" spans="2:7" x14ac:dyDescent="0.35">
      <c r="B4926" s="46"/>
      <c r="C4926" s="46"/>
      <c r="D4926" s="46"/>
      <c r="E4926" s="46"/>
      <c r="F4926" s="46"/>
      <c r="G4926" s="79"/>
    </row>
    <row r="4927" spans="2:7" x14ac:dyDescent="0.35">
      <c r="B4927" s="46"/>
      <c r="C4927" s="46"/>
      <c r="D4927" s="46"/>
      <c r="E4927" s="46"/>
      <c r="F4927" s="46"/>
      <c r="G4927" s="79"/>
    </row>
    <row r="4928" spans="2:7" x14ac:dyDescent="0.35">
      <c r="B4928" s="46"/>
      <c r="C4928" s="46"/>
      <c r="D4928" s="46"/>
      <c r="E4928" s="46"/>
      <c r="F4928" s="46"/>
      <c r="G4928" s="79"/>
    </row>
    <row r="4929" spans="2:7" x14ac:dyDescent="0.35">
      <c r="B4929" s="46"/>
      <c r="C4929" s="46"/>
      <c r="D4929" s="46"/>
      <c r="E4929" s="46"/>
      <c r="F4929" s="46"/>
      <c r="G4929" s="79"/>
    </row>
    <row r="4930" spans="2:7" x14ac:dyDescent="0.35">
      <c r="B4930" s="46"/>
      <c r="C4930" s="46"/>
      <c r="D4930" s="46"/>
      <c r="E4930" s="46"/>
      <c r="F4930" s="46"/>
      <c r="G4930" s="79"/>
    </row>
    <row r="4931" spans="2:7" x14ac:dyDescent="0.35">
      <c r="B4931" s="46"/>
      <c r="C4931" s="46"/>
      <c r="D4931" s="46"/>
      <c r="E4931" s="46"/>
      <c r="F4931" s="46"/>
      <c r="G4931" s="79"/>
    </row>
    <row r="4932" spans="2:7" x14ac:dyDescent="0.35">
      <c r="B4932" s="46"/>
      <c r="C4932" s="46"/>
      <c r="D4932" s="46"/>
      <c r="E4932" s="46"/>
      <c r="F4932" s="46"/>
      <c r="G4932" s="79"/>
    </row>
    <row r="4933" spans="2:7" x14ac:dyDescent="0.35">
      <c r="B4933" s="46"/>
      <c r="C4933" s="46"/>
      <c r="D4933" s="46"/>
      <c r="E4933" s="46"/>
      <c r="F4933" s="46"/>
      <c r="G4933" s="79"/>
    </row>
    <row r="4934" spans="2:7" x14ac:dyDescent="0.35">
      <c r="B4934" s="46"/>
      <c r="C4934" s="46"/>
      <c r="D4934" s="46"/>
      <c r="E4934" s="46"/>
      <c r="F4934" s="46"/>
      <c r="G4934" s="79"/>
    </row>
    <row r="4935" spans="2:7" x14ac:dyDescent="0.35">
      <c r="B4935" s="46"/>
      <c r="C4935" s="46"/>
      <c r="D4935" s="46"/>
      <c r="E4935" s="46"/>
      <c r="F4935" s="46"/>
      <c r="G4935" s="79"/>
    </row>
    <row r="4936" spans="2:7" x14ac:dyDescent="0.35">
      <c r="B4936" s="46"/>
      <c r="C4936" s="46"/>
      <c r="D4936" s="46"/>
      <c r="E4936" s="46"/>
      <c r="F4936" s="46"/>
      <c r="G4936" s="79"/>
    </row>
    <row r="4937" spans="2:7" x14ac:dyDescent="0.35">
      <c r="B4937" s="46"/>
      <c r="C4937" s="46"/>
      <c r="D4937" s="46"/>
      <c r="E4937" s="46"/>
      <c r="F4937" s="46"/>
      <c r="G4937" s="79"/>
    </row>
    <row r="4938" spans="2:7" x14ac:dyDescent="0.35">
      <c r="B4938" s="46"/>
      <c r="C4938" s="46"/>
      <c r="D4938" s="46"/>
      <c r="E4938" s="46"/>
      <c r="F4938" s="46"/>
      <c r="G4938" s="79"/>
    </row>
    <row r="4939" spans="2:7" x14ac:dyDescent="0.35">
      <c r="B4939" s="46"/>
      <c r="C4939" s="46"/>
      <c r="D4939" s="46"/>
      <c r="E4939" s="46"/>
      <c r="F4939" s="46"/>
      <c r="G4939" s="79"/>
    </row>
    <row r="4940" spans="2:7" x14ac:dyDescent="0.35">
      <c r="B4940" s="46"/>
      <c r="C4940" s="46"/>
      <c r="D4940" s="46"/>
      <c r="E4940" s="46"/>
      <c r="F4940" s="46"/>
      <c r="G4940" s="79"/>
    </row>
    <row r="4941" spans="2:7" x14ac:dyDescent="0.35">
      <c r="B4941" s="46"/>
      <c r="C4941" s="46"/>
      <c r="D4941" s="46"/>
      <c r="E4941" s="46"/>
      <c r="F4941" s="46"/>
      <c r="G4941" s="79"/>
    </row>
    <row r="4942" spans="2:7" x14ac:dyDescent="0.35">
      <c r="B4942" s="46"/>
      <c r="C4942" s="46"/>
      <c r="D4942" s="46"/>
      <c r="E4942" s="46"/>
      <c r="F4942" s="46"/>
      <c r="G4942" s="79"/>
    </row>
    <row r="4943" spans="2:7" x14ac:dyDescent="0.35">
      <c r="B4943" s="46"/>
      <c r="C4943" s="46"/>
      <c r="D4943" s="46"/>
      <c r="E4943" s="46"/>
      <c r="F4943" s="46"/>
      <c r="G4943" s="79"/>
    </row>
    <row r="4944" spans="2:7" x14ac:dyDescent="0.35">
      <c r="B4944" s="46"/>
      <c r="C4944" s="46"/>
      <c r="D4944" s="46"/>
      <c r="E4944" s="46"/>
      <c r="F4944" s="46"/>
      <c r="G4944" s="79"/>
    </row>
    <row r="4945" spans="2:7" x14ac:dyDescent="0.35">
      <c r="B4945" s="46"/>
      <c r="C4945" s="46"/>
      <c r="D4945" s="46"/>
      <c r="E4945" s="46"/>
      <c r="F4945" s="46"/>
      <c r="G4945" s="79"/>
    </row>
    <row r="4946" spans="2:7" x14ac:dyDescent="0.35">
      <c r="B4946" s="46"/>
      <c r="C4946" s="46"/>
      <c r="D4946" s="46"/>
      <c r="E4946" s="46"/>
      <c r="F4946" s="46"/>
      <c r="G4946" s="79"/>
    </row>
    <row r="4947" spans="2:7" x14ac:dyDescent="0.35">
      <c r="B4947" s="46"/>
      <c r="C4947" s="46"/>
      <c r="D4947" s="46"/>
      <c r="E4947" s="46"/>
      <c r="F4947" s="46"/>
      <c r="G4947" s="79"/>
    </row>
    <row r="4948" spans="2:7" x14ac:dyDescent="0.35">
      <c r="B4948" s="46"/>
      <c r="C4948" s="46"/>
      <c r="D4948" s="46"/>
      <c r="E4948" s="46"/>
      <c r="F4948" s="46"/>
      <c r="G4948" s="79"/>
    </row>
    <row r="4949" spans="2:7" x14ac:dyDescent="0.35">
      <c r="B4949" s="46"/>
      <c r="C4949" s="46"/>
      <c r="D4949" s="46"/>
      <c r="E4949" s="46"/>
      <c r="F4949" s="46"/>
      <c r="G4949" s="79"/>
    </row>
    <row r="4950" spans="2:7" x14ac:dyDescent="0.35">
      <c r="B4950" s="46"/>
      <c r="C4950" s="46"/>
      <c r="D4950" s="46"/>
      <c r="E4950" s="46"/>
      <c r="F4950" s="46"/>
      <c r="G4950" s="79"/>
    </row>
    <row r="4951" spans="2:7" x14ac:dyDescent="0.35">
      <c r="B4951" s="46"/>
      <c r="C4951" s="46"/>
      <c r="D4951" s="46"/>
      <c r="E4951" s="46"/>
      <c r="F4951" s="46"/>
      <c r="G4951" s="79"/>
    </row>
    <row r="4952" spans="2:7" x14ac:dyDescent="0.35">
      <c r="B4952" s="46"/>
      <c r="C4952" s="46"/>
      <c r="D4952" s="46"/>
      <c r="E4952" s="46"/>
      <c r="F4952" s="46"/>
      <c r="G4952" s="79"/>
    </row>
    <row r="4953" spans="2:7" x14ac:dyDescent="0.35">
      <c r="B4953" s="46"/>
      <c r="C4953" s="46"/>
      <c r="D4953" s="46"/>
      <c r="E4953" s="46"/>
      <c r="F4953" s="46"/>
      <c r="G4953" s="79"/>
    </row>
    <row r="4954" spans="2:7" x14ac:dyDescent="0.35">
      <c r="B4954" s="46"/>
      <c r="C4954" s="46"/>
      <c r="D4954" s="46"/>
      <c r="E4954" s="46"/>
      <c r="F4954" s="46"/>
      <c r="G4954" s="79"/>
    </row>
    <row r="4955" spans="2:7" x14ac:dyDescent="0.35">
      <c r="B4955" s="46"/>
      <c r="C4955" s="46"/>
      <c r="D4955" s="46"/>
      <c r="E4955" s="46"/>
      <c r="F4955" s="46"/>
      <c r="G4955" s="79"/>
    </row>
    <row r="4956" spans="2:7" x14ac:dyDescent="0.35">
      <c r="B4956" s="46"/>
      <c r="C4956" s="46"/>
      <c r="D4956" s="46"/>
      <c r="E4956" s="46"/>
      <c r="F4956" s="46"/>
      <c r="G4956" s="79"/>
    </row>
    <row r="4957" spans="2:7" x14ac:dyDescent="0.35">
      <c r="B4957" s="46"/>
      <c r="C4957" s="46"/>
      <c r="D4957" s="46"/>
      <c r="E4957" s="46"/>
      <c r="F4957" s="46"/>
      <c r="G4957" s="79"/>
    </row>
    <row r="4958" spans="2:7" x14ac:dyDescent="0.35">
      <c r="B4958" s="46"/>
      <c r="C4958" s="46"/>
      <c r="D4958" s="46"/>
      <c r="E4958" s="46"/>
      <c r="F4958" s="46"/>
      <c r="G4958" s="79"/>
    </row>
    <row r="4959" spans="2:7" x14ac:dyDescent="0.35">
      <c r="B4959" s="46"/>
      <c r="C4959" s="46"/>
      <c r="D4959" s="46"/>
      <c r="E4959" s="46"/>
      <c r="F4959" s="46"/>
      <c r="G4959" s="79"/>
    </row>
    <row r="4960" spans="2:7" x14ac:dyDescent="0.35">
      <c r="B4960" s="46"/>
      <c r="C4960" s="46"/>
      <c r="D4960" s="46"/>
      <c r="E4960" s="46"/>
      <c r="F4960" s="46"/>
      <c r="G4960" s="79"/>
    </row>
    <row r="4961" spans="2:7" x14ac:dyDescent="0.35">
      <c r="B4961" s="46"/>
      <c r="C4961" s="46"/>
      <c r="D4961" s="46"/>
      <c r="E4961" s="46"/>
      <c r="F4961" s="46"/>
      <c r="G4961" s="79"/>
    </row>
    <row r="4962" spans="2:7" x14ac:dyDescent="0.35">
      <c r="B4962" s="46"/>
      <c r="C4962" s="46"/>
      <c r="D4962" s="46"/>
      <c r="E4962" s="46"/>
      <c r="F4962" s="46"/>
      <c r="G4962" s="79"/>
    </row>
    <row r="4963" spans="2:7" x14ac:dyDescent="0.35">
      <c r="B4963" s="46"/>
      <c r="C4963" s="46"/>
      <c r="D4963" s="46"/>
      <c r="E4963" s="46"/>
      <c r="F4963" s="46"/>
      <c r="G4963" s="79"/>
    </row>
    <row r="4964" spans="2:7" x14ac:dyDescent="0.35">
      <c r="B4964" s="46"/>
      <c r="C4964" s="46"/>
      <c r="D4964" s="46"/>
      <c r="E4964" s="46"/>
      <c r="F4964" s="46"/>
      <c r="G4964" s="79"/>
    </row>
    <row r="4965" spans="2:7" x14ac:dyDescent="0.35">
      <c r="B4965" s="46"/>
      <c r="C4965" s="46"/>
      <c r="D4965" s="46"/>
      <c r="E4965" s="46"/>
      <c r="F4965" s="46"/>
      <c r="G4965" s="79"/>
    </row>
    <row r="4966" spans="2:7" x14ac:dyDescent="0.35">
      <c r="B4966" s="46"/>
      <c r="C4966" s="46"/>
      <c r="D4966" s="46"/>
      <c r="E4966" s="46"/>
      <c r="F4966" s="46"/>
      <c r="G4966" s="79"/>
    </row>
    <row r="4967" spans="2:7" x14ac:dyDescent="0.35">
      <c r="B4967" s="46"/>
      <c r="C4967" s="46"/>
      <c r="D4967" s="46"/>
      <c r="E4967" s="46"/>
      <c r="F4967" s="46"/>
      <c r="G4967" s="79"/>
    </row>
    <row r="4968" spans="2:7" x14ac:dyDescent="0.35">
      <c r="B4968" s="46"/>
      <c r="C4968" s="46"/>
      <c r="D4968" s="46"/>
      <c r="E4968" s="46"/>
      <c r="F4968" s="46"/>
      <c r="G4968" s="79"/>
    </row>
    <row r="4969" spans="2:7" x14ac:dyDescent="0.35">
      <c r="B4969" s="46"/>
      <c r="C4969" s="46"/>
      <c r="D4969" s="46"/>
      <c r="E4969" s="46"/>
      <c r="F4969" s="46"/>
      <c r="G4969" s="79"/>
    </row>
    <row r="4970" spans="2:7" x14ac:dyDescent="0.35">
      <c r="B4970" s="46"/>
      <c r="C4970" s="46"/>
      <c r="D4970" s="46"/>
      <c r="E4970" s="46"/>
      <c r="F4970" s="46"/>
      <c r="G4970" s="79"/>
    </row>
    <row r="4971" spans="2:7" x14ac:dyDescent="0.35">
      <c r="B4971" s="46"/>
      <c r="C4971" s="46"/>
      <c r="D4971" s="46"/>
      <c r="E4971" s="46"/>
      <c r="F4971" s="46"/>
      <c r="G4971" s="79"/>
    </row>
    <row r="4972" spans="2:7" x14ac:dyDescent="0.35">
      <c r="B4972" s="46"/>
      <c r="C4972" s="46"/>
      <c r="D4972" s="46"/>
      <c r="E4972" s="46"/>
      <c r="F4972" s="46"/>
      <c r="G4972" s="79"/>
    </row>
    <row r="4973" spans="2:7" x14ac:dyDescent="0.35">
      <c r="B4973" s="46"/>
      <c r="C4973" s="46"/>
      <c r="D4973" s="46"/>
      <c r="E4973" s="46"/>
      <c r="F4973" s="46"/>
      <c r="G4973" s="79"/>
    </row>
    <row r="4974" spans="2:7" x14ac:dyDescent="0.35">
      <c r="B4974" s="46"/>
      <c r="C4974" s="46"/>
      <c r="D4974" s="46"/>
      <c r="E4974" s="46"/>
      <c r="F4974" s="46"/>
      <c r="G4974" s="79"/>
    </row>
    <row r="4975" spans="2:7" x14ac:dyDescent="0.35">
      <c r="B4975" s="46"/>
      <c r="C4975" s="46"/>
      <c r="D4975" s="46"/>
      <c r="E4975" s="46"/>
      <c r="F4975" s="46"/>
      <c r="G4975" s="79"/>
    </row>
    <row r="4976" spans="2:7" x14ac:dyDescent="0.35">
      <c r="B4976" s="46"/>
      <c r="C4976" s="46"/>
      <c r="D4976" s="46"/>
      <c r="E4976" s="46"/>
      <c r="F4976" s="46"/>
      <c r="G4976" s="79"/>
    </row>
    <row r="4977" spans="2:7" x14ac:dyDescent="0.35">
      <c r="B4977" s="46"/>
      <c r="C4977" s="46"/>
      <c r="D4977" s="46"/>
      <c r="E4977" s="46"/>
      <c r="F4977" s="46"/>
      <c r="G4977" s="79"/>
    </row>
    <row r="4978" spans="2:7" x14ac:dyDescent="0.35">
      <c r="B4978" s="46"/>
      <c r="C4978" s="46"/>
      <c r="D4978" s="46"/>
      <c r="E4978" s="46"/>
      <c r="F4978" s="46"/>
      <c r="G4978" s="79"/>
    </row>
    <row r="4979" spans="2:7" x14ac:dyDescent="0.35">
      <c r="B4979" s="46"/>
      <c r="C4979" s="46"/>
      <c r="D4979" s="46"/>
      <c r="E4979" s="46"/>
      <c r="F4979" s="46"/>
      <c r="G4979" s="79"/>
    </row>
    <row r="4980" spans="2:7" x14ac:dyDescent="0.35">
      <c r="B4980" s="46"/>
      <c r="C4980" s="46"/>
      <c r="D4980" s="46"/>
      <c r="E4980" s="46"/>
      <c r="F4980" s="46"/>
      <c r="G4980" s="79"/>
    </row>
    <row r="4981" spans="2:7" x14ac:dyDescent="0.35">
      <c r="B4981" s="46"/>
      <c r="C4981" s="46"/>
      <c r="D4981" s="46"/>
      <c r="E4981" s="46"/>
      <c r="F4981" s="46"/>
      <c r="G4981" s="79"/>
    </row>
    <row r="4982" spans="2:7" x14ac:dyDescent="0.35">
      <c r="B4982" s="46"/>
      <c r="C4982" s="46"/>
      <c r="D4982" s="46"/>
      <c r="E4982" s="46"/>
      <c r="F4982" s="46"/>
      <c r="G4982" s="79"/>
    </row>
    <row r="4983" spans="2:7" x14ac:dyDescent="0.35">
      <c r="B4983" s="46"/>
      <c r="C4983" s="46"/>
      <c r="D4983" s="46"/>
      <c r="E4983" s="46"/>
      <c r="F4983" s="46"/>
      <c r="G4983" s="79"/>
    </row>
    <row r="4984" spans="2:7" x14ac:dyDescent="0.35">
      <c r="B4984" s="46"/>
      <c r="C4984" s="46"/>
      <c r="D4984" s="46"/>
      <c r="E4984" s="46"/>
      <c r="F4984" s="46"/>
      <c r="G4984" s="79"/>
    </row>
    <row r="4985" spans="2:7" x14ac:dyDescent="0.35">
      <c r="B4985" s="46"/>
      <c r="C4985" s="46"/>
      <c r="D4985" s="46"/>
      <c r="E4985" s="46"/>
      <c r="F4985" s="46"/>
      <c r="G4985" s="79"/>
    </row>
    <row r="4986" spans="2:7" x14ac:dyDescent="0.35">
      <c r="B4986" s="46"/>
      <c r="C4986" s="46"/>
      <c r="D4986" s="46"/>
      <c r="E4986" s="46"/>
      <c r="F4986" s="46"/>
      <c r="G4986" s="79"/>
    </row>
    <row r="4987" spans="2:7" x14ac:dyDescent="0.35">
      <c r="B4987" s="46"/>
      <c r="C4987" s="46"/>
      <c r="D4987" s="46"/>
      <c r="E4987" s="46"/>
      <c r="F4987" s="46"/>
      <c r="G4987" s="79"/>
    </row>
    <row r="4988" spans="2:7" x14ac:dyDescent="0.35">
      <c r="B4988" s="46"/>
      <c r="C4988" s="46"/>
      <c r="D4988" s="46"/>
      <c r="E4988" s="46"/>
      <c r="F4988" s="46"/>
      <c r="G4988" s="79"/>
    </row>
    <row r="4989" spans="2:7" x14ac:dyDescent="0.35">
      <c r="B4989" s="46"/>
      <c r="C4989" s="46"/>
      <c r="D4989" s="46"/>
      <c r="E4989" s="46"/>
      <c r="F4989" s="46"/>
      <c r="G4989" s="79"/>
    </row>
    <row r="4990" spans="2:7" x14ac:dyDescent="0.35">
      <c r="B4990" s="46"/>
      <c r="C4990" s="46"/>
      <c r="D4990" s="46"/>
      <c r="E4990" s="46"/>
      <c r="F4990" s="46"/>
      <c r="G4990" s="79"/>
    </row>
    <row r="4991" spans="2:7" x14ac:dyDescent="0.35">
      <c r="B4991" s="46"/>
      <c r="C4991" s="46"/>
      <c r="D4991" s="46"/>
      <c r="E4991" s="46"/>
      <c r="F4991" s="46"/>
      <c r="G4991" s="79"/>
    </row>
    <row r="4992" spans="2:7" x14ac:dyDescent="0.35">
      <c r="B4992" s="46"/>
      <c r="C4992" s="46"/>
      <c r="D4992" s="46"/>
      <c r="E4992" s="46"/>
      <c r="F4992" s="46"/>
      <c r="G4992" s="79"/>
    </row>
    <row r="4993" spans="2:7" x14ac:dyDescent="0.35">
      <c r="B4993" s="46"/>
      <c r="C4993" s="46"/>
      <c r="D4993" s="46"/>
      <c r="E4993" s="46"/>
      <c r="F4993" s="46"/>
      <c r="G4993" s="79"/>
    </row>
    <row r="4994" spans="2:7" x14ac:dyDescent="0.35">
      <c r="B4994" s="46"/>
      <c r="C4994" s="46"/>
      <c r="D4994" s="46"/>
      <c r="E4994" s="46"/>
      <c r="F4994" s="46"/>
      <c r="G4994" s="79"/>
    </row>
    <row r="4995" spans="2:7" x14ac:dyDescent="0.35">
      <c r="B4995" s="46"/>
      <c r="C4995" s="46"/>
      <c r="D4995" s="46"/>
      <c r="E4995" s="46"/>
      <c r="F4995" s="46"/>
      <c r="G4995" s="79"/>
    </row>
    <row r="4996" spans="2:7" x14ac:dyDescent="0.35">
      <c r="B4996" s="46"/>
      <c r="C4996" s="46"/>
      <c r="D4996" s="46"/>
      <c r="E4996" s="46"/>
      <c r="F4996" s="46"/>
      <c r="G4996" s="79"/>
    </row>
    <row r="4997" spans="2:7" x14ac:dyDescent="0.35">
      <c r="B4997" s="46"/>
      <c r="C4997" s="46"/>
      <c r="D4997" s="46"/>
      <c r="E4997" s="46"/>
      <c r="F4997" s="46"/>
      <c r="G4997" s="79"/>
    </row>
    <row r="4998" spans="2:7" x14ac:dyDescent="0.35">
      <c r="B4998" s="46"/>
      <c r="C4998" s="46"/>
      <c r="D4998" s="46"/>
      <c r="E4998" s="46"/>
      <c r="F4998" s="46"/>
      <c r="G4998" s="79"/>
    </row>
    <row r="4999" spans="2:7" x14ac:dyDescent="0.35">
      <c r="B4999" s="46"/>
      <c r="C4999" s="46"/>
      <c r="D4999" s="46"/>
      <c r="E4999" s="46"/>
      <c r="F4999" s="46"/>
      <c r="G4999" s="79"/>
    </row>
    <row r="5000" spans="2:7" x14ac:dyDescent="0.35">
      <c r="B5000" s="46"/>
      <c r="C5000" s="46"/>
      <c r="D5000" s="46"/>
      <c r="E5000" s="46"/>
      <c r="F5000" s="46"/>
      <c r="G5000" s="79"/>
    </row>
    <row r="5001" spans="2:7" x14ac:dyDescent="0.35">
      <c r="B5001" s="46"/>
      <c r="C5001" s="46"/>
      <c r="D5001" s="46"/>
      <c r="E5001" s="46"/>
      <c r="F5001" s="46"/>
      <c r="G5001" s="79"/>
    </row>
    <row r="5002" spans="2:7" x14ac:dyDescent="0.35">
      <c r="B5002" s="46"/>
      <c r="C5002" s="46"/>
      <c r="D5002" s="46"/>
      <c r="E5002" s="46"/>
      <c r="F5002" s="46"/>
      <c r="G5002" s="79"/>
    </row>
    <row r="5003" spans="2:7" x14ac:dyDescent="0.35">
      <c r="B5003" s="46"/>
      <c r="C5003" s="46"/>
      <c r="D5003" s="46"/>
      <c r="E5003" s="46"/>
      <c r="F5003" s="46"/>
      <c r="G5003" s="79"/>
    </row>
    <row r="5004" spans="2:7" x14ac:dyDescent="0.35">
      <c r="B5004" s="46"/>
      <c r="C5004" s="46"/>
      <c r="D5004" s="46"/>
      <c r="E5004" s="46"/>
      <c r="F5004" s="46"/>
      <c r="G5004" s="79"/>
    </row>
    <row r="5005" spans="2:7" x14ac:dyDescent="0.35">
      <c r="B5005" s="46"/>
      <c r="C5005" s="46"/>
      <c r="D5005" s="46"/>
      <c r="E5005" s="46"/>
      <c r="F5005" s="46"/>
      <c r="G5005" s="79"/>
    </row>
    <row r="5006" spans="2:7" x14ac:dyDescent="0.35">
      <c r="B5006" s="46"/>
      <c r="C5006" s="46"/>
      <c r="D5006" s="46"/>
      <c r="E5006" s="46"/>
      <c r="F5006" s="46"/>
      <c r="G5006" s="79"/>
    </row>
    <row r="5007" spans="2:7" x14ac:dyDescent="0.35">
      <c r="B5007" s="46"/>
      <c r="C5007" s="46"/>
      <c r="D5007" s="46"/>
      <c r="E5007" s="46"/>
      <c r="F5007" s="46"/>
      <c r="G5007" s="79"/>
    </row>
    <row r="5008" spans="2:7" x14ac:dyDescent="0.35">
      <c r="B5008" s="46"/>
      <c r="C5008" s="46"/>
      <c r="D5008" s="46"/>
      <c r="E5008" s="46"/>
      <c r="F5008" s="46"/>
      <c r="G5008" s="79"/>
    </row>
    <row r="5009" spans="2:7" x14ac:dyDescent="0.35">
      <c r="B5009" s="46"/>
      <c r="C5009" s="46"/>
      <c r="D5009" s="46"/>
      <c r="E5009" s="46"/>
      <c r="F5009" s="46"/>
      <c r="G5009" s="79"/>
    </row>
    <row r="5010" spans="2:7" x14ac:dyDescent="0.35">
      <c r="B5010" s="46"/>
      <c r="C5010" s="46"/>
      <c r="D5010" s="46"/>
      <c r="E5010" s="46"/>
      <c r="F5010" s="46"/>
      <c r="G5010" s="79"/>
    </row>
    <row r="5011" spans="2:7" x14ac:dyDescent="0.35">
      <c r="B5011" s="46"/>
      <c r="C5011" s="46"/>
      <c r="D5011" s="46"/>
      <c r="E5011" s="46"/>
      <c r="F5011" s="46"/>
      <c r="G5011" s="79"/>
    </row>
    <row r="5012" spans="2:7" x14ac:dyDescent="0.35">
      <c r="B5012" s="46"/>
      <c r="C5012" s="46"/>
      <c r="D5012" s="46"/>
      <c r="E5012" s="46"/>
      <c r="F5012" s="46"/>
      <c r="G5012" s="79"/>
    </row>
    <row r="5013" spans="2:7" x14ac:dyDescent="0.35">
      <c r="B5013" s="46"/>
      <c r="C5013" s="46"/>
      <c r="D5013" s="46"/>
      <c r="E5013" s="46"/>
      <c r="F5013" s="46"/>
      <c r="G5013" s="79"/>
    </row>
    <row r="5014" spans="2:7" x14ac:dyDescent="0.35">
      <c r="B5014" s="46"/>
      <c r="C5014" s="46"/>
      <c r="D5014" s="46"/>
      <c r="E5014" s="46"/>
      <c r="F5014" s="46"/>
      <c r="G5014" s="79"/>
    </row>
    <row r="5015" spans="2:7" x14ac:dyDescent="0.35">
      <c r="B5015" s="46"/>
      <c r="C5015" s="46"/>
      <c r="D5015" s="46"/>
      <c r="E5015" s="46"/>
      <c r="F5015" s="46"/>
      <c r="G5015" s="79"/>
    </row>
    <row r="5016" spans="2:7" x14ac:dyDescent="0.35">
      <c r="B5016" s="46"/>
      <c r="C5016" s="46"/>
      <c r="D5016" s="46"/>
      <c r="E5016" s="46"/>
      <c r="F5016" s="46"/>
      <c r="G5016" s="79"/>
    </row>
    <row r="5017" spans="2:7" x14ac:dyDescent="0.35">
      <c r="B5017" s="46"/>
      <c r="C5017" s="46"/>
      <c r="D5017" s="46"/>
      <c r="E5017" s="46"/>
      <c r="F5017" s="46"/>
      <c r="G5017" s="79"/>
    </row>
    <row r="5018" spans="2:7" x14ac:dyDescent="0.35">
      <c r="B5018" s="46"/>
      <c r="C5018" s="46"/>
      <c r="D5018" s="46"/>
      <c r="E5018" s="46"/>
      <c r="F5018" s="46"/>
      <c r="G5018" s="79"/>
    </row>
    <row r="5019" spans="2:7" x14ac:dyDescent="0.35">
      <c r="B5019" s="46"/>
      <c r="C5019" s="46"/>
      <c r="D5019" s="46"/>
      <c r="E5019" s="46"/>
      <c r="F5019" s="46"/>
      <c r="G5019" s="79"/>
    </row>
    <row r="5020" spans="2:7" x14ac:dyDescent="0.35">
      <c r="B5020" s="46"/>
      <c r="C5020" s="46"/>
      <c r="D5020" s="46"/>
      <c r="E5020" s="46"/>
      <c r="F5020" s="46"/>
      <c r="G5020" s="79"/>
    </row>
    <row r="5021" spans="2:7" x14ac:dyDescent="0.35">
      <c r="B5021" s="46"/>
      <c r="C5021" s="46"/>
      <c r="D5021" s="46"/>
      <c r="E5021" s="46"/>
      <c r="F5021" s="46"/>
      <c r="G5021" s="79"/>
    </row>
    <row r="5022" spans="2:7" x14ac:dyDescent="0.35">
      <c r="B5022" s="46"/>
      <c r="C5022" s="46"/>
      <c r="D5022" s="46"/>
      <c r="E5022" s="46"/>
      <c r="F5022" s="46"/>
      <c r="G5022" s="79"/>
    </row>
    <row r="5023" spans="2:7" x14ac:dyDescent="0.35">
      <c r="B5023" s="46"/>
      <c r="C5023" s="46"/>
      <c r="D5023" s="46"/>
      <c r="E5023" s="46"/>
      <c r="F5023" s="46"/>
      <c r="G5023" s="79"/>
    </row>
    <row r="5024" spans="2:7" x14ac:dyDescent="0.35">
      <c r="B5024" s="46"/>
      <c r="C5024" s="46"/>
      <c r="D5024" s="46"/>
      <c r="E5024" s="46"/>
      <c r="F5024" s="46"/>
      <c r="G5024" s="79"/>
    </row>
    <row r="5025" spans="2:7" x14ac:dyDescent="0.35">
      <c r="B5025" s="46"/>
      <c r="C5025" s="46"/>
      <c r="D5025" s="46"/>
      <c r="E5025" s="46"/>
      <c r="F5025" s="46"/>
      <c r="G5025" s="79"/>
    </row>
    <row r="5026" spans="2:7" x14ac:dyDescent="0.35">
      <c r="B5026" s="46"/>
      <c r="C5026" s="46"/>
      <c r="D5026" s="46"/>
      <c r="E5026" s="46"/>
      <c r="F5026" s="46"/>
      <c r="G5026" s="79"/>
    </row>
    <row r="5027" spans="2:7" x14ac:dyDescent="0.35">
      <c r="B5027" s="46"/>
      <c r="C5027" s="46"/>
      <c r="D5027" s="46"/>
      <c r="E5027" s="46"/>
      <c r="F5027" s="46"/>
      <c r="G5027" s="79"/>
    </row>
    <row r="5028" spans="2:7" x14ac:dyDescent="0.35">
      <c r="B5028" s="46"/>
      <c r="C5028" s="46"/>
      <c r="D5028" s="46"/>
      <c r="E5028" s="46"/>
      <c r="F5028" s="46"/>
      <c r="G5028" s="79"/>
    </row>
    <row r="5029" spans="2:7" x14ac:dyDescent="0.35">
      <c r="B5029" s="46"/>
      <c r="C5029" s="46"/>
      <c r="D5029" s="46"/>
      <c r="E5029" s="46"/>
      <c r="F5029" s="46"/>
      <c r="G5029" s="79"/>
    </row>
    <row r="5030" spans="2:7" x14ac:dyDescent="0.35">
      <c r="B5030" s="46"/>
      <c r="C5030" s="46"/>
      <c r="D5030" s="46"/>
      <c r="E5030" s="46"/>
      <c r="F5030" s="46"/>
      <c r="G5030" s="79"/>
    </row>
    <row r="5031" spans="2:7" x14ac:dyDescent="0.35">
      <c r="B5031" s="46"/>
      <c r="C5031" s="46"/>
      <c r="D5031" s="46"/>
      <c r="E5031" s="46"/>
      <c r="F5031" s="46"/>
      <c r="G5031" s="79"/>
    </row>
    <row r="5032" spans="2:7" x14ac:dyDescent="0.35">
      <c r="B5032" s="46"/>
      <c r="C5032" s="46"/>
      <c r="D5032" s="46"/>
      <c r="E5032" s="46"/>
      <c r="F5032" s="46"/>
      <c r="G5032" s="79"/>
    </row>
    <row r="5033" spans="2:7" x14ac:dyDescent="0.35">
      <c r="B5033" s="46"/>
      <c r="C5033" s="46"/>
      <c r="D5033" s="46"/>
      <c r="E5033" s="46"/>
      <c r="F5033" s="46"/>
      <c r="G5033" s="79"/>
    </row>
    <row r="5034" spans="2:7" x14ac:dyDescent="0.35">
      <c r="B5034" s="46"/>
      <c r="C5034" s="46"/>
      <c r="D5034" s="46"/>
      <c r="E5034" s="46"/>
      <c r="F5034" s="46"/>
      <c r="G5034" s="79"/>
    </row>
    <row r="5035" spans="2:7" x14ac:dyDescent="0.35">
      <c r="B5035" s="46"/>
      <c r="C5035" s="46"/>
      <c r="D5035" s="46"/>
      <c r="E5035" s="46"/>
      <c r="F5035" s="46"/>
      <c r="G5035" s="79"/>
    </row>
    <row r="5036" spans="2:7" x14ac:dyDescent="0.35">
      <c r="B5036" s="46"/>
      <c r="C5036" s="46"/>
      <c r="D5036" s="46"/>
      <c r="E5036" s="46"/>
      <c r="F5036" s="46"/>
      <c r="G5036" s="79"/>
    </row>
    <row r="5037" spans="2:7" x14ac:dyDescent="0.35">
      <c r="B5037" s="46"/>
      <c r="C5037" s="46"/>
      <c r="D5037" s="46"/>
      <c r="E5037" s="46"/>
      <c r="F5037" s="46"/>
      <c r="G5037" s="79"/>
    </row>
    <row r="5038" spans="2:7" x14ac:dyDescent="0.35">
      <c r="B5038" s="46"/>
      <c r="C5038" s="46"/>
      <c r="D5038" s="46"/>
      <c r="E5038" s="46"/>
      <c r="F5038" s="46"/>
      <c r="G5038" s="79"/>
    </row>
    <row r="5039" spans="2:7" x14ac:dyDescent="0.35">
      <c r="B5039" s="46"/>
      <c r="C5039" s="46"/>
      <c r="D5039" s="46"/>
      <c r="E5039" s="46"/>
      <c r="F5039" s="46"/>
      <c r="G5039" s="79"/>
    </row>
    <row r="5040" spans="2:7" x14ac:dyDescent="0.35">
      <c r="B5040" s="46"/>
      <c r="C5040" s="46"/>
      <c r="D5040" s="46"/>
      <c r="E5040" s="46"/>
      <c r="F5040" s="46"/>
      <c r="G5040" s="79"/>
    </row>
    <row r="5041" spans="2:7" x14ac:dyDescent="0.35">
      <c r="B5041" s="46"/>
      <c r="C5041" s="46"/>
      <c r="D5041" s="46"/>
      <c r="E5041" s="46"/>
      <c r="F5041" s="46"/>
      <c r="G5041" s="79"/>
    </row>
    <row r="5042" spans="2:7" x14ac:dyDescent="0.35">
      <c r="B5042" s="46"/>
      <c r="C5042" s="46"/>
      <c r="D5042" s="46"/>
      <c r="E5042" s="46"/>
      <c r="F5042" s="46"/>
      <c r="G5042" s="79"/>
    </row>
    <row r="5043" spans="2:7" x14ac:dyDescent="0.35">
      <c r="B5043" s="46"/>
      <c r="C5043" s="46"/>
      <c r="D5043" s="46"/>
      <c r="E5043" s="46"/>
      <c r="F5043" s="46"/>
      <c r="G5043" s="79"/>
    </row>
    <row r="5044" spans="2:7" x14ac:dyDescent="0.35">
      <c r="B5044" s="46"/>
      <c r="C5044" s="46"/>
      <c r="D5044" s="46"/>
      <c r="E5044" s="46"/>
      <c r="F5044" s="46"/>
      <c r="G5044" s="79"/>
    </row>
    <row r="5045" spans="2:7" x14ac:dyDescent="0.35">
      <c r="B5045" s="46"/>
      <c r="C5045" s="46"/>
      <c r="D5045" s="46"/>
      <c r="E5045" s="46"/>
      <c r="F5045" s="46"/>
      <c r="G5045" s="79"/>
    </row>
    <row r="5046" spans="2:7" x14ac:dyDescent="0.35">
      <c r="B5046" s="46"/>
      <c r="C5046" s="46"/>
      <c r="D5046" s="46"/>
      <c r="E5046" s="46"/>
      <c r="F5046" s="46"/>
      <c r="G5046" s="79"/>
    </row>
    <row r="5047" spans="2:7" x14ac:dyDescent="0.35">
      <c r="B5047" s="46"/>
      <c r="C5047" s="46"/>
      <c r="D5047" s="46"/>
      <c r="E5047" s="46"/>
      <c r="F5047" s="46"/>
      <c r="G5047" s="79"/>
    </row>
    <row r="5048" spans="2:7" x14ac:dyDescent="0.35">
      <c r="B5048" s="46"/>
      <c r="C5048" s="46"/>
      <c r="D5048" s="46"/>
      <c r="E5048" s="46"/>
      <c r="F5048" s="46"/>
      <c r="G5048" s="79"/>
    </row>
    <row r="5049" spans="2:7" x14ac:dyDescent="0.35">
      <c r="B5049" s="46"/>
      <c r="C5049" s="46"/>
      <c r="D5049" s="46"/>
      <c r="E5049" s="46"/>
      <c r="F5049" s="46"/>
      <c r="G5049" s="79"/>
    </row>
    <row r="5050" spans="2:7" x14ac:dyDescent="0.35">
      <c r="B5050" s="46"/>
      <c r="C5050" s="46"/>
      <c r="D5050" s="46"/>
      <c r="E5050" s="46"/>
      <c r="F5050" s="46"/>
      <c r="G5050" s="79"/>
    </row>
    <row r="5051" spans="2:7" x14ac:dyDescent="0.35">
      <c r="B5051" s="46"/>
      <c r="C5051" s="46"/>
      <c r="D5051" s="46"/>
      <c r="E5051" s="46"/>
      <c r="F5051" s="46"/>
      <c r="G5051" s="79"/>
    </row>
    <row r="5052" spans="2:7" x14ac:dyDescent="0.35">
      <c r="B5052" s="46"/>
      <c r="C5052" s="46"/>
      <c r="D5052" s="46"/>
      <c r="E5052" s="46"/>
      <c r="F5052" s="46"/>
      <c r="G5052" s="79"/>
    </row>
    <row r="5053" spans="2:7" x14ac:dyDescent="0.35">
      <c r="B5053" s="46"/>
      <c r="C5053" s="46"/>
      <c r="D5053" s="46"/>
      <c r="E5053" s="46"/>
      <c r="F5053" s="46"/>
      <c r="G5053" s="79"/>
    </row>
    <row r="5054" spans="2:7" x14ac:dyDescent="0.35">
      <c r="B5054" s="46"/>
      <c r="C5054" s="46"/>
      <c r="D5054" s="46"/>
      <c r="E5054" s="46"/>
      <c r="F5054" s="46"/>
      <c r="G5054" s="79"/>
    </row>
    <row r="5055" spans="2:7" x14ac:dyDescent="0.35">
      <c r="B5055" s="46"/>
      <c r="C5055" s="46"/>
      <c r="D5055" s="46"/>
      <c r="E5055" s="46"/>
      <c r="F5055" s="46"/>
      <c r="G5055" s="79"/>
    </row>
    <row r="5056" spans="2:7" x14ac:dyDescent="0.35">
      <c r="B5056" s="46"/>
      <c r="C5056" s="46"/>
      <c r="D5056" s="46"/>
      <c r="E5056" s="46"/>
      <c r="F5056" s="46"/>
      <c r="G5056" s="79"/>
    </row>
    <row r="5057" spans="2:7" x14ac:dyDescent="0.35">
      <c r="B5057" s="46"/>
      <c r="C5057" s="46"/>
      <c r="D5057" s="46"/>
      <c r="E5057" s="46"/>
      <c r="F5057" s="46"/>
      <c r="G5057" s="79"/>
    </row>
    <row r="5058" spans="2:7" x14ac:dyDescent="0.35">
      <c r="B5058" s="46"/>
      <c r="C5058" s="46"/>
      <c r="D5058" s="46"/>
      <c r="E5058" s="46"/>
      <c r="F5058" s="46"/>
      <c r="G5058" s="79"/>
    </row>
    <row r="5059" spans="2:7" x14ac:dyDescent="0.35">
      <c r="B5059" s="46"/>
      <c r="C5059" s="46"/>
      <c r="D5059" s="46"/>
      <c r="E5059" s="46"/>
      <c r="F5059" s="46"/>
      <c r="G5059" s="79"/>
    </row>
    <row r="5060" spans="2:7" x14ac:dyDescent="0.35">
      <c r="B5060" s="46"/>
      <c r="C5060" s="46"/>
      <c r="D5060" s="46"/>
      <c r="E5060" s="46"/>
      <c r="F5060" s="46"/>
      <c r="G5060" s="79"/>
    </row>
    <row r="5061" spans="2:7" x14ac:dyDescent="0.35">
      <c r="B5061" s="46"/>
      <c r="C5061" s="46"/>
      <c r="D5061" s="46"/>
      <c r="E5061" s="46"/>
      <c r="F5061" s="46"/>
      <c r="G5061" s="79"/>
    </row>
    <row r="5062" spans="2:7" x14ac:dyDescent="0.35">
      <c r="B5062" s="46"/>
      <c r="C5062" s="46"/>
      <c r="D5062" s="46"/>
      <c r="E5062" s="46"/>
      <c r="F5062" s="46"/>
      <c r="G5062" s="79"/>
    </row>
    <row r="5063" spans="2:7" x14ac:dyDescent="0.35">
      <c r="B5063" s="46"/>
      <c r="C5063" s="46"/>
      <c r="D5063" s="46"/>
      <c r="E5063" s="46"/>
      <c r="F5063" s="46"/>
      <c r="G5063" s="79"/>
    </row>
    <row r="5064" spans="2:7" x14ac:dyDescent="0.35">
      <c r="B5064" s="46"/>
      <c r="C5064" s="46"/>
      <c r="D5064" s="46"/>
      <c r="E5064" s="46"/>
      <c r="F5064" s="46"/>
      <c r="G5064" s="79"/>
    </row>
    <row r="5065" spans="2:7" x14ac:dyDescent="0.35">
      <c r="B5065" s="46"/>
      <c r="C5065" s="46"/>
      <c r="D5065" s="46"/>
      <c r="E5065" s="46"/>
      <c r="F5065" s="46"/>
      <c r="G5065" s="79"/>
    </row>
    <row r="5066" spans="2:7" x14ac:dyDescent="0.35">
      <c r="B5066" s="46"/>
      <c r="C5066" s="46"/>
      <c r="D5066" s="46"/>
      <c r="E5066" s="46"/>
      <c r="F5066" s="46"/>
      <c r="G5066" s="79"/>
    </row>
    <row r="5067" spans="2:7" x14ac:dyDescent="0.35">
      <c r="B5067" s="46"/>
      <c r="C5067" s="46"/>
      <c r="D5067" s="46"/>
      <c r="E5067" s="46"/>
      <c r="F5067" s="46"/>
      <c r="G5067" s="79"/>
    </row>
    <row r="5068" spans="2:7" x14ac:dyDescent="0.35">
      <c r="B5068" s="46"/>
      <c r="C5068" s="46"/>
      <c r="D5068" s="46"/>
      <c r="E5068" s="46"/>
      <c r="F5068" s="46"/>
      <c r="G5068" s="79"/>
    </row>
    <row r="5069" spans="2:7" x14ac:dyDescent="0.35">
      <c r="B5069" s="46"/>
      <c r="C5069" s="46"/>
      <c r="D5069" s="46"/>
      <c r="E5069" s="46"/>
      <c r="F5069" s="46"/>
      <c r="G5069" s="79"/>
    </row>
    <row r="5070" spans="2:7" x14ac:dyDescent="0.35">
      <c r="B5070" s="46"/>
      <c r="C5070" s="46"/>
      <c r="D5070" s="46"/>
      <c r="E5070" s="46"/>
      <c r="F5070" s="46"/>
      <c r="G5070" s="79"/>
    </row>
    <row r="5071" spans="2:7" x14ac:dyDescent="0.35">
      <c r="B5071" s="46"/>
      <c r="C5071" s="46"/>
      <c r="D5071" s="46"/>
      <c r="E5071" s="46"/>
      <c r="F5071" s="46"/>
      <c r="G5071" s="79"/>
    </row>
    <row r="5072" spans="2:7" x14ac:dyDescent="0.35">
      <c r="B5072" s="46"/>
      <c r="C5072" s="46"/>
      <c r="D5072" s="46"/>
      <c r="E5072" s="46"/>
      <c r="F5072" s="46"/>
      <c r="G5072" s="79"/>
    </row>
    <row r="5073" spans="2:7" x14ac:dyDescent="0.35">
      <c r="B5073" s="46"/>
      <c r="C5073" s="46"/>
      <c r="D5073" s="46"/>
      <c r="E5073" s="46"/>
      <c r="F5073" s="46"/>
      <c r="G5073" s="79"/>
    </row>
    <row r="5074" spans="2:7" x14ac:dyDescent="0.35">
      <c r="B5074" s="46"/>
      <c r="C5074" s="46"/>
      <c r="D5074" s="46"/>
      <c r="E5074" s="46"/>
      <c r="F5074" s="46"/>
      <c r="G5074" s="79"/>
    </row>
    <row r="5075" spans="2:7" x14ac:dyDescent="0.35">
      <c r="B5075" s="46"/>
      <c r="C5075" s="46"/>
      <c r="D5075" s="46"/>
      <c r="E5075" s="46"/>
      <c r="F5075" s="46"/>
      <c r="G5075" s="79"/>
    </row>
    <row r="5076" spans="2:7" x14ac:dyDescent="0.35">
      <c r="B5076" s="46"/>
      <c r="C5076" s="46"/>
      <c r="D5076" s="46"/>
      <c r="E5076" s="46"/>
      <c r="F5076" s="46"/>
      <c r="G5076" s="79"/>
    </row>
    <row r="5077" spans="2:7" x14ac:dyDescent="0.35">
      <c r="B5077" s="46"/>
      <c r="C5077" s="46"/>
      <c r="D5077" s="46"/>
      <c r="E5077" s="46"/>
      <c r="F5077" s="46"/>
      <c r="G5077" s="79"/>
    </row>
    <row r="5078" spans="2:7" x14ac:dyDescent="0.35">
      <c r="B5078" s="46"/>
      <c r="C5078" s="46"/>
      <c r="D5078" s="46"/>
      <c r="E5078" s="46"/>
      <c r="F5078" s="46"/>
      <c r="G5078" s="79"/>
    </row>
    <row r="5079" spans="2:7" x14ac:dyDescent="0.35">
      <c r="B5079" s="46"/>
      <c r="C5079" s="46"/>
      <c r="D5079" s="46"/>
      <c r="E5079" s="46"/>
      <c r="F5079" s="46"/>
      <c r="G5079" s="79"/>
    </row>
    <row r="5080" spans="2:7" x14ac:dyDescent="0.35">
      <c r="B5080" s="46"/>
      <c r="C5080" s="46"/>
      <c r="D5080" s="46"/>
      <c r="E5080" s="46"/>
      <c r="F5080" s="46"/>
      <c r="G5080" s="79"/>
    </row>
    <row r="5081" spans="2:7" x14ac:dyDescent="0.35">
      <c r="B5081" s="46"/>
      <c r="C5081" s="46"/>
      <c r="D5081" s="46"/>
      <c r="E5081" s="46"/>
      <c r="F5081" s="46"/>
      <c r="G5081" s="79"/>
    </row>
    <row r="5082" spans="2:7" x14ac:dyDescent="0.35">
      <c r="B5082" s="46"/>
      <c r="C5082" s="46"/>
      <c r="D5082" s="46"/>
      <c r="E5082" s="46"/>
      <c r="F5082" s="46"/>
      <c r="G5082" s="79"/>
    </row>
    <row r="5083" spans="2:7" x14ac:dyDescent="0.35">
      <c r="B5083" s="46"/>
      <c r="C5083" s="46"/>
      <c r="D5083" s="46"/>
      <c r="E5083" s="46"/>
      <c r="F5083" s="46"/>
      <c r="G5083" s="79"/>
    </row>
    <row r="5084" spans="2:7" x14ac:dyDescent="0.35">
      <c r="B5084" s="46"/>
      <c r="C5084" s="46"/>
      <c r="D5084" s="46"/>
      <c r="E5084" s="46"/>
      <c r="F5084" s="46"/>
      <c r="G5084" s="79"/>
    </row>
    <row r="5085" spans="2:7" x14ac:dyDescent="0.35">
      <c r="B5085" s="46"/>
      <c r="C5085" s="46"/>
      <c r="D5085" s="46"/>
      <c r="E5085" s="46"/>
      <c r="F5085" s="46"/>
      <c r="G5085" s="79"/>
    </row>
    <row r="5086" spans="2:7" x14ac:dyDescent="0.35">
      <c r="B5086" s="46"/>
      <c r="C5086" s="46"/>
      <c r="D5086" s="46"/>
      <c r="E5086" s="46"/>
      <c r="F5086" s="46"/>
      <c r="G5086" s="79"/>
    </row>
    <row r="5087" spans="2:7" x14ac:dyDescent="0.35">
      <c r="B5087" s="46"/>
      <c r="C5087" s="46"/>
      <c r="D5087" s="46"/>
      <c r="E5087" s="46"/>
      <c r="F5087" s="46"/>
      <c r="G5087" s="79"/>
    </row>
    <row r="5088" spans="2:7" x14ac:dyDescent="0.35">
      <c r="B5088" s="46"/>
      <c r="C5088" s="46"/>
      <c r="D5088" s="46"/>
      <c r="E5088" s="46"/>
      <c r="F5088" s="46"/>
      <c r="G5088" s="79"/>
    </row>
    <row r="5089" spans="2:7" x14ac:dyDescent="0.35">
      <c r="B5089" s="46"/>
      <c r="C5089" s="46"/>
      <c r="D5089" s="46"/>
      <c r="E5089" s="46"/>
      <c r="F5089" s="46"/>
      <c r="G5089" s="79"/>
    </row>
    <row r="5090" spans="2:7" x14ac:dyDescent="0.35">
      <c r="B5090" s="46"/>
      <c r="C5090" s="46"/>
      <c r="D5090" s="46"/>
      <c r="E5090" s="46"/>
      <c r="F5090" s="46"/>
      <c r="G5090" s="79"/>
    </row>
    <row r="5091" spans="2:7" x14ac:dyDescent="0.35">
      <c r="B5091" s="46"/>
      <c r="C5091" s="46"/>
      <c r="D5091" s="46"/>
      <c r="E5091" s="46"/>
      <c r="F5091" s="46"/>
      <c r="G5091" s="79"/>
    </row>
    <row r="5092" spans="2:7" x14ac:dyDescent="0.35">
      <c r="B5092" s="46"/>
      <c r="C5092" s="46"/>
      <c r="D5092" s="46"/>
      <c r="E5092" s="46"/>
      <c r="F5092" s="46"/>
      <c r="G5092" s="79"/>
    </row>
    <row r="5093" spans="2:7" x14ac:dyDescent="0.35">
      <c r="B5093" s="46"/>
      <c r="C5093" s="46"/>
      <c r="D5093" s="46"/>
      <c r="E5093" s="46"/>
      <c r="F5093" s="46"/>
      <c r="G5093" s="79"/>
    </row>
    <row r="5094" spans="2:7" x14ac:dyDescent="0.35">
      <c r="B5094" s="46"/>
      <c r="C5094" s="46"/>
      <c r="D5094" s="46"/>
      <c r="E5094" s="46"/>
      <c r="F5094" s="46"/>
      <c r="G5094" s="79"/>
    </row>
    <row r="5095" spans="2:7" x14ac:dyDescent="0.35">
      <c r="B5095" s="46"/>
      <c r="C5095" s="46"/>
      <c r="D5095" s="46"/>
      <c r="E5095" s="46"/>
      <c r="F5095" s="46"/>
      <c r="G5095" s="79"/>
    </row>
    <row r="5096" spans="2:7" x14ac:dyDescent="0.35">
      <c r="B5096" s="46"/>
      <c r="C5096" s="46"/>
      <c r="D5096" s="46"/>
      <c r="E5096" s="46"/>
      <c r="F5096" s="46"/>
      <c r="G5096" s="79"/>
    </row>
    <row r="5097" spans="2:7" x14ac:dyDescent="0.35">
      <c r="B5097" s="46"/>
      <c r="C5097" s="46"/>
      <c r="D5097" s="46"/>
      <c r="E5097" s="46"/>
      <c r="F5097" s="46"/>
      <c r="G5097" s="79"/>
    </row>
    <row r="5098" spans="2:7" x14ac:dyDescent="0.35">
      <c r="B5098" s="46"/>
      <c r="C5098" s="46"/>
      <c r="D5098" s="46"/>
      <c r="E5098" s="46"/>
      <c r="F5098" s="46"/>
      <c r="G5098" s="79"/>
    </row>
    <row r="5099" spans="2:7" x14ac:dyDescent="0.35">
      <c r="B5099" s="46"/>
      <c r="C5099" s="46"/>
      <c r="D5099" s="46"/>
      <c r="E5099" s="46"/>
      <c r="F5099" s="46"/>
      <c r="G5099" s="79"/>
    </row>
    <row r="5100" spans="2:7" x14ac:dyDescent="0.35">
      <c r="B5100" s="46"/>
      <c r="C5100" s="46"/>
      <c r="D5100" s="46"/>
      <c r="E5100" s="46"/>
      <c r="F5100" s="46"/>
      <c r="G5100" s="79"/>
    </row>
    <row r="5101" spans="2:7" x14ac:dyDescent="0.35">
      <c r="B5101" s="46"/>
      <c r="C5101" s="46"/>
      <c r="D5101" s="46"/>
      <c r="E5101" s="46"/>
      <c r="F5101" s="46"/>
      <c r="G5101" s="79"/>
    </row>
    <row r="5102" spans="2:7" x14ac:dyDescent="0.35">
      <c r="B5102" s="46"/>
      <c r="C5102" s="46"/>
      <c r="D5102" s="46"/>
      <c r="E5102" s="46"/>
      <c r="F5102" s="46"/>
      <c r="G5102" s="79"/>
    </row>
    <row r="5103" spans="2:7" x14ac:dyDescent="0.35">
      <c r="B5103" s="46"/>
      <c r="C5103" s="46"/>
      <c r="D5103" s="46"/>
      <c r="E5103" s="46"/>
      <c r="F5103" s="46"/>
      <c r="G5103" s="79"/>
    </row>
    <row r="5104" spans="2:7" x14ac:dyDescent="0.35">
      <c r="B5104" s="46"/>
      <c r="C5104" s="46"/>
      <c r="D5104" s="46"/>
      <c r="E5104" s="46"/>
      <c r="F5104" s="46"/>
      <c r="G5104" s="79"/>
    </row>
    <row r="5105" spans="2:7" x14ac:dyDescent="0.35">
      <c r="B5105" s="46"/>
      <c r="C5105" s="46"/>
      <c r="D5105" s="46"/>
      <c r="E5105" s="46"/>
      <c r="F5105" s="46"/>
      <c r="G5105" s="79"/>
    </row>
    <row r="5106" spans="2:7" x14ac:dyDescent="0.35">
      <c r="B5106" s="46"/>
      <c r="C5106" s="46"/>
      <c r="D5106" s="46"/>
      <c r="E5106" s="46"/>
      <c r="F5106" s="46"/>
      <c r="G5106" s="79"/>
    </row>
    <row r="5107" spans="2:7" x14ac:dyDescent="0.35">
      <c r="B5107" s="46"/>
      <c r="C5107" s="46"/>
      <c r="D5107" s="46"/>
      <c r="E5107" s="46"/>
      <c r="F5107" s="46"/>
      <c r="G5107" s="79"/>
    </row>
    <row r="5108" spans="2:7" x14ac:dyDescent="0.35">
      <c r="B5108" s="46"/>
      <c r="C5108" s="46"/>
      <c r="D5108" s="46"/>
      <c r="E5108" s="46"/>
      <c r="F5108" s="46"/>
      <c r="G5108" s="79"/>
    </row>
    <row r="5109" spans="2:7" x14ac:dyDescent="0.35">
      <c r="B5109" s="46"/>
      <c r="C5109" s="46"/>
      <c r="D5109" s="46"/>
      <c r="E5109" s="46"/>
      <c r="F5109" s="46"/>
      <c r="G5109" s="79"/>
    </row>
    <row r="5110" spans="2:7" x14ac:dyDescent="0.35">
      <c r="B5110" s="46"/>
      <c r="C5110" s="46"/>
      <c r="D5110" s="46"/>
      <c r="E5110" s="46"/>
      <c r="F5110" s="46"/>
      <c r="G5110" s="79"/>
    </row>
    <row r="5111" spans="2:7" x14ac:dyDescent="0.35">
      <c r="B5111" s="46"/>
      <c r="C5111" s="46"/>
      <c r="D5111" s="46"/>
      <c r="E5111" s="46"/>
      <c r="F5111" s="46"/>
      <c r="G5111" s="79"/>
    </row>
    <row r="5112" spans="2:7" x14ac:dyDescent="0.35">
      <c r="B5112" s="46"/>
      <c r="C5112" s="46"/>
      <c r="D5112" s="46"/>
      <c r="E5112" s="46"/>
      <c r="F5112" s="46"/>
      <c r="G5112" s="79"/>
    </row>
    <row r="5113" spans="2:7" x14ac:dyDescent="0.35">
      <c r="B5113" s="46"/>
      <c r="C5113" s="46"/>
      <c r="D5113" s="46"/>
      <c r="E5113" s="46"/>
      <c r="F5113" s="46"/>
      <c r="G5113" s="79"/>
    </row>
    <row r="5114" spans="2:7" x14ac:dyDescent="0.35">
      <c r="B5114" s="46"/>
      <c r="C5114" s="46"/>
      <c r="D5114" s="46"/>
      <c r="E5114" s="46"/>
      <c r="F5114" s="46"/>
      <c r="G5114" s="79"/>
    </row>
    <row r="5115" spans="2:7" x14ac:dyDescent="0.35">
      <c r="B5115" s="46"/>
      <c r="C5115" s="46"/>
      <c r="D5115" s="46"/>
      <c r="E5115" s="46"/>
      <c r="F5115" s="46"/>
      <c r="G5115" s="79"/>
    </row>
    <row r="5116" spans="2:7" x14ac:dyDescent="0.35">
      <c r="B5116" s="46"/>
      <c r="C5116" s="46"/>
      <c r="D5116" s="46"/>
      <c r="E5116" s="46"/>
      <c r="F5116" s="46"/>
      <c r="G5116" s="79"/>
    </row>
    <row r="5117" spans="2:7" x14ac:dyDescent="0.35">
      <c r="B5117" s="46"/>
      <c r="C5117" s="46"/>
      <c r="D5117" s="46"/>
      <c r="E5117" s="46"/>
      <c r="F5117" s="46"/>
      <c r="G5117" s="79"/>
    </row>
    <row r="5118" spans="2:7" x14ac:dyDescent="0.35">
      <c r="B5118" s="46"/>
      <c r="C5118" s="46"/>
      <c r="D5118" s="46"/>
      <c r="E5118" s="46"/>
      <c r="F5118" s="46"/>
      <c r="G5118" s="79"/>
    </row>
    <row r="5119" spans="2:7" x14ac:dyDescent="0.35">
      <c r="B5119" s="46"/>
      <c r="C5119" s="46"/>
      <c r="D5119" s="46"/>
      <c r="E5119" s="46"/>
      <c r="F5119" s="46"/>
      <c r="G5119" s="79"/>
    </row>
    <row r="5120" spans="2:7" x14ac:dyDescent="0.35">
      <c r="B5120" s="46"/>
      <c r="C5120" s="46"/>
      <c r="D5120" s="46"/>
      <c r="E5120" s="46"/>
      <c r="F5120" s="46"/>
      <c r="G5120" s="79"/>
    </row>
    <row r="5121" spans="2:7" x14ac:dyDescent="0.35">
      <c r="B5121" s="46"/>
      <c r="C5121" s="46"/>
      <c r="D5121" s="46"/>
      <c r="E5121" s="46"/>
      <c r="F5121" s="46"/>
      <c r="G5121" s="79"/>
    </row>
    <row r="5122" spans="2:7" x14ac:dyDescent="0.35">
      <c r="B5122" s="46"/>
      <c r="C5122" s="46"/>
      <c r="D5122" s="46"/>
      <c r="E5122" s="46"/>
      <c r="F5122" s="46"/>
      <c r="G5122" s="79"/>
    </row>
    <row r="5123" spans="2:7" x14ac:dyDescent="0.35">
      <c r="B5123" s="46"/>
      <c r="C5123" s="46"/>
      <c r="D5123" s="46"/>
      <c r="E5123" s="46"/>
      <c r="F5123" s="46"/>
      <c r="G5123" s="79"/>
    </row>
    <row r="5124" spans="2:7" x14ac:dyDescent="0.35">
      <c r="B5124" s="46"/>
      <c r="C5124" s="46"/>
      <c r="D5124" s="46"/>
      <c r="E5124" s="46"/>
      <c r="F5124" s="46"/>
      <c r="G5124" s="79"/>
    </row>
    <row r="5125" spans="2:7" x14ac:dyDescent="0.35">
      <c r="B5125" s="46"/>
      <c r="C5125" s="46"/>
      <c r="D5125" s="46"/>
      <c r="E5125" s="46"/>
      <c r="F5125" s="46"/>
      <c r="G5125" s="79"/>
    </row>
    <row r="5126" spans="2:7" x14ac:dyDescent="0.35">
      <c r="B5126" s="46"/>
      <c r="C5126" s="46"/>
      <c r="D5126" s="46"/>
      <c r="E5126" s="46"/>
      <c r="F5126" s="46"/>
      <c r="G5126" s="79"/>
    </row>
    <row r="5127" spans="2:7" x14ac:dyDescent="0.35">
      <c r="B5127" s="46"/>
      <c r="C5127" s="46"/>
      <c r="D5127" s="46"/>
      <c r="E5127" s="46"/>
      <c r="F5127" s="46"/>
      <c r="G5127" s="79"/>
    </row>
    <row r="5128" spans="2:7" x14ac:dyDescent="0.35">
      <c r="B5128" s="46"/>
      <c r="C5128" s="46"/>
      <c r="D5128" s="46"/>
      <c r="E5128" s="46"/>
      <c r="F5128" s="46"/>
      <c r="G5128" s="79"/>
    </row>
    <row r="5129" spans="2:7" x14ac:dyDescent="0.35">
      <c r="B5129" s="46"/>
      <c r="C5129" s="46"/>
      <c r="D5129" s="46"/>
      <c r="E5129" s="46"/>
      <c r="F5129" s="46"/>
      <c r="G5129" s="79"/>
    </row>
    <row r="5130" spans="2:7" x14ac:dyDescent="0.35">
      <c r="B5130" s="46"/>
      <c r="C5130" s="46"/>
      <c r="D5130" s="46"/>
      <c r="E5130" s="46"/>
      <c r="F5130" s="46"/>
      <c r="G5130" s="79"/>
    </row>
    <row r="5131" spans="2:7" x14ac:dyDescent="0.35">
      <c r="B5131" s="46"/>
      <c r="C5131" s="46"/>
      <c r="D5131" s="46"/>
      <c r="E5131" s="46"/>
      <c r="F5131" s="46"/>
      <c r="G5131" s="79"/>
    </row>
    <row r="5132" spans="2:7" x14ac:dyDescent="0.35">
      <c r="B5132" s="46"/>
      <c r="C5132" s="46"/>
      <c r="D5132" s="46"/>
      <c r="E5132" s="46"/>
      <c r="F5132" s="46"/>
      <c r="G5132" s="79"/>
    </row>
    <row r="5133" spans="2:7" x14ac:dyDescent="0.35">
      <c r="B5133" s="46"/>
      <c r="C5133" s="46"/>
      <c r="D5133" s="46"/>
      <c r="E5133" s="46"/>
      <c r="F5133" s="46"/>
      <c r="G5133" s="79"/>
    </row>
    <row r="5134" spans="2:7" x14ac:dyDescent="0.35">
      <c r="B5134" s="46"/>
      <c r="C5134" s="46"/>
      <c r="D5134" s="46"/>
      <c r="E5134" s="46"/>
      <c r="F5134" s="46"/>
      <c r="G5134" s="79"/>
    </row>
    <row r="5135" spans="2:7" x14ac:dyDescent="0.35">
      <c r="B5135" s="46"/>
      <c r="C5135" s="46"/>
      <c r="D5135" s="46"/>
      <c r="E5135" s="46"/>
      <c r="F5135" s="46"/>
      <c r="G5135" s="79"/>
    </row>
    <row r="5136" spans="2:7" x14ac:dyDescent="0.35">
      <c r="B5136" s="46"/>
      <c r="C5136" s="46"/>
      <c r="D5136" s="46"/>
      <c r="E5136" s="46"/>
      <c r="F5136" s="46"/>
      <c r="G5136" s="79"/>
    </row>
    <row r="5137" spans="2:7" x14ac:dyDescent="0.35">
      <c r="B5137" s="46"/>
      <c r="C5137" s="46"/>
      <c r="D5137" s="46"/>
      <c r="E5137" s="46"/>
      <c r="F5137" s="46"/>
      <c r="G5137" s="79"/>
    </row>
    <row r="5138" spans="2:7" x14ac:dyDescent="0.35">
      <c r="B5138" s="46"/>
      <c r="C5138" s="46"/>
      <c r="D5138" s="46"/>
      <c r="E5138" s="46"/>
      <c r="F5138" s="46"/>
      <c r="G5138" s="79"/>
    </row>
    <row r="5139" spans="2:7" x14ac:dyDescent="0.35">
      <c r="B5139" s="46"/>
      <c r="C5139" s="46"/>
      <c r="D5139" s="46"/>
      <c r="E5139" s="46"/>
      <c r="F5139" s="46"/>
      <c r="G5139" s="79"/>
    </row>
    <row r="5140" spans="2:7" x14ac:dyDescent="0.35">
      <c r="B5140" s="46"/>
      <c r="C5140" s="46"/>
      <c r="D5140" s="46"/>
      <c r="E5140" s="46"/>
      <c r="F5140" s="46"/>
      <c r="G5140" s="79"/>
    </row>
    <row r="5141" spans="2:7" x14ac:dyDescent="0.35">
      <c r="B5141" s="46"/>
      <c r="C5141" s="46"/>
      <c r="D5141" s="46"/>
      <c r="E5141" s="46"/>
      <c r="F5141" s="46"/>
      <c r="G5141" s="79"/>
    </row>
    <row r="5142" spans="2:7" x14ac:dyDescent="0.35">
      <c r="B5142" s="46"/>
      <c r="C5142" s="46"/>
      <c r="D5142" s="46"/>
      <c r="E5142" s="46"/>
      <c r="F5142" s="46"/>
      <c r="G5142" s="79"/>
    </row>
    <row r="5143" spans="2:7" x14ac:dyDescent="0.35">
      <c r="B5143" s="46"/>
      <c r="C5143" s="46"/>
      <c r="D5143" s="46"/>
      <c r="E5143" s="46"/>
      <c r="F5143" s="46"/>
      <c r="G5143" s="79"/>
    </row>
    <row r="5144" spans="2:7" x14ac:dyDescent="0.35">
      <c r="B5144" s="46"/>
      <c r="C5144" s="46"/>
      <c r="D5144" s="46"/>
      <c r="E5144" s="46"/>
      <c r="F5144" s="46"/>
      <c r="G5144" s="79"/>
    </row>
    <row r="5145" spans="2:7" x14ac:dyDescent="0.35">
      <c r="B5145" s="46"/>
      <c r="C5145" s="46"/>
      <c r="D5145" s="46"/>
      <c r="E5145" s="46"/>
      <c r="F5145" s="46"/>
      <c r="G5145" s="79"/>
    </row>
    <row r="5146" spans="2:7" x14ac:dyDescent="0.35">
      <c r="B5146" s="46"/>
      <c r="C5146" s="46"/>
      <c r="D5146" s="46"/>
      <c r="E5146" s="46"/>
      <c r="F5146" s="46"/>
      <c r="G5146" s="79"/>
    </row>
    <row r="5147" spans="2:7" x14ac:dyDescent="0.35">
      <c r="B5147" s="46"/>
      <c r="C5147" s="46"/>
      <c r="D5147" s="46"/>
      <c r="E5147" s="46"/>
      <c r="F5147" s="46"/>
      <c r="G5147" s="79"/>
    </row>
    <row r="5148" spans="2:7" x14ac:dyDescent="0.35">
      <c r="B5148" s="46"/>
      <c r="C5148" s="46"/>
      <c r="D5148" s="46"/>
      <c r="E5148" s="46"/>
      <c r="F5148" s="46"/>
      <c r="G5148" s="79"/>
    </row>
    <row r="5149" spans="2:7" x14ac:dyDescent="0.35">
      <c r="B5149" s="46"/>
      <c r="C5149" s="46"/>
      <c r="D5149" s="46"/>
      <c r="E5149" s="46"/>
      <c r="F5149" s="46"/>
      <c r="G5149" s="79"/>
    </row>
    <row r="5150" spans="2:7" x14ac:dyDescent="0.35">
      <c r="B5150" s="46"/>
      <c r="C5150" s="46"/>
      <c r="D5150" s="46"/>
      <c r="E5150" s="46"/>
      <c r="F5150" s="46"/>
      <c r="G5150" s="79"/>
    </row>
    <row r="5151" spans="2:7" x14ac:dyDescent="0.35">
      <c r="B5151" s="46"/>
      <c r="C5151" s="46"/>
      <c r="D5151" s="46"/>
      <c r="E5151" s="46"/>
      <c r="F5151" s="46"/>
      <c r="G5151" s="79"/>
    </row>
    <row r="5152" spans="2:7" x14ac:dyDescent="0.35">
      <c r="B5152" s="46"/>
      <c r="C5152" s="46"/>
      <c r="D5152" s="46"/>
      <c r="E5152" s="46"/>
      <c r="F5152" s="46"/>
      <c r="G5152" s="79"/>
    </row>
    <row r="5153" spans="2:7" x14ac:dyDescent="0.35">
      <c r="B5153" s="46"/>
      <c r="C5153" s="46"/>
      <c r="D5153" s="46"/>
      <c r="E5153" s="46"/>
      <c r="F5153" s="46"/>
      <c r="G5153" s="79"/>
    </row>
    <row r="5154" spans="2:7" x14ac:dyDescent="0.35">
      <c r="B5154" s="46"/>
      <c r="C5154" s="46"/>
      <c r="D5154" s="46"/>
      <c r="E5154" s="46"/>
      <c r="F5154" s="46"/>
      <c r="G5154" s="79"/>
    </row>
    <row r="5155" spans="2:7" x14ac:dyDescent="0.35">
      <c r="B5155" s="46"/>
      <c r="C5155" s="46"/>
      <c r="D5155" s="46"/>
      <c r="E5155" s="46"/>
      <c r="F5155" s="46"/>
      <c r="G5155" s="79"/>
    </row>
    <row r="5156" spans="2:7" x14ac:dyDescent="0.35">
      <c r="B5156" s="46"/>
      <c r="C5156" s="46"/>
      <c r="D5156" s="46"/>
      <c r="E5156" s="46"/>
      <c r="F5156" s="46"/>
      <c r="G5156" s="79"/>
    </row>
    <row r="5157" spans="2:7" x14ac:dyDescent="0.35">
      <c r="B5157" s="46"/>
      <c r="C5157" s="46"/>
      <c r="D5157" s="46"/>
      <c r="E5157" s="46"/>
      <c r="F5157" s="46"/>
      <c r="G5157" s="79"/>
    </row>
    <row r="5158" spans="2:7" x14ac:dyDescent="0.35">
      <c r="B5158" s="46"/>
      <c r="C5158" s="46"/>
      <c r="D5158" s="46"/>
      <c r="E5158" s="46"/>
      <c r="F5158" s="46"/>
      <c r="G5158" s="79"/>
    </row>
    <row r="5159" spans="2:7" x14ac:dyDescent="0.35">
      <c r="B5159" s="46"/>
      <c r="C5159" s="46"/>
      <c r="D5159" s="46"/>
      <c r="E5159" s="46"/>
      <c r="F5159" s="46"/>
      <c r="G5159" s="79"/>
    </row>
    <row r="5160" spans="2:7" x14ac:dyDescent="0.35">
      <c r="B5160" s="46"/>
      <c r="C5160" s="46"/>
      <c r="D5160" s="46"/>
      <c r="E5160" s="46"/>
      <c r="F5160" s="46"/>
      <c r="G5160" s="79"/>
    </row>
    <row r="5161" spans="2:7" x14ac:dyDescent="0.35">
      <c r="B5161" s="46"/>
      <c r="C5161" s="46"/>
      <c r="D5161" s="46"/>
      <c r="E5161" s="46"/>
      <c r="F5161" s="46"/>
      <c r="G5161" s="79"/>
    </row>
    <row r="5162" spans="2:7" x14ac:dyDescent="0.35">
      <c r="B5162" s="46"/>
      <c r="C5162" s="46"/>
      <c r="D5162" s="46"/>
      <c r="E5162" s="46"/>
      <c r="F5162" s="46"/>
      <c r="G5162" s="79"/>
    </row>
    <row r="5163" spans="2:7" x14ac:dyDescent="0.35">
      <c r="B5163" s="46"/>
      <c r="C5163" s="46"/>
      <c r="D5163" s="46"/>
      <c r="E5163" s="46"/>
      <c r="F5163" s="46"/>
      <c r="G5163" s="79"/>
    </row>
    <row r="5164" spans="2:7" x14ac:dyDescent="0.35">
      <c r="B5164" s="46"/>
      <c r="C5164" s="46"/>
      <c r="D5164" s="46"/>
      <c r="E5164" s="46"/>
      <c r="F5164" s="46"/>
      <c r="G5164" s="79"/>
    </row>
    <row r="5165" spans="2:7" x14ac:dyDescent="0.35">
      <c r="B5165" s="46"/>
      <c r="C5165" s="46"/>
      <c r="D5165" s="46"/>
      <c r="E5165" s="46"/>
      <c r="F5165" s="46"/>
      <c r="G5165" s="79"/>
    </row>
    <row r="5166" spans="2:7" x14ac:dyDescent="0.35">
      <c r="B5166" s="46"/>
      <c r="C5166" s="46"/>
      <c r="D5166" s="46"/>
      <c r="E5166" s="46"/>
      <c r="F5166" s="46"/>
      <c r="G5166" s="79"/>
    </row>
    <row r="5167" spans="2:7" x14ac:dyDescent="0.35">
      <c r="B5167" s="46"/>
      <c r="C5167" s="46"/>
      <c r="D5167" s="46"/>
      <c r="E5167" s="46"/>
      <c r="F5167" s="46"/>
      <c r="G5167" s="79"/>
    </row>
    <row r="5168" spans="2:7" x14ac:dyDescent="0.35">
      <c r="B5168" s="46"/>
      <c r="C5168" s="46"/>
      <c r="D5168" s="46"/>
      <c r="E5168" s="46"/>
      <c r="F5168" s="46"/>
      <c r="G5168" s="79"/>
    </row>
    <row r="5169" spans="2:7" x14ac:dyDescent="0.35">
      <c r="B5169" s="46"/>
      <c r="C5169" s="46"/>
      <c r="D5169" s="46"/>
      <c r="E5169" s="46"/>
      <c r="F5169" s="46"/>
      <c r="G5169" s="79"/>
    </row>
    <row r="5170" spans="2:7" x14ac:dyDescent="0.35">
      <c r="B5170" s="46"/>
      <c r="C5170" s="46"/>
      <c r="D5170" s="46"/>
      <c r="E5170" s="46"/>
      <c r="F5170" s="46"/>
      <c r="G5170" s="79"/>
    </row>
    <row r="5171" spans="2:7" x14ac:dyDescent="0.35">
      <c r="B5171" s="46"/>
      <c r="C5171" s="46"/>
      <c r="D5171" s="46"/>
      <c r="E5171" s="46"/>
      <c r="F5171" s="46"/>
      <c r="G5171" s="79"/>
    </row>
    <row r="5172" spans="2:7" x14ac:dyDescent="0.35">
      <c r="B5172" s="46"/>
      <c r="C5172" s="46"/>
      <c r="D5172" s="46"/>
      <c r="E5172" s="46"/>
      <c r="F5172" s="46"/>
      <c r="G5172" s="79"/>
    </row>
    <row r="5173" spans="2:7" x14ac:dyDescent="0.35">
      <c r="B5173" s="46"/>
      <c r="C5173" s="46"/>
      <c r="D5173" s="46"/>
      <c r="E5173" s="46"/>
      <c r="F5173" s="46"/>
      <c r="G5173" s="79"/>
    </row>
    <row r="5174" spans="2:7" x14ac:dyDescent="0.35">
      <c r="B5174" s="46"/>
      <c r="C5174" s="46"/>
      <c r="D5174" s="46"/>
      <c r="E5174" s="46"/>
      <c r="F5174" s="46"/>
      <c r="G5174" s="79"/>
    </row>
    <row r="5175" spans="2:7" x14ac:dyDescent="0.35">
      <c r="B5175" s="46"/>
      <c r="C5175" s="46"/>
      <c r="D5175" s="46"/>
      <c r="E5175" s="46"/>
      <c r="F5175" s="46"/>
      <c r="G5175" s="79"/>
    </row>
    <row r="5176" spans="2:7" x14ac:dyDescent="0.35">
      <c r="B5176" s="46"/>
      <c r="C5176" s="46"/>
      <c r="D5176" s="46"/>
      <c r="E5176" s="46"/>
      <c r="F5176" s="46"/>
      <c r="G5176" s="79"/>
    </row>
    <row r="5177" spans="2:7" x14ac:dyDescent="0.35">
      <c r="B5177" s="46"/>
      <c r="C5177" s="46"/>
      <c r="D5177" s="46"/>
      <c r="E5177" s="46"/>
      <c r="F5177" s="46"/>
      <c r="G5177" s="79"/>
    </row>
    <row r="5178" spans="2:7" x14ac:dyDescent="0.35">
      <c r="B5178" s="46"/>
      <c r="C5178" s="46"/>
      <c r="D5178" s="46"/>
      <c r="E5178" s="46"/>
      <c r="F5178" s="46"/>
      <c r="G5178" s="79"/>
    </row>
    <row r="5179" spans="2:7" x14ac:dyDescent="0.35">
      <c r="B5179" s="46"/>
      <c r="C5179" s="46"/>
      <c r="D5179" s="46"/>
      <c r="E5179" s="46"/>
      <c r="F5179" s="46"/>
      <c r="G5179" s="79"/>
    </row>
    <row r="5180" spans="2:7" x14ac:dyDescent="0.35">
      <c r="B5180" s="46"/>
      <c r="C5180" s="46"/>
      <c r="D5180" s="46"/>
      <c r="E5180" s="46"/>
      <c r="F5180" s="46"/>
      <c r="G5180" s="79"/>
    </row>
    <row r="5181" spans="2:7" x14ac:dyDescent="0.35">
      <c r="B5181" s="46"/>
      <c r="C5181" s="46"/>
      <c r="D5181" s="46"/>
      <c r="E5181" s="46"/>
      <c r="F5181" s="46"/>
      <c r="G5181" s="79"/>
    </row>
    <row r="5182" spans="2:7" x14ac:dyDescent="0.35">
      <c r="B5182" s="46"/>
      <c r="C5182" s="46"/>
      <c r="D5182" s="46"/>
      <c r="E5182" s="46"/>
      <c r="F5182" s="46"/>
      <c r="G5182" s="79"/>
    </row>
    <row r="5183" spans="2:7" x14ac:dyDescent="0.35">
      <c r="B5183" s="46"/>
      <c r="C5183" s="46"/>
      <c r="D5183" s="46"/>
      <c r="E5183" s="46"/>
      <c r="F5183" s="46"/>
      <c r="G5183" s="79"/>
    </row>
    <row r="5184" spans="2:7" x14ac:dyDescent="0.35">
      <c r="B5184" s="46"/>
      <c r="C5184" s="46"/>
      <c r="D5184" s="46"/>
      <c r="E5184" s="46"/>
      <c r="F5184" s="46"/>
      <c r="G5184" s="79"/>
    </row>
    <row r="5185" spans="2:7" x14ac:dyDescent="0.35">
      <c r="B5185" s="46"/>
      <c r="C5185" s="46"/>
      <c r="D5185" s="46"/>
      <c r="E5185" s="46"/>
      <c r="F5185" s="46"/>
      <c r="G5185" s="79"/>
    </row>
    <row r="5186" spans="2:7" x14ac:dyDescent="0.35">
      <c r="B5186" s="46"/>
      <c r="C5186" s="46"/>
      <c r="D5186" s="46"/>
      <c r="E5186" s="46"/>
      <c r="F5186" s="46"/>
      <c r="G5186" s="79"/>
    </row>
    <row r="5187" spans="2:7" x14ac:dyDescent="0.35">
      <c r="B5187" s="46"/>
      <c r="C5187" s="46"/>
      <c r="D5187" s="46"/>
      <c r="E5187" s="46"/>
      <c r="F5187" s="46"/>
      <c r="G5187" s="79"/>
    </row>
    <row r="5188" spans="2:7" x14ac:dyDescent="0.35">
      <c r="B5188" s="46"/>
      <c r="C5188" s="46"/>
      <c r="D5188" s="46"/>
      <c r="E5188" s="46"/>
      <c r="F5188" s="46"/>
      <c r="G5188" s="79"/>
    </row>
    <row r="5189" spans="2:7" x14ac:dyDescent="0.35">
      <c r="B5189" s="46"/>
      <c r="C5189" s="46"/>
      <c r="D5189" s="46"/>
      <c r="E5189" s="46"/>
      <c r="F5189" s="46"/>
      <c r="G5189" s="79"/>
    </row>
    <row r="5190" spans="2:7" x14ac:dyDescent="0.35">
      <c r="B5190" s="46"/>
      <c r="C5190" s="46"/>
      <c r="D5190" s="46"/>
      <c r="E5190" s="46"/>
      <c r="F5190" s="46"/>
      <c r="G5190" s="79"/>
    </row>
    <row r="5191" spans="2:7" x14ac:dyDescent="0.35">
      <c r="B5191" s="46"/>
      <c r="C5191" s="46"/>
      <c r="D5191" s="46"/>
      <c r="E5191" s="46"/>
      <c r="F5191" s="46"/>
      <c r="G5191" s="79"/>
    </row>
    <row r="5192" spans="2:7" x14ac:dyDescent="0.35">
      <c r="B5192" s="46"/>
      <c r="C5192" s="46"/>
      <c r="D5192" s="46"/>
      <c r="E5192" s="46"/>
      <c r="F5192" s="46"/>
      <c r="G5192" s="79"/>
    </row>
    <row r="5193" spans="2:7" x14ac:dyDescent="0.35">
      <c r="B5193" s="46"/>
      <c r="C5193" s="46"/>
      <c r="D5193" s="46"/>
      <c r="E5193" s="46"/>
      <c r="F5193" s="46"/>
      <c r="G5193" s="79"/>
    </row>
    <row r="5194" spans="2:7" x14ac:dyDescent="0.35">
      <c r="B5194" s="46"/>
      <c r="C5194" s="46"/>
      <c r="D5194" s="46"/>
      <c r="E5194" s="46"/>
      <c r="F5194" s="46"/>
      <c r="G5194" s="79"/>
    </row>
    <row r="5195" spans="2:7" x14ac:dyDescent="0.35">
      <c r="B5195" s="46"/>
      <c r="C5195" s="46"/>
      <c r="D5195" s="46"/>
      <c r="E5195" s="46"/>
      <c r="F5195" s="46"/>
      <c r="G5195" s="79"/>
    </row>
    <row r="5196" spans="2:7" x14ac:dyDescent="0.35">
      <c r="B5196" s="46"/>
      <c r="C5196" s="46"/>
      <c r="D5196" s="46"/>
      <c r="E5196" s="46"/>
      <c r="F5196" s="46"/>
      <c r="G5196" s="79"/>
    </row>
    <row r="5197" spans="2:7" x14ac:dyDescent="0.35">
      <c r="B5197" s="46"/>
      <c r="C5197" s="46"/>
      <c r="D5197" s="46"/>
      <c r="E5197" s="46"/>
      <c r="F5197" s="46"/>
      <c r="G5197" s="79"/>
    </row>
    <row r="5198" spans="2:7" x14ac:dyDescent="0.35">
      <c r="B5198" s="46"/>
      <c r="C5198" s="46"/>
      <c r="D5198" s="46"/>
      <c r="E5198" s="46"/>
      <c r="F5198" s="46"/>
      <c r="G5198" s="79"/>
    </row>
    <row r="5199" spans="2:7" x14ac:dyDescent="0.35">
      <c r="B5199" s="46"/>
      <c r="C5199" s="46"/>
      <c r="D5199" s="46"/>
      <c r="E5199" s="46"/>
      <c r="F5199" s="46"/>
      <c r="G5199" s="79"/>
    </row>
    <row r="5200" spans="2:7" x14ac:dyDescent="0.35">
      <c r="B5200" s="46"/>
      <c r="C5200" s="46"/>
      <c r="D5200" s="46"/>
      <c r="E5200" s="46"/>
      <c r="F5200" s="46"/>
      <c r="G5200" s="79"/>
    </row>
    <row r="5201" spans="2:7" x14ac:dyDescent="0.35">
      <c r="B5201" s="46"/>
      <c r="C5201" s="46"/>
      <c r="D5201" s="46"/>
      <c r="E5201" s="46"/>
      <c r="F5201" s="46"/>
      <c r="G5201" s="79"/>
    </row>
    <row r="5202" spans="2:7" x14ac:dyDescent="0.35">
      <c r="B5202" s="46"/>
      <c r="C5202" s="46"/>
      <c r="D5202" s="46"/>
      <c r="E5202" s="46"/>
      <c r="F5202" s="46"/>
      <c r="G5202" s="79"/>
    </row>
    <row r="5203" spans="2:7" x14ac:dyDescent="0.35">
      <c r="B5203" s="46"/>
      <c r="C5203" s="46"/>
      <c r="D5203" s="46"/>
      <c r="E5203" s="46"/>
      <c r="F5203" s="46"/>
      <c r="G5203" s="79"/>
    </row>
    <row r="5204" spans="2:7" x14ac:dyDescent="0.35">
      <c r="B5204" s="46"/>
      <c r="C5204" s="46"/>
      <c r="D5204" s="46"/>
      <c r="E5204" s="46"/>
      <c r="F5204" s="46"/>
      <c r="G5204" s="79"/>
    </row>
    <row r="5205" spans="2:7" x14ac:dyDescent="0.35">
      <c r="B5205" s="46"/>
      <c r="C5205" s="46"/>
      <c r="D5205" s="46"/>
      <c r="E5205" s="46"/>
      <c r="F5205" s="46"/>
      <c r="G5205" s="79"/>
    </row>
    <row r="5206" spans="2:7" x14ac:dyDescent="0.35">
      <c r="B5206" s="46"/>
      <c r="C5206" s="46"/>
      <c r="D5206" s="46"/>
      <c r="E5206" s="46"/>
      <c r="F5206" s="46"/>
      <c r="G5206" s="79"/>
    </row>
    <row r="5207" spans="2:7" x14ac:dyDescent="0.35">
      <c r="B5207" s="46"/>
      <c r="C5207" s="46"/>
      <c r="D5207" s="46"/>
      <c r="E5207" s="46"/>
      <c r="F5207" s="46"/>
      <c r="G5207" s="79"/>
    </row>
    <row r="5208" spans="2:7" x14ac:dyDescent="0.35">
      <c r="B5208" s="46"/>
      <c r="C5208" s="46"/>
      <c r="D5208" s="46"/>
      <c r="E5208" s="46"/>
      <c r="F5208" s="46"/>
      <c r="G5208" s="79"/>
    </row>
    <row r="5209" spans="2:7" x14ac:dyDescent="0.35">
      <c r="B5209" s="46"/>
      <c r="C5209" s="46"/>
      <c r="D5209" s="46"/>
      <c r="E5209" s="46"/>
      <c r="F5209" s="46"/>
      <c r="G5209" s="79"/>
    </row>
    <row r="5210" spans="2:7" x14ac:dyDescent="0.35">
      <c r="B5210" s="46"/>
      <c r="C5210" s="46"/>
      <c r="D5210" s="46"/>
      <c r="E5210" s="46"/>
      <c r="F5210" s="46"/>
      <c r="G5210" s="79"/>
    </row>
    <row r="5211" spans="2:7" x14ac:dyDescent="0.35">
      <c r="B5211" s="46"/>
      <c r="C5211" s="46"/>
      <c r="D5211" s="46"/>
      <c r="E5211" s="46"/>
      <c r="F5211" s="46"/>
      <c r="G5211" s="79"/>
    </row>
    <row r="5212" spans="2:7" x14ac:dyDescent="0.35">
      <c r="B5212" s="46"/>
      <c r="C5212" s="46"/>
      <c r="D5212" s="46"/>
      <c r="E5212" s="46"/>
      <c r="F5212" s="46"/>
      <c r="G5212" s="79"/>
    </row>
    <row r="5213" spans="2:7" x14ac:dyDescent="0.35">
      <c r="B5213" s="46"/>
      <c r="C5213" s="46"/>
      <c r="D5213" s="46"/>
      <c r="E5213" s="46"/>
      <c r="F5213" s="46"/>
      <c r="G5213" s="79"/>
    </row>
    <row r="5214" spans="2:7" x14ac:dyDescent="0.35">
      <c r="B5214" s="46"/>
      <c r="C5214" s="46"/>
      <c r="D5214" s="46"/>
      <c r="E5214" s="46"/>
      <c r="F5214" s="46"/>
      <c r="G5214" s="79"/>
    </row>
    <row r="5215" spans="2:7" x14ac:dyDescent="0.35">
      <c r="B5215" s="46"/>
      <c r="C5215" s="46"/>
      <c r="D5215" s="46"/>
      <c r="E5215" s="46"/>
      <c r="F5215" s="46"/>
      <c r="G5215" s="79"/>
    </row>
    <row r="5216" spans="2:7" x14ac:dyDescent="0.35">
      <c r="B5216" s="46"/>
      <c r="C5216" s="46"/>
      <c r="D5216" s="46"/>
      <c r="E5216" s="46"/>
      <c r="F5216" s="46"/>
      <c r="G5216" s="79"/>
    </row>
    <row r="5217" spans="2:7" x14ac:dyDescent="0.35">
      <c r="B5217" s="46"/>
      <c r="C5217" s="46"/>
      <c r="D5217" s="46"/>
      <c r="E5217" s="46"/>
      <c r="F5217" s="46"/>
      <c r="G5217" s="79"/>
    </row>
    <row r="5218" spans="2:7" x14ac:dyDescent="0.35">
      <c r="B5218" s="46"/>
      <c r="C5218" s="46"/>
      <c r="D5218" s="46"/>
      <c r="E5218" s="46"/>
      <c r="F5218" s="46"/>
      <c r="G5218" s="79"/>
    </row>
    <row r="5219" spans="2:7" x14ac:dyDescent="0.35">
      <c r="B5219" s="46"/>
      <c r="C5219" s="46"/>
      <c r="D5219" s="46"/>
      <c r="E5219" s="46"/>
      <c r="F5219" s="46"/>
      <c r="G5219" s="79"/>
    </row>
    <row r="5220" spans="2:7" x14ac:dyDescent="0.35">
      <c r="B5220" s="46"/>
      <c r="C5220" s="46"/>
      <c r="D5220" s="46"/>
      <c r="E5220" s="46"/>
      <c r="F5220" s="46"/>
      <c r="G5220" s="79"/>
    </row>
    <row r="5221" spans="2:7" x14ac:dyDescent="0.35">
      <c r="B5221" s="46"/>
      <c r="C5221" s="46"/>
      <c r="D5221" s="46"/>
      <c r="E5221" s="46"/>
      <c r="F5221" s="46"/>
      <c r="G5221" s="79"/>
    </row>
    <row r="5222" spans="2:7" x14ac:dyDescent="0.35">
      <c r="B5222" s="46"/>
      <c r="C5222" s="46"/>
      <c r="D5222" s="46"/>
      <c r="E5222" s="46"/>
      <c r="F5222" s="46"/>
      <c r="G5222" s="79"/>
    </row>
    <row r="5223" spans="2:7" x14ac:dyDescent="0.35">
      <c r="B5223" s="46"/>
      <c r="C5223" s="46"/>
      <c r="D5223" s="46"/>
      <c r="E5223" s="46"/>
      <c r="F5223" s="46"/>
      <c r="G5223" s="79"/>
    </row>
    <row r="5224" spans="2:7" x14ac:dyDescent="0.35">
      <c r="B5224" s="46"/>
      <c r="C5224" s="46"/>
      <c r="D5224" s="46"/>
      <c r="E5224" s="46"/>
      <c r="F5224" s="46"/>
      <c r="G5224" s="79"/>
    </row>
    <row r="5225" spans="2:7" x14ac:dyDescent="0.35">
      <c r="B5225" s="46"/>
      <c r="C5225" s="46"/>
      <c r="D5225" s="46"/>
      <c r="E5225" s="46"/>
      <c r="F5225" s="46"/>
      <c r="G5225" s="79"/>
    </row>
    <row r="5226" spans="2:7" x14ac:dyDescent="0.35">
      <c r="B5226" s="46"/>
      <c r="C5226" s="46"/>
      <c r="D5226" s="46"/>
      <c r="E5226" s="46"/>
      <c r="F5226" s="46"/>
      <c r="G5226" s="79"/>
    </row>
    <row r="5227" spans="2:7" x14ac:dyDescent="0.35">
      <c r="B5227" s="46"/>
      <c r="C5227" s="46"/>
      <c r="D5227" s="46"/>
      <c r="E5227" s="46"/>
      <c r="F5227" s="46"/>
      <c r="G5227" s="79"/>
    </row>
    <row r="5228" spans="2:7" x14ac:dyDescent="0.35">
      <c r="B5228" s="46"/>
      <c r="C5228" s="46"/>
      <c r="D5228" s="46"/>
      <c r="E5228" s="46"/>
      <c r="F5228" s="46"/>
      <c r="G5228" s="79"/>
    </row>
    <row r="5229" spans="2:7" x14ac:dyDescent="0.35">
      <c r="B5229" s="46"/>
      <c r="C5229" s="46"/>
      <c r="D5229" s="46"/>
      <c r="E5229" s="46"/>
      <c r="F5229" s="46"/>
      <c r="G5229" s="79"/>
    </row>
    <row r="5230" spans="2:7" x14ac:dyDescent="0.35">
      <c r="B5230" s="46"/>
      <c r="C5230" s="46"/>
      <c r="D5230" s="46"/>
      <c r="E5230" s="46"/>
      <c r="F5230" s="46"/>
      <c r="G5230" s="79"/>
    </row>
    <row r="5231" spans="2:7" x14ac:dyDescent="0.35">
      <c r="B5231" s="46"/>
      <c r="C5231" s="46"/>
      <c r="D5231" s="46"/>
      <c r="E5231" s="46"/>
      <c r="F5231" s="46"/>
      <c r="G5231" s="79"/>
    </row>
    <row r="5232" spans="2:7" x14ac:dyDescent="0.35">
      <c r="B5232" s="46"/>
      <c r="C5232" s="46"/>
      <c r="D5232" s="46"/>
      <c r="E5232" s="46"/>
      <c r="F5232" s="46"/>
      <c r="G5232" s="79"/>
    </row>
    <row r="5233" spans="2:7" x14ac:dyDescent="0.35">
      <c r="B5233" s="46"/>
      <c r="C5233" s="46"/>
      <c r="D5233" s="46"/>
      <c r="E5233" s="46"/>
      <c r="F5233" s="46"/>
      <c r="G5233" s="79"/>
    </row>
    <row r="5234" spans="2:7" x14ac:dyDescent="0.35">
      <c r="B5234" s="46"/>
      <c r="C5234" s="46"/>
      <c r="D5234" s="46"/>
      <c r="E5234" s="46"/>
      <c r="F5234" s="46"/>
      <c r="G5234" s="79"/>
    </row>
    <row r="5235" spans="2:7" x14ac:dyDescent="0.35">
      <c r="B5235" s="46"/>
      <c r="C5235" s="46"/>
      <c r="D5235" s="46"/>
      <c r="E5235" s="46"/>
      <c r="F5235" s="46"/>
      <c r="G5235" s="79"/>
    </row>
    <row r="5236" spans="2:7" x14ac:dyDescent="0.35">
      <c r="B5236" s="46"/>
      <c r="C5236" s="46"/>
      <c r="D5236" s="46"/>
      <c r="E5236" s="46"/>
      <c r="F5236" s="46"/>
      <c r="G5236" s="79"/>
    </row>
    <row r="5237" spans="2:7" x14ac:dyDescent="0.35">
      <c r="B5237" s="46"/>
      <c r="C5237" s="46"/>
      <c r="D5237" s="46"/>
      <c r="E5237" s="46"/>
      <c r="F5237" s="46"/>
      <c r="G5237" s="79"/>
    </row>
    <row r="5238" spans="2:7" x14ac:dyDescent="0.35">
      <c r="B5238" s="46"/>
      <c r="C5238" s="46"/>
      <c r="D5238" s="46"/>
      <c r="E5238" s="46"/>
      <c r="F5238" s="46"/>
      <c r="G5238" s="79"/>
    </row>
    <row r="5239" spans="2:7" x14ac:dyDescent="0.35">
      <c r="B5239" s="46"/>
      <c r="C5239" s="46"/>
      <c r="D5239" s="46"/>
      <c r="E5239" s="46"/>
      <c r="F5239" s="46"/>
      <c r="G5239" s="79"/>
    </row>
    <row r="5240" spans="2:7" x14ac:dyDescent="0.35">
      <c r="B5240" s="46"/>
      <c r="C5240" s="46"/>
      <c r="D5240" s="46"/>
      <c r="E5240" s="46"/>
      <c r="F5240" s="46"/>
      <c r="G5240" s="79"/>
    </row>
    <row r="5241" spans="2:7" x14ac:dyDescent="0.35">
      <c r="B5241" s="46"/>
      <c r="C5241" s="46"/>
      <c r="D5241" s="46"/>
      <c r="E5241" s="46"/>
      <c r="F5241" s="46"/>
      <c r="G5241" s="79"/>
    </row>
    <row r="5242" spans="2:7" x14ac:dyDescent="0.35">
      <c r="B5242" s="46"/>
      <c r="C5242" s="46"/>
      <c r="D5242" s="46"/>
      <c r="E5242" s="46"/>
      <c r="F5242" s="46"/>
      <c r="G5242" s="79"/>
    </row>
    <row r="5243" spans="2:7" x14ac:dyDescent="0.35">
      <c r="B5243" s="46"/>
      <c r="C5243" s="46"/>
      <c r="D5243" s="46"/>
      <c r="E5243" s="46"/>
      <c r="F5243" s="46"/>
      <c r="G5243" s="79"/>
    </row>
    <row r="5244" spans="2:7" x14ac:dyDescent="0.35">
      <c r="B5244" s="46"/>
      <c r="C5244" s="46"/>
      <c r="D5244" s="46"/>
      <c r="E5244" s="46"/>
      <c r="F5244" s="46"/>
      <c r="G5244" s="79"/>
    </row>
    <row r="5245" spans="2:7" x14ac:dyDescent="0.35">
      <c r="B5245" s="46"/>
      <c r="C5245" s="46"/>
      <c r="D5245" s="46"/>
      <c r="E5245" s="46"/>
      <c r="F5245" s="46"/>
      <c r="G5245" s="79"/>
    </row>
    <row r="5246" spans="2:7" x14ac:dyDescent="0.35">
      <c r="B5246" s="46"/>
      <c r="C5246" s="46"/>
      <c r="D5246" s="46"/>
      <c r="E5246" s="46"/>
      <c r="F5246" s="46"/>
      <c r="G5246" s="79"/>
    </row>
    <row r="5247" spans="2:7" x14ac:dyDescent="0.35">
      <c r="B5247" s="46"/>
      <c r="C5247" s="46"/>
      <c r="D5247" s="46"/>
      <c r="E5247" s="46"/>
      <c r="F5247" s="46"/>
      <c r="G5247" s="79"/>
    </row>
    <row r="5248" spans="2:7" x14ac:dyDescent="0.35">
      <c r="B5248" s="46"/>
      <c r="C5248" s="46"/>
      <c r="D5248" s="46"/>
      <c r="E5248" s="46"/>
      <c r="F5248" s="46"/>
      <c r="G5248" s="79"/>
    </row>
    <row r="5249" spans="2:7" x14ac:dyDescent="0.35">
      <c r="B5249" s="46"/>
      <c r="C5249" s="46"/>
      <c r="D5249" s="46"/>
      <c r="E5249" s="46"/>
      <c r="F5249" s="46"/>
      <c r="G5249" s="79"/>
    </row>
    <row r="5250" spans="2:7" x14ac:dyDescent="0.35">
      <c r="B5250" s="46"/>
      <c r="C5250" s="46"/>
      <c r="D5250" s="46"/>
      <c r="E5250" s="46"/>
      <c r="F5250" s="46"/>
      <c r="G5250" s="79"/>
    </row>
    <row r="5251" spans="2:7" x14ac:dyDescent="0.35">
      <c r="B5251" s="46"/>
      <c r="C5251" s="46"/>
      <c r="D5251" s="46"/>
      <c r="E5251" s="46"/>
      <c r="F5251" s="46"/>
      <c r="G5251" s="79"/>
    </row>
    <row r="5252" spans="2:7" x14ac:dyDescent="0.35">
      <c r="B5252" s="46"/>
      <c r="C5252" s="46"/>
      <c r="D5252" s="46"/>
      <c r="E5252" s="46"/>
      <c r="F5252" s="46"/>
      <c r="G5252" s="79"/>
    </row>
    <row r="5253" spans="2:7" x14ac:dyDescent="0.35">
      <c r="B5253" s="46"/>
      <c r="C5253" s="46"/>
      <c r="D5253" s="46"/>
      <c r="E5253" s="46"/>
      <c r="F5253" s="46"/>
      <c r="G5253" s="79"/>
    </row>
    <row r="5254" spans="2:7" x14ac:dyDescent="0.35">
      <c r="B5254" s="46"/>
      <c r="C5254" s="46"/>
      <c r="D5254" s="46"/>
      <c r="E5254" s="46"/>
      <c r="F5254" s="46"/>
      <c r="G5254" s="79"/>
    </row>
    <row r="5255" spans="2:7" x14ac:dyDescent="0.35">
      <c r="B5255" s="46"/>
      <c r="C5255" s="46"/>
      <c r="D5255" s="46"/>
      <c r="E5255" s="46"/>
      <c r="F5255" s="46"/>
      <c r="G5255" s="79"/>
    </row>
    <row r="5256" spans="2:7" x14ac:dyDescent="0.35">
      <c r="B5256" s="46"/>
      <c r="C5256" s="46"/>
      <c r="D5256" s="46"/>
      <c r="E5256" s="46"/>
      <c r="F5256" s="46"/>
      <c r="G5256" s="79"/>
    </row>
    <row r="5257" spans="2:7" x14ac:dyDescent="0.35">
      <c r="B5257" s="46"/>
      <c r="C5257" s="46"/>
      <c r="D5257" s="46"/>
      <c r="E5257" s="46"/>
      <c r="F5257" s="46"/>
      <c r="G5257" s="79"/>
    </row>
    <row r="5258" spans="2:7" x14ac:dyDescent="0.35">
      <c r="B5258" s="46"/>
      <c r="C5258" s="46"/>
      <c r="D5258" s="46"/>
      <c r="E5258" s="46"/>
      <c r="F5258" s="46"/>
      <c r="G5258" s="79"/>
    </row>
    <row r="5259" spans="2:7" x14ac:dyDescent="0.35">
      <c r="B5259" s="46"/>
      <c r="C5259" s="46"/>
      <c r="D5259" s="46"/>
      <c r="E5259" s="46"/>
      <c r="F5259" s="46"/>
      <c r="G5259" s="79"/>
    </row>
    <row r="5260" spans="2:7" x14ac:dyDescent="0.35">
      <c r="B5260" s="46"/>
      <c r="C5260" s="46"/>
      <c r="D5260" s="46"/>
      <c r="E5260" s="46"/>
      <c r="F5260" s="46"/>
      <c r="G5260" s="79"/>
    </row>
    <row r="5261" spans="2:7" x14ac:dyDescent="0.35">
      <c r="B5261" s="46"/>
      <c r="C5261" s="46"/>
      <c r="D5261" s="46"/>
      <c r="E5261" s="46"/>
      <c r="F5261" s="46"/>
      <c r="G5261" s="79"/>
    </row>
    <row r="5262" spans="2:7" x14ac:dyDescent="0.35">
      <c r="B5262" s="46"/>
      <c r="C5262" s="46"/>
      <c r="D5262" s="46"/>
      <c r="E5262" s="46"/>
      <c r="F5262" s="46"/>
      <c r="G5262" s="79"/>
    </row>
    <row r="5263" spans="2:7" x14ac:dyDescent="0.35">
      <c r="B5263" s="46"/>
      <c r="C5263" s="46"/>
      <c r="D5263" s="46"/>
      <c r="E5263" s="46"/>
      <c r="F5263" s="46"/>
      <c r="G5263" s="79"/>
    </row>
    <row r="5264" spans="2:7" x14ac:dyDescent="0.35">
      <c r="B5264" s="46"/>
      <c r="C5264" s="46"/>
      <c r="D5264" s="46"/>
      <c r="E5264" s="46"/>
      <c r="F5264" s="46"/>
      <c r="G5264" s="79"/>
    </row>
    <row r="5265" spans="2:7" x14ac:dyDescent="0.35">
      <c r="B5265" s="46"/>
      <c r="C5265" s="46"/>
      <c r="D5265" s="46"/>
      <c r="E5265" s="46"/>
      <c r="F5265" s="46"/>
      <c r="G5265" s="79"/>
    </row>
    <row r="5266" spans="2:7" x14ac:dyDescent="0.35">
      <c r="B5266" s="46"/>
      <c r="C5266" s="46"/>
      <c r="D5266" s="46"/>
      <c r="E5266" s="46"/>
      <c r="F5266" s="46"/>
      <c r="G5266" s="79"/>
    </row>
    <row r="5267" spans="2:7" x14ac:dyDescent="0.35">
      <c r="B5267" s="46"/>
      <c r="C5267" s="46"/>
      <c r="D5267" s="46"/>
      <c r="E5267" s="46"/>
      <c r="F5267" s="46"/>
      <c r="G5267" s="79"/>
    </row>
    <row r="5268" spans="2:7" x14ac:dyDescent="0.35">
      <c r="B5268" s="46"/>
      <c r="C5268" s="46"/>
      <c r="D5268" s="46"/>
      <c r="E5268" s="46"/>
      <c r="F5268" s="46"/>
      <c r="G5268" s="79"/>
    </row>
    <row r="5269" spans="2:7" x14ac:dyDescent="0.35">
      <c r="B5269" s="46"/>
      <c r="C5269" s="46"/>
      <c r="D5269" s="46"/>
      <c r="E5269" s="46"/>
      <c r="F5269" s="46"/>
      <c r="G5269" s="79"/>
    </row>
    <row r="5270" spans="2:7" x14ac:dyDescent="0.35">
      <c r="B5270" s="46"/>
      <c r="C5270" s="46"/>
      <c r="D5270" s="46"/>
      <c r="E5270" s="46"/>
      <c r="F5270" s="46"/>
      <c r="G5270" s="79"/>
    </row>
    <row r="5271" spans="2:7" x14ac:dyDescent="0.35">
      <c r="B5271" s="46"/>
      <c r="C5271" s="46"/>
      <c r="D5271" s="46"/>
      <c r="E5271" s="46"/>
      <c r="F5271" s="46"/>
      <c r="G5271" s="79"/>
    </row>
    <row r="5272" spans="2:7" x14ac:dyDescent="0.35">
      <c r="B5272" s="46"/>
      <c r="C5272" s="46"/>
      <c r="D5272" s="46"/>
      <c r="E5272" s="46"/>
      <c r="F5272" s="46"/>
      <c r="G5272" s="79"/>
    </row>
    <row r="5273" spans="2:7" x14ac:dyDescent="0.35">
      <c r="B5273" s="46"/>
      <c r="C5273" s="46"/>
      <c r="D5273" s="46"/>
      <c r="E5273" s="46"/>
      <c r="F5273" s="46"/>
      <c r="G5273" s="79"/>
    </row>
    <row r="5274" spans="2:7" x14ac:dyDescent="0.35">
      <c r="B5274" s="46"/>
      <c r="C5274" s="46"/>
      <c r="D5274" s="46"/>
      <c r="E5274" s="46"/>
      <c r="F5274" s="46"/>
      <c r="G5274" s="79"/>
    </row>
    <row r="5275" spans="2:7" x14ac:dyDescent="0.35">
      <c r="B5275" s="46"/>
      <c r="C5275" s="46"/>
      <c r="D5275" s="46"/>
      <c r="E5275" s="46"/>
      <c r="F5275" s="46"/>
      <c r="G5275" s="79"/>
    </row>
    <row r="5276" spans="2:7" x14ac:dyDescent="0.35">
      <c r="B5276" s="46"/>
      <c r="C5276" s="46"/>
      <c r="D5276" s="46"/>
      <c r="E5276" s="46"/>
      <c r="F5276" s="46"/>
      <c r="G5276" s="79"/>
    </row>
    <row r="5277" spans="2:7" x14ac:dyDescent="0.35">
      <c r="B5277" s="46"/>
      <c r="C5277" s="46"/>
      <c r="D5277" s="46"/>
      <c r="E5277" s="46"/>
      <c r="F5277" s="46"/>
      <c r="G5277" s="79"/>
    </row>
    <row r="5278" spans="2:7" x14ac:dyDescent="0.35">
      <c r="B5278" s="46"/>
      <c r="C5278" s="46"/>
      <c r="D5278" s="46"/>
      <c r="E5278" s="46"/>
      <c r="F5278" s="46"/>
      <c r="G5278" s="79"/>
    </row>
    <row r="5279" spans="2:7" x14ac:dyDescent="0.35">
      <c r="B5279" s="46"/>
      <c r="C5279" s="46"/>
      <c r="D5279" s="46"/>
      <c r="E5279" s="46"/>
      <c r="F5279" s="46"/>
      <c r="G5279" s="79"/>
    </row>
    <row r="5280" spans="2:7" x14ac:dyDescent="0.35">
      <c r="B5280" s="46"/>
      <c r="C5280" s="46"/>
      <c r="D5280" s="46"/>
      <c r="E5280" s="46"/>
      <c r="F5280" s="46"/>
      <c r="G5280" s="79"/>
    </row>
    <row r="5281" spans="2:7" x14ac:dyDescent="0.35">
      <c r="B5281" s="46"/>
      <c r="C5281" s="46"/>
      <c r="D5281" s="46"/>
      <c r="E5281" s="46"/>
      <c r="F5281" s="46"/>
      <c r="G5281" s="79"/>
    </row>
    <row r="5282" spans="2:7" x14ac:dyDescent="0.35">
      <c r="B5282" s="46"/>
      <c r="C5282" s="46"/>
      <c r="D5282" s="46"/>
      <c r="E5282" s="46"/>
      <c r="F5282" s="46"/>
      <c r="G5282" s="79"/>
    </row>
    <row r="5283" spans="2:7" x14ac:dyDescent="0.35">
      <c r="B5283" s="46"/>
      <c r="C5283" s="46"/>
      <c r="D5283" s="46"/>
      <c r="E5283" s="46"/>
      <c r="F5283" s="46"/>
      <c r="G5283" s="79"/>
    </row>
    <row r="5284" spans="2:7" x14ac:dyDescent="0.35">
      <c r="B5284" s="46"/>
      <c r="C5284" s="46"/>
      <c r="D5284" s="46"/>
      <c r="E5284" s="46"/>
      <c r="F5284" s="46"/>
      <c r="G5284" s="79"/>
    </row>
    <row r="5285" spans="2:7" x14ac:dyDescent="0.35">
      <c r="B5285" s="46"/>
      <c r="C5285" s="46"/>
      <c r="D5285" s="46"/>
      <c r="E5285" s="46"/>
      <c r="F5285" s="46"/>
      <c r="G5285" s="79"/>
    </row>
    <row r="5286" spans="2:7" x14ac:dyDescent="0.35">
      <c r="B5286" s="46"/>
      <c r="C5286" s="46"/>
      <c r="D5286" s="46"/>
      <c r="E5286" s="46"/>
      <c r="F5286" s="46"/>
      <c r="G5286" s="79"/>
    </row>
    <row r="5287" spans="2:7" x14ac:dyDescent="0.35">
      <c r="B5287" s="46"/>
      <c r="C5287" s="46"/>
      <c r="D5287" s="46"/>
      <c r="E5287" s="46"/>
      <c r="F5287" s="46"/>
      <c r="G5287" s="79"/>
    </row>
    <row r="5288" spans="2:7" x14ac:dyDescent="0.35">
      <c r="B5288" s="46"/>
      <c r="C5288" s="46"/>
      <c r="D5288" s="46"/>
      <c r="E5288" s="46"/>
      <c r="F5288" s="46"/>
      <c r="G5288" s="79"/>
    </row>
    <row r="5289" spans="2:7" x14ac:dyDescent="0.35">
      <c r="B5289" s="46"/>
      <c r="C5289" s="46"/>
      <c r="D5289" s="46"/>
      <c r="E5289" s="46"/>
      <c r="F5289" s="46"/>
      <c r="G5289" s="79"/>
    </row>
    <row r="5290" spans="2:7" x14ac:dyDescent="0.35">
      <c r="B5290" s="46"/>
      <c r="C5290" s="46"/>
      <c r="D5290" s="46"/>
      <c r="E5290" s="46"/>
      <c r="F5290" s="46"/>
      <c r="G5290" s="79"/>
    </row>
    <row r="5291" spans="2:7" x14ac:dyDescent="0.35">
      <c r="B5291" s="46"/>
      <c r="C5291" s="46"/>
      <c r="D5291" s="46"/>
      <c r="E5291" s="46"/>
      <c r="F5291" s="46"/>
      <c r="G5291" s="79"/>
    </row>
    <row r="5292" spans="2:7" x14ac:dyDescent="0.35">
      <c r="B5292" s="46"/>
      <c r="C5292" s="46"/>
      <c r="D5292" s="46"/>
      <c r="E5292" s="46"/>
      <c r="F5292" s="46"/>
      <c r="G5292" s="79"/>
    </row>
    <row r="5293" spans="2:7" x14ac:dyDescent="0.35">
      <c r="B5293" s="46"/>
      <c r="C5293" s="46"/>
      <c r="D5293" s="46"/>
      <c r="E5293" s="46"/>
      <c r="F5293" s="46"/>
      <c r="G5293" s="79"/>
    </row>
    <row r="5294" spans="2:7" x14ac:dyDescent="0.35">
      <c r="B5294" s="46"/>
      <c r="C5294" s="46"/>
      <c r="D5294" s="46"/>
      <c r="E5294" s="46"/>
      <c r="F5294" s="46"/>
      <c r="G5294" s="79"/>
    </row>
    <row r="5295" spans="2:7" x14ac:dyDescent="0.35">
      <c r="B5295" s="46"/>
      <c r="C5295" s="46"/>
      <c r="D5295" s="46"/>
      <c r="E5295" s="46"/>
      <c r="F5295" s="46"/>
      <c r="G5295" s="79"/>
    </row>
    <row r="5296" spans="2:7" x14ac:dyDescent="0.35">
      <c r="B5296" s="46"/>
      <c r="C5296" s="46"/>
      <c r="D5296" s="46"/>
      <c r="E5296" s="46"/>
      <c r="F5296" s="46"/>
      <c r="G5296" s="79"/>
    </row>
    <row r="5297" spans="2:7" x14ac:dyDescent="0.35">
      <c r="B5297" s="46"/>
      <c r="C5297" s="46"/>
      <c r="D5297" s="46"/>
      <c r="E5297" s="46"/>
      <c r="F5297" s="46"/>
      <c r="G5297" s="79"/>
    </row>
    <row r="5298" spans="2:7" x14ac:dyDescent="0.35">
      <c r="B5298" s="46"/>
      <c r="C5298" s="46"/>
      <c r="D5298" s="46"/>
      <c r="E5298" s="46"/>
      <c r="F5298" s="46"/>
      <c r="G5298" s="79"/>
    </row>
    <row r="5299" spans="2:7" x14ac:dyDescent="0.35">
      <c r="B5299" s="46"/>
      <c r="C5299" s="46"/>
      <c r="D5299" s="46"/>
      <c r="E5299" s="46"/>
      <c r="F5299" s="46"/>
      <c r="G5299" s="79"/>
    </row>
    <row r="5300" spans="2:7" x14ac:dyDescent="0.35">
      <c r="B5300" s="46"/>
      <c r="C5300" s="46"/>
      <c r="D5300" s="46"/>
      <c r="E5300" s="46"/>
      <c r="F5300" s="46"/>
      <c r="G5300" s="79"/>
    </row>
    <row r="5301" spans="2:7" x14ac:dyDescent="0.35">
      <c r="B5301" s="46"/>
      <c r="C5301" s="46"/>
      <c r="D5301" s="46"/>
      <c r="E5301" s="46"/>
      <c r="F5301" s="46"/>
      <c r="G5301" s="79"/>
    </row>
    <row r="5302" spans="2:7" x14ac:dyDescent="0.35">
      <c r="B5302" s="46"/>
      <c r="C5302" s="46"/>
      <c r="D5302" s="46"/>
      <c r="E5302" s="46"/>
      <c r="F5302" s="46"/>
      <c r="G5302" s="79"/>
    </row>
    <row r="5303" spans="2:7" x14ac:dyDescent="0.35">
      <c r="B5303" s="46"/>
      <c r="C5303" s="46"/>
      <c r="D5303" s="46"/>
      <c r="E5303" s="46"/>
      <c r="F5303" s="46"/>
      <c r="G5303" s="79"/>
    </row>
    <row r="5304" spans="2:7" x14ac:dyDescent="0.35">
      <c r="B5304" s="46"/>
      <c r="C5304" s="46"/>
      <c r="D5304" s="46"/>
      <c r="E5304" s="46"/>
      <c r="F5304" s="46"/>
      <c r="G5304" s="79"/>
    </row>
    <row r="5305" spans="2:7" x14ac:dyDescent="0.35">
      <c r="B5305" s="46"/>
      <c r="C5305" s="46"/>
      <c r="D5305" s="46"/>
      <c r="E5305" s="46"/>
      <c r="F5305" s="46"/>
      <c r="G5305" s="79"/>
    </row>
    <row r="5306" spans="2:7" x14ac:dyDescent="0.35">
      <c r="B5306" s="46"/>
      <c r="C5306" s="46"/>
      <c r="D5306" s="46"/>
      <c r="E5306" s="46"/>
      <c r="F5306" s="46"/>
      <c r="G5306" s="79"/>
    </row>
    <row r="5307" spans="2:7" x14ac:dyDescent="0.35">
      <c r="B5307" s="46"/>
      <c r="C5307" s="46"/>
      <c r="D5307" s="46"/>
      <c r="E5307" s="46"/>
      <c r="F5307" s="46"/>
      <c r="G5307" s="79"/>
    </row>
    <row r="5308" spans="2:7" x14ac:dyDescent="0.35">
      <c r="B5308" s="46"/>
      <c r="C5308" s="46"/>
      <c r="D5308" s="46"/>
      <c r="E5308" s="46"/>
      <c r="F5308" s="46"/>
      <c r="G5308" s="79"/>
    </row>
    <row r="5309" spans="2:7" x14ac:dyDescent="0.35">
      <c r="B5309" s="46"/>
      <c r="C5309" s="46"/>
      <c r="D5309" s="46"/>
      <c r="E5309" s="46"/>
      <c r="F5309" s="46"/>
      <c r="G5309" s="79"/>
    </row>
    <row r="5310" spans="2:7" x14ac:dyDescent="0.35">
      <c r="B5310" s="46"/>
      <c r="C5310" s="46"/>
      <c r="D5310" s="46"/>
      <c r="E5310" s="46"/>
      <c r="F5310" s="46"/>
      <c r="G5310" s="79"/>
    </row>
    <row r="5311" spans="2:7" x14ac:dyDescent="0.35">
      <c r="B5311" s="46"/>
      <c r="C5311" s="46"/>
      <c r="D5311" s="46"/>
      <c r="E5311" s="46"/>
      <c r="F5311" s="46"/>
      <c r="G5311" s="79"/>
    </row>
    <row r="5312" spans="2:7" x14ac:dyDescent="0.35">
      <c r="B5312" s="46"/>
      <c r="C5312" s="46"/>
      <c r="D5312" s="46"/>
      <c r="E5312" s="46"/>
      <c r="F5312" s="46"/>
      <c r="G5312" s="79"/>
    </row>
    <row r="5313" spans="2:7" x14ac:dyDescent="0.35">
      <c r="B5313" s="46"/>
      <c r="C5313" s="46"/>
      <c r="D5313" s="46"/>
      <c r="E5313" s="46"/>
      <c r="F5313" s="46"/>
      <c r="G5313" s="79"/>
    </row>
    <row r="5314" spans="2:7" x14ac:dyDescent="0.35">
      <c r="B5314" s="46"/>
      <c r="C5314" s="46"/>
      <c r="D5314" s="46"/>
      <c r="E5314" s="46"/>
      <c r="F5314" s="46"/>
      <c r="G5314" s="79"/>
    </row>
    <row r="5315" spans="2:7" x14ac:dyDescent="0.35">
      <c r="B5315" s="46"/>
      <c r="C5315" s="46"/>
      <c r="D5315" s="46"/>
      <c r="E5315" s="46"/>
      <c r="F5315" s="46"/>
      <c r="G5315" s="79"/>
    </row>
    <row r="5316" spans="2:7" x14ac:dyDescent="0.35">
      <c r="B5316" s="46"/>
      <c r="C5316" s="46"/>
      <c r="D5316" s="46"/>
      <c r="E5316" s="46"/>
      <c r="F5316" s="46"/>
      <c r="G5316" s="79"/>
    </row>
    <row r="5317" spans="2:7" x14ac:dyDescent="0.35">
      <c r="B5317" s="46"/>
      <c r="C5317" s="46"/>
      <c r="D5317" s="46"/>
      <c r="E5317" s="46"/>
      <c r="F5317" s="46"/>
      <c r="G5317" s="79"/>
    </row>
    <row r="5318" spans="2:7" x14ac:dyDescent="0.35">
      <c r="B5318" s="46"/>
      <c r="C5318" s="46"/>
      <c r="D5318" s="46"/>
      <c r="E5318" s="46"/>
      <c r="F5318" s="46"/>
      <c r="G5318" s="79"/>
    </row>
    <row r="5319" spans="2:7" x14ac:dyDescent="0.35">
      <c r="B5319" s="46"/>
      <c r="C5319" s="46"/>
      <c r="D5319" s="46"/>
      <c r="E5319" s="46"/>
      <c r="F5319" s="46"/>
      <c r="G5319" s="79"/>
    </row>
    <row r="5320" spans="2:7" x14ac:dyDescent="0.35">
      <c r="B5320" s="46"/>
      <c r="C5320" s="46"/>
      <c r="D5320" s="46"/>
      <c r="E5320" s="46"/>
      <c r="F5320" s="46"/>
      <c r="G5320" s="79"/>
    </row>
    <row r="5321" spans="2:7" x14ac:dyDescent="0.35">
      <c r="B5321" s="46"/>
      <c r="C5321" s="46"/>
      <c r="D5321" s="46"/>
      <c r="E5321" s="46"/>
      <c r="F5321" s="46"/>
      <c r="G5321" s="79"/>
    </row>
    <row r="5322" spans="2:7" x14ac:dyDescent="0.35">
      <c r="B5322" s="46"/>
      <c r="C5322" s="46"/>
      <c r="D5322" s="46"/>
      <c r="E5322" s="46"/>
      <c r="F5322" s="46"/>
      <c r="G5322" s="79"/>
    </row>
    <row r="5323" spans="2:7" x14ac:dyDescent="0.35">
      <c r="B5323" s="46"/>
      <c r="C5323" s="46"/>
      <c r="D5323" s="46"/>
      <c r="E5323" s="46"/>
      <c r="F5323" s="46"/>
      <c r="G5323" s="79"/>
    </row>
    <row r="5324" spans="2:7" x14ac:dyDescent="0.35">
      <c r="B5324" s="46"/>
      <c r="C5324" s="46"/>
      <c r="D5324" s="46"/>
      <c r="E5324" s="46"/>
      <c r="F5324" s="46"/>
      <c r="G5324" s="79"/>
    </row>
    <row r="5325" spans="2:7" x14ac:dyDescent="0.35">
      <c r="B5325" s="46"/>
      <c r="C5325" s="46"/>
      <c r="D5325" s="46"/>
      <c r="E5325" s="46"/>
      <c r="F5325" s="46"/>
      <c r="G5325" s="79"/>
    </row>
    <row r="5326" spans="2:7" x14ac:dyDescent="0.35">
      <c r="B5326" s="46"/>
      <c r="C5326" s="46"/>
      <c r="D5326" s="46"/>
      <c r="E5326" s="46"/>
      <c r="F5326" s="46"/>
      <c r="G5326" s="79"/>
    </row>
    <row r="5327" spans="2:7" x14ac:dyDescent="0.35">
      <c r="B5327" s="46"/>
      <c r="C5327" s="46"/>
      <c r="D5327" s="46"/>
      <c r="E5327" s="46"/>
      <c r="F5327" s="46"/>
      <c r="G5327" s="79"/>
    </row>
    <row r="5328" spans="2:7" x14ac:dyDescent="0.35">
      <c r="B5328" s="46"/>
      <c r="C5328" s="46"/>
      <c r="D5328" s="46"/>
      <c r="E5328" s="46"/>
      <c r="F5328" s="46"/>
      <c r="G5328" s="79"/>
    </row>
    <row r="5329" spans="2:7" x14ac:dyDescent="0.35">
      <c r="B5329" s="46"/>
      <c r="C5329" s="46"/>
      <c r="D5329" s="46"/>
      <c r="E5329" s="46"/>
      <c r="F5329" s="46"/>
      <c r="G5329" s="79"/>
    </row>
    <row r="5330" spans="2:7" x14ac:dyDescent="0.35">
      <c r="B5330" s="46"/>
      <c r="C5330" s="46"/>
      <c r="D5330" s="46"/>
      <c r="E5330" s="46"/>
      <c r="F5330" s="46"/>
      <c r="G5330" s="79"/>
    </row>
    <row r="5331" spans="2:7" x14ac:dyDescent="0.35">
      <c r="B5331" s="46"/>
      <c r="C5331" s="46"/>
      <c r="D5331" s="46"/>
      <c r="E5331" s="46"/>
      <c r="F5331" s="46"/>
      <c r="G5331" s="79"/>
    </row>
    <row r="5332" spans="2:7" x14ac:dyDescent="0.35">
      <c r="B5332" s="46"/>
      <c r="C5332" s="46"/>
      <c r="D5332" s="46"/>
      <c r="E5332" s="46"/>
      <c r="F5332" s="46"/>
      <c r="G5332" s="79"/>
    </row>
    <row r="5333" spans="2:7" x14ac:dyDescent="0.35">
      <c r="B5333" s="46"/>
      <c r="C5333" s="46"/>
      <c r="D5333" s="46"/>
      <c r="E5333" s="46"/>
      <c r="F5333" s="46"/>
      <c r="G5333" s="79"/>
    </row>
    <row r="5334" spans="2:7" x14ac:dyDescent="0.35">
      <c r="B5334" s="46"/>
      <c r="C5334" s="46"/>
      <c r="D5334" s="46"/>
      <c r="E5334" s="46"/>
      <c r="F5334" s="46"/>
      <c r="G5334" s="79"/>
    </row>
    <row r="5335" spans="2:7" x14ac:dyDescent="0.35">
      <c r="B5335" s="46"/>
      <c r="C5335" s="46"/>
      <c r="D5335" s="46"/>
      <c r="E5335" s="46"/>
      <c r="F5335" s="46"/>
      <c r="G5335" s="79"/>
    </row>
    <row r="5336" spans="2:7" x14ac:dyDescent="0.35">
      <c r="B5336" s="46"/>
      <c r="C5336" s="46"/>
      <c r="D5336" s="46"/>
      <c r="E5336" s="46"/>
      <c r="F5336" s="46"/>
      <c r="G5336" s="79"/>
    </row>
    <row r="5337" spans="2:7" x14ac:dyDescent="0.35">
      <c r="B5337" s="46"/>
      <c r="C5337" s="46"/>
      <c r="D5337" s="46"/>
      <c r="E5337" s="46"/>
      <c r="F5337" s="46"/>
      <c r="G5337" s="79"/>
    </row>
    <row r="5338" spans="2:7" x14ac:dyDescent="0.35">
      <c r="B5338" s="46"/>
      <c r="C5338" s="46"/>
      <c r="D5338" s="46"/>
      <c r="E5338" s="46"/>
      <c r="F5338" s="46"/>
      <c r="G5338" s="79"/>
    </row>
    <row r="5339" spans="2:7" x14ac:dyDescent="0.35">
      <c r="B5339" s="46"/>
      <c r="C5339" s="46"/>
      <c r="D5339" s="46"/>
      <c r="E5339" s="46"/>
      <c r="F5339" s="46"/>
      <c r="G5339" s="79"/>
    </row>
    <row r="5340" spans="2:7" x14ac:dyDescent="0.35">
      <c r="B5340" s="46"/>
      <c r="C5340" s="46"/>
      <c r="D5340" s="46"/>
      <c r="E5340" s="46"/>
      <c r="F5340" s="46"/>
      <c r="G5340" s="79"/>
    </row>
    <row r="5341" spans="2:7" x14ac:dyDescent="0.35">
      <c r="B5341" s="46"/>
      <c r="C5341" s="46"/>
      <c r="D5341" s="46"/>
      <c r="E5341" s="46"/>
      <c r="F5341" s="46"/>
      <c r="G5341" s="79"/>
    </row>
    <row r="5342" spans="2:7" x14ac:dyDescent="0.35">
      <c r="B5342" s="46"/>
      <c r="C5342" s="46"/>
      <c r="D5342" s="46"/>
      <c r="E5342" s="46"/>
      <c r="F5342" s="46"/>
      <c r="G5342" s="79"/>
    </row>
    <row r="5343" spans="2:7" x14ac:dyDescent="0.35">
      <c r="B5343" s="46"/>
      <c r="C5343" s="46"/>
      <c r="D5343" s="46"/>
      <c r="E5343" s="46"/>
      <c r="F5343" s="46"/>
      <c r="G5343" s="79"/>
    </row>
    <row r="5344" spans="2:7" x14ac:dyDescent="0.35">
      <c r="B5344" s="46"/>
      <c r="C5344" s="46"/>
      <c r="D5344" s="46"/>
      <c r="E5344" s="46"/>
      <c r="F5344" s="46"/>
      <c r="G5344" s="79"/>
    </row>
    <row r="5345" spans="2:7" x14ac:dyDescent="0.35">
      <c r="B5345" s="46"/>
      <c r="C5345" s="46"/>
      <c r="D5345" s="46"/>
      <c r="E5345" s="46"/>
      <c r="F5345" s="46"/>
      <c r="G5345" s="79"/>
    </row>
    <row r="5346" spans="2:7" x14ac:dyDescent="0.35">
      <c r="B5346" s="46"/>
      <c r="C5346" s="46"/>
      <c r="D5346" s="46"/>
      <c r="E5346" s="46"/>
      <c r="F5346" s="46"/>
      <c r="G5346" s="79"/>
    </row>
    <row r="5347" spans="2:7" x14ac:dyDescent="0.35">
      <c r="B5347" s="46"/>
      <c r="C5347" s="46"/>
      <c r="D5347" s="46"/>
      <c r="E5347" s="46"/>
      <c r="F5347" s="46"/>
      <c r="G5347" s="79"/>
    </row>
    <row r="5348" spans="2:7" x14ac:dyDescent="0.35">
      <c r="B5348" s="46"/>
      <c r="C5348" s="46"/>
      <c r="D5348" s="46"/>
      <c r="E5348" s="46"/>
      <c r="F5348" s="46"/>
      <c r="G5348" s="79"/>
    </row>
    <row r="5349" spans="2:7" x14ac:dyDescent="0.35">
      <c r="B5349" s="46"/>
      <c r="C5349" s="46"/>
      <c r="D5349" s="46"/>
      <c r="E5349" s="46"/>
      <c r="F5349" s="46"/>
      <c r="G5349" s="79"/>
    </row>
    <row r="5350" spans="2:7" x14ac:dyDescent="0.35">
      <c r="B5350" s="46"/>
      <c r="C5350" s="46"/>
      <c r="D5350" s="46"/>
      <c r="E5350" s="46"/>
      <c r="F5350" s="46"/>
      <c r="G5350" s="79"/>
    </row>
    <row r="5351" spans="2:7" x14ac:dyDescent="0.35">
      <c r="B5351" s="46"/>
      <c r="C5351" s="46"/>
      <c r="D5351" s="46"/>
      <c r="E5351" s="46"/>
      <c r="F5351" s="46"/>
      <c r="G5351" s="79"/>
    </row>
    <row r="5352" spans="2:7" x14ac:dyDescent="0.35">
      <c r="B5352" s="46"/>
      <c r="C5352" s="46"/>
      <c r="D5352" s="46"/>
      <c r="E5352" s="46"/>
      <c r="F5352" s="46"/>
      <c r="G5352" s="79"/>
    </row>
    <row r="5353" spans="2:7" x14ac:dyDescent="0.35">
      <c r="B5353" s="46"/>
      <c r="C5353" s="46"/>
      <c r="D5353" s="46"/>
      <c r="E5353" s="46"/>
      <c r="F5353" s="46"/>
      <c r="G5353" s="79"/>
    </row>
    <row r="5354" spans="2:7" x14ac:dyDescent="0.35">
      <c r="B5354" s="46"/>
      <c r="C5354" s="46"/>
      <c r="D5354" s="46"/>
      <c r="E5354" s="46"/>
      <c r="F5354" s="46"/>
      <c r="G5354" s="79"/>
    </row>
    <row r="5355" spans="2:7" x14ac:dyDescent="0.35">
      <c r="B5355" s="46"/>
      <c r="C5355" s="46"/>
      <c r="D5355" s="46"/>
      <c r="E5355" s="46"/>
      <c r="F5355" s="46"/>
      <c r="G5355" s="79"/>
    </row>
    <row r="5356" spans="2:7" x14ac:dyDescent="0.35">
      <c r="B5356" s="46"/>
      <c r="C5356" s="46"/>
      <c r="D5356" s="46"/>
      <c r="E5356" s="46"/>
      <c r="F5356" s="46"/>
      <c r="G5356" s="79"/>
    </row>
    <row r="5357" spans="2:7" x14ac:dyDescent="0.35">
      <c r="B5357" s="46"/>
      <c r="C5357" s="46"/>
      <c r="D5357" s="46"/>
      <c r="E5357" s="46"/>
      <c r="F5357" s="46"/>
      <c r="G5357" s="79"/>
    </row>
    <row r="5358" spans="2:7" x14ac:dyDescent="0.35">
      <c r="B5358" s="46"/>
      <c r="C5358" s="46"/>
      <c r="D5358" s="46"/>
      <c r="E5358" s="46"/>
      <c r="F5358" s="46"/>
      <c r="G5358" s="79"/>
    </row>
    <row r="5359" spans="2:7" x14ac:dyDescent="0.35">
      <c r="B5359" s="46"/>
      <c r="C5359" s="46"/>
      <c r="D5359" s="46"/>
      <c r="E5359" s="46"/>
      <c r="F5359" s="46"/>
      <c r="G5359" s="79"/>
    </row>
    <row r="5360" spans="2:7" x14ac:dyDescent="0.35">
      <c r="B5360" s="46"/>
      <c r="C5360" s="46"/>
      <c r="D5360" s="46"/>
      <c r="E5360" s="46"/>
      <c r="F5360" s="46"/>
      <c r="G5360" s="79"/>
    </row>
    <row r="5361" spans="2:7" x14ac:dyDescent="0.35">
      <c r="B5361" s="46"/>
      <c r="C5361" s="46"/>
      <c r="D5361" s="46"/>
      <c r="E5361" s="46"/>
      <c r="F5361" s="46"/>
      <c r="G5361" s="79"/>
    </row>
    <row r="5362" spans="2:7" x14ac:dyDescent="0.35">
      <c r="B5362" s="46"/>
      <c r="C5362" s="46"/>
      <c r="D5362" s="46"/>
      <c r="E5362" s="46"/>
      <c r="F5362" s="46"/>
      <c r="G5362" s="79"/>
    </row>
    <row r="5363" spans="2:7" x14ac:dyDescent="0.35">
      <c r="B5363" s="46"/>
      <c r="C5363" s="46"/>
      <c r="D5363" s="46"/>
      <c r="E5363" s="46"/>
      <c r="F5363" s="46"/>
      <c r="G5363" s="79"/>
    </row>
    <row r="5364" spans="2:7" x14ac:dyDescent="0.35">
      <c r="B5364" s="46"/>
      <c r="C5364" s="46"/>
      <c r="D5364" s="46"/>
      <c r="E5364" s="46"/>
      <c r="F5364" s="46"/>
      <c r="G5364" s="79"/>
    </row>
    <row r="5365" spans="2:7" x14ac:dyDescent="0.35">
      <c r="B5365" s="46"/>
      <c r="C5365" s="46"/>
      <c r="D5365" s="46"/>
      <c r="E5365" s="46"/>
      <c r="F5365" s="46"/>
      <c r="G5365" s="79"/>
    </row>
    <row r="5366" spans="2:7" x14ac:dyDescent="0.35">
      <c r="B5366" s="46"/>
      <c r="C5366" s="46"/>
      <c r="D5366" s="46"/>
      <c r="E5366" s="46"/>
      <c r="F5366" s="46"/>
      <c r="G5366" s="79"/>
    </row>
    <row r="5367" spans="2:7" x14ac:dyDescent="0.35">
      <c r="B5367" s="46"/>
      <c r="C5367" s="46"/>
      <c r="D5367" s="46"/>
      <c r="E5367" s="46"/>
      <c r="F5367" s="46"/>
      <c r="G5367" s="79"/>
    </row>
    <row r="5368" spans="2:7" x14ac:dyDescent="0.35">
      <c r="B5368" s="46"/>
      <c r="C5368" s="46"/>
      <c r="D5368" s="46"/>
      <c r="E5368" s="46"/>
      <c r="F5368" s="46"/>
      <c r="G5368" s="79"/>
    </row>
    <row r="5369" spans="2:7" x14ac:dyDescent="0.35">
      <c r="B5369" s="46"/>
      <c r="C5369" s="46"/>
      <c r="D5369" s="46"/>
      <c r="E5369" s="46"/>
      <c r="F5369" s="46"/>
      <c r="G5369" s="79"/>
    </row>
    <row r="5370" spans="2:7" x14ac:dyDescent="0.35">
      <c r="B5370" s="46"/>
      <c r="C5370" s="46"/>
      <c r="D5370" s="46"/>
      <c r="E5370" s="46"/>
      <c r="F5370" s="46"/>
      <c r="G5370" s="79"/>
    </row>
    <row r="5371" spans="2:7" x14ac:dyDescent="0.35">
      <c r="B5371" s="46"/>
      <c r="C5371" s="46"/>
      <c r="D5371" s="46"/>
      <c r="E5371" s="46"/>
      <c r="F5371" s="46"/>
      <c r="G5371" s="79"/>
    </row>
    <row r="5372" spans="2:7" x14ac:dyDescent="0.35">
      <c r="B5372" s="46"/>
      <c r="C5372" s="46"/>
      <c r="D5372" s="46"/>
      <c r="E5372" s="46"/>
      <c r="F5372" s="46"/>
      <c r="G5372" s="79"/>
    </row>
    <row r="5373" spans="2:7" x14ac:dyDescent="0.35">
      <c r="B5373" s="46"/>
      <c r="C5373" s="46"/>
      <c r="D5373" s="46"/>
      <c r="E5373" s="46"/>
      <c r="F5373" s="46"/>
      <c r="G5373" s="79"/>
    </row>
    <row r="5374" spans="2:7" x14ac:dyDescent="0.35">
      <c r="B5374" s="46"/>
      <c r="C5374" s="46"/>
      <c r="D5374" s="46"/>
      <c r="E5374" s="46"/>
      <c r="F5374" s="46"/>
      <c r="G5374" s="79"/>
    </row>
    <row r="5375" spans="2:7" x14ac:dyDescent="0.35">
      <c r="B5375" s="46"/>
      <c r="C5375" s="46"/>
      <c r="D5375" s="46"/>
      <c r="E5375" s="46"/>
      <c r="F5375" s="46"/>
      <c r="G5375" s="79"/>
    </row>
    <row r="5376" spans="2:7" x14ac:dyDescent="0.35">
      <c r="B5376" s="46"/>
      <c r="C5376" s="46"/>
      <c r="D5376" s="46"/>
      <c r="E5376" s="46"/>
      <c r="F5376" s="46"/>
      <c r="G5376" s="79"/>
    </row>
    <row r="5377" spans="2:7" x14ac:dyDescent="0.35">
      <c r="B5377" s="46"/>
      <c r="C5377" s="46"/>
      <c r="D5377" s="46"/>
      <c r="E5377" s="46"/>
      <c r="F5377" s="46"/>
      <c r="G5377" s="79"/>
    </row>
    <row r="5378" spans="2:7" x14ac:dyDescent="0.35">
      <c r="B5378" s="46"/>
      <c r="C5378" s="46"/>
      <c r="D5378" s="46"/>
      <c r="E5378" s="46"/>
      <c r="F5378" s="46"/>
      <c r="G5378" s="79"/>
    </row>
    <row r="5379" spans="2:7" x14ac:dyDescent="0.35">
      <c r="B5379" s="46"/>
      <c r="C5379" s="46"/>
      <c r="D5379" s="46"/>
      <c r="E5379" s="46"/>
      <c r="F5379" s="46"/>
      <c r="G5379" s="79"/>
    </row>
    <row r="5380" spans="2:7" x14ac:dyDescent="0.35">
      <c r="B5380" s="46"/>
      <c r="C5380" s="46"/>
      <c r="D5380" s="46"/>
      <c r="E5380" s="46"/>
      <c r="F5380" s="46"/>
      <c r="G5380" s="79"/>
    </row>
    <row r="5381" spans="2:7" x14ac:dyDescent="0.35">
      <c r="B5381" s="46"/>
      <c r="C5381" s="46"/>
      <c r="D5381" s="46"/>
      <c r="E5381" s="46"/>
      <c r="F5381" s="46"/>
      <c r="G5381" s="79"/>
    </row>
    <row r="5382" spans="2:7" x14ac:dyDescent="0.35">
      <c r="B5382" s="46"/>
      <c r="C5382" s="46"/>
      <c r="D5382" s="46"/>
      <c r="E5382" s="46"/>
      <c r="F5382" s="46"/>
      <c r="G5382" s="79"/>
    </row>
    <row r="5383" spans="2:7" x14ac:dyDescent="0.35">
      <c r="B5383" s="46"/>
      <c r="C5383" s="46"/>
      <c r="D5383" s="46"/>
      <c r="E5383" s="46"/>
      <c r="F5383" s="46"/>
      <c r="G5383" s="79"/>
    </row>
    <row r="5384" spans="2:7" x14ac:dyDescent="0.35">
      <c r="B5384" s="46"/>
      <c r="C5384" s="46"/>
      <c r="D5384" s="46"/>
      <c r="E5384" s="46"/>
      <c r="F5384" s="46"/>
      <c r="G5384" s="79"/>
    </row>
    <row r="5385" spans="2:7" x14ac:dyDescent="0.35">
      <c r="B5385" s="46"/>
      <c r="C5385" s="46"/>
      <c r="D5385" s="46"/>
      <c r="E5385" s="46"/>
      <c r="F5385" s="46"/>
      <c r="G5385" s="79"/>
    </row>
    <row r="5386" spans="2:7" x14ac:dyDescent="0.35">
      <c r="B5386" s="46"/>
      <c r="C5386" s="46"/>
      <c r="D5386" s="46"/>
      <c r="E5386" s="46"/>
      <c r="F5386" s="46"/>
      <c r="G5386" s="79"/>
    </row>
    <row r="5387" spans="2:7" x14ac:dyDescent="0.35">
      <c r="B5387" s="46"/>
      <c r="C5387" s="46"/>
      <c r="D5387" s="46"/>
      <c r="E5387" s="46"/>
      <c r="F5387" s="46"/>
      <c r="G5387" s="79"/>
    </row>
    <row r="5388" spans="2:7" x14ac:dyDescent="0.35">
      <c r="B5388" s="46"/>
      <c r="C5388" s="46"/>
      <c r="D5388" s="46"/>
      <c r="E5388" s="46"/>
      <c r="F5388" s="46"/>
      <c r="G5388" s="79"/>
    </row>
    <row r="5389" spans="2:7" x14ac:dyDescent="0.35">
      <c r="B5389" s="46"/>
      <c r="C5389" s="46"/>
      <c r="D5389" s="46"/>
      <c r="E5389" s="46"/>
      <c r="F5389" s="46"/>
      <c r="G5389" s="79"/>
    </row>
    <row r="5390" spans="2:7" x14ac:dyDescent="0.35">
      <c r="B5390" s="46"/>
      <c r="C5390" s="46"/>
      <c r="D5390" s="46"/>
      <c r="E5390" s="46"/>
      <c r="F5390" s="46"/>
      <c r="G5390" s="79"/>
    </row>
    <row r="5391" spans="2:7" x14ac:dyDescent="0.35">
      <c r="B5391" s="46"/>
      <c r="C5391" s="46"/>
      <c r="D5391" s="46"/>
      <c r="E5391" s="46"/>
      <c r="F5391" s="46"/>
      <c r="G5391" s="79"/>
    </row>
    <row r="5392" spans="2:7" x14ac:dyDescent="0.35">
      <c r="B5392" s="46"/>
      <c r="C5392" s="46"/>
      <c r="D5392" s="46"/>
      <c r="E5392" s="46"/>
      <c r="F5392" s="46"/>
      <c r="G5392" s="79"/>
    </row>
    <row r="5393" spans="2:7" x14ac:dyDescent="0.35">
      <c r="B5393" s="46"/>
      <c r="C5393" s="46"/>
      <c r="D5393" s="46"/>
      <c r="E5393" s="46"/>
      <c r="F5393" s="46"/>
      <c r="G5393" s="79"/>
    </row>
    <row r="5394" spans="2:7" x14ac:dyDescent="0.35">
      <c r="B5394" s="46"/>
      <c r="C5394" s="46"/>
      <c r="D5394" s="46"/>
      <c r="E5394" s="46"/>
      <c r="F5394" s="46"/>
      <c r="G5394" s="79"/>
    </row>
    <row r="5395" spans="2:7" x14ac:dyDescent="0.35">
      <c r="B5395" s="46"/>
      <c r="C5395" s="46"/>
      <c r="D5395" s="46"/>
      <c r="E5395" s="46"/>
      <c r="F5395" s="46"/>
      <c r="G5395" s="79"/>
    </row>
    <row r="5396" spans="2:7" x14ac:dyDescent="0.35">
      <c r="B5396" s="46"/>
      <c r="C5396" s="46"/>
      <c r="D5396" s="46"/>
      <c r="E5396" s="46"/>
      <c r="F5396" s="46"/>
      <c r="G5396" s="79"/>
    </row>
    <row r="5397" spans="2:7" x14ac:dyDescent="0.35">
      <c r="B5397" s="46"/>
      <c r="C5397" s="46"/>
      <c r="D5397" s="46"/>
      <c r="E5397" s="46"/>
      <c r="F5397" s="46"/>
      <c r="G5397" s="79"/>
    </row>
    <row r="5398" spans="2:7" x14ac:dyDescent="0.35">
      <c r="B5398" s="46"/>
      <c r="C5398" s="46"/>
      <c r="D5398" s="46"/>
      <c r="E5398" s="46"/>
      <c r="F5398" s="46"/>
      <c r="G5398" s="79"/>
    </row>
    <row r="5399" spans="2:7" x14ac:dyDescent="0.35">
      <c r="B5399" s="46"/>
      <c r="C5399" s="46"/>
      <c r="D5399" s="46"/>
      <c r="E5399" s="46"/>
      <c r="F5399" s="46"/>
      <c r="G5399" s="79"/>
    </row>
    <row r="5400" spans="2:7" x14ac:dyDescent="0.35">
      <c r="B5400" s="46"/>
      <c r="C5400" s="46"/>
      <c r="D5400" s="46"/>
      <c r="E5400" s="46"/>
      <c r="F5400" s="46"/>
      <c r="G5400" s="79"/>
    </row>
    <row r="5401" spans="2:7" x14ac:dyDescent="0.35">
      <c r="B5401" s="46"/>
      <c r="C5401" s="46"/>
      <c r="D5401" s="46"/>
      <c r="E5401" s="46"/>
      <c r="F5401" s="46"/>
      <c r="G5401" s="79"/>
    </row>
    <row r="5402" spans="2:7" x14ac:dyDescent="0.35">
      <c r="B5402" s="46"/>
      <c r="C5402" s="46"/>
      <c r="D5402" s="46"/>
      <c r="E5402" s="46"/>
      <c r="F5402" s="46"/>
      <c r="G5402" s="79"/>
    </row>
    <row r="5403" spans="2:7" x14ac:dyDescent="0.35">
      <c r="B5403" s="46"/>
      <c r="C5403" s="46"/>
      <c r="D5403" s="46"/>
      <c r="E5403" s="46"/>
      <c r="F5403" s="46"/>
      <c r="G5403" s="79"/>
    </row>
    <row r="5404" spans="2:7" x14ac:dyDescent="0.35">
      <c r="B5404" s="46"/>
      <c r="C5404" s="46"/>
      <c r="D5404" s="46"/>
      <c r="E5404" s="46"/>
      <c r="F5404" s="46"/>
      <c r="G5404" s="79"/>
    </row>
    <row r="5405" spans="2:7" x14ac:dyDescent="0.35">
      <c r="B5405" s="46"/>
      <c r="C5405" s="46"/>
      <c r="D5405" s="46"/>
      <c r="E5405" s="46"/>
      <c r="F5405" s="46"/>
      <c r="G5405" s="79"/>
    </row>
    <row r="5406" spans="2:7" x14ac:dyDescent="0.35">
      <c r="B5406" s="46"/>
      <c r="C5406" s="46"/>
      <c r="D5406" s="46"/>
      <c r="E5406" s="46"/>
      <c r="F5406" s="46"/>
      <c r="G5406" s="79"/>
    </row>
    <row r="5407" spans="2:7" x14ac:dyDescent="0.35">
      <c r="B5407" s="46"/>
      <c r="C5407" s="46"/>
      <c r="D5407" s="46"/>
      <c r="E5407" s="46"/>
      <c r="F5407" s="46"/>
      <c r="G5407" s="79"/>
    </row>
    <row r="5408" spans="2:7" x14ac:dyDescent="0.35">
      <c r="B5408" s="46"/>
      <c r="C5408" s="46"/>
      <c r="D5408" s="46"/>
      <c r="E5408" s="46"/>
      <c r="F5408" s="46"/>
      <c r="G5408" s="79"/>
    </row>
    <row r="5409" spans="2:7" x14ac:dyDescent="0.35">
      <c r="B5409" s="46"/>
      <c r="C5409" s="46"/>
      <c r="D5409" s="46"/>
      <c r="E5409" s="46"/>
      <c r="F5409" s="46"/>
      <c r="G5409" s="79"/>
    </row>
    <row r="5410" spans="2:7" x14ac:dyDescent="0.35">
      <c r="B5410" s="46"/>
      <c r="C5410" s="46"/>
      <c r="D5410" s="46"/>
      <c r="E5410" s="46"/>
      <c r="F5410" s="46"/>
      <c r="G5410" s="79"/>
    </row>
    <row r="5411" spans="2:7" x14ac:dyDescent="0.35">
      <c r="B5411" s="46"/>
      <c r="C5411" s="46"/>
      <c r="D5411" s="46"/>
      <c r="E5411" s="46"/>
      <c r="F5411" s="46"/>
      <c r="G5411" s="79"/>
    </row>
    <row r="5412" spans="2:7" x14ac:dyDescent="0.35">
      <c r="B5412" s="46"/>
      <c r="C5412" s="46"/>
      <c r="D5412" s="46"/>
      <c r="E5412" s="46"/>
      <c r="F5412" s="46"/>
      <c r="G5412" s="79"/>
    </row>
    <row r="5413" spans="2:7" x14ac:dyDescent="0.35">
      <c r="B5413" s="46"/>
      <c r="C5413" s="46"/>
      <c r="D5413" s="46"/>
      <c r="E5413" s="46"/>
      <c r="F5413" s="46"/>
      <c r="G5413" s="79"/>
    </row>
    <row r="5414" spans="2:7" x14ac:dyDescent="0.35">
      <c r="B5414" s="46"/>
      <c r="C5414" s="46"/>
      <c r="D5414" s="46"/>
      <c r="E5414" s="46"/>
      <c r="F5414" s="46"/>
      <c r="G5414" s="79"/>
    </row>
    <row r="5415" spans="2:7" x14ac:dyDescent="0.35">
      <c r="B5415" s="46"/>
      <c r="C5415" s="46"/>
      <c r="D5415" s="46"/>
      <c r="E5415" s="46"/>
      <c r="F5415" s="46"/>
      <c r="G5415" s="79"/>
    </row>
    <row r="5416" spans="2:7" x14ac:dyDescent="0.35">
      <c r="B5416" s="46"/>
      <c r="C5416" s="46"/>
      <c r="D5416" s="46"/>
      <c r="E5416" s="46"/>
      <c r="F5416" s="46"/>
      <c r="G5416" s="79"/>
    </row>
    <row r="5417" spans="2:7" x14ac:dyDescent="0.35">
      <c r="B5417" s="46"/>
      <c r="C5417" s="46"/>
      <c r="D5417" s="46"/>
      <c r="E5417" s="46"/>
      <c r="F5417" s="46"/>
      <c r="G5417" s="79"/>
    </row>
    <row r="5418" spans="2:7" x14ac:dyDescent="0.35">
      <c r="B5418" s="46"/>
      <c r="C5418" s="46"/>
      <c r="D5418" s="46"/>
      <c r="E5418" s="46"/>
      <c r="F5418" s="46"/>
      <c r="G5418" s="79"/>
    </row>
    <row r="5419" spans="2:7" x14ac:dyDescent="0.35">
      <c r="B5419" s="46"/>
      <c r="C5419" s="46"/>
      <c r="D5419" s="46"/>
      <c r="E5419" s="46"/>
      <c r="F5419" s="46"/>
      <c r="G5419" s="79"/>
    </row>
    <row r="5420" spans="2:7" x14ac:dyDescent="0.35">
      <c r="B5420" s="46"/>
      <c r="C5420" s="46"/>
      <c r="D5420" s="46"/>
      <c r="E5420" s="46"/>
      <c r="F5420" s="46"/>
      <c r="G5420" s="79"/>
    </row>
    <row r="5421" spans="2:7" x14ac:dyDescent="0.35">
      <c r="B5421" s="46"/>
      <c r="C5421" s="46"/>
      <c r="D5421" s="46"/>
      <c r="E5421" s="46"/>
      <c r="F5421" s="46"/>
      <c r="G5421" s="79"/>
    </row>
    <row r="5422" spans="2:7" x14ac:dyDescent="0.35">
      <c r="B5422" s="46"/>
      <c r="C5422" s="46"/>
      <c r="D5422" s="46"/>
      <c r="E5422" s="46"/>
      <c r="F5422" s="46"/>
      <c r="G5422" s="79"/>
    </row>
    <row r="5423" spans="2:7" x14ac:dyDescent="0.35">
      <c r="B5423" s="46"/>
      <c r="C5423" s="46"/>
      <c r="D5423" s="46"/>
      <c r="E5423" s="46"/>
      <c r="F5423" s="46"/>
      <c r="G5423" s="79"/>
    </row>
    <row r="5424" spans="2:7" x14ac:dyDescent="0.35">
      <c r="B5424" s="46"/>
      <c r="C5424" s="46"/>
      <c r="D5424" s="46"/>
      <c r="E5424" s="46"/>
      <c r="F5424" s="46"/>
      <c r="G5424" s="79"/>
    </row>
    <row r="5425" spans="2:7" x14ac:dyDescent="0.35">
      <c r="B5425" s="46"/>
      <c r="C5425" s="46"/>
      <c r="D5425" s="46"/>
      <c r="E5425" s="46"/>
      <c r="F5425" s="46"/>
      <c r="G5425" s="79"/>
    </row>
    <row r="5426" spans="2:7" x14ac:dyDescent="0.35">
      <c r="B5426" s="46"/>
      <c r="C5426" s="46"/>
      <c r="D5426" s="46"/>
      <c r="E5426" s="46"/>
      <c r="F5426" s="46"/>
      <c r="G5426" s="79"/>
    </row>
    <row r="5427" spans="2:7" x14ac:dyDescent="0.35">
      <c r="B5427" s="46"/>
      <c r="C5427" s="46"/>
      <c r="D5427" s="46"/>
      <c r="E5427" s="46"/>
      <c r="F5427" s="46"/>
      <c r="G5427" s="79"/>
    </row>
    <row r="5428" spans="2:7" x14ac:dyDescent="0.35">
      <c r="B5428" s="46"/>
      <c r="C5428" s="46"/>
      <c r="D5428" s="46"/>
      <c r="E5428" s="46"/>
      <c r="F5428" s="46"/>
      <c r="G5428" s="79"/>
    </row>
    <row r="5429" spans="2:7" x14ac:dyDescent="0.35">
      <c r="B5429" s="46"/>
      <c r="C5429" s="46"/>
      <c r="D5429" s="46"/>
      <c r="E5429" s="46"/>
      <c r="F5429" s="46"/>
      <c r="G5429" s="79"/>
    </row>
    <row r="5430" spans="2:7" x14ac:dyDescent="0.35">
      <c r="B5430" s="46"/>
      <c r="C5430" s="46"/>
      <c r="D5430" s="46"/>
      <c r="E5430" s="46"/>
      <c r="F5430" s="46"/>
      <c r="G5430" s="79"/>
    </row>
    <row r="5431" spans="2:7" x14ac:dyDescent="0.35">
      <c r="B5431" s="46"/>
      <c r="C5431" s="46"/>
      <c r="D5431" s="46"/>
      <c r="E5431" s="46"/>
      <c r="F5431" s="46"/>
      <c r="G5431" s="79"/>
    </row>
    <row r="5432" spans="2:7" x14ac:dyDescent="0.35">
      <c r="B5432" s="46"/>
      <c r="C5432" s="46"/>
      <c r="D5432" s="46"/>
      <c r="E5432" s="46"/>
      <c r="F5432" s="46"/>
      <c r="G5432" s="79"/>
    </row>
    <row r="5433" spans="2:7" x14ac:dyDescent="0.35">
      <c r="B5433" s="46"/>
      <c r="C5433" s="46"/>
      <c r="D5433" s="46"/>
      <c r="E5433" s="46"/>
      <c r="F5433" s="46"/>
      <c r="G5433" s="79"/>
    </row>
    <row r="5434" spans="2:7" x14ac:dyDescent="0.35">
      <c r="B5434" s="46"/>
      <c r="C5434" s="46"/>
      <c r="D5434" s="46"/>
      <c r="E5434" s="46"/>
      <c r="F5434" s="46"/>
      <c r="G5434" s="79"/>
    </row>
    <row r="5435" spans="2:7" x14ac:dyDescent="0.35">
      <c r="B5435" s="46"/>
      <c r="C5435" s="46"/>
      <c r="D5435" s="46"/>
      <c r="E5435" s="46"/>
      <c r="F5435" s="46"/>
      <c r="G5435" s="79"/>
    </row>
    <row r="5436" spans="2:7" x14ac:dyDescent="0.35">
      <c r="B5436" s="46"/>
      <c r="C5436" s="46"/>
      <c r="D5436" s="46"/>
      <c r="E5436" s="46"/>
      <c r="F5436" s="46"/>
      <c r="G5436" s="79"/>
    </row>
    <row r="5437" spans="2:7" x14ac:dyDescent="0.35">
      <c r="B5437" s="46"/>
      <c r="C5437" s="46"/>
      <c r="D5437" s="46"/>
      <c r="E5437" s="46"/>
      <c r="F5437" s="46"/>
      <c r="G5437" s="79"/>
    </row>
    <row r="5438" spans="2:7" x14ac:dyDescent="0.35">
      <c r="B5438" s="46"/>
      <c r="C5438" s="46"/>
      <c r="D5438" s="46"/>
      <c r="E5438" s="46"/>
      <c r="F5438" s="46"/>
      <c r="G5438" s="79"/>
    </row>
    <row r="5439" spans="2:7" x14ac:dyDescent="0.35">
      <c r="B5439" s="46"/>
      <c r="C5439" s="46"/>
      <c r="D5439" s="46"/>
      <c r="E5439" s="46"/>
      <c r="F5439" s="46"/>
      <c r="G5439" s="79"/>
    </row>
    <row r="5440" spans="2:7" x14ac:dyDescent="0.35">
      <c r="B5440" s="46"/>
      <c r="C5440" s="46"/>
      <c r="D5440" s="46"/>
      <c r="E5440" s="46"/>
      <c r="F5440" s="46"/>
      <c r="G5440" s="79"/>
    </row>
    <row r="5441" spans="2:7" x14ac:dyDescent="0.35">
      <c r="B5441" s="46"/>
      <c r="C5441" s="46"/>
      <c r="D5441" s="46"/>
      <c r="E5441" s="46"/>
      <c r="F5441" s="46"/>
      <c r="G5441" s="79"/>
    </row>
    <row r="5442" spans="2:7" x14ac:dyDescent="0.35">
      <c r="B5442" s="46"/>
      <c r="C5442" s="46"/>
      <c r="D5442" s="46"/>
      <c r="E5442" s="46"/>
      <c r="F5442" s="46"/>
      <c r="G5442" s="79"/>
    </row>
    <row r="5443" spans="2:7" x14ac:dyDescent="0.35">
      <c r="B5443" s="46"/>
      <c r="C5443" s="46"/>
      <c r="D5443" s="46"/>
      <c r="E5443" s="46"/>
      <c r="F5443" s="46"/>
      <c r="G5443" s="79"/>
    </row>
    <row r="5444" spans="2:7" x14ac:dyDescent="0.35">
      <c r="B5444" s="46"/>
      <c r="C5444" s="46"/>
      <c r="D5444" s="46"/>
      <c r="E5444" s="46"/>
      <c r="F5444" s="46"/>
      <c r="G5444" s="79"/>
    </row>
    <row r="5445" spans="2:7" x14ac:dyDescent="0.35">
      <c r="B5445" s="46"/>
      <c r="C5445" s="46"/>
      <c r="D5445" s="46"/>
      <c r="E5445" s="46"/>
      <c r="F5445" s="46"/>
      <c r="G5445" s="79"/>
    </row>
    <row r="5446" spans="2:7" x14ac:dyDescent="0.35">
      <c r="B5446" s="46"/>
      <c r="C5446" s="46"/>
      <c r="D5446" s="46"/>
      <c r="E5446" s="46"/>
      <c r="F5446" s="46"/>
      <c r="G5446" s="79"/>
    </row>
    <row r="5447" spans="2:7" x14ac:dyDescent="0.35">
      <c r="B5447" s="46"/>
      <c r="C5447" s="46"/>
      <c r="D5447" s="46"/>
      <c r="E5447" s="46"/>
      <c r="F5447" s="46"/>
      <c r="G5447" s="79"/>
    </row>
    <row r="5448" spans="2:7" x14ac:dyDescent="0.35">
      <c r="B5448" s="46"/>
      <c r="C5448" s="46"/>
      <c r="D5448" s="46"/>
      <c r="E5448" s="46"/>
      <c r="F5448" s="46"/>
      <c r="G5448" s="79"/>
    </row>
    <row r="5449" spans="2:7" x14ac:dyDescent="0.35">
      <c r="B5449" s="46"/>
      <c r="C5449" s="46"/>
      <c r="D5449" s="46"/>
      <c r="E5449" s="46"/>
      <c r="F5449" s="46"/>
      <c r="G5449" s="79"/>
    </row>
    <row r="5450" spans="2:7" x14ac:dyDescent="0.35">
      <c r="B5450" s="46"/>
      <c r="C5450" s="46"/>
      <c r="D5450" s="46"/>
      <c r="E5450" s="46"/>
      <c r="F5450" s="46"/>
      <c r="G5450" s="79"/>
    </row>
    <row r="5451" spans="2:7" x14ac:dyDescent="0.35">
      <c r="B5451" s="46"/>
      <c r="C5451" s="46"/>
      <c r="D5451" s="46"/>
      <c r="E5451" s="46"/>
      <c r="F5451" s="46"/>
      <c r="G5451" s="79"/>
    </row>
    <row r="5452" spans="2:7" x14ac:dyDescent="0.35">
      <c r="B5452" s="46"/>
      <c r="C5452" s="46"/>
      <c r="D5452" s="46"/>
      <c r="E5452" s="46"/>
      <c r="F5452" s="46"/>
      <c r="G5452" s="79"/>
    </row>
    <row r="5453" spans="2:7" x14ac:dyDescent="0.35">
      <c r="B5453" s="46"/>
      <c r="C5453" s="46"/>
      <c r="D5453" s="46"/>
      <c r="E5453" s="46"/>
      <c r="F5453" s="46"/>
      <c r="G5453" s="79"/>
    </row>
    <row r="5454" spans="2:7" x14ac:dyDescent="0.35">
      <c r="B5454" s="46"/>
      <c r="C5454" s="46"/>
      <c r="D5454" s="46"/>
      <c r="E5454" s="46"/>
      <c r="F5454" s="46"/>
      <c r="G5454" s="79"/>
    </row>
    <row r="5455" spans="2:7" x14ac:dyDescent="0.35">
      <c r="B5455" s="46"/>
      <c r="C5455" s="46"/>
      <c r="D5455" s="46"/>
      <c r="E5455" s="46"/>
      <c r="F5455" s="46"/>
      <c r="G5455" s="79"/>
    </row>
    <row r="5456" spans="2:7" x14ac:dyDescent="0.35">
      <c r="B5456" s="46"/>
      <c r="C5456" s="46"/>
      <c r="D5456" s="46"/>
      <c r="E5456" s="46"/>
      <c r="F5456" s="46"/>
      <c r="G5456" s="79"/>
    </row>
    <row r="5457" spans="2:7" x14ac:dyDescent="0.35">
      <c r="B5457" s="46"/>
      <c r="C5457" s="46"/>
      <c r="D5457" s="46"/>
      <c r="E5457" s="46"/>
      <c r="F5457" s="46"/>
      <c r="G5457" s="79"/>
    </row>
    <row r="5458" spans="2:7" x14ac:dyDescent="0.35">
      <c r="B5458" s="46"/>
      <c r="C5458" s="46"/>
      <c r="D5458" s="46"/>
      <c r="E5458" s="46"/>
      <c r="F5458" s="46"/>
      <c r="G5458" s="79"/>
    </row>
    <row r="5459" spans="2:7" x14ac:dyDescent="0.35">
      <c r="B5459" s="46"/>
      <c r="C5459" s="46"/>
      <c r="D5459" s="46"/>
      <c r="E5459" s="46"/>
      <c r="F5459" s="46"/>
      <c r="G5459" s="79"/>
    </row>
    <row r="5460" spans="2:7" x14ac:dyDescent="0.35">
      <c r="B5460" s="46"/>
      <c r="C5460" s="46"/>
      <c r="D5460" s="46"/>
      <c r="E5460" s="46"/>
      <c r="F5460" s="46"/>
      <c r="G5460" s="79"/>
    </row>
    <row r="5461" spans="2:7" x14ac:dyDescent="0.35">
      <c r="B5461" s="46"/>
      <c r="C5461" s="46"/>
      <c r="D5461" s="46"/>
      <c r="E5461" s="46"/>
      <c r="F5461" s="46"/>
      <c r="G5461" s="79"/>
    </row>
    <row r="5462" spans="2:7" x14ac:dyDescent="0.35">
      <c r="B5462" s="46"/>
      <c r="C5462" s="46"/>
      <c r="D5462" s="46"/>
      <c r="E5462" s="46"/>
      <c r="F5462" s="46"/>
      <c r="G5462" s="79"/>
    </row>
    <row r="5463" spans="2:7" x14ac:dyDescent="0.35">
      <c r="B5463" s="46"/>
      <c r="C5463" s="46"/>
      <c r="D5463" s="46"/>
      <c r="E5463" s="46"/>
      <c r="F5463" s="46"/>
      <c r="G5463" s="79"/>
    </row>
    <row r="5464" spans="2:7" x14ac:dyDescent="0.35">
      <c r="B5464" s="46"/>
      <c r="C5464" s="46"/>
      <c r="D5464" s="46"/>
      <c r="E5464" s="46"/>
      <c r="F5464" s="46"/>
      <c r="G5464" s="79"/>
    </row>
    <row r="5465" spans="2:7" x14ac:dyDescent="0.35">
      <c r="B5465" s="46"/>
      <c r="C5465" s="46"/>
      <c r="D5465" s="46"/>
      <c r="E5465" s="46"/>
      <c r="F5465" s="46"/>
      <c r="G5465" s="79"/>
    </row>
    <row r="5466" spans="2:7" x14ac:dyDescent="0.35">
      <c r="B5466" s="46"/>
      <c r="C5466" s="46"/>
      <c r="D5466" s="46"/>
      <c r="E5466" s="46"/>
      <c r="F5466" s="46"/>
      <c r="G5466" s="79"/>
    </row>
    <row r="5467" spans="2:7" x14ac:dyDescent="0.35">
      <c r="B5467" s="46"/>
      <c r="C5467" s="46"/>
      <c r="D5467" s="46"/>
      <c r="E5467" s="46"/>
      <c r="F5467" s="46"/>
      <c r="G5467" s="79"/>
    </row>
    <row r="5468" spans="2:7" x14ac:dyDescent="0.35">
      <c r="B5468" s="46"/>
      <c r="C5468" s="46"/>
      <c r="D5468" s="46"/>
      <c r="E5468" s="46"/>
      <c r="F5468" s="46"/>
      <c r="G5468" s="79"/>
    </row>
    <row r="5469" spans="2:7" x14ac:dyDescent="0.35">
      <c r="B5469" s="46"/>
      <c r="C5469" s="46"/>
      <c r="D5469" s="46"/>
      <c r="E5469" s="46"/>
      <c r="F5469" s="46"/>
      <c r="G5469" s="79"/>
    </row>
    <row r="5470" spans="2:7" x14ac:dyDescent="0.35">
      <c r="B5470" s="46"/>
      <c r="C5470" s="46"/>
      <c r="D5470" s="46"/>
      <c r="E5470" s="46"/>
      <c r="F5470" s="46"/>
      <c r="G5470" s="79"/>
    </row>
    <row r="5471" spans="2:7" x14ac:dyDescent="0.35">
      <c r="B5471" s="46"/>
      <c r="C5471" s="46"/>
      <c r="D5471" s="46"/>
      <c r="E5471" s="46"/>
      <c r="F5471" s="46"/>
      <c r="G5471" s="79"/>
    </row>
    <row r="5472" spans="2:7" x14ac:dyDescent="0.35">
      <c r="B5472" s="46"/>
      <c r="C5472" s="46"/>
      <c r="D5472" s="46"/>
      <c r="E5472" s="46"/>
      <c r="F5472" s="46"/>
      <c r="G5472" s="79"/>
    </row>
    <row r="5473" spans="2:7" x14ac:dyDescent="0.35">
      <c r="B5473" s="46"/>
      <c r="C5473" s="46"/>
      <c r="D5473" s="46"/>
      <c r="E5473" s="46"/>
      <c r="F5473" s="46"/>
      <c r="G5473" s="79"/>
    </row>
    <row r="5474" spans="2:7" x14ac:dyDescent="0.35">
      <c r="B5474" s="46"/>
      <c r="C5474" s="46"/>
      <c r="D5474" s="46"/>
      <c r="E5474" s="46"/>
      <c r="F5474" s="46"/>
      <c r="G5474" s="79"/>
    </row>
    <row r="5475" spans="2:7" x14ac:dyDescent="0.35">
      <c r="B5475" s="46"/>
      <c r="C5475" s="46"/>
      <c r="D5475" s="46"/>
      <c r="E5475" s="46"/>
      <c r="F5475" s="46"/>
      <c r="G5475" s="79"/>
    </row>
    <row r="5476" spans="2:7" x14ac:dyDescent="0.35">
      <c r="B5476" s="46"/>
      <c r="C5476" s="46"/>
      <c r="D5476" s="46"/>
      <c r="E5476" s="46"/>
      <c r="F5476" s="46"/>
      <c r="G5476" s="79"/>
    </row>
    <row r="5477" spans="2:7" x14ac:dyDescent="0.35">
      <c r="B5477" s="46"/>
      <c r="C5477" s="46"/>
      <c r="D5477" s="46"/>
      <c r="E5477" s="46"/>
      <c r="F5477" s="46"/>
      <c r="G5477" s="79"/>
    </row>
    <row r="5478" spans="2:7" x14ac:dyDescent="0.35">
      <c r="B5478" s="46"/>
      <c r="C5478" s="46"/>
      <c r="D5478" s="46"/>
      <c r="E5478" s="46"/>
      <c r="F5478" s="46"/>
      <c r="G5478" s="79"/>
    </row>
    <row r="5479" spans="2:7" x14ac:dyDescent="0.35">
      <c r="B5479" s="46"/>
      <c r="C5479" s="46"/>
      <c r="D5479" s="46"/>
      <c r="E5479" s="46"/>
      <c r="F5479" s="46"/>
      <c r="G5479" s="79"/>
    </row>
    <row r="5480" spans="2:7" x14ac:dyDescent="0.35">
      <c r="B5480" s="46"/>
      <c r="C5480" s="46"/>
      <c r="D5480" s="46"/>
      <c r="E5480" s="46"/>
      <c r="F5480" s="46"/>
      <c r="G5480" s="79"/>
    </row>
    <row r="5481" spans="2:7" x14ac:dyDescent="0.35">
      <c r="B5481" s="46"/>
      <c r="C5481" s="46"/>
      <c r="D5481" s="46"/>
      <c r="E5481" s="46"/>
      <c r="F5481" s="46"/>
      <c r="G5481" s="79"/>
    </row>
    <row r="5482" spans="2:7" x14ac:dyDescent="0.35">
      <c r="B5482" s="46"/>
      <c r="C5482" s="46"/>
      <c r="D5482" s="46"/>
      <c r="E5482" s="46"/>
      <c r="F5482" s="46"/>
      <c r="G5482" s="79"/>
    </row>
    <row r="5483" spans="2:7" x14ac:dyDescent="0.35">
      <c r="B5483" s="46"/>
      <c r="C5483" s="46"/>
      <c r="D5483" s="46"/>
      <c r="E5483" s="46"/>
      <c r="F5483" s="46"/>
      <c r="G5483" s="79"/>
    </row>
    <row r="5484" spans="2:7" x14ac:dyDescent="0.35">
      <c r="B5484" s="46"/>
      <c r="C5484" s="46"/>
      <c r="D5484" s="46"/>
      <c r="E5484" s="46"/>
      <c r="F5484" s="46"/>
      <c r="G5484" s="79"/>
    </row>
    <row r="5485" spans="2:7" x14ac:dyDescent="0.35">
      <c r="B5485" s="46"/>
      <c r="C5485" s="46"/>
      <c r="D5485" s="46"/>
      <c r="E5485" s="46"/>
      <c r="F5485" s="46"/>
      <c r="G5485" s="79"/>
    </row>
    <row r="5486" spans="2:7" x14ac:dyDescent="0.35">
      <c r="B5486" s="46"/>
      <c r="C5486" s="46"/>
      <c r="D5486" s="46"/>
      <c r="E5486" s="46"/>
      <c r="F5486" s="46"/>
      <c r="G5486" s="79"/>
    </row>
    <row r="5487" spans="2:7" x14ac:dyDescent="0.35">
      <c r="B5487" s="46"/>
      <c r="C5487" s="46"/>
      <c r="D5487" s="46"/>
      <c r="E5487" s="46"/>
      <c r="F5487" s="46"/>
      <c r="G5487" s="79"/>
    </row>
    <row r="5488" spans="2:7" x14ac:dyDescent="0.35">
      <c r="B5488" s="46"/>
      <c r="C5488" s="46"/>
      <c r="D5488" s="46"/>
      <c r="E5488" s="46"/>
      <c r="F5488" s="46"/>
      <c r="G5488" s="79"/>
    </row>
    <row r="5489" spans="2:7" x14ac:dyDescent="0.35">
      <c r="B5489" s="46"/>
      <c r="C5489" s="46"/>
      <c r="D5489" s="46"/>
      <c r="E5489" s="46"/>
      <c r="F5489" s="46"/>
      <c r="G5489" s="79"/>
    </row>
    <row r="5490" spans="2:7" x14ac:dyDescent="0.35">
      <c r="B5490" s="46"/>
      <c r="C5490" s="46"/>
      <c r="D5490" s="46"/>
      <c r="E5490" s="46"/>
      <c r="F5490" s="46"/>
      <c r="G5490" s="79"/>
    </row>
    <row r="5491" spans="2:7" x14ac:dyDescent="0.35">
      <c r="B5491" s="46"/>
      <c r="C5491" s="46"/>
      <c r="D5491" s="46"/>
      <c r="E5491" s="46"/>
      <c r="F5491" s="46"/>
      <c r="G5491" s="79"/>
    </row>
    <row r="5492" spans="2:7" x14ac:dyDescent="0.35">
      <c r="B5492" s="46"/>
      <c r="C5492" s="46"/>
      <c r="D5492" s="46"/>
      <c r="E5492" s="46"/>
      <c r="F5492" s="46"/>
      <c r="G5492" s="79"/>
    </row>
    <row r="5493" spans="2:7" x14ac:dyDescent="0.35">
      <c r="B5493" s="46"/>
      <c r="C5493" s="46"/>
      <c r="D5493" s="46"/>
      <c r="E5493" s="46"/>
      <c r="F5493" s="46"/>
      <c r="G5493" s="79"/>
    </row>
    <row r="5494" spans="2:7" x14ac:dyDescent="0.35">
      <c r="B5494" s="46"/>
      <c r="C5494" s="46"/>
      <c r="D5494" s="46"/>
      <c r="E5494" s="46"/>
      <c r="F5494" s="46"/>
      <c r="G5494" s="79"/>
    </row>
    <row r="5495" spans="2:7" x14ac:dyDescent="0.35">
      <c r="B5495" s="46"/>
      <c r="C5495" s="46"/>
      <c r="D5495" s="46"/>
      <c r="E5495" s="46"/>
      <c r="F5495" s="46"/>
      <c r="G5495" s="79"/>
    </row>
    <row r="5496" spans="2:7" x14ac:dyDescent="0.35">
      <c r="B5496" s="46"/>
      <c r="C5496" s="46"/>
      <c r="D5496" s="46"/>
      <c r="E5496" s="46"/>
      <c r="F5496" s="46"/>
      <c r="G5496" s="79"/>
    </row>
    <row r="5497" spans="2:7" x14ac:dyDescent="0.35">
      <c r="B5497" s="46"/>
      <c r="C5497" s="46"/>
      <c r="D5497" s="46"/>
      <c r="E5497" s="46"/>
      <c r="F5497" s="46"/>
      <c r="G5497" s="79"/>
    </row>
    <row r="5498" spans="2:7" x14ac:dyDescent="0.35">
      <c r="B5498" s="46"/>
      <c r="C5498" s="46"/>
      <c r="D5498" s="46"/>
      <c r="E5498" s="46"/>
      <c r="F5498" s="46"/>
      <c r="G5498" s="79"/>
    </row>
    <row r="5499" spans="2:7" x14ac:dyDescent="0.35">
      <c r="B5499" s="46"/>
      <c r="C5499" s="46"/>
      <c r="D5499" s="46"/>
      <c r="E5499" s="46"/>
      <c r="F5499" s="46"/>
      <c r="G5499" s="79"/>
    </row>
    <row r="5500" spans="2:7" x14ac:dyDescent="0.35">
      <c r="B5500" s="46"/>
      <c r="C5500" s="46"/>
      <c r="D5500" s="46"/>
      <c r="E5500" s="46"/>
      <c r="F5500" s="46"/>
      <c r="G5500" s="79"/>
    </row>
    <row r="5501" spans="2:7" x14ac:dyDescent="0.35">
      <c r="B5501" s="46"/>
      <c r="C5501" s="46"/>
      <c r="D5501" s="46"/>
      <c r="E5501" s="46"/>
      <c r="F5501" s="46"/>
      <c r="G5501" s="79"/>
    </row>
    <row r="5502" spans="2:7" x14ac:dyDescent="0.35">
      <c r="B5502" s="46"/>
      <c r="C5502" s="46"/>
      <c r="D5502" s="46"/>
      <c r="E5502" s="46"/>
      <c r="F5502" s="46"/>
      <c r="G5502" s="79"/>
    </row>
    <row r="5503" spans="2:7" x14ac:dyDescent="0.35">
      <c r="B5503" s="46"/>
      <c r="C5503" s="46"/>
      <c r="D5503" s="46"/>
      <c r="E5503" s="46"/>
      <c r="F5503" s="46"/>
      <c r="G5503" s="79"/>
    </row>
    <row r="5504" spans="2:7" x14ac:dyDescent="0.35">
      <c r="B5504" s="46"/>
      <c r="C5504" s="46"/>
      <c r="D5504" s="46"/>
      <c r="E5504" s="46"/>
      <c r="F5504" s="46"/>
      <c r="G5504" s="79"/>
    </row>
    <row r="5505" spans="2:7" x14ac:dyDescent="0.35">
      <c r="B5505" s="46"/>
      <c r="C5505" s="46"/>
      <c r="D5505" s="46"/>
      <c r="E5505" s="46"/>
      <c r="F5505" s="46"/>
      <c r="G5505" s="79"/>
    </row>
    <row r="5506" spans="2:7" x14ac:dyDescent="0.35">
      <c r="B5506" s="46"/>
      <c r="C5506" s="46"/>
      <c r="D5506" s="46"/>
      <c r="E5506" s="46"/>
      <c r="F5506" s="46"/>
      <c r="G5506" s="79"/>
    </row>
    <row r="5507" spans="2:7" x14ac:dyDescent="0.35">
      <c r="B5507" s="46"/>
      <c r="C5507" s="46"/>
      <c r="D5507" s="46"/>
      <c r="E5507" s="46"/>
      <c r="F5507" s="46"/>
      <c r="G5507" s="79"/>
    </row>
    <row r="5508" spans="2:7" x14ac:dyDescent="0.35">
      <c r="B5508" s="46"/>
      <c r="C5508" s="46"/>
      <c r="D5508" s="46"/>
      <c r="E5508" s="46"/>
      <c r="F5508" s="46"/>
      <c r="G5508" s="79"/>
    </row>
    <row r="5509" spans="2:7" x14ac:dyDescent="0.35">
      <c r="B5509" s="46"/>
      <c r="C5509" s="46"/>
      <c r="D5509" s="46"/>
      <c r="E5509" s="46"/>
      <c r="F5509" s="46"/>
      <c r="G5509" s="79"/>
    </row>
    <row r="5510" spans="2:7" x14ac:dyDescent="0.35">
      <c r="B5510" s="46"/>
      <c r="C5510" s="46"/>
      <c r="D5510" s="46"/>
      <c r="E5510" s="46"/>
      <c r="F5510" s="46"/>
      <c r="G5510" s="79"/>
    </row>
    <row r="5511" spans="2:7" x14ac:dyDescent="0.35">
      <c r="B5511" s="46"/>
      <c r="C5511" s="46"/>
      <c r="D5511" s="46"/>
      <c r="E5511" s="46"/>
      <c r="F5511" s="46"/>
      <c r="G5511" s="79"/>
    </row>
    <row r="5512" spans="2:7" x14ac:dyDescent="0.35">
      <c r="B5512" s="46"/>
      <c r="C5512" s="46"/>
      <c r="D5512" s="46"/>
      <c r="E5512" s="46"/>
      <c r="F5512" s="46"/>
      <c r="G5512" s="79"/>
    </row>
    <row r="5513" spans="2:7" x14ac:dyDescent="0.35">
      <c r="B5513" s="46"/>
      <c r="C5513" s="46"/>
      <c r="D5513" s="46"/>
      <c r="E5513" s="46"/>
      <c r="F5513" s="46"/>
      <c r="G5513" s="79"/>
    </row>
    <row r="5514" spans="2:7" x14ac:dyDescent="0.35">
      <c r="B5514" s="46"/>
      <c r="C5514" s="46"/>
      <c r="D5514" s="46"/>
      <c r="E5514" s="46"/>
      <c r="F5514" s="46"/>
      <c r="G5514" s="79"/>
    </row>
    <row r="5515" spans="2:7" x14ac:dyDescent="0.35">
      <c r="B5515" s="46"/>
      <c r="C5515" s="46"/>
      <c r="D5515" s="46"/>
      <c r="E5515" s="46"/>
      <c r="F5515" s="46"/>
      <c r="G5515" s="79"/>
    </row>
    <row r="5516" spans="2:7" x14ac:dyDescent="0.35">
      <c r="B5516" s="46"/>
      <c r="C5516" s="46"/>
      <c r="D5516" s="46"/>
      <c r="E5516" s="46"/>
      <c r="F5516" s="46"/>
      <c r="G5516" s="79"/>
    </row>
    <row r="5517" spans="2:7" x14ac:dyDescent="0.35">
      <c r="B5517" s="46"/>
      <c r="C5517" s="46"/>
      <c r="D5517" s="46"/>
      <c r="E5517" s="46"/>
      <c r="F5517" s="46"/>
      <c r="G5517" s="79"/>
    </row>
    <row r="5518" spans="2:7" x14ac:dyDescent="0.35">
      <c r="B5518" s="46"/>
      <c r="C5518" s="46"/>
      <c r="D5518" s="46"/>
      <c r="E5518" s="46"/>
      <c r="F5518" s="46"/>
      <c r="G5518" s="79"/>
    </row>
    <row r="5519" spans="2:7" x14ac:dyDescent="0.35">
      <c r="B5519" s="46"/>
      <c r="C5519" s="46"/>
      <c r="D5519" s="46"/>
      <c r="E5519" s="46"/>
      <c r="F5519" s="46"/>
      <c r="G5519" s="79"/>
    </row>
    <row r="5520" spans="2:7" x14ac:dyDescent="0.35">
      <c r="B5520" s="46"/>
      <c r="C5520" s="46"/>
      <c r="D5520" s="46"/>
      <c r="E5520" s="46"/>
      <c r="F5520" s="46"/>
      <c r="G5520" s="79"/>
    </row>
    <row r="5521" spans="2:7" x14ac:dyDescent="0.35">
      <c r="B5521" s="46"/>
      <c r="C5521" s="46"/>
      <c r="D5521" s="46"/>
      <c r="E5521" s="46"/>
      <c r="F5521" s="46"/>
      <c r="G5521" s="79"/>
    </row>
    <row r="5522" spans="2:7" x14ac:dyDescent="0.35">
      <c r="B5522" s="46"/>
      <c r="C5522" s="46"/>
      <c r="D5522" s="46"/>
      <c r="E5522" s="46"/>
      <c r="F5522" s="46"/>
      <c r="G5522" s="79"/>
    </row>
    <row r="5523" spans="2:7" x14ac:dyDescent="0.35">
      <c r="B5523" s="46"/>
      <c r="C5523" s="46"/>
      <c r="D5523" s="46"/>
      <c r="E5523" s="46"/>
      <c r="F5523" s="46"/>
      <c r="G5523" s="79"/>
    </row>
    <row r="5524" spans="2:7" x14ac:dyDescent="0.35">
      <c r="B5524" s="46"/>
      <c r="C5524" s="46"/>
      <c r="D5524" s="46"/>
      <c r="E5524" s="46"/>
      <c r="F5524" s="46"/>
      <c r="G5524" s="79"/>
    </row>
    <row r="5525" spans="2:7" x14ac:dyDescent="0.35">
      <c r="B5525" s="46"/>
      <c r="C5525" s="46"/>
      <c r="D5525" s="46"/>
      <c r="E5525" s="46"/>
      <c r="F5525" s="46"/>
      <c r="G5525" s="79"/>
    </row>
    <row r="5526" spans="2:7" x14ac:dyDescent="0.35">
      <c r="B5526" s="46"/>
      <c r="C5526" s="46"/>
      <c r="D5526" s="46"/>
      <c r="E5526" s="46"/>
      <c r="F5526" s="46"/>
      <c r="G5526" s="79"/>
    </row>
    <row r="5527" spans="2:7" x14ac:dyDescent="0.35">
      <c r="B5527" s="46"/>
      <c r="C5527" s="46"/>
      <c r="D5527" s="46"/>
      <c r="E5527" s="46"/>
      <c r="F5527" s="46"/>
      <c r="G5527" s="79"/>
    </row>
    <row r="5528" spans="2:7" x14ac:dyDescent="0.35">
      <c r="B5528" s="46"/>
      <c r="C5528" s="46"/>
      <c r="D5528" s="46"/>
      <c r="E5528" s="46"/>
      <c r="F5528" s="46"/>
      <c r="G5528" s="79"/>
    </row>
    <row r="5529" spans="2:7" x14ac:dyDescent="0.35">
      <c r="B5529" s="46"/>
      <c r="C5529" s="46"/>
      <c r="D5529" s="46"/>
      <c r="E5529" s="46"/>
      <c r="F5529" s="46"/>
      <c r="G5529" s="79"/>
    </row>
    <row r="5530" spans="2:7" x14ac:dyDescent="0.35">
      <c r="B5530" s="46"/>
      <c r="C5530" s="46"/>
      <c r="D5530" s="46"/>
      <c r="E5530" s="46"/>
      <c r="F5530" s="46"/>
      <c r="G5530" s="79"/>
    </row>
    <row r="5531" spans="2:7" x14ac:dyDescent="0.35">
      <c r="B5531" s="46"/>
      <c r="C5531" s="46"/>
      <c r="D5531" s="46"/>
      <c r="E5531" s="46"/>
      <c r="F5531" s="46"/>
      <c r="G5531" s="79"/>
    </row>
    <row r="5532" spans="2:7" x14ac:dyDescent="0.35">
      <c r="B5532" s="46"/>
      <c r="C5532" s="46"/>
      <c r="D5532" s="46"/>
      <c r="E5532" s="46"/>
      <c r="F5532" s="46"/>
      <c r="G5532" s="79"/>
    </row>
    <row r="5533" spans="2:7" x14ac:dyDescent="0.35">
      <c r="B5533" s="46"/>
      <c r="C5533" s="46"/>
      <c r="D5533" s="46"/>
      <c r="E5533" s="46"/>
      <c r="F5533" s="46"/>
      <c r="G5533" s="79"/>
    </row>
    <row r="5534" spans="2:7" x14ac:dyDescent="0.35">
      <c r="B5534" s="46"/>
      <c r="C5534" s="46"/>
      <c r="D5534" s="46"/>
      <c r="E5534" s="46"/>
      <c r="F5534" s="46"/>
      <c r="G5534" s="79"/>
    </row>
    <row r="5535" spans="2:7" x14ac:dyDescent="0.35">
      <c r="B5535" s="46"/>
      <c r="C5535" s="46"/>
      <c r="D5535" s="46"/>
      <c r="E5535" s="46"/>
      <c r="F5535" s="46"/>
      <c r="G5535" s="79"/>
    </row>
    <row r="5536" spans="2:7" x14ac:dyDescent="0.35">
      <c r="B5536" s="46"/>
      <c r="C5536" s="46"/>
      <c r="D5536" s="46"/>
      <c r="E5536" s="46"/>
      <c r="F5536" s="46"/>
      <c r="G5536" s="79"/>
    </row>
    <row r="5537" spans="2:7" x14ac:dyDescent="0.35">
      <c r="B5537" s="46"/>
      <c r="C5537" s="46"/>
      <c r="D5537" s="46"/>
      <c r="E5537" s="46"/>
      <c r="F5537" s="46"/>
      <c r="G5537" s="79"/>
    </row>
    <row r="5538" spans="2:7" x14ac:dyDescent="0.35">
      <c r="B5538" s="46"/>
      <c r="C5538" s="46"/>
      <c r="D5538" s="46"/>
      <c r="E5538" s="46"/>
      <c r="F5538" s="46"/>
      <c r="G5538" s="79"/>
    </row>
    <row r="5539" spans="2:7" x14ac:dyDescent="0.35">
      <c r="B5539" s="46"/>
      <c r="C5539" s="46"/>
      <c r="D5539" s="46"/>
      <c r="E5539" s="46"/>
      <c r="F5539" s="46"/>
      <c r="G5539" s="79"/>
    </row>
    <row r="5540" spans="2:7" x14ac:dyDescent="0.35">
      <c r="B5540" s="46"/>
      <c r="C5540" s="46"/>
      <c r="D5540" s="46"/>
      <c r="E5540" s="46"/>
      <c r="F5540" s="46"/>
      <c r="G5540" s="79"/>
    </row>
    <row r="5541" spans="2:7" x14ac:dyDescent="0.35">
      <c r="B5541" s="46"/>
      <c r="C5541" s="46"/>
      <c r="D5541" s="46"/>
      <c r="E5541" s="46"/>
      <c r="F5541" s="46"/>
      <c r="G5541" s="79"/>
    </row>
    <row r="5542" spans="2:7" x14ac:dyDescent="0.35">
      <c r="B5542" s="46"/>
      <c r="C5542" s="46"/>
      <c r="D5542" s="46"/>
      <c r="E5542" s="46"/>
      <c r="F5542" s="46"/>
      <c r="G5542" s="79"/>
    </row>
    <row r="5543" spans="2:7" x14ac:dyDescent="0.35">
      <c r="B5543" s="46"/>
      <c r="C5543" s="46"/>
      <c r="D5543" s="46"/>
      <c r="E5543" s="46"/>
      <c r="F5543" s="46"/>
      <c r="G5543" s="79"/>
    </row>
    <row r="5544" spans="2:7" x14ac:dyDescent="0.35">
      <c r="B5544" s="46"/>
      <c r="C5544" s="46"/>
      <c r="D5544" s="46"/>
      <c r="E5544" s="46"/>
      <c r="F5544" s="46"/>
      <c r="G5544" s="79"/>
    </row>
    <row r="5545" spans="2:7" x14ac:dyDescent="0.35">
      <c r="B5545" s="46"/>
      <c r="C5545" s="46"/>
      <c r="D5545" s="46"/>
      <c r="E5545" s="46"/>
      <c r="F5545" s="46"/>
      <c r="G5545" s="79"/>
    </row>
    <row r="5546" spans="2:7" x14ac:dyDescent="0.35">
      <c r="B5546" s="46"/>
      <c r="C5546" s="46"/>
      <c r="D5546" s="46"/>
      <c r="E5546" s="46"/>
      <c r="F5546" s="46"/>
      <c r="G5546" s="79"/>
    </row>
    <row r="5547" spans="2:7" x14ac:dyDescent="0.35">
      <c r="B5547" s="46"/>
      <c r="C5547" s="46"/>
      <c r="D5547" s="46"/>
      <c r="E5547" s="46"/>
      <c r="F5547" s="46"/>
      <c r="G5547" s="79"/>
    </row>
    <row r="5548" spans="2:7" x14ac:dyDescent="0.35">
      <c r="B5548" s="46"/>
      <c r="C5548" s="46"/>
      <c r="D5548" s="46"/>
      <c r="E5548" s="46"/>
      <c r="F5548" s="46"/>
      <c r="G5548" s="79"/>
    </row>
    <row r="5549" spans="2:7" x14ac:dyDescent="0.35">
      <c r="B5549" s="46"/>
      <c r="C5549" s="46"/>
      <c r="D5549" s="46"/>
      <c r="E5549" s="46"/>
      <c r="F5549" s="46"/>
      <c r="G5549" s="79"/>
    </row>
    <row r="5550" spans="2:7" x14ac:dyDescent="0.35">
      <c r="B5550" s="46"/>
      <c r="C5550" s="46"/>
      <c r="D5550" s="46"/>
      <c r="E5550" s="46"/>
      <c r="F5550" s="46"/>
      <c r="G5550" s="79"/>
    </row>
    <row r="5551" spans="2:7" x14ac:dyDescent="0.35">
      <c r="B5551" s="46"/>
      <c r="C5551" s="46"/>
      <c r="D5551" s="46"/>
      <c r="E5551" s="46"/>
      <c r="F5551" s="46"/>
      <c r="G5551" s="79"/>
    </row>
    <row r="5552" spans="2:7" x14ac:dyDescent="0.35">
      <c r="B5552" s="46"/>
      <c r="C5552" s="46"/>
      <c r="D5552" s="46"/>
      <c r="E5552" s="46"/>
      <c r="F5552" s="46"/>
      <c r="G5552" s="79"/>
    </row>
    <row r="5553" spans="2:7" x14ac:dyDescent="0.35">
      <c r="B5553" s="46"/>
      <c r="C5553" s="46"/>
      <c r="D5553" s="46"/>
      <c r="E5553" s="46"/>
      <c r="F5553" s="46"/>
      <c r="G5553" s="79"/>
    </row>
    <row r="5554" spans="2:7" x14ac:dyDescent="0.35">
      <c r="B5554" s="46"/>
      <c r="C5554" s="46"/>
      <c r="D5554" s="46"/>
      <c r="E5554" s="46"/>
      <c r="F5554" s="46"/>
      <c r="G5554" s="79"/>
    </row>
    <row r="5555" spans="2:7" x14ac:dyDescent="0.35">
      <c r="B5555" s="46"/>
      <c r="C5555" s="46"/>
      <c r="D5555" s="46"/>
      <c r="E5555" s="46"/>
      <c r="F5555" s="46"/>
      <c r="G5555" s="79"/>
    </row>
    <row r="5556" spans="2:7" x14ac:dyDescent="0.35">
      <c r="B5556" s="46"/>
      <c r="C5556" s="46"/>
      <c r="D5556" s="46"/>
      <c r="E5556" s="46"/>
      <c r="F5556" s="46"/>
      <c r="G5556" s="79"/>
    </row>
    <row r="5557" spans="2:7" x14ac:dyDescent="0.35">
      <c r="B5557" s="46"/>
      <c r="C5557" s="46"/>
      <c r="D5557" s="46"/>
      <c r="E5557" s="46"/>
      <c r="F5557" s="46"/>
      <c r="G5557" s="79"/>
    </row>
    <row r="5558" spans="2:7" x14ac:dyDescent="0.35">
      <c r="B5558" s="46"/>
      <c r="C5558" s="46"/>
      <c r="D5558" s="46"/>
      <c r="E5558" s="46"/>
      <c r="F5558" s="46"/>
      <c r="G5558" s="79"/>
    </row>
    <row r="5559" spans="2:7" x14ac:dyDescent="0.35">
      <c r="B5559" s="46"/>
      <c r="C5559" s="46"/>
      <c r="D5559" s="46"/>
      <c r="E5559" s="46"/>
      <c r="F5559" s="46"/>
      <c r="G5559" s="79"/>
    </row>
    <row r="5560" spans="2:7" x14ac:dyDescent="0.35">
      <c r="B5560" s="46"/>
      <c r="C5560" s="46"/>
      <c r="D5560" s="46"/>
      <c r="E5560" s="46"/>
      <c r="F5560" s="46"/>
      <c r="G5560" s="79"/>
    </row>
    <row r="5561" spans="2:7" x14ac:dyDescent="0.35">
      <c r="B5561" s="46"/>
      <c r="C5561" s="46"/>
      <c r="D5561" s="46"/>
      <c r="E5561" s="46"/>
      <c r="F5561" s="46"/>
      <c r="G5561" s="79"/>
    </row>
    <row r="5562" spans="2:7" x14ac:dyDescent="0.35">
      <c r="B5562" s="46"/>
      <c r="C5562" s="46"/>
      <c r="D5562" s="46"/>
      <c r="E5562" s="46"/>
      <c r="F5562" s="46"/>
      <c r="G5562" s="79"/>
    </row>
    <row r="5563" spans="2:7" x14ac:dyDescent="0.35">
      <c r="B5563" s="46"/>
      <c r="C5563" s="46"/>
      <c r="D5563" s="46"/>
      <c r="E5563" s="46"/>
      <c r="F5563" s="46"/>
      <c r="G5563" s="79"/>
    </row>
    <row r="5564" spans="2:7" x14ac:dyDescent="0.35">
      <c r="B5564" s="46"/>
      <c r="C5564" s="46"/>
      <c r="D5564" s="46"/>
      <c r="E5564" s="46"/>
      <c r="F5564" s="46"/>
      <c r="G5564" s="79"/>
    </row>
    <row r="5565" spans="2:7" x14ac:dyDescent="0.35">
      <c r="B5565" s="46"/>
      <c r="C5565" s="46"/>
      <c r="D5565" s="46"/>
      <c r="E5565" s="46"/>
      <c r="F5565" s="46"/>
      <c r="G5565" s="79"/>
    </row>
    <row r="5566" spans="2:7" x14ac:dyDescent="0.35">
      <c r="B5566" s="46"/>
      <c r="C5566" s="46"/>
      <c r="D5566" s="46"/>
      <c r="E5566" s="46"/>
      <c r="F5566" s="46"/>
      <c r="G5566" s="79"/>
    </row>
    <row r="5567" spans="2:7" x14ac:dyDescent="0.35">
      <c r="B5567" s="46"/>
      <c r="C5567" s="46"/>
      <c r="D5567" s="46"/>
      <c r="E5567" s="46"/>
      <c r="F5567" s="46"/>
      <c r="G5567" s="79"/>
    </row>
    <row r="5568" spans="2:7" x14ac:dyDescent="0.35">
      <c r="B5568" s="46"/>
      <c r="C5568" s="46"/>
      <c r="D5568" s="46"/>
      <c r="E5568" s="46"/>
      <c r="F5568" s="46"/>
      <c r="G5568" s="79"/>
    </row>
    <row r="5569" spans="2:7" x14ac:dyDescent="0.35">
      <c r="B5569" s="46"/>
      <c r="C5569" s="46"/>
      <c r="D5569" s="46"/>
      <c r="E5569" s="46"/>
      <c r="F5569" s="46"/>
      <c r="G5569" s="79"/>
    </row>
    <row r="5570" spans="2:7" x14ac:dyDescent="0.35">
      <c r="B5570" s="46"/>
      <c r="C5570" s="46"/>
      <c r="D5570" s="46"/>
      <c r="E5570" s="46"/>
      <c r="F5570" s="46"/>
      <c r="G5570" s="79"/>
    </row>
    <row r="5571" spans="2:7" x14ac:dyDescent="0.35">
      <c r="B5571" s="46"/>
      <c r="C5571" s="46"/>
      <c r="D5571" s="46"/>
      <c r="E5571" s="46"/>
      <c r="F5571" s="46"/>
      <c r="G5571" s="79"/>
    </row>
    <row r="5572" spans="2:7" x14ac:dyDescent="0.35">
      <c r="B5572" s="46"/>
      <c r="C5572" s="46"/>
      <c r="D5572" s="46"/>
      <c r="E5572" s="46"/>
      <c r="F5572" s="46"/>
      <c r="G5572" s="79"/>
    </row>
    <row r="5573" spans="2:7" x14ac:dyDescent="0.35">
      <c r="B5573" s="46"/>
      <c r="C5573" s="46"/>
      <c r="D5573" s="46"/>
      <c r="E5573" s="46"/>
      <c r="F5573" s="46"/>
      <c r="G5573" s="79"/>
    </row>
    <row r="5574" spans="2:7" x14ac:dyDescent="0.35">
      <c r="B5574" s="46"/>
      <c r="C5574" s="46"/>
      <c r="D5574" s="46"/>
      <c r="E5574" s="46"/>
      <c r="F5574" s="46"/>
      <c r="G5574" s="79"/>
    </row>
    <row r="5575" spans="2:7" x14ac:dyDescent="0.35">
      <c r="B5575" s="46"/>
      <c r="C5575" s="46"/>
      <c r="D5575" s="46"/>
      <c r="E5575" s="46"/>
      <c r="F5575" s="46"/>
      <c r="G5575" s="79"/>
    </row>
    <row r="5576" spans="2:7" x14ac:dyDescent="0.35">
      <c r="B5576" s="46"/>
      <c r="C5576" s="46"/>
      <c r="D5576" s="46"/>
      <c r="E5576" s="46"/>
      <c r="F5576" s="46"/>
      <c r="G5576" s="79"/>
    </row>
    <row r="5577" spans="2:7" x14ac:dyDescent="0.35">
      <c r="B5577" s="46"/>
      <c r="C5577" s="46"/>
      <c r="D5577" s="46"/>
      <c r="E5577" s="46"/>
      <c r="F5577" s="46"/>
      <c r="G5577" s="79"/>
    </row>
    <row r="5578" spans="2:7" x14ac:dyDescent="0.35">
      <c r="B5578" s="46"/>
      <c r="C5578" s="46"/>
      <c r="D5578" s="46"/>
      <c r="E5578" s="46"/>
      <c r="F5578" s="46"/>
      <c r="G5578" s="79"/>
    </row>
    <row r="5579" spans="2:7" x14ac:dyDescent="0.35">
      <c r="B5579" s="46"/>
      <c r="C5579" s="46"/>
      <c r="D5579" s="46"/>
      <c r="E5579" s="46"/>
      <c r="F5579" s="46"/>
      <c r="G5579" s="79"/>
    </row>
    <row r="5580" spans="2:7" x14ac:dyDescent="0.35">
      <c r="B5580" s="46"/>
      <c r="C5580" s="46"/>
      <c r="D5580" s="46"/>
      <c r="E5580" s="46"/>
      <c r="F5580" s="46"/>
      <c r="G5580" s="79"/>
    </row>
    <row r="5581" spans="2:7" x14ac:dyDescent="0.35">
      <c r="B5581" s="46"/>
      <c r="C5581" s="46"/>
      <c r="D5581" s="46"/>
      <c r="E5581" s="46"/>
      <c r="F5581" s="46"/>
      <c r="G5581" s="79"/>
    </row>
    <row r="5582" spans="2:7" x14ac:dyDescent="0.35">
      <c r="B5582" s="46"/>
      <c r="C5582" s="46"/>
      <c r="D5582" s="46"/>
      <c r="E5582" s="46"/>
      <c r="F5582" s="46"/>
      <c r="G5582" s="79"/>
    </row>
    <row r="5583" spans="2:7" x14ac:dyDescent="0.35">
      <c r="B5583" s="46"/>
      <c r="C5583" s="46"/>
      <c r="D5583" s="46"/>
      <c r="E5583" s="46"/>
      <c r="F5583" s="46"/>
      <c r="G5583" s="79"/>
    </row>
    <row r="5584" spans="2:7" x14ac:dyDescent="0.35">
      <c r="B5584" s="46"/>
      <c r="C5584" s="46"/>
      <c r="D5584" s="46"/>
      <c r="E5584" s="46"/>
      <c r="F5584" s="46"/>
      <c r="G5584" s="79"/>
    </row>
    <row r="5585" spans="2:7" x14ac:dyDescent="0.35">
      <c r="B5585" s="46"/>
      <c r="C5585" s="46"/>
      <c r="D5585" s="46"/>
      <c r="E5585" s="46"/>
      <c r="F5585" s="46"/>
      <c r="G5585" s="79"/>
    </row>
    <row r="5586" spans="2:7" x14ac:dyDescent="0.35">
      <c r="B5586" s="46"/>
      <c r="C5586" s="46"/>
      <c r="D5586" s="46"/>
      <c r="E5586" s="46"/>
      <c r="F5586" s="46"/>
      <c r="G5586" s="79"/>
    </row>
    <row r="5587" spans="2:7" x14ac:dyDescent="0.35">
      <c r="B5587" s="46"/>
      <c r="C5587" s="46"/>
      <c r="D5587" s="46"/>
      <c r="E5587" s="46"/>
      <c r="F5587" s="46"/>
      <c r="G5587" s="79"/>
    </row>
    <row r="5588" spans="2:7" x14ac:dyDescent="0.35">
      <c r="B5588" s="46"/>
      <c r="C5588" s="46"/>
      <c r="D5588" s="46"/>
      <c r="E5588" s="46"/>
      <c r="F5588" s="46"/>
      <c r="G5588" s="79"/>
    </row>
    <row r="5589" spans="2:7" x14ac:dyDescent="0.35">
      <c r="B5589" s="46"/>
      <c r="C5589" s="46"/>
      <c r="D5589" s="46"/>
      <c r="E5589" s="46"/>
      <c r="F5589" s="46"/>
      <c r="G5589" s="79"/>
    </row>
    <row r="5590" spans="2:7" x14ac:dyDescent="0.35">
      <c r="B5590" s="46"/>
      <c r="C5590" s="46"/>
      <c r="D5590" s="46"/>
      <c r="E5590" s="46"/>
      <c r="F5590" s="46"/>
      <c r="G5590" s="79"/>
    </row>
    <row r="5591" spans="2:7" x14ac:dyDescent="0.35">
      <c r="B5591" s="46"/>
      <c r="C5591" s="46"/>
      <c r="D5591" s="46"/>
      <c r="E5591" s="46"/>
      <c r="F5591" s="46"/>
      <c r="G5591" s="79"/>
    </row>
    <row r="5592" spans="2:7" x14ac:dyDescent="0.35">
      <c r="B5592" s="46"/>
      <c r="C5592" s="46"/>
      <c r="D5592" s="46"/>
      <c r="E5592" s="46"/>
      <c r="F5592" s="46"/>
      <c r="G5592" s="79"/>
    </row>
    <row r="5593" spans="2:7" x14ac:dyDescent="0.35">
      <c r="B5593" s="46"/>
      <c r="C5593" s="46"/>
      <c r="D5593" s="46"/>
      <c r="E5593" s="46"/>
      <c r="F5593" s="46"/>
      <c r="G5593" s="79"/>
    </row>
    <row r="5594" spans="2:7" x14ac:dyDescent="0.35">
      <c r="B5594" s="46"/>
      <c r="C5594" s="46"/>
      <c r="D5594" s="46"/>
      <c r="E5594" s="46"/>
      <c r="F5594" s="46"/>
      <c r="G5594" s="79"/>
    </row>
    <row r="5595" spans="2:7" x14ac:dyDescent="0.35">
      <c r="B5595" s="46"/>
      <c r="C5595" s="46"/>
      <c r="D5595" s="46"/>
      <c r="E5595" s="46"/>
      <c r="F5595" s="46"/>
      <c r="G5595" s="79"/>
    </row>
    <row r="5596" spans="2:7" x14ac:dyDescent="0.35">
      <c r="B5596" s="46"/>
      <c r="C5596" s="46"/>
      <c r="D5596" s="46"/>
      <c r="E5596" s="46"/>
      <c r="F5596" s="46"/>
      <c r="G5596" s="79"/>
    </row>
    <row r="5597" spans="2:7" x14ac:dyDescent="0.35">
      <c r="B5597" s="46"/>
      <c r="C5597" s="46"/>
      <c r="D5597" s="46"/>
      <c r="E5597" s="46"/>
      <c r="F5597" s="46"/>
      <c r="G5597" s="79"/>
    </row>
    <row r="5598" spans="2:7" x14ac:dyDescent="0.35">
      <c r="B5598" s="46"/>
      <c r="C5598" s="46"/>
      <c r="D5598" s="46"/>
      <c r="E5598" s="46"/>
      <c r="F5598" s="46"/>
      <c r="G5598" s="79"/>
    </row>
    <row r="5599" spans="2:7" x14ac:dyDescent="0.35">
      <c r="B5599" s="46"/>
      <c r="C5599" s="46"/>
      <c r="D5599" s="46"/>
      <c r="E5599" s="46"/>
      <c r="F5599" s="46"/>
      <c r="G5599" s="79"/>
    </row>
    <row r="5600" spans="2:7" x14ac:dyDescent="0.35">
      <c r="B5600" s="46"/>
      <c r="C5600" s="46"/>
      <c r="D5600" s="46"/>
      <c r="E5600" s="46"/>
      <c r="F5600" s="46"/>
      <c r="G5600" s="79"/>
    </row>
    <row r="5601" spans="2:7" x14ac:dyDescent="0.35">
      <c r="B5601" s="46"/>
      <c r="C5601" s="46"/>
      <c r="D5601" s="46"/>
      <c r="E5601" s="46"/>
      <c r="F5601" s="46"/>
      <c r="G5601" s="79"/>
    </row>
    <row r="5602" spans="2:7" x14ac:dyDescent="0.35">
      <c r="B5602" s="46"/>
      <c r="C5602" s="46"/>
      <c r="D5602" s="46"/>
      <c r="E5602" s="46"/>
      <c r="F5602" s="46"/>
      <c r="G5602" s="79"/>
    </row>
    <row r="5603" spans="2:7" x14ac:dyDescent="0.35">
      <c r="B5603" s="46"/>
      <c r="C5603" s="46"/>
      <c r="D5603" s="46"/>
      <c r="E5603" s="46"/>
      <c r="F5603" s="46"/>
      <c r="G5603" s="79"/>
    </row>
    <row r="5604" spans="2:7" x14ac:dyDescent="0.35">
      <c r="B5604" s="46"/>
      <c r="C5604" s="46"/>
      <c r="D5604" s="46"/>
      <c r="E5604" s="46"/>
      <c r="F5604" s="46"/>
      <c r="G5604" s="79"/>
    </row>
    <row r="5605" spans="2:7" x14ac:dyDescent="0.35">
      <c r="B5605" s="46"/>
      <c r="C5605" s="46"/>
      <c r="D5605" s="46"/>
      <c r="E5605" s="46"/>
      <c r="F5605" s="46"/>
      <c r="G5605" s="79"/>
    </row>
    <row r="5606" spans="2:7" x14ac:dyDescent="0.35">
      <c r="B5606" s="46"/>
      <c r="C5606" s="46"/>
      <c r="D5606" s="46"/>
      <c r="E5606" s="46"/>
      <c r="F5606" s="46"/>
      <c r="G5606" s="79"/>
    </row>
    <row r="5607" spans="2:7" x14ac:dyDescent="0.35">
      <c r="B5607" s="46"/>
      <c r="C5607" s="46"/>
      <c r="D5607" s="46"/>
      <c r="E5607" s="46"/>
      <c r="F5607" s="46"/>
      <c r="G5607" s="79"/>
    </row>
    <row r="5608" spans="2:7" x14ac:dyDescent="0.35">
      <c r="B5608" s="46"/>
      <c r="C5608" s="46"/>
      <c r="D5608" s="46"/>
      <c r="E5608" s="46"/>
      <c r="F5608" s="46"/>
      <c r="G5608" s="79"/>
    </row>
    <row r="5609" spans="2:7" x14ac:dyDescent="0.35">
      <c r="B5609" s="46"/>
      <c r="C5609" s="46"/>
      <c r="D5609" s="46"/>
      <c r="E5609" s="46"/>
      <c r="F5609" s="46"/>
      <c r="G5609" s="79"/>
    </row>
    <row r="5610" spans="2:7" x14ac:dyDescent="0.35">
      <c r="B5610" s="46"/>
      <c r="C5610" s="46"/>
      <c r="D5610" s="46"/>
      <c r="E5610" s="46"/>
      <c r="F5610" s="46"/>
      <c r="G5610" s="79"/>
    </row>
    <row r="5611" spans="2:7" x14ac:dyDescent="0.35">
      <c r="B5611" s="46"/>
      <c r="C5611" s="46"/>
      <c r="D5611" s="46"/>
      <c r="E5611" s="46"/>
      <c r="F5611" s="46"/>
      <c r="G5611" s="79"/>
    </row>
    <row r="5612" spans="2:7" x14ac:dyDescent="0.35">
      <c r="B5612" s="46"/>
      <c r="C5612" s="46"/>
      <c r="D5612" s="46"/>
      <c r="E5612" s="46"/>
      <c r="F5612" s="46"/>
      <c r="G5612" s="79"/>
    </row>
    <row r="5613" spans="2:7" x14ac:dyDescent="0.35">
      <c r="B5613" s="46"/>
      <c r="C5613" s="46"/>
      <c r="D5613" s="46"/>
      <c r="E5613" s="46"/>
      <c r="F5613" s="46"/>
      <c r="G5613" s="79"/>
    </row>
    <row r="5614" spans="2:7" x14ac:dyDescent="0.35">
      <c r="B5614" s="46"/>
      <c r="C5614" s="46"/>
      <c r="D5614" s="46"/>
      <c r="E5614" s="46"/>
      <c r="F5614" s="46"/>
      <c r="G5614" s="79"/>
    </row>
    <row r="5615" spans="2:7" x14ac:dyDescent="0.35">
      <c r="B5615" s="46"/>
      <c r="C5615" s="46"/>
      <c r="D5615" s="46"/>
      <c r="E5615" s="46"/>
      <c r="F5615" s="46"/>
      <c r="G5615" s="79"/>
    </row>
    <row r="5616" spans="2:7" x14ac:dyDescent="0.35">
      <c r="B5616" s="46"/>
      <c r="C5616" s="46"/>
      <c r="D5616" s="46"/>
      <c r="E5616" s="46"/>
      <c r="F5616" s="46"/>
      <c r="G5616" s="79"/>
    </row>
    <row r="5617" spans="2:7" x14ac:dyDescent="0.35">
      <c r="B5617" s="46"/>
      <c r="C5617" s="46"/>
      <c r="D5617" s="46"/>
      <c r="E5617" s="46"/>
      <c r="F5617" s="46"/>
      <c r="G5617" s="79"/>
    </row>
    <row r="5618" spans="2:7" x14ac:dyDescent="0.35">
      <c r="B5618" s="46"/>
      <c r="C5618" s="46"/>
      <c r="D5618" s="46"/>
      <c r="E5618" s="46"/>
      <c r="F5618" s="46"/>
      <c r="G5618" s="79"/>
    </row>
    <row r="5619" spans="2:7" x14ac:dyDescent="0.35">
      <c r="B5619" s="46"/>
      <c r="C5619" s="46"/>
      <c r="D5619" s="46"/>
      <c r="E5619" s="46"/>
      <c r="F5619" s="46"/>
      <c r="G5619" s="79"/>
    </row>
    <row r="5620" spans="2:7" x14ac:dyDescent="0.35">
      <c r="B5620" s="46"/>
      <c r="C5620" s="46"/>
      <c r="D5620" s="46"/>
      <c r="E5620" s="46"/>
      <c r="F5620" s="46"/>
      <c r="G5620" s="79"/>
    </row>
    <row r="5621" spans="2:7" x14ac:dyDescent="0.35">
      <c r="B5621" s="46"/>
      <c r="C5621" s="46"/>
      <c r="D5621" s="46"/>
      <c r="E5621" s="46"/>
      <c r="F5621" s="46"/>
      <c r="G5621" s="79"/>
    </row>
    <row r="5622" spans="2:7" x14ac:dyDescent="0.35">
      <c r="B5622" s="46"/>
      <c r="C5622" s="46"/>
      <c r="D5622" s="46"/>
      <c r="E5622" s="46"/>
      <c r="F5622" s="46"/>
      <c r="G5622" s="79"/>
    </row>
    <row r="5623" spans="2:7" x14ac:dyDescent="0.35">
      <c r="B5623" s="46"/>
      <c r="C5623" s="46"/>
      <c r="D5623" s="46"/>
      <c r="E5623" s="46"/>
      <c r="F5623" s="46"/>
      <c r="G5623" s="79"/>
    </row>
    <row r="5624" spans="2:7" x14ac:dyDescent="0.35">
      <c r="B5624" s="46"/>
      <c r="C5624" s="46"/>
      <c r="D5624" s="46"/>
      <c r="E5624" s="46"/>
      <c r="F5624" s="46"/>
      <c r="G5624" s="79"/>
    </row>
    <row r="5625" spans="2:7" x14ac:dyDescent="0.35">
      <c r="B5625" s="46"/>
      <c r="C5625" s="46"/>
      <c r="D5625" s="46"/>
      <c r="E5625" s="46"/>
      <c r="F5625" s="46"/>
      <c r="G5625" s="79"/>
    </row>
    <row r="5626" spans="2:7" x14ac:dyDescent="0.35">
      <c r="B5626" s="46"/>
      <c r="C5626" s="46"/>
      <c r="D5626" s="46"/>
      <c r="E5626" s="46"/>
      <c r="F5626" s="46"/>
      <c r="G5626" s="79"/>
    </row>
    <row r="5627" spans="2:7" x14ac:dyDescent="0.35">
      <c r="B5627" s="46"/>
      <c r="C5627" s="46"/>
      <c r="D5627" s="46"/>
      <c r="E5627" s="46"/>
      <c r="F5627" s="46"/>
      <c r="G5627" s="79"/>
    </row>
    <row r="5628" spans="2:7" x14ac:dyDescent="0.35">
      <c r="B5628" s="46"/>
      <c r="C5628" s="46"/>
      <c r="D5628" s="46"/>
      <c r="E5628" s="46"/>
      <c r="F5628" s="46"/>
      <c r="G5628" s="79"/>
    </row>
    <row r="5629" spans="2:7" x14ac:dyDescent="0.35">
      <c r="B5629" s="46"/>
      <c r="C5629" s="46"/>
      <c r="D5629" s="46"/>
      <c r="E5629" s="46"/>
      <c r="F5629" s="46"/>
      <c r="G5629" s="79"/>
    </row>
    <row r="5630" spans="2:7" x14ac:dyDescent="0.35">
      <c r="B5630" s="46"/>
      <c r="C5630" s="46"/>
      <c r="D5630" s="46"/>
      <c r="E5630" s="46"/>
      <c r="F5630" s="46"/>
      <c r="G5630" s="79"/>
    </row>
    <row r="5631" spans="2:7" x14ac:dyDescent="0.35">
      <c r="B5631" s="46"/>
      <c r="C5631" s="46"/>
      <c r="D5631" s="46"/>
      <c r="E5631" s="46"/>
      <c r="F5631" s="46"/>
      <c r="G5631" s="79"/>
    </row>
    <row r="5632" spans="2:7" x14ac:dyDescent="0.35">
      <c r="B5632" s="46"/>
      <c r="C5632" s="46"/>
      <c r="D5632" s="46"/>
      <c r="E5632" s="46"/>
      <c r="F5632" s="46"/>
      <c r="G5632" s="79"/>
    </row>
    <row r="5633" spans="2:7" x14ac:dyDescent="0.35">
      <c r="B5633" s="46"/>
      <c r="C5633" s="46"/>
      <c r="D5633" s="46"/>
      <c r="E5633" s="46"/>
      <c r="F5633" s="46"/>
      <c r="G5633" s="79"/>
    </row>
    <row r="5634" spans="2:7" x14ac:dyDescent="0.35">
      <c r="B5634" s="46"/>
      <c r="C5634" s="46"/>
      <c r="D5634" s="46"/>
      <c r="E5634" s="46"/>
      <c r="F5634" s="46"/>
      <c r="G5634" s="79"/>
    </row>
    <row r="5635" spans="2:7" x14ac:dyDescent="0.35">
      <c r="B5635" s="46"/>
      <c r="C5635" s="46"/>
      <c r="D5635" s="46"/>
      <c r="E5635" s="46"/>
      <c r="F5635" s="46"/>
      <c r="G5635" s="79"/>
    </row>
    <row r="5636" spans="2:7" x14ac:dyDescent="0.35">
      <c r="B5636" s="46"/>
      <c r="C5636" s="46"/>
      <c r="D5636" s="46"/>
      <c r="E5636" s="46"/>
      <c r="F5636" s="46"/>
      <c r="G5636" s="79"/>
    </row>
    <row r="5637" spans="2:7" x14ac:dyDescent="0.35">
      <c r="B5637" s="46"/>
      <c r="C5637" s="46"/>
      <c r="D5637" s="46"/>
      <c r="E5637" s="46"/>
      <c r="F5637" s="46"/>
      <c r="G5637" s="79"/>
    </row>
    <row r="5638" spans="2:7" x14ac:dyDescent="0.35">
      <c r="B5638" s="46"/>
      <c r="C5638" s="46"/>
      <c r="D5638" s="46"/>
      <c r="E5638" s="46"/>
      <c r="F5638" s="46"/>
      <c r="G5638" s="79"/>
    </row>
    <row r="5639" spans="2:7" x14ac:dyDescent="0.35">
      <c r="B5639" s="46"/>
      <c r="C5639" s="46"/>
      <c r="D5639" s="46"/>
      <c r="E5639" s="46"/>
      <c r="F5639" s="46"/>
      <c r="G5639" s="79"/>
    </row>
    <row r="5640" spans="2:7" x14ac:dyDescent="0.35">
      <c r="B5640" s="46"/>
      <c r="C5640" s="46"/>
      <c r="D5640" s="46"/>
      <c r="E5640" s="46"/>
      <c r="F5640" s="46"/>
      <c r="G5640" s="79"/>
    </row>
    <row r="5641" spans="2:7" x14ac:dyDescent="0.35">
      <c r="B5641" s="46"/>
      <c r="C5641" s="46"/>
      <c r="D5641" s="46"/>
      <c r="E5641" s="46"/>
      <c r="F5641" s="46"/>
      <c r="G5641" s="79"/>
    </row>
    <row r="5642" spans="2:7" x14ac:dyDescent="0.35">
      <c r="B5642" s="46"/>
      <c r="C5642" s="46"/>
      <c r="D5642" s="46"/>
      <c r="E5642" s="46"/>
      <c r="F5642" s="46"/>
      <c r="G5642" s="79"/>
    </row>
    <row r="5643" spans="2:7" x14ac:dyDescent="0.35">
      <c r="B5643" s="46"/>
      <c r="C5643" s="46"/>
      <c r="D5643" s="46"/>
      <c r="E5643" s="46"/>
      <c r="F5643" s="46"/>
      <c r="G5643" s="79"/>
    </row>
    <row r="5644" spans="2:7" x14ac:dyDescent="0.35">
      <c r="B5644" s="46"/>
      <c r="C5644" s="46"/>
      <c r="D5644" s="46"/>
      <c r="E5644" s="46"/>
      <c r="F5644" s="46"/>
      <c r="G5644" s="79"/>
    </row>
    <row r="5645" spans="2:7" x14ac:dyDescent="0.35">
      <c r="B5645" s="46"/>
      <c r="C5645" s="46"/>
      <c r="D5645" s="46"/>
      <c r="E5645" s="46"/>
      <c r="F5645" s="46"/>
      <c r="G5645" s="79"/>
    </row>
    <row r="5646" spans="2:7" x14ac:dyDescent="0.35">
      <c r="B5646" s="46"/>
      <c r="C5646" s="46"/>
      <c r="D5646" s="46"/>
      <c r="E5646" s="46"/>
      <c r="F5646" s="46"/>
      <c r="G5646" s="79"/>
    </row>
    <row r="5647" spans="2:7" x14ac:dyDescent="0.35">
      <c r="B5647" s="46"/>
      <c r="C5647" s="46"/>
      <c r="D5647" s="46"/>
      <c r="E5647" s="46"/>
      <c r="F5647" s="46"/>
      <c r="G5647" s="79"/>
    </row>
    <row r="5648" spans="2:7" x14ac:dyDescent="0.35">
      <c r="B5648" s="46"/>
      <c r="C5648" s="46"/>
      <c r="D5648" s="46"/>
      <c r="E5648" s="46"/>
      <c r="F5648" s="46"/>
      <c r="G5648" s="79"/>
    </row>
    <row r="5649" spans="2:7" x14ac:dyDescent="0.35">
      <c r="B5649" s="46"/>
      <c r="C5649" s="46"/>
      <c r="D5649" s="46"/>
      <c r="E5649" s="46"/>
      <c r="F5649" s="46"/>
      <c r="G5649" s="79"/>
    </row>
    <row r="5650" spans="2:7" x14ac:dyDescent="0.35">
      <c r="B5650" s="46"/>
      <c r="C5650" s="46"/>
      <c r="D5650" s="46"/>
      <c r="E5650" s="46"/>
      <c r="F5650" s="46"/>
      <c r="G5650" s="79"/>
    </row>
    <row r="5651" spans="2:7" x14ac:dyDescent="0.35">
      <c r="B5651" s="46"/>
      <c r="C5651" s="46"/>
      <c r="D5651" s="46"/>
      <c r="E5651" s="46"/>
      <c r="F5651" s="46"/>
      <c r="G5651" s="79"/>
    </row>
    <row r="5652" spans="2:7" x14ac:dyDescent="0.35">
      <c r="B5652" s="46"/>
      <c r="C5652" s="46"/>
      <c r="D5652" s="46"/>
      <c r="E5652" s="46"/>
      <c r="F5652" s="46"/>
      <c r="G5652" s="79"/>
    </row>
    <row r="5653" spans="2:7" x14ac:dyDescent="0.35">
      <c r="B5653" s="46"/>
      <c r="C5653" s="46"/>
      <c r="D5653" s="46"/>
      <c r="E5653" s="46"/>
      <c r="F5653" s="46"/>
      <c r="G5653" s="79"/>
    </row>
    <row r="5654" spans="2:7" x14ac:dyDescent="0.35">
      <c r="B5654" s="46"/>
      <c r="C5654" s="46"/>
      <c r="D5654" s="46"/>
      <c r="E5654" s="46"/>
      <c r="F5654" s="46"/>
      <c r="G5654" s="79"/>
    </row>
    <row r="5655" spans="2:7" x14ac:dyDescent="0.35">
      <c r="B5655" s="46"/>
      <c r="C5655" s="46"/>
      <c r="D5655" s="46"/>
      <c r="E5655" s="46"/>
      <c r="F5655" s="46"/>
      <c r="G5655" s="79"/>
    </row>
    <row r="5656" spans="2:7" x14ac:dyDescent="0.35">
      <c r="B5656" s="46"/>
      <c r="C5656" s="46"/>
      <c r="D5656" s="46"/>
      <c r="E5656" s="46"/>
      <c r="F5656" s="46"/>
      <c r="G5656" s="79"/>
    </row>
    <row r="5657" spans="2:7" x14ac:dyDescent="0.35">
      <c r="B5657" s="46"/>
      <c r="C5657" s="46"/>
      <c r="D5657" s="46"/>
      <c r="E5657" s="46"/>
      <c r="F5657" s="46"/>
      <c r="G5657" s="79"/>
    </row>
    <row r="5658" spans="2:7" x14ac:dyDescent="0.35">
      <c r="B5658" s="46"/>
      <c r="C5658" s="46"/>
      <c r="D5658" s="46"/>
      <c r="E5658" s="46"/>
      <c r="F5658" s="46"/>
      <c r="G5658" s="79"/>
    </row>
    <row r="5659" spans="2:7" x14ac:dyDescent="0.35">
      <c r="B5659" s="46"/>
      <c r="C5659" s="46"/>
      <c r="D5659" s="46"/>
      <c r="E5659" s="46"/>
      <c r="F5659" s="46"/>
      <c r="G5659" s="79"/>
    </row>
    <row r="5660" spans="2:7" x14ac:dyDescent="0.35">
      <c r="B5660" s="46"/>
      <c r="C5660" s="46"/>
      <c r="D5660" s="46"/>
      <c r="E5660" s="46"/>
      <c r="F5660" s="46"/>
      <c r="G5660" s="79"/>
    </row>
    <row r="5661" spans="2:7" x14ac:dyDescent="0.35">
      <c r="B5661" s="46"/>
      <c r="C5661" s="46"/>
      <c r="D5661" s="46"/>
      <c r="E5661" s="46"/>
      <c r="F5661" s="46"/>
      <c r="G5661" s="79"/>
    </row>
    <row r="5662" spans="2:7" x14ac:dyDescent="0.35">
      <c r="B5662" s="46"/>
      <c r="C5662" s="46"/>
      <c r="D5662" s="46"/>
      <c r="E5662" s="46"/>
      <c r="F5662" s="46"/>
      <c r="G5662" s="79"/>
    </row>
    <row r="5663" spans="2:7" x14ac:dyDescent="0.35">
      <c r="B5663" s="46"/>
      <c r="C5663" s="46"/>
      <c r="D5663" s="46"/>
      <c r="E5663" s="46"/>
      <c r="F5663" s="46"/>
      <c r="G5663" s="79"/>
    </row>
    <row r="5664" spans="2:7" x14ac:dyDescent="0.35">
      <c r="B5664" s="46"/>
      <c r="C5664" s="46"/>
      <c r="D5664" s="46"/>
      <c r="E5664" s="46"/>
      <c r="F5664" s="46"/>
      <c r="G5664" s="79"/>
    </row>
    <row r="5665" spans="2:7" x14ac:dyDescent="0.35">
      <c r="B5665" s="46"/>
      <c r="C5665" s="46"/>
      <c r="D5665" s="46"/>
      <c r="E5665" s="46"/>
      <c r="F5665" s="46"/>
      <c r="G5665" s="79"/>
    </row>
    <row r="5666" spans="2:7" x14ac:dyDescent="0.35">
      <c r="B5666" s="46"/>
      <c r="C5666" s="46"/>
      <c r="D5666" s="46"/>
      <c r="E5666" s="46"/>
      <c r="F5666" s="46"/>
      <c r="G5666" s="79"/>
    </row>
    <row r="5667" spans="2:7" x14ac:dyDescent="0.35">
      <c r="B5667" s="46"/>
      <c r="C5667" s="46"/>
      <c r="D5667" s="46"/>
      <c r="E5667" s="46"/>
      <c r="F5667" s="46"/>
      <c r="G5667" s="79"/>
    </row>
    <row r="5668" spans="2:7" x14ac:dyDescent="0.35">
      <c r="B5668" s="46"/>
      <c r="C5668" s="46"/>
      <c r="D5668" s="46"/>
      <c r="E5668" s="46"/>
      <c r="F5668" s="46"/>
      <c r="G5668" s="79"/>
    </row>
    <row r="5669" spans="2:7" x14ac:dyDescent="0.35">
      <c r="B5669" s="46"/>
      <c r="C5669" s="46"/>
      <c r="D5669" s="46"/>
      <c r="E5669" s="46"/>
      <c r="F5669" s="46"/>
      <c r="G5669" s="79"/>
    </row>
    <row r="5670" spans="2:7" x14ac:dyDescent="0.35">
      <c r="B5670" s="46"/>
      <c r="C5670" s="46"/>
      <c r="D5670" s="46"/>
      <c r="E5670" s="46"/>
      <c r="F5670" s="46"/>
      <c r="G5670" s="79"/>
    </row>
    <row r="5671" spans="2:7" x14ac:dyDescent="0.35">
      <c r="B5671" s="46"/>
      <c r="C5671" s="46"/>
      <c r="D5671" s="46"/>
      <c r="E5671" s="46"/>
      <c r="F5671" s="46"/>
      <c r="G5671" s="79"/>
    </row>
    <row r="5672" spans="2:7" x14ac:dyDescent="0.35">
      <c r="B5672" s="46"/>
      <c r="C5672" s="46"/>
      <c r="D5672" s="46"/>
      <c r="E5672" s="46"/>
      <c r="F5672" s="46"/>
      <c r="G5672" s="79"/>
    </row>
    <row r="5673" spans="2:7" x14ac:dyDescent="0.35">
      <c r="B5673" s="46"/>
      <c r="C5673" s="46"/>
      <c r="D5673" s="46"/>
      <c r="E5673" s="46"/>
      <c r="F5673" s="46"/>
      <c r="G5673" s="79"/>
    </row>
    <row r="5674" spans="2:7" x14ac:dyDescent="0.35">
      <c r="B5674" s="46"/>
      <c r="C5674" s="46"/>
      <c r="D5674" s="46"/>
      <c r="E5674" s="46"/>
      <c r="F5674" s="46"/>
      <c r="G5674" s="79"/>
    </row>
    <row r="5675" spans="2:7" x14ac:dyDescent="0.35">
      <c r="B5675" s="46"/>
      <c r="C5675" s="46"/>
      <c r="D5675" s="46"/>
      <c r="E5675" s="46"/>
      <c r="F5675" s="46"/>
      <c r="G5675" s="79"/>
    </row>
    <row r="5676" spans="2:7" x14ac:dyDescent="0.35">
      <c r="B5676" s="46"/>
      <c r="C5676" s="46"/>
      <c r="D5676" s="46"/>
      <c r="E5676" s="46"/>
      <c r="F5676" s="46"/>
      <c r="G5676" s="79"/>
    </row>
    <row r="5677" spans="2:7" x14ac:dyDescent="0.35">
      <c r="B5677" s="46"/>
      <c r="C5677" s="46"/>
      <c r="D5677" s="46"/>
      <c r="E5677" s="46"/>
      <c r="F5677" s="46"/>
      <c r="G5677" s="79"/>
    </row>
    <row r="5678" spans="2:7" x14ac:dyDescent="0.35">
      <c r="B5678" s="46"/>
      <c r="C5678" s="46"/>
      <c r="D5678" s="46"/>
      <c r="E5678" s="46"/>
      <c r="F5678" s="46"/>
      <c r="G5678" s="79"/>
    </row>
    <row r="5679" spans="2:7" x14ac:dyDescent="0.35">
      <c r="B5679" s="46"/>
      <c r="C5679" s="46"/>
      <c r="D5679" s="46"/>
      <c r="E5679" s="46"/>
      <c r="F5679" s="46"/>
      <c r="G5679" s="79"/>
    </row>
    <row r="5680" spans="2:7" x14ac:dyDescent="0.35">
      <c r="B5680" s="46"/>
      <c r="C5680" s="46"/>
      <c r="D5680" s="46"/>
      <c r="E5680" s="46"/>
      <c r="F5680" s="46"/>
      <c r="G5680" s="79"/>
    </row>
    <row r="5681" spans="2:7" x14ac:dyDescent="0.35">
      <c r="B5681" s="46"/>
      <c r="C5681" s="46"/>
      <c r="D5681" s="46"/>
      <c r="E5681" s="46"/>
      <c r="F5681" s="46"/>
      <c r="G5681" s="79"/>
    </row>
    <row r="5682" spans="2:7" x14ac:dyDescent="0.35">
      <c r="B5682" s="46"/>
      <c r="C5682" s="46"/>
      <c r="D5682" s="46"/>
      <c r="E5682" s="46"/>
      <c r="F5682" s="46"/>
      <c r="G5682" s="79"/>
    </row>
    <row r="5683" spans="2:7" x14ac:dyDescent="0.35">
      <c r="B5683" s="46"/>
      <c r="C5683" s="46"/>
      <c r="D5683" s="46"/>
      <c r="E5683" s="46"/>
      <c r="F5683" s="46"/>
      <c r="G5683" s="79"/>
    </row>
    <row r="5684" spans="2:7" x14ac:dyDescent="0.35">
      <c r="B5684" s="46"/>
      <c r="C5684" s="46"/>
      <c r="D5684" s="46"/>
      <c r="E5684" s="46"/>
      <c r="F5684" s="46"/>
      <c r="G5684" s="79"/>
    </row>
    <row r="5685" spans="2:7" x14ac:dyDescent="0.35">
      <c r="B5685" s="46"/>
      <c r="C5685" s="46"/>
      <c r="D5685" s="46"/>
      <c r="E5685" s="46"/>
      <c r="F5685" s="46"/>
      <c r="G5685" s="79"/>
    </row>
    <row r="5686" spans="2:7" x14ac:dyDescent="0.35">
      <c r="B5686" s="46"/>
      <c r="C5686" s="46"/>
      <c r="D5686" s="46"/>
      <c r="E5686" s="46"/>
      <c r="F5686" s="46"/>
      <c r="G5686" s="79"/>
    </row>
    <row r="5687" spans="2:7" x14ac:dyDescent="0.35">
      <c r="B5687" s="46"/>
      <c r="C5687" s="46"/>
      <c r="D5687" s="46"/>
      <c r="E5687" s="46"/>
      <c r="F5687" s="46"/>
      <c r="G5687" s="79"/>
    </row>
    <row r="5688" spans="2:7" x14ac:dyDescent="0.35">
      <c r="B5688" s="46"/>
      <c r="C5688" s="46"/>
      <c r="D5688" s="46"/>
      <c r="E5688" s="46"/>
      <c r="F5688" s="46"/>
      <c r="G5688" s="79"/>
    </row>
    <row r="5689" spans="2:7" x14ac:dyDescent="0.35">
      <c r="B5689" s="46"/>
      <c r="C5689" s="46"/>
      <c r="D5689" s="46"/>
      <c r="E5689" s="46"/>
      <c r="F5689" s="46"/>
      <c r="G5689" s="79"/>
    </row>
    <row r="5690" spans="2:7" x14ac:dyDescent="0.35">
      <c r="B5690" s="46"/>
      <c r="C5690" s="46"/>
      <c r="D5690" s="46"/>
      <c r="E5690" s="46"/>
      <c r="F5690" s="46"/>
      <c r="G5690" s="79"/>
    </row>
    <row r="5691" spans="2:7" x14ac:dyDescent="0.35">
      <c r="B5691" s="46"/>
      <c r="C5691" s="46"/>
      <c r="D5691" s="46"/>
      <c r="E5691" s="46"/>
      <c r="F5691" s="46"/>
      <c r="G5691" s="79"/>
    </row>
    <row r="5692" spans="2:7" x14ac:dyDescent="0.35">
      <c r="B5692" s="46"/>
      <c r="C5692" s="46"/>
      <c r="D5692" s="46"/>
      <c r="E5692" s="46"/>
      <c r="F5692" s="46"/>
      <c r="G5692" s="79"/>
    </row>
    <row r="5693" spans="2:7" x14ac:dyDescent="0.35">
      <c r="B5693" s="46"/>
      <c r="C5693" s="46"/>
      <c r="D5693" s="46"/>
      <c r="E5693" s="46"/>
      <c r="F5693" s="46"/>
      <c r="G5693" s="79"/>
    </row>
    <row r="5694" spans="2:7" x14ac:dyDescent="0.35">
      <c r="B5694" s="46"/>
      <c r="C5694" s="46"/>
      <c r="D5694" s="46"/>
      <c r="E5694" s="46"/>
      <c r="F5694" s="46"/>
      <c r="G5694" s="79"/>
    </row>
    <row r="5695" spans="2:7" x14ac:dyDescent="0.35">
      <c r="B5695" s="46"/>
      <c r="C5695" s="46"/>
      <c r="D5695" s="46"/>
      <c r="E5695" s="46"/>
      <c r="F5695" s="46"/>
      <c r="G5695" s="79"/>
    </row>
    <row r="5696" spans="2:7" x14ac:dyDescent="0.35">
      <c r="B5696" s="46"/>
      <c r="C5696" s="46"/>
      <c r="D5696" s="46"/>
      <c r="E5696" s="46"/>
      <c r="F5696" s="46"/>
      <c r="G5696" s="79"/>
    </row>
    <row r="5697" spans="2:7" x14ac:dyDescent="0.35">
      <c r="B5697" s="46"/>
      <c r="C5697" s="46"/>
      <c r="D5697" s="46"/>
      <c r="E5697" s="46"/>
      <c r="F5697" s="46"/>
      <c r="G5697" s="79"/>
    </row>
    <row r="5698" spans="2:7" x14ac:dyDescent="0.35">
      <c r="B5698" s="46"/>
      <c r="C5698" s="46"/>
      <c r="D5698" s="46"/>
      <c r="E5698" s="46"/>
      <c r="F5698" s="46"/>
      <c r="G5698" s="79"/>
    </row>
    <row r="5699" spans="2:7" x14ac:dyDescent="0.35">
      <c r="B5699" s="46"/>
      <c r="C5699" s="46"/>
      <c r="D5699" s="46"/>
      <c r="E5699" s="46"/>
      <c r="F5699" s="46"/>
      <c r="G5699" s="79"/>
    </row>
    <row r="5700" spans="2:7" x14ac:dyDescent="0.35">
      <c r="B5700" s="46"/>
      <c r="C5700" s="46"/>
      <c r="D5700" s="46"/>
      <c r="E5700" s="46"/>
      <c r="F5700" s="46"/>
      <c r="G5700" s="79"/>
    </row>
    <row r="5701" spans="2:7" x14ac:dyDescent="0.35">
      <c r="B5701" s="46"/>
      <c r="C5701" s="46"/>
      <c r="D5701" s="46"/>
      <c r="E5701" s="46"/>
      <c r="F5701" s="46"/>
      <c r="G5701" s="79"/>
    </row>
    <row r="5702" spans="2:7" x14ac:dyDescent="0.35">
      <c r="B5702" s="46"/>
      <c r="C5702" s="46"/>
      <c r="D5702" s="46"/>
      <c r="E5702" s="46"/>
      <c r="F5702" s="46"/>
      <c r="G5702" s="79"/>
    </row>
    <row r="5703" spans="2:7" x14ac:dyDescent="0.35">
      <c r="B5703" s="46"/>
      <c r="C5703" s="46"/>
      <c r="D5703" s="46"/>
      <c r="E5703" s="46"/>
      <c r="F5703" s="46"/>
      <c r="G5703" s="79"/>
    </row>
    <row r="5704" spans="2:7" x14ac:dyDescent="0.35">
      <c r="B5704" s="46"/>
      <c r="C5704" s="46"/>
      <c r="D5704" s="46"/>
      <c r="E5704" s="46"/>
      <c r="F5704" s="46"/>
      <c r="G5704" s="79"/>
    </row>
    <row r="5705" spans="2:7" x14ac:dyDescent="0.35">
      <c r="B5705" s="46"/>
      <c r="C5705" s="46"/>
      <c r="D5705" s="46"/>
      <c r="E5705" s="46"/>
      <c r="F5705" s="46"/>
      <c r="G5705" s="79"/>
    </row>
    <row r="5706" spans="2:7" x14ac:dyDescent="0.35">
      <c r="B5706" s="46"/>
      <c r="C5706" s="46"/>
      <c r="D5706" s="46"/>
      <c r="E5706" s="46"/>
      <c r="F5706" s="46"/>
      <c r="G5706" s="79"/>
    </row>
    <row r="5707" spans="2:7" x14ac:dyDescent="0.35">
      <c r="B5707" s="46"/>
      <c r="C5707" s="46"/>
      <c r="D5707" s="46"/>
      <c r="E5707" s="46"/>
      <c r="F5707" s="46"/>
      <c r="G5707" s="79"/>
    </row>
    <row r="5708" spans="2:7" x14ac:dyDescent="0.35">
      <c r="B5708" s="46"/>
      <c r="C5708" s="46"/>
      <c r="D5708" s="46"/>
      <c r="E5708" s="46"/>
      <c r="F5708" s="46"/>
      <c r="G5708" s="79"/>
    </row>
    <row r="5709" spans="2:7" x14ac:dyDescent="0.35">
      <c r="B5709" s="46"/>
      <c r="C5709" s="46"/>
      <c r="D5709" s="46"/>
      <c r="E5709" s="46"/>
      <c r="F5709" s="46"/>
      <c r="G5709" s="79"/>
    </row>
    <row r="5710" spans="2:7" x14ac:dyDescent="0.35">
      <c r="B5710" s="46"/>
      <c r="C5710" s="46"/>
      <c r="D5710" s="46"/>
      <c r="E5710" s="46"/>
      <c r="F5710" s="46"/>
      <c r="G5710" s="79"/>
    </row>
    <row r="5711" spans="2:7" x14ac:dyDescent="0.35">
      <c r="B5711" s="46"/>
      <c r="C5711" s="46"/>
      <c r="D5711" s="46"/>
      <c r="E5711" s="46"/>
      <c r="F5711" s="46"/>
      <c r="G5711" s="79"/>
    </row>
    <row r="5712" spans="2:7" x14ac:dyDescent="0.35">
      <c r="B5712" s="46"/>
      <c r="C5712" s="46"/>
      <c r="D5712" s="46"/>
      <c r="E5712" s="46"/>
      <c r="F5712" s="46"/>
      <c r="G5712" s="79"/>
    </row>
    <row r="5713" spans="2:7" x14ac:dyDescent="0.35">
      <c r="B5713" s="46"/>
      <c r="C5713" s="46"/>
      <c r="D5713" s="46"/>
      <c r="E5713" s="46"/>
      <c r="F5713" s="46"/>
      <c r="G5713" s="79"/>
    </row>
    <row r="5714" spans="2:7" x14ac:dyDescent="0.35">
      <c r="B5714" s="46"/>
      <c r="C5714" s="46"/>
      <c r="D5714" s="46"/>
      <c r="E5714" s="46"/>
      <c r="F5714" s="46"/>
      <c r="G5714" s="79"/>
    </row>
    <row r="5715" spans="2:7" x14ac:dyDescent="0.35">
      <c r="B5715" s="46"/>
      <c r="C5715" s="46"/>
      <c r="D5715" s="46"/>
      <c r="E5715" s="46"/>
      <c r="F5715" s="46"/>
      <c r="G5715" s="79"/>
    </row>
    <row r="5716" spans="2:7" x14ac:dyDescent="0.35">
      <c r="B5716" s="46"/>
      <c r="C5716" s="46"/>
      <c r="D5716" s="46"/>
      <c r="E5716" s="46"/>
      <c r="F5716" s="46"/>
      <c r="G5716" s="79"/>
    </row>
    <row r="5717" spans="2:7" x14ac:dyDescent="0.35">
      <c r="B5717" s="46"/>
      <c r="C5717" s="46"/>
      <c r="D5717" s="46"/>
      <c r="E5717" s="46"/>
      <c r="F5717" s="46"/>
      <c r="G5717" s="79"/>
    </row>
    <row r="5718" spans="2:7" x14ac:dyDescent="0.35">
      <c r="B5718" s="46"/>
      <c r="C5718" s="46"/>
      <c r="D5718" s="46"/>
      <c r="E5718" s="46"/>
      <c r="F5718" s="46"/>
      <c r="G5718" s="79"/>
    </row>
    <row r="5719" spans="2:7" x14ac:dyDescent="0.35">
      <c r="B5719" s="46"/>
      <c r="C5719" s="46"/>
      <c r="D5719" s="46"/>
      <c r="E5719" s="46"/>
      <c r="F5719" s="46"/>
      <c r="G5719" s="79"/>
    </row>
    <row r="5720" spans="2:7" x14ac:dyDescent="0.35">
      <c r="B5720" s="46"/>
      <c r="C5720" s="46"/>
      <c r="D5720" s="46"/>
      <c r="E5720" s="46"/>
      <c r="F5720" s="46"/>
      <c r="G5720" s="79"/>
    </row>
    <row r="5721" spans="2:7" x14ac:dyDescent="0.35">
      <c r="B5721" s="46"/>
      <c r="C5721" s="46"/>
      <c r="D5721" s="46"/>
      <c r="E5721" s="46"/>
      <c r="F5721" s="46"/>
      <c r="G5721" s="79"/>
    </row>
    <row r="5722" spans="2:7" x14ac:dyDescent="0.35">
      <c r="B5722" s="46"/>
      <c r="C5722" s="46"/>
      <c r="D5722" s="46"/>
      <c r="E5722" s="46"/>
      <c r="F5722" s="46"/>
      <c r="G5722" s="79"/>
    </row>
    <row r="5723" spans="2:7" x14ac:dyDescent="0.35">
      <c r="B5723" s="46"/>
      <c r="C5723" s="46"/>
      <c r="D5723" s="46"/>
      <c r="E5723" s="46"/>
      <c r="F5723" s="46"/>
      <c r="G5723" s="79"/>
    </row>
    <row r="5724" spans="2:7" x14ac:dyDescent="0.35">
      <c r="B5724" s="46"/>
      <c r="C5724" s="46"/>
      <c r="D5724" s="46"/>
      <c r="E5724" s="46"/>
      <c r="F5724" s="46"/>
      <c r="G5724" s="79"/>
    </row>
    <row r="5725" spans="2:7" x14ac:dyDescent="0.35">
      <c r="B5725" s="46"/>
      <c r="C5725" s="46"/>
      <c r="D5725" s="46"/>
      <c r="E5725" s="46"/>
      <c r="F5725" s="46"/>
      <c r="G5725" s="79"/>
    </row>
    <row r="5726" spans="2:7" x14ac:dyDescent="0.35">
      <c r="B5726" s="46"/>
      <c r="C5726" s="46"/>
      <c r="D5726" s="46"/>
      <c r="E5726" s="46"/>
      <c r="F5726" s="46"/>
      <c r="G5726" s="79"/>
    </row>
    <row r="5727" spans="2:7" x14ac:dyDescent="0.35">
      <c r="B5727" s="46"/>
      <c r="C5727" s="46"/>
      <c r="D5727" s="46"/>
      <c r="E5727" s="46"/>
      <c r="F5727" s="46"/>
      <c r="G5727" s="79"/>
    </row>
    <row r="5728" spans="2:7" x14ac:dyDescent="0.35">
      <c r="B5728" s="46"/>
      <c r="C5728" s="46"/>
      <c r="D5728" s="46"/>
      <c r="E5728" s="46"/>
      <c r="F5728" s="46"/>
      <c r="G5728" s="79"/>
    </row>
    <row r="5729" spans="2:7" x14ac:dyDescent="0.35">
      <c r="B5729" s="46"/>
      <c r="C5729" s="46"/>
      <c r="D5729" s="46"/>
      <c r="E5729" s="46"/>
      <c r="F5729" s="46"/>
      <c r="G5729" s="79"/>
    </row>
    <row r="5730" spans="2:7" x14ac:dyDescent="0.35">
      <c r="B5730" s="46"/>
      <c r="C5730" s="46"/>
      <c r="D5730" s="46"/>
      <c r="E5730" s="46"/>
      <c r="F5730" s="46"/>
      <c r="G5730" s="79"/>
    </row>
    <row r="5731" spans="2:7" x14ac:dyDescent="0.35">
      <c r="B5731" s="46"/>
      <c r="C5731" s="46"/>
      <c r="D5731" s="46"/>
      <c r="E5731" s="46"/>
      <c r="F5731" s="46"/>
      <c r="G5731" s="79"/>
    </row>
    <row r="5732" spans="2:7" x14ac:dyDescent="0.35">
      <c r="B5732" s="46"/>
      <c r="C5732" s="46"/>
      <c r="D5732" s="46"/>
      <c r="E5732" s="46"/>
      <c r="F5732" s="46"/>
      <c r="G5732" s="79"/>
    </row>
    <row r="5733" spans="2:7" x14ac:dyDescent="0.35">
      <c r="B5733" s="46"/>
      <c r="C5733" s="46"/>
      <c r="D5733" s="46"/>
      <c r="E5733" s="46"/>
      <c r="F5733" s="46"/>
      <c r="G5733" s="79"/>
    </row>
    <row r="5734" spans="2:7" x14ac:dyDescent="0.35">
      <c r="B5734" s="46"/>
      <c r="C5734" s="46"/>
      <c r="D5734" s="46"/>
      <c r="E5734" s="46"/>
      <c r="F5734" s="46"/>
      <c r="G5734" s="79"/>
    </row>
    <row r="5735" spans="2:7" x14ac:dyDescent="0.35">
      <c r="B5735" s="46"/>
      <c r="C5735" s="46"/>
      <c r="D5735" s="46"/>
      <c r="E5735" s="46"/>
      <c r="F5735" s="46"/>
      <c r="G5735" s="79"/>
    </row>
    <row r="5736" spans="2:7" x14ac:dyDescent="0.35">
      <c r="B5736" s="46"/>
      <c r="C5736" s="46"/>
      <c r="D5736" s="46"/>
      <c r="E5736" s="46"/>
      <c r="F5736" s="46"/>
      <c r="G5736" s="79"/>
    </row>
    <row r="5737" spans="2:7" x14ac:dyDescent="0.35">
      <c r="B5737" s="46"/>
      <c r="C5737" s="46"/>
      <c r="D5737" s="46"/>
      <c r="E5737" s="46"/>
      <c r="F5737" s="46"/>
      <c r="G5737" s="79"/>
    </row>
    <row r="5738" spans="2:7" x14ac:dyDescent="0.35">
      <c r="B5738" s="46"/>
      <c r="C5738" s="46"/>
      <c r="D5738" s="46"/>
      <c r="E5738" s="46"/>
      <c r="F5738" s="46"/>
      <c r="G5738" s="79"/>
    </row>
    <row r="5739" spans="2:7" x14ac:dyDescent="0.35">
      <c r="B5739" s="46"/>
      <c r="C5739" s="46"/>
      <c r="D5739" s="46"/>
      <c r="E5739" s="46"/>
      <c r="F5739" s="46"/>
      <c r="G5739" s="79"/>
    </row>
    <row r="5740" spans="2:7" x14ac:dyDescent="0.35">
      <c r="B5740" s="46"/>
      <c r="C5740" s="46"/>
      <c r="D5740" s="46"/>
      <c r="E5740" s="46"/>
      <c r="F5740" s="46"/>
      <c r="G5740" s="79"/>
    </row>
    <row r="5741" spans="2:7" x14ac:dyDescent="0.35">
      <c r="B5741" s="46"/>
      <c r="C5741" s="46"/>
      <c r="D5741" s="46"/>
      <c r="E5741" s="46"/>
      <c r="F5741" s="46"/>
      <c r="G5741" s="79"/>
    </row>
    <row r="5742" spans="2:7" x14ac:dyDescent="0.35">
      <c r="B5742" s="46"/>
      <c r="C5742" s="46"/>
      <c r="D5742" s="46"/>
      <c r="E5742" s="46"/>
      <c r="F5742" s="46"/>
      <c r="G5742" s="79"/>
    </row>
    <row r="5743" spans="2:7" x14ac:dyDescent="0.35">
      <c r="B5743" s="46"/>
      <c r="C5743" s="46"/>
      <c r="D5743" s="46"/>
      <c r="E5743" s="46"/>
      <c r="F5743" s="46"/>
      <c r="G5743" s="79"/>
    </row>
    <row r="5744" spans="2:7" x14ac:dyDescent="0.35">
      <c r="B5744" s="46"/>
      <c r="C5744" s="46"/>
      <c r="D5744" s="46"/>
      <c r="E5744" s="46"/>
      <c r="F5744" s="46"/>
      <c r="G5744" s="79"/>
    </row>
    <row r="5745" spans="2:7" x14ac:dyDescent="0.35">
      <c r="B5745" s="46"/>
      <c r="C5745" s="46"/>
      <c r="D5745" s="46"/>
      <c r="E5745" s="46"/>
      <c r="F5745" s="46"/>
      <c r="G5745" s="79"/>
    </row>
    <row r="5746" spans="2:7" x14ac:dyDescent="0.35">
      <c r="B5746" s="46"/>
      <c r="C5746" s="46"/>
      <c r="D5746" s="46"/>
      <c r="E5746" s="46"/>
      <c r="F5746" s="46"/>
      <c r="G5746" s="79"/>
    </row>
    <row r="5747" spans="2:7" x14ac:dyDescent="0.35">
      <c r="B5747" s="46"/>
      <c r="C5747" s="46"/>
      <c r="D5747" s="46"/>
      <c r="E5747" s="46"/>
      <c r="F5747" s="46"/>
      <c r="G5747" s="79"/>
    </row>
    <row r="5748" spans="2:7" x14ac:dyDescent="0.35">
      <c r="B5748" s="46"/>
      <c r="C5748" s="46"/>
      <c r="D5748" s="46"/>
      <c r="E5748" s="46"/>
      <c r="F5748" s="46"/>
      <c r="G5748" s="79"/>
    </row>
    <row r="5749" spans="2:7" x14ac:dyDescent="0.35">
      <c r="B5749" s="46"/>
      <c r="C5749" s="46"/>
      <c r="D5749" s="46"/>
      <c r="E5749" s="46"/>
      <c r="F5749" s="46"/>
      <c r="G5749" s="79"/>
    </row>
    <row r="5750" spans="2:7" x14ac:dyDescent="0.35">
      <c r="B5750" s="46"/>
      <c r="C5750" s="46"/>
      <c r="D5750" s="46"/>
      <c r="E5750" s="46"/>
      <c r="F5750" s="46"/>
      <c r="G5750" s="79"/>
    </row>
    <row r="5751" spans="2:7" x14ac:dyDescent="0.35">
      <c r="B5751" s="46"/>
      <c r="C5751" s="46"/>
      <c r="D5751" s="46"/>
      <c r="E5751" s="46"/>
      <c r="F5751" s="46"/>
      <c r="G5751" s="79"/>
    </row>
    <row r="5752" spans="2:7" x14ac:dyDescent="0.35">
      <c r="B5752" s="46"/>
      <c r="C5752" s="46"/>
      <c r="D5752" s="46"/>
      <c r="E5752" s="46"/>
      <c r="F5752" s="46"/>
      <c r="G5752" s="79"/>
    </row>
    <row r="5753" spans="2:7" x14ac:dyDescent="0.35">
      <c r="B5753" s="46"/>
      <c r="C5753" s="46"/>
      <c r="D5753" s="46"/>
      <c r="E5753" s="46"/>
      <c r="F5753" s="46"/>
      <c r="G5753" s="79"/>
    </row>
    <row r="5754" spans="2:7" x14ac:dyDescent="0.35">
      <c r="B5754" s="46"/>
      <c r="C5754" s="46"/>
      <c r="D5754" s="46"/>
      <c r="E5754" s="46"/>
      <c r="F5754" s="46"/>
      <c r="G5754" s="79"/>
    </row>
    <row r="5755" spans="2:7" x14ac:dyDescent="0.35">
      <c r="B5755" s="46"/>
      <c r="C5755" s="46"/>
      <c r="D5755" s="46"/>
      <c r="E5755" s="46"/>
      <c r="F5755" s="46"/>
      <c r="G5755" s="79"/>
    </row>
    <row r="5756" spans="2:7" x14ac:dyDescent="0.35">
      <c r="B5756" s="46"/>
      <c r="C5756" s="46"/>
      <c r="D5756" s="46"/>
      <c r="E5756" s="46"/>
      <c r="F5756" s="46"/>
      <c r="G5756" s="79"/>
    </row>
    <row r="5757" spans="2:7" x14ac:dyDescent="0.35">
      <c r="B5757" s="46"/>
      <c r="C5757" s="46"/>
      <c r="D5757" s="46"/>
      <c r="E5757" s="46"/>
      <c r="F5757" s="46"/>
      <c r="G5757" s="79"/>
    </row>
    <row r="5758" spans="2:7" x14ac:dyDescent="0.35">
      <c r="B5758" s="46"/>
      <c r="C5758" s="46"/>
      <c r="D5758" s="46"/>
      <c r="E5758" s="46"/>
      <c r="F5758" s="46"/>
      <c r="G5758" s="79"/>
    </row>
    <row r="5759" spans="2:7" x14ac:dyDescent="0.35">
      <c r="B5759" s="46"/>
      <c r="C5759" s="46"/>
      <c r="D5759" s="46"/>
      <c r="E5759" s="46"/>
      <c r="F5759" s="46"/>
      <c r="G5759" s="79"/>
    </row>
    <row r="5760" spans="2:7" x14ac:dyDescent="0.35">
      <c r="B5760" s="46"/>
      <c r="C5760" s="46"/>
      <c r="D5760" s="46"/>
      <c r="E5760" s="46"/>
      <c r="F5760" s="46"/>
      <c r="G5760" s="79"/>
    </row>
    <row r="5761" spans="2:7" x14ac:dyDescent="0.35">
      <c r="B5761" s="46"/>
      <c r="C5761" s="46"/>
      <c r="D5761" s="46"/>
      <c r="E5761" s="46"/>
      <c r="F5761" s="46"/>
      <c r="G5761" s="79"/>
    </row>
    <row r="5762" spans="2:7" x14ac:dyDescent="0.35">
      <c r="B5762" s="46"/>
      <c r="C5762" s="46"/>
      <c r="D5762" s="46"/>
      <c r="E5762" s="46"/>
      <c r="F5762" s="46"/>
      <c r="G5762" s="79"/>
    </row>
    <row r="5763" spans="2:7" x14ac:dyDescent="0.35">
      <c r="B5763" s="46"/>
      <c r="C5763" s="46"/>
      <c r="D5763" s="46"/>
      <c r="E5763" s="46"/>
      <c r="F5763" s="46"/>
      <c r="G5763" s="79"/>
    </row>
    <row r="5764" spans="2:7" x14ac:dyDescent="0.35">
      <c r="B5764" s="46"/>
      <c r="C5764" s="46"/>
      <c r="D5764" s="46"/>
      <c r="E5764" s="46"/>
      <c r="F5764" s="46"/>
      <c r="G5764" s="79"/>
    </row>
    <row r="5765" spans="2:7" x14ac:dyDescent="0.35">
      <c r="B5765" s="46"/>
      <c r="C5765" s="46"/>
      <c r="D5765" s="46"/>
      <c r="E5765" s="46"/>
      <c r="F5765" s="46"/>
      <c r="G5765" s="79"/>
    </row>
    <row r="5766" spans="2:7" x14ac:dyDescent="0.35">
      <c r="B5766" s="46"/>
      <c r="C5766" s="46"/>
      <c r="D5766" s="46"/>
      <c r="E5766" s="46"/>
      <c r="F5766" s="46"/>
      <c r="G5766" s="79"/>
    </row>
    <row r="5767" spans="2:7" x14ac:dyDescent="0.35">
      <c r="B5767" s="46"/>
      <c r="C5767" s="46"/>
      <c r="D5767" s="46"/>
      <c r="E5767" s="46"/>
      <c r="F5767" s="46"/>
      <c r="G5767" s="79"/>
    </row>
    <row r="5768" spans="2:7" x14ac:dyDescent="0.35">
      <c r="B5768" s="46"/>
      <c r="C5768" s="46"/>
      <c r="D5768" s="46"/>
      <c r="E5768" s="46"/>
      <c r="F5768" s="46"/>
      <c r="G5768" s="79"/>
    </row>
    <row r="5769" spans="2:7" x14ac:dyDescent="0.35">
      <c r="B5769" s="46"/>
      <c r="C5769" s="46"/>
      <c r="D5769" s="46"/>
      <c r="E5769" s="46"/>
      <c r="F5769" s="46"/>
      <c r="G5769" s="79"/>
    </row>
    <row r="5770" spans="2:7" x14ac:dyDescent="0.35">
      <c r="B5770" s="46"/>
      <c r="C5770" s="46"/>
      <c r="D5770" s="46"/>
      <c r="E5770" s="46"/>
      <c r="F5770" s="46"/>
      <c r="G5770" s="79"/>
    </row>
    <row r="5771" spans="2:7" x14ac:dyDescent="0.35">
      <c r="B5771" s="46"/>
      <c r="C5771" s="46"/>
      <c r="D5771" s="46"/>
      <c r="E5771" s="46"/>
      <c r="F5771" s="46"/>
      <c r="G5771" s="79"/>
    </row>
    <row r="5772" spans="2:7" x14ac:dyDescent="0.35">
      <c r="B5772" s="46"/>
      <c r="C5772" s="46"/>
      <c r="D5772" s="46"/>
      <c r="E5772" s="46"/>
      <c r="F5772" s="46"/>
      <c r="G5772" s="79"/>
    </row>
    <row r="5773" spans="2:7" x14ac:dyDescent="0.35">
      <c r="B5773" s="46"/>
      <c r="C5773" s="46"/>
      <c r="D5773" s="46"/>
      <c r="E5773" s="46"/>
      <c r="F5773" s="46"/>
      <c r="G5773" s="79"/>
    </row>
    <row r="5774" spans="2:7" x14ac:dyDescent="0.35">
      <c r="B5774" s="46"/>
      <c r="C5774" s="46"/>
      <c r="D5774" s="46"/>
      <c r="E5774" s="46"/>
      <c r="F5774" s="46"/>
      <c r="G5774" s="79"/>
    </row>
    <row r="5775" spans="2:7" x14ac:dyDescent="0.35">
      <c r="B5775" s="46"/>
      <c r="C5775" s="46"/>
      <c r="D5775" s="46"/>
      <c r="E5775" s="46"/>
      <c r="F5775" s="46"/>
      <c r="G5775" s="79"/>
    </row>
    <row r="5776" spans="2:7" x14ac:dyDescent="0.35">
      <c r="B5776" s="46"/>
      <c r="C5776" s="46"/>
      <c r="D5776" s="46"/>
      <c r="E5776" s="46"/>
      <c r="F5776" s="46"/>
      <c r="G5776" s="79"/>
    </row>
    <row r="5777" spans="2:7" x14ac:dyDescent="0.35">
      <c r="B5777" s="46"/>
      <c r="C5777" s="46"/>
      <c r="D5777" s="46"/>
      <c r="E5777" s="46"/>
      <c r="F5777" s="46"/>
      <c r="G5777" s="79"/>
    </row>
    <row r="5778" spans="2:7" x14ac:dyDescent="0.35">
      <c r="B5778" s="46"/>
      <c r="C5778" s="46"/>
      <c r="D5778" s="46"/>
      <c r="E5778" s="46"/>
      <c r="F5778" s="46"/>
      <c r="G5778" s="79"/>
    </row>
    <row r="5779" spans="2:7" x14ac:dyDescent="0.35">
      <c r="B5779" s="46"/>
      <c r="C5779" s="46"/>
      <c r="D5779" s="46"/>
      <c r="E5779" s="46"/>
      <c r="F5779" s="46"/>
      <c r="G5779" s="79"/>
    </row>
    <row r="5780" spans="2:7" x14ac:dyDescent="0.35">
      <c r="B5780" s="46"/>
      <c r="C5780" s="46"/>
      <c r="D5780" s="46"/>
      <c r="E5780" s="46"/>
      <c r="F5780" s="46"/>
      <c r="G5780" s="79"/>
    </row>
    <row r="5781" spans="2:7" x14ac:dyDescent="0.35">
      <c r="B5781" s="46"/>
      <c r="C5781" s="46"/>
      <c r="D5781" s="46"/>
      <c r="E5781" s="46"/>
      <c r="F5781" s="46"/>
      <c r="G5781" s="79"/>
    </row>
    <row r="5782" spans="2:7" x14ac:dyDescent="0.35">
      <c r="B5782" s="46"/>
      <c r="C5782" s="46"/>
      <c r="D5782" s="46"/>
      <c r="E5782" s="46"/>
      <c r="F5782" s="46"/>
      <c r="G5782" s="79"/>
    </row>
    <row r="5783" spans="2:7" x14ac:dyDescent="0.35">
      <c r="B5783" s="46"/>
      <c r="C5783" s="46"/>
      <c r="D5783" s="46"/>
      <c r="E5783" s="46"/>
      <c r="F5783" s="46"/>
      <c r="G5783" s="79"/>
    </row>
    <row r="5784" spans="2:7" x14ac:dyDescent="0.35">
      <c r="B5784" s="46"/>
      <c r="C5784" s="46"/>
      <c r="D5784" s="46"/>
      <c r="E5784" s="46"/>
      <c r="F5784" s="46"/>
      <c r="G5784" s="79"/>
    </row>
    <row r="5785" spans="2:7" x14ac:dyDescent="0.35">
      <c r="B5785" s="46"/>
      <c r="C5785" s="46"/>
      <c r="D5785" s="46"/>
      <c r="E5785" s="46"/>
      <c r="F5785" s="46"/>
      <c r="G5785" s="79"/>
    </row>
    <row r="5786" spans="2:7" x14ac:dyDescent="0.35">
      <c r="B5786" s="46"/>
      <c r="C5786" s="46"/>
      <c r="D5786" s="46"/>
      <c r="E5786" s="46"/>
      <c r="F5786" s="46"/>
      <c r="G5786" s="79"/>
    </row>
    <row r="5787" spans="2:7" x14ac:dyDescent="0.35">
      <c r="B5787" s="46"/>
      <c r="C5787" s="46"/>
      <c r="D5787" s="46"/>
      <c r="E5787" s="46"/>
      <c r="F5787" s="46"/>
      <c r="G5787" s="79"/>
    </row>
    <row r="5788" spans="2:7" x14ac:dyDescent="0.35">
      <c r="B5788" s="46"/>
      <c r="C5788" s="46"/>
      <c r="D5788" s="46"/>
      <c r="E5788" s="46"/>
      <c r="F5788" s="46"/>
      <c r="G5788" s="79"/>
    </row>
    <row r="5789" spans="2:7" x14ac:dyDescent="0.35">
      <c r="B5789" s="46"/>
      <c r="C5789" s="46"/>
      <c r="D5789" s="46"/>
      <c r="E5789" s="46"/>
      <c r="F5789" s="46"/>
      <c r="G5789" s="79"/>
    </row>
    <row r="5790" spans="2:7" x14ac:dyDescent="0.35">
      <c r="B5790" s="46"/>
      <c r="C5790" s="46"/>
      <c r="D5790" s="46"/>
      <c r="E5790" s="46"/>
      <c r="F5790" s="46"/>
      <c r="G5790" s="79"/>
    </row>
    <row r="5791" spans="2:7" x14ac:dyDescent="0.35">
      <c r="B5791" s="46"/>
      <c r="C5791" s="46"/>
      <c r="D5791" s="46"/>
      <c r="E5791" s="46"/>
      <c r="F5791" s="46"/>
      <c r="G5791" s="79"/>
    </row>
    <row r="5792" spans="2:7" x14ac:dyDescent="0.35">
      <c r="B5792" s="46"/>
      <c r="C5792" s="46"/>
      <c r="D5792" s="46"/>
      <c r="E5792" s="46"/>
      <c r="F5792" s="46"/>
      <c r="G5792" s="79"/>
    </row>
    <row r="5793" spans="2:7" x14ac:dyDescent="0.35">
      <c r="B5793" s="46"/>
      <c r="C5793" s="46"/>
      <c r="D5793" s="46"/>
      <c r="E5793" s="46"/>
      <c r="F5793" s="46"/>
      <c r="G5793" s="79"/>
    </row>
    <row r="5794" spans="2:7" x14ac:dyDescent="0.35">
      <c r="B5794" s="46"/>
      <c r="C5794" s="46"/>
      <c r="D5794" s="46"/>
      <c r="E5794" s="46"/>
      <c r="F5794" s="46"/>
      <c r="G5794" s="79"/>
    </row>
    <row r="5795" spans="2:7" x14ac:dyDescent="0.35">
      <c r="B5795" s="46"/>
      <c r="C5795" s="46"/>
      <c r="D5795" s="46"/>
      <c r="E5795" s="46"/>
      <c r="F5795" s="46"/>
      <c r="G5795" s="79"/>
    </row>
    <row r="5796" spans="2:7" x14ac:dyDescent="0.35">
      <c r="B5796" s="46"/>
      <c r="C5796" s="46"/>
      <c r="D5796" s="46"/>
      <c r="E5796" s="46"/>
      <c r="F5796" s="46"/>
      <c r="G5796" s="79"/>
    </row>
    <row r="5797" spans="2:7" x14ac:dyDescent="0.35">
      <c r="B5797" s="46"/>
      <c r="C5797" s="46"/>
      <c r="D5797" s="46"/>
      <c r="E5797" s="46"/>
      <c r="F5797" s="46"/>
      <c r="G5797" s="79"/>
    </row>
    <row r="5798" spans="2:7" x14ac:dyDescent="0.35">
      <c r="B5798" s="46"/>
      <c r="C5798" s="46"/>
      <c r="D5798" s="46"/>
      <c r="E5798" s="46"/>
      <c r="F5798" s="46"/>
      <c r="G5798" s="79"/>
    </row>
    <row r="5799" spans="2:7" x14ac:dyDescent="0.35">
      <c r="B5799" s="46"/>
      <c r="C5799" s="46"/>
      <c r="D5799" s="46"/>
      <c r="E5799" s="46"/>
      <c r="F5799" s="46"/>
      <c r="G5799" s="79"/>
    </row>
    <row r="5800" spans="2:7" x14ac:dyDescent="0.35">
      <c r="B5800" s="46"/>
      <c r="C5800" s="46"/>
      <c r="D5800" s="46"/>
      <c r="E5800" s="46"/>
      <c r="F5800" s="46"/>
      <c r="G5800" s="79"/>
    </row>
    <row r="5801" spans="2:7" x14ac:dyDescent="0.35">
      <c r="B5801" s="46"/>
      <c r="C5801" s="46"/>
      <c r="D5801" s="46"/>
      <c r="E5801" s="46"/>
      <c r="F5801" s="46"/>
      <c r="G5801" s="79"/>
    </row>
    <row r="5802" spans="2:7" x14ac:dyDescent="0.35">
      <c r="B5802" s="46"/>
      <c r="C5802" s="46"/>
      <c r="D5802" s="46"/>
      <c r="E5802" s="46"/>
      <c r="F5802" s="46"/>
      <c r="G5802" s="79"/>
    </row>
    <row r="5803" spans="2:7" x14ac:dyDescent="0.35">
      <c r="B5803" s="46"/>
      <c r="C5803" s="46"/>
      <c r="D5803" s="46"/>
      <c r="E5803" s="46"/>
      <c r="F5803" s="46"/>
      <c r="G5803" s="79"/>
    </row>
    <row r="5804" spans="2:7" x14ac:dyDescent="0.35">
      <c r="B5804" s="46"/>
      <c r="C5804" s="46"/>
      <c r="D5804" s="46"/>
      <c r="E5804" s="46"/>
      <c r="F5804" s="46"/>
      <c r="G5804" s="79"/>
    </row>
    <row r="5805" spans="2:7" x14ac:dyDescent="0.35">
      <c r="B5805" s="46"/>
      <c r="C5805" s="46"/>
      <c r="D5805" s="46"/>
      <c r="E5805" s="46"/>
      <c r="F5805" s="46"/>
      <c r="G5805" s="79"/>
    </row>
    <row r="5806" spans="2:7" x14ac:dyDescent="0.35">
      <c r="B5806" s="46"/>
      <c r="C5806" s="46"/>
      <c r="D5806" s="46"/>
      <c r="E5806" s="46"/>
      <c r="F5806" s="46"/>
      <c r="G5806" s="79"/>
    </row>
    <row r="5807" spans="2:7" x14ac:dyDescent="0.35">
      <c r="B5807" s="46"/>
      <c r="C5807" s="46"/>
      <c r="D5807" s="46"/>
      <c r="E5807" s="46"/>
      <c r="F5807" s="46"/>
      <c r="G5807" s="79"/>
    </row>
    <row r="5808" spans="2:7" x14ac:dyDescent="0.35">
      <c r="B5808" s="46"/>
      <c r="C5808" s="46"/>
      <c r="D5808" s="46"/>
      <c r="E5808" s="46"/>
      <c r="F5808" s="46"/>
      <c r="G5808" s="79"/>
    </row>
    <row r="5809" spans="2:7" x14ac:dyDescent="0.35">
      <c r="B5809" s="46"/>
      <c r="C5809" s="46"/>
      <c r="D5809" s="46"/>
      <c r="E5809" s="46"/>
      <c r="F5809" s="46"/>
      <c r="G5809" s="79"/>
    </row>
    <row r="5810" spans="2:7" x14ac:dyDescent="0.35">
      <c r="B5810" s="46"/>
      <c r="C5810" s="46"/>
      <c r="D5810" s="46"/>
      <c r="E5810" s="46"/>
      <c r="F5810" s="46"/>
      <c r="G5810" s="79"/>
    </row>
    <row r="5811" spans="2:7" x14ac:dyDescent="0.35">
      <c r="B5811" s="46"/>
      <c r="C5811" s="46"/>
      <c r="D5811" s="46"/>
      <c r="E5811" s="46"/>
      <c r="F5811" s="46"/>
      <c r="G5811" s="79"/>
    </row>
    <row r="5812" spans="2:7" x14ac:dyDescent="0.35">
      <c r="B5812" s="46"/>
      <c r="C5812" s="46"/>
      <c r="D5812" s="46"/>
      <c r="E5812" s="46"/>
      <c r="F5812" s="46"/>
      <c r="G5812" s="79"/>
    </row>
    <row r="5813" spans="2:7" x14ac:dyDescent="0.35">
      <c r="B5813" s="46"/>
      <c r="C5813" s="46"/>
      <c r="D5813" s="46"/>
      <c r="E5813" s="46"/>
      <c r="F5813" s="46"/>
      <c r="G5813" s="79"/>
    </row>
    <row r="5814" spans="2:7" x14ac:dyDescent="0.35">
      <c r="B5814" s="46"/>
      <c r="C5814" s="46"/>
      <c r="D5814" s="46"/>
      <c r="E5814" s="46"/>
      <c r="F5814" s="46"/>
      <c r="G5814" s="79"/>
    </row>
    <row r="5815" spans="2:7" x14ac:dyDescent="0.35">
      <c r="B5815" s="46"/>
      <c r="C5815" s="46"/>
      <c r="D5815" s="46"/>
      <c r="E5815" s="46"/>
      <c r="F5815" s="46"/>
      <c r="G5815" s="79"/>
    </row>
    <row r="5816" spans="2:7" x14ac:dyDescent="0.35">
      <c r="B5816" s="46"/>
      <c r="C5816" s="46"/>
      <c r="D5816" s="46"/>
      <c r="E5816" s="46"/>
      <c r="F5816" s="46"/>
      <c r="G5816" s="79"/>
    </row>
    <row r="5817" spans="2:7" x14ac:dyDescent="0.35">
      <c r="B5817" s="46"/>
      <c r="C5817" s="46"/>
      <c r="D5817" s="46"/>
      <c r="E5817" s="46"/>
      <c r="F5817" s="46"/>
      <c r="G5817" s="79"/>
    </row>
    <row r="5818" spans="2:7" x14ac:dyDescent="0.35">
      <c r="B5818" s="46"/>
      <c r="C5818" s="46"/>
      <c r="D5818" s="46"/>
      <c r="E5818" s="46"/>
      <c r="F5818" s="46"/>
      <c r="G5818" s="79"/>
    </row>
    <row r="5819" spans="2:7" x14ac:dyDescent="0.35">
      <c r="B5819" s="46"/>
      <c r="C5819" s="46"/>
      <c r="D5819" s="46"/>
      <c r="E5819" s="46"/>
      <c r="F5819" s="46"/>
      <c r="G5819" s="79"/>
    </row>
    <row r="5820" spans="2:7" x14ac:dyDescent="0.35">
      <c r="B5820" s="46"/>
      <c r="C5820" s="46"/>
      <c r="D5820" s="46"/>
      <c r="E5820" s="46"/>
      <c r="F5820" s="46"/>
      <c r="G5820" s="79"/>
    </row>
    <row r="5821" spans="2:7" x14ac:dyDescent="0.35">
      <c r="B5821" s="46"/>
      <c r="C5821" s="46"/>
      <c r="D5821" s="46"/>
      <c r="E5821" s="46"/>
      <c r="F5821" s="46"/>
      <c r="G5821" s="79"/>
    </row>
    <row r="5822" spans="2:7" x14ac:dyDescent="0.35">
      <c r="B5822" s="46"/>
      <c r="C5822" s="46"/>
      <c r="D5822" s="46"/>
      <c r="E5822" s="46"/>
      <c r="F5822" s="46"/>
      <c r="G5822" s="79"/>
    </row>
    <row r="5823" spans="2:7" x14ac:dyDescent="0.35">
      <c r="B5823" s="46"/>
      <c r="C5823" s="46"/>
      <c r="D5823" s="46"/>
      <c r="E5823" s="46"/>
      <c r="F5823" s="46"/>
      <c r="G5823" s="79"/>
    </row>
    <row r="5824" spans="2:7" x14ac:dyDescent="0.35">
      <c r="B5824" s="46"/>
      <c r="C5824" s="46"/>
      <c r="D5824" s="46"/>
      <c r="E5824" s="46"/>
      <c r="F5824" s="46"/>
      <c r="G5824" s="79"/>
    </row>
    <row r="5825" spans="2:7" x14ac:dyDescent="0.35">
      <c r="B5825" s="46"/>
      <c r="C5825" s="46"/>
      <c r="D5825" s="46"/>
      <c r="E5825" s="46"/>
      <c r="F5825" s="46"/>
      <c r="G5825" s="79"/>
    </row>
    <row r="5826" spans="2:7" x14ac:dyDescent="0.35">
      <c r="B5826" s="46"/>
      <c r="C5826" s="46"/>
      <c r="D5826" s="46"/>
      <c r="E5826" s="46"/>
      <c r="F5826" s="46"/>
      <c r="G5826" s="79"/>
    </row>
    <row r="5827" spans="2:7" x14ac:dyDescent="0.35">
      <c r="B5827" s="46"/>
      <c r="C5827" s="46"/>
      <c r="D5827" s="46"/>
      <c r="E5827" s="46"/>
      <c r="F5827" s="46"/>
      <c r="G5827" s="79"/>
    </row>
    <row r="5828" spans="2:7" x14ac:dyDescent="0.35">
      <c r="B5828" s="46"/>
      <c r="C5828" s="46"/>
      <c r="D5828" s="46"/>
      <c r="E5828" s="46"/>
      <c r="F5828" s="46"/>
      <c r="G5828" s="79"/>
    </row>
    <row r="5829" spans="2:7" x14ac:dyDescent="0.35">
      <c r="B5829" s="46"/>
      <c r="C5829" s="46"/>
      <c r="D5829" s="46"/>
      <c r="E5829" s="46"/>
      <c r="F5829" s="46"/>
      <c r="G5829" s="79"/>
    </row>
    <row r="5830" spans="2:7" x14ac:dyDescent="0.35">
      <c r="B5830" s="46"/>
      <c r="C5830" s="46"/>
      <c r="D5830" s="46"/>
      <c r="E5830" s="46"/>
      <c r="F5830" s="46"/>
      <c r="G5830" s="79"/>
    </row>
    <row r="5831" spans="2:7" x14ac:dyDescent="0.35">
      <c r="B5831" s="46"/>
      <c r="C5831" s="46"/>
      <c r="D5831" s="46"/>
      <c r="E5831" s="46"/>
      <c r="F5831" s="46"/>
      <c r="G5831" s="79"/>
    </row>
    <row r="5832" spans="2:7" x14ac:dyDescent="0.35">
      <c r="B5832" s="46"/>
      <c r="C5832" s="46"/>
      <c r="D5832" s="46"/>
      <c r="E5832" s="46"/>
      <c r="F5832" s="46"/>
      <c r="G5832" s="79"/>
    </row>
    <row r="5833" spans="2:7" x14ac:dyDescent="0.35">
      <c r="B5833" s="46"/>
      <c r="C5833" s="46"/>
      <c r="D5833" s="46"/>
      <c r="E5833" s="46"/>
      <c r="F5833" s="46"/>
      <c r="G5833" s="79"/>
    </row>
    <row r="5834" spans="2:7" x14ac:dyDescent="0.35">
      <c r="B5834" s="46"/>
      <c r="C5834" s="46"/>
      <c r="D5834" s="46"/>
      <c r="E5834" s="46"/>
      <c r="F5834" s="46"/>
      <c r="G5834" s="79"/>
    </row>
    <row r="5835" spans="2:7" x14ac:dyDescent="0.35">
      <c r="B5835" s="46"/>
      <c r="C5835" s="46"/>
      <c r="D5835" s="46"/>
      <c r="E5835" s="46"/>
      <c r="F5835" s="46"/>
      <c r="G5835" s="79"/>
    </row>
    <row r="5836" spans="2:7" x14ac:dyDescent="0.35">
      <c r="B5836" s="46"/>
      <c r="C5836" s="46"/>
      <c r="D5836" s="46"/>
      <c r="E5836" s="46"/>
      <c r="F5836" s="46"/>
      <c r="G5836" s="79"/>
    </row>
    <row r="5837" spans="2:7" x14ac:dyDescent="0.35">
      <c r="B5837" s="46"/>
      <c r="C5837" s="46"/>
      <c r="D5837" s="46"/>
      <c r="E5837" s="46"/>
      <c r="F5837" s="46"/>
      <c r="G5837" s="79"/>
    </row>
    <row r="5838" spans="2:7" x14ac:dyDescent="0.35">
      <c r="B5838" s="46"/>
      <c r="C5838" s="46"/>
      <c r="D5838" s="46"/>
      <c r="E5838" s="46"/>
      <c r="F5838" s="46"/>
      <c r="G5838" s="79"/>
    </row>
    <row r="5839" spans="2:7" x14ac:dyDescent="0.35">
      <c r="B5839" s="46"/>
      <c r="C5839" s="46"/>
      <c r="D5839" s="46"/>
      <c r="E5839" s="46"/>
      <c r="F5839" s="46"/>
      <c r="G5839" s="79"/>
    </row>
    <row r="5840" spans="2:7" x14ac:dyDescent="0.35">
      <c r="B5840" s="46"/>
      <c r="C5840" s="46"/>
      <c r="D5840" s="46"/>
      <c r="E5840" s="46"/>
      <c r="F5840" s="46"/>
      <c r="G5840" s="79"/>
    </row>
    <row r="5841" spans="2:7" x14ac:dyDescent="0.35">
      <c r="B5841" s="46"/>
      <c r="C5841" s="46"/>
      <c r="D5841" s="46"/>
      <c r="E5841" s="46"/>
      <c r="F5841" s="46"/>
      <c r="G5841" s="79"/>
    </row>
    <row r="5842" spans="2:7" x14ac:dyDescent="0.35">
      <c r="B5842" s="46"/>
      <c r="C5842" s="46"/>
      <c r="D5842" s="46"/>
      <c r="E5842" s="46"/>
      <c r="F5842" s="46"/>
      <c r="G5842" s="79"/>
    </row>
    <row r="5843" spans="2:7" x14ac:dyDescent="0.35">
      <c r="B5843" s="46"/>
      <c r="C5843" s="46"/>
      <c r="D5843" s="46"/>
      <c r="E5843" s="46"/>
      <c r="F5843" s="46"/>
      <c r="G5843" s="79"/>
    </row>
    <row r="5844" spans="2:7" x14ac:dyDescent="0.35">
      <c r="B5844" s="46"/>
      <c r="C5844" s="46"/>
      <c r="D5844" s="46"/>
      <c r="E5844" s="46"/>
      <c r="F5844" s="46"/>
      <c r="G5844" s="79"/>
    </row>
    <row r="5845" spans="2:7" x14ac:dyDescent="0.35">
      <c r="B5845" s="46"/>
      <c r="C5845" s="46"/>
      <c r="D5845" s="46"/>
      <c r="E5845" s="46"/>
      <c r="F5845" s="46"/>
      <c r="G5845" s="79"/>
    </row>
    <row r="5846" spans="2:7" x14ac:dyDescent="0.35">
      <c r="B5846" s="46"/>
      <c r="C5846" s="46"/>
      <c r="D5846" s="46"/>
      <c r="E5846" s="46"/>
      <c r="F5846" s="46"/>
      <c r="G5846" s="79"/>
    </row>
    <row r="5847" spans="2:7" x14ac:dyDescent="0.35">
      <c r="B5847" s="46"/>
      <c r="C5847" s="46"/>
      <c r="D5847" s="46"/>
      <c r="E5847" s="46"/>
      <c r="F5847" s="46"/>
      <c r="G5847" s="79"/>
    </row>
    <row r="5848" spans="2:7" x14ac:dyDescent="0.35">
      <c r="B5848" s="46"/>
      <c r="C5848" s="46"/>
      <c r="D5848" s="46"/>
      <c r="E5848" s="46"/>
      <c r="F5848" s="46"/>
      <c r="G5848" s="79"/>
    </row>
    <row r="5849" spans="2:7" x14ac:dyDescent="0.35">
      <c r="B5849" s="46"/>
      <c r="C5849" s="46"/>
      <c r="D5849" s="46"/>
      <c r="E5849" s="46"/>
      <c r="F5849" s="46"/>
      <c r="G5849" s="79"/>
    </row>
    <row r="5850" spans="2:7" x14ac:dyDescent="0.35">
      <c r="B5850" s="46"/>
      <c r="C5850" s="46"/>
      <c r="D5850" s="46"/>
      <c r="E5850" s="46"/>
      <c r="F5850" s="46"/>
      <c r="G5850" s="79"/>
    </row>
    <row r="5851" spans="2:7" x14ac:dyDescent="0.35">
      <c r="B5851" s="46"/>
      <c r="C5851" s="46"/>
      <c r="D5851" s="46"/>
      <c r="E5851" s="46"/>
      <c r="F5851" s="46"/>
      <c r="G5851" s="79"/>
    </row>
    <row r="5852" spans="2:7" x14ac:dyDescent="0.35">
      <c r="B5852" s="46"/>
      <c r="C5852" s="46"/>
      <c r="D5852" s="46"/>
      <c r="E5852" s="46"/>
      <c r="F5852" s="46"/>
      <c r="G5852" s="79"/>
    </row>
    <row r="5853" spans="2:7" x14ac:dyDescent="0.35">
      <c r="B5853" s="46"/>
      <c r="C5853" s="46"/>
      <c r="D5853" s="46"/>
      <c r="E5853" s="46"/>
      <c r="F5853" s="46"/>
      <c r="G5853" s="79"/>
    </row>
    <row r="5854" spans="2:7" x14ac:dyDescent="0.35">
      <c r="B5854" s="46"/>
      <c r="C5854" s="46"/>
      <c r="D5854" s="46"/>
      <c r="E5854" s="46"/>
      <c r="F5854" s="46"/>
      <c r="G5854" s="79"/>
    </row>
    <row r="5855" spans="2:7" x14ac:dyDescent="0.35">
      <c r="B5855" s="46"/>
      <c r="C5855" s="46"/>
      <c r="D5855" s="46"/>
      <c r="E5855" s="46"/>
      <c r="F5855" s="46"/>
      <c r="G5855" s="79"/>
    </row>
    <row r="5856" spans="2:7" x14ac:dyDescent="0.35">
      <c r="B5856" s="46"/>
      <c r="C5856" s="46"/>
      <c r="D5856" s="46"/>
      <c r="E5856" s="46"/>
      <c r="F5856" s="46"/>
      <c r="G5856" s="79"/>
    </row>
    <row r="5857" spans="2:7" x14ac:dyDescent="0.35">
      <c r="B5857" s="46"/>
      <c r="C5857" s="46"/>
      <c r="D5857" s="46"/>
      <c r="E5857" s="46"/>
      <c r="F5857" s="46"/>
      <c r="G5857" s="79"/>
    </row>
    <row r="5858" spans="2:7" x14ac:dyDescent="0.35">
      <c r="B5858" s="46"/>
      <c r="C5858" s="46"/>
      <c r="D5858" s="46"/>
      <c r="E5858" s="46"/>
      <c r="F5858" s="46"/>
      <c r="G5858" s="79"/>
    </row>
    <row r="5859" spans="2:7" x14ac:dyDescent="0.35">
      <c r="B5859" s="46"/>
      <c r="C5859" s="46"/>
      <c r="D5859" s="46"/>
      <c r="E5859" s="46"/>
      <c r="F5859" s="46"/>
      <c r="G5859" s="79"/>
    </row>
    <row r="5860" spans="2:7" x14ac:dyDescent="0.35">
      <c r="B5860" s="46"/>
      <c r="C5860" s="46"/>
      <c r="D5860" s="46"/>
      <c r="E5860" s="46"/>
      <c r="F5860" s="46"/>
      <c r="G5860" s="79"/>
    </row>
    <row r="5861" spans="2:7" x14ac:dyDescent="0.35">
      <c r="B5861" s="46"/>
      <c r="C5861" s="46"/>
      <c r="D5861" s="46"/>
      <c r="E5861" s="46"/>
      <c r="F5861" s="46"/>
      <c r="G5861" s="79"/>
    </row>
    <row r="5862" spans="2:7" x14ac:dyDescent="0.35">
      <c r="B5862" s="46"/>
      <c r="C5862" s="46"/>
      <c r="D5862" s="46"/>
      <c r="E5862" s="46"/>
      <c r="F5862" s="46"/>
      <c r="G5862" s="79"/>
    </row>
    <row r="5863" spans="2:7" x14ac:dyDescent="0.35">
      <c r="B5863" s="46"/>
      <c r="C5863" s="46"/>
      <c r="D5863" s="46"/>
      <c r="E5863" s="46"/>
      <c r="F5863" s="46"/>
      <c r="G5863" s="79"/>
    </row>
    <row r="5864" spans="2:7" x14ac:dyDescent="0.35">
      <c r="B5864" s="46"/>
      <c r="C5864" s="46"/>
      <c r="D5864" s="46"/>
      <c r="E5864" s="46"/>
      <c r="F5864" s="46"/>
      <c r="G5864" s="79"/>
    </row>
    <row r="5865" spans="2:7" x14ac:dyDescent="0.35">
      <c r="B5865" s="46"/>
      <c r="C5865" s="46"/>
      <c r="D5865" s="46"/>
      <c r="E5865" s="46"/>
      <c r="F5865" s="46"/>
      <c r="G5865" s="79"/>
    </row>
    <row r="5866" spans="2:7" x14ac:dyDescent="0.35">
      <c r="B5866" s="46"/>
      <c r="C5866" s="46"/>
      <c r="D5866" s="46"/>
      <c r="E5866" s="46"/>
      <c r="F5866" s="46"/>
      <c r="G5866" s="79"/>
    </row>
    <row r="5867" spans="2:7" x14ac:dyDescent="0.35">
      <c r="B5867" s="46"/>
      <c r="C5867" s="46"/>
      <c r="D5867" s="46"/>
      <c r="E5867" s="46"/>
      <c r="F5867" s="46"/>
      <c r="G5867" s="79"/>
    </row>
    <row r="5868" spans="2:7" x14ac:dyDescent="0.35">
      <c r="B5868" s="46"/>
      <c r="C5868" s="46"/>
      <c r="D5868" s="46"/>
      <c r="E5868" s="46"/>
      <c r="F5868" s="46"/>
      <c r="G5868" s="79"/>
    </row>
    <row r="5869" spans="2:7" x14ac:dyDescent="0.35">
      <c r="B5869" s="46"/>
      <c r="C5869" s="46"/>
      <c r="D5869" s="46"/>
      <c r="E5869" s="46"/>
      <c r="F5869" s="46"/>
      <c r="G5869" s="79"/>
    </row>
    <row r="5870" spans="2:7" x14ac:dyDescent="0.35">
      <c r="B5870" s="46"/>
      <c r="C5870" s="46"/>
      <c r="D5870" s="46"/>
      <c r="E5870" s="46"/>
      <c r="F5870" s="46"/>
      <c r="G5870" s="79"/>
    </row>
    <row r="5871" spans="2:7" x14ac:dyDescent="0.35">
      <c r="B5871" s="46"/>
      <c r="C5871" s="46"/>
      <c r="D5871" s="46"/>
      <c r="E5871" s="46"/>
      <c r="F5871" s="46"/>
      <c r="G5871" s="79"/>
    </row>
    <row r="5872" spans="2:7" x14ac:dyDescent="0.35">
      <c r="B5872" s="46"/>
      <c r="C5872" s="46"/>
      <c r="D5872" s="46"/>
      <c r="E5872" s="46"/>
      <c r="F5872" s="46"/>
      <c r="G5872" s="79"/>
    </row>
    <row r="5873" spans="2:7" x14ac:dyDescent="0.35">
      <c r="B5873" s="46"/>
      <c r="C5873" s="46"/>
      <c r="D5873" s="46"/>
      <c r="E5873" s="46"/>
      <c r="F5873" s="46"/>
      <c r="G5873" s="79"/>
    </row>
    <row r="5874" spans="2:7" x14ac:dyDescent="0.35">
      <c r="B5874" s="46"/>
      <c r="C5874" s="46"/>
      <c r="D5874" s="46"/>
      <c r="E5874" s="46"/>
      <c r="F5874" s="46"/>
      <c r="G5874" s="79"/>
    </row>
    <row r="5875" spans="2:7" x14ac:dyDescent="0.35">
      <c r="B5875" s="46"/>
      <c r="C5875" s="46"/>
      <c r="D5875" s="46"/>
      <c r="E5875" s="46"/>
      <c r="F5875" s="46"/>
      <c r="G5875" s="79"/>
    </row>
    <row r="5876" spans="2:7" x14ac:dyDescent="0.35">
      <c r="B5876" s="46"/>
      <c r="C5876" s="46"/>
      <c r="D5876" s="46"/>
      <c r="E5876" s="46"/>
      <c r="F5876" s="46"/>
      <c r="G5876" s="79"/>
    </row>
    <row r="5877" spans="2:7" x14ac:dyDescent="0.35">
      <c r="B5877" s="46"/>
      <c r="C5877" s="46"/>
      <c r="D5877" s="46"/>
      <c r="E5877" s="46"/>
      <c r="F5877" s="46"/>
      <c r="G5877" s="79"/>
    </row>
    <row r="5878" spans="2:7" x14ac:dyDescent="0.35">
      <c r="B5878" s="46"/>
      <c r="C5878" s="46"/>
      <c r="D5878" s="46"/>
      <c r="E5878" s="46"/>
      <c r="F5878" s="46"/>
      <c r="G5878" s="79"/>
    </row>
    <row r="5879" spans="2:7" x14ac:dyDescent="0.35">
      <c r="B5879" s="46"/>
      <c r="C5879" s="46"/>
      <c r="D5879" s="46"/>
      <c r="E5879" s="46"/>
      <c r="F5879" s="46"/>
      <c r="G5879" s="79"/>
    </row>
    <row r="5880" spans="2:7" x14ac:dyDescent="0.35">
      <c r="B5880" s="46"/>
      <c r="C5880" s="46"/>
      <c r="D5880" s="46"/>
      <c r="E5880" s="46"/>
      <c r="F5880" s="46"/>
      <c r="G5880" s="79"/>
    </row>
    <row r="5881" spans="2:7" x14ac:dyDescent="0.35">
      <c r="B5881" s="46"/>
      <c r="C5881" s="46"/>
      <c r="D5881" s="46"/>
      <c r="E5881" s="46"/>
      <c r="F5881" s="46"/>
      <c r="G5881" s="79"/>
    </row>
    <row r="5882" spans="2:7" x14ac:dyDescent="0.35">
      <c r="B5882" s="46"/>
      <c r="C5882" s="46"/>
      <c r="D5882" s="46"/>
      <c r="E5882" s="46"/>
      <c r="F5882" s="46"/>
      <c r="G5882" s="79"/>
    </row>
    <row r="5883" spans="2:7" x14ac:dyDescent="0.35">
      <c r="B5883" s="46"/>
      <c r="C5883" s="46"/>
      <c r="D5883" s="46"/>
      <c r="E5883" s="46"/>
      <c r="F5883" s="46"/>
      <c r="G5883" s="79"/>
    </row>
    <row r="5884" spans="2:7" x14ac:dyDescent="0.35">
      <c r="B5884" s="46"/>
      <c r="C5884" s="46"/>
      <c r="D5884" s="46"/>
      <c r="E5884" s="46"/>
      <c r="F5884" s="46"/>
      <c r="G5884" s="79"/>
    </row>
    <row r="5885" spans="2:7" x14ac:dyDescent="0.35">
      <c r="B5885" s="46"/>
      <c r="C5885" s="46"/>
      <c r="D5885" s="46"/>
      <c r="E5885" s="46"/>
      <c r="F5885" s="46"/>
      <c r="G5885" s="79"/>
    </row>
    <row r="5886" spans="2:7" x14ac:dyDescent="0.35">
      <c r="B5886" s="46"/>
      <c r="C5886" s="46"/>
      <c r="D5886" s="46"/>
      <c r="E5886" s="46"/>
      <c r="F5886" s="46"/>
      <c r="G5886" s="79"/>
    </row>
    <row r="5887" spans="2:7" x14ac:dyDescent="0.35">
      <c r="B5887" s="46"/>
      <c r="C5887" s="46"/>
      <c r="D5887" s="46"/>
      <c r="E5887" s="46"/>
      <c r="F5887" s="46"/>
      <c r="G5887" s="79"/>
    </row>
    <row r="5888" spans="2:7" x14ac:dyDescent="0.35">
      <c r="B5888" s="46"/>
      <c r="C5888" s="46"/>
      <c r="D5888" s="46"/>
      <c r="E5888" s="46"/>
      <c r="F5888" s="46"/>
      <c r="G5888" s="79"/>
    </row>
    <row r="5889" spans="2:7" x14ac:dyDescent="0.35">
      <c r="B5889" s="46"/>
      <c r="C5889" s="46"/>
      <c r="D5889" s="46"/>
      <c r="E5889" s="46"/>
      <c r="F5889" s="46"/>
      <c r="G5889" s="79"/>
    </row>
    <row r="5890" spans="2:7" x14ac:dyDescent="0.35">
      <c r="B5890" s="46"/>
      <c r="C5890" s="46"/>
      <c r="D5890" s="46"/>
      <c r="E5890" s="46"/>
      <c r="F5890" s="46"/>
      <c r="G5890" s="79"/>
    </row>
    <row r="5891" spans="2:7" x14ac:dyDescent="0.35">
      <c r="B5891" s="46"/>
      <c r="C5891" s="46"/>
      <c r="D5891" s="46"/>
      <c r="E5891" s="46"/>
      <c r="F5891" s="46"/>
      <c r="G5891" s="79"/>
    </row>
    <row r="5892" spans="2:7" x14ac:dyDescent="0.35">
      <c r="B5892" s="46"/>
      <c r="C5892" s="46"/>
      <c r="D5892" s="46"/>
      <c r="E5892" s="46"/>
      <c r="F5892" s="46"/>
      <c r="G5892" s="79"/>
    </row>
    <row r="5893" spans="2:7" x14ac:dyDescent="0.35">
      <c r="B5893" s="46"/>
      <c r="C5893" s="46"/>
      <c r="D5893" s="46"/>
      <c r="E5893" s="46"/>
      <c r="F5893" s="46"/>
      <c r="G5893" s="79"/>
    </row>
    <row r="5894" spans="2:7" x14ac:dyDescent="0.35">
      <c r="B5894" s="46"/>
      <c r="C5894" s="46"/>
      <c r="D5894" s="46"/>
      <c r="E5894" s="46"/>
      <c r="F5894" s="46"/>
      <c r="G5894" s="79"/>
    </row>
    <row r="5895" spans="2:7" x14ac:dyDescent="0.35">
      <c r="B5895" s="46"/>
      <c r="C5895" s="46"/>
      <c r="D5895" s="46"/>
      <c r="E5895" s="46"/>
      <c r="F5895" s="46"/>
      <c r="G5895" s="79"/>
    </row>
    <row r="5896" spans="2:7" x14ac:dyDescent="0.35">
      <c r="B5896" s="46"/>
      <c r="C5896" s="46"/>
      <c r="D5896" s="46"/>
      <c r="E5896" s="46"/>
      <c r="F5896" s="46"/>
      <c r="G5896" s="79"/>
    </row>
    <row r="5897" spans="2:7" x14ac:dyDescent="0.35">
      <c r="B5897" s="46"/>
      <c r="C5897" s="46"/>
      <c r="D5897" s="46"/>
      <c r="E5897" s="46"/>
      <c r="F5897" s="46"/>
      <c r="G5897" s="79"/>
    </row>
    <row r="5898" spans="2:7" x14ac:dyDescent="0.35">
      <c r="B5898" s="46"/>
      <c r="C5898" s="46"/>
      <c r="D5898" s="46"/>
      <c r="E5898" s="46"/>
      <c r="F5898" s="46"/>
      <c r="G5898" s="79"/>
    </row>
    <row r="5899" spans="2:7" x14ac:dyDescent="0.35">
      <c r="B5899" s="46"/>
      <c r="C5899" s="46"/>
      <c r="D5899" s="46"/>
      <c r="E5899" s="46"/>
      <c r="F5899" s="46"/>
      <c r="G5899" s="79"/>
    </row>
    <row r="5900" spans="2:7" x14ac:dyDescent="0.35">
      <c r="B5900" s="46"/>
      <c r="C5900" s="46"/>
      <c r="D5900" s="46"/>
      <c r="E5900" s="46"/>
      <c r="F5900" s="46"/>
      <c r="G5900" s="79"/>
    </row>
    <row r="5901" spans="2:7" x14ac:dyDescent="0.35">
      <c r="B5901" s="46"/>
      <c r="C5901" s="46"/>
      <c r="D5901" s="46"/>
      <c r="E5901" s="46"/>
      <c r="F5901" s="46"/>
      <c r="G5901" s="79"/>
    </row>
    <row r="5902" spans="2:7" x14ac:dyDescent="0.35">
      <c r="B5902" s="46"/>
      <c r="C5902" s="46"/>
      <c r="D5902" s="46"/>
      <c r="E5902" s="46"/>
      <c r="F5902" s="46"/>
      <c r="G5902" s="79"/>
    </row>
    <row r="5903" spans="2:7" x14ac:dyDescent="0.35">
      <c r="B5903" s="46"/>
      <c r="C5903" s="46"/>
      <c r="D5903" s="46"/>
      <c r="E5903" s="46"/>
      <c r="F5903" s="46"/>
      <c r="G5903" s="79"/>
    </row>
    <row r="5904" spans="2:7" x14ac:dyDescent="0.35">
      <c r="B5904" s="46"/>
      <c r="C5904" s="46"/>
      <c r="D5904" s="46"/>
      <c r="E5904" s="46"/>
      <c r="F5904" s="46"/>
      <c r="G5904" s="79"/>
    </row>
    <row r="5905" spans="2:7" x14ac:dyDescent="0.35">
      <c r="B5905" s="46"/>
      <c r="C5905" s="46"/>
      <c r="D5905" s="46"/>
      <c r="E5905" s="46"/>
      <c r="F5905" s="46"/>
      <c r="G5905" s="79"/>
    </row>
    <row r="5906" spans="2:7" x14ac:dyDescent="0.35">
      <c r="B5906" s="46"/>
      <c r="C5906" s="46"/>
      <c r="D5906" s="46"/>
      <c r="E5906" s="46"/>
      <c r="F5906" s="46"/>
      <c r="G5906" s="79"/>
    </row>
    <row r="5907" spans="2:7" x14ac:dyDescent="0.35">
      <c r="B5907" s="46"/>
      <c r="C5907" s="46"/>
      <c r="D5907" s="46"/>
      <c r="E5907" s="46"/>
      <c r="F5907" s="46"/>
      <c r="G5907" s="79"/>
    </row>
    <row r="5908" spans="2:7" x14ac:dyDescent="0.35">
      <c r="B5908" s="46"/>
      <c r="C5908" s="46"/>
      <c r="D5908" s="46"/>
      <c r="E5908" s="46"/>
      <c r="F5908" s="46"/>
      <c r="G5908" s="79"/>
    </row>
    <row r="5909" spans="2:7" x14ac:dyDescent="0.35">
      <c r="B5909" s="46"/>
      <c r="C5909" s="46"/>
      <c r="D5909" s="46"/>
      <c r="E5909" s="46"/>
      <c r="F5909" s="46"/>
      <c r="G5909" s="79"/>
    </row>
    <row r="5910" spans="2:7" x14ac:dyDescent="0.35">
      <c r="B5910" s="46"/>
      <c r="C5910" s="46"/>
      <c r="D5910" s="46"/>
      <c r="E5910" s="46"/>
      <c r="F5910" s="46"/>
      <c r="G5910" s="79"/>
    </row>
    <row r="5911" spans="2:7" x14ac:dyDescent="0.35">
      <c r="B5911" s="46"/>
      <c r="C5911" s="46"/>
      <c r="D5911" s="46"/>
      <c r="E5911" s="46"/>
      <c r="F5911" s="46"/>
      <c r="G5911" s="79"/>
    </row>
    <row r="5912" spans="2:7" x14ac:dyDescent="0.35">
      <c r="B5912" s="46"/>
      <c r="C5912" s="46"/>
      <c r="D5912" s="46"/>
      <c r="E5912" s="46"/>
      <c r="F5912" s="46"/>
      <c r="G5912" s="79"/>
    </row>
    <row r="5913" spans="2:7" x14ac:dyDescent="0.35">
      <c r="B5913" s="46"/>
      <c r="C5913" s="46"/>
      <c r="D5913" s="46"/>
      <c r="E5913" s="46"/>
      <c r="F5913" s="46"/>
      <c r="G5913" s="79"/>
    </row>
    <row r="5914" spans="2:7" x14ac:dyDescent="0.35">
      <c r="B5914" s="46"/>
      <c r="C5914" s="46"/>
      <c r="D5914" s="46"/>
      <c r="E5914" s="46"/>
      <c r="F5914" s="46"/>
      <c r="G5914" s="79"/>
    </row>
    <row r="5915" spans="2:7" x14ac:dyDescent="0.35">
      <c r="B5915" s="46"/>
      <c r="C5915" s="46"/>
      <c r="D5915" s="46"/>
      <c r="E5915" s="46"/>
      <c r="F5915" s="46"/>
      <c r="G5915" s="79"/>
    </row>
    <row r="5916" spans="2:7" x14ac:dyDescent="0.35">
      <c r="B5916" s="46"/>
      <c r="C5916" s="46"/>
      <c r="D5916" s="46"/>
      <c r="E5916" s="46"/>
      <c r="F5916" s="46"/>
      <c r="G5916" s="79"/>
    </row>
    <row r="5917" spans="2:7" x14ac:dyDescent="0.35">
      <c r="B5917" s="46"/>
      <c r="C5917" s="46"/>
      <c r="D5917" s="46"/>
      <c r="E5917" s="46"/>
      <c r="F5917" s="46"/>
      <c r="G5917" s="79"/>
    </row>
    <row r="5918" spans="2:7" x14ac:dyDescent="0.35">
      <c r="B5918" s="46"/>
      <c r="C5918" s="46"/>
      <c r="D5918" s="46"/>
      <c r="E5918" s="46"/>
      <c r="F5918" s="46"/>
      <c r="G5918" s="79"/>
    </row>
    <row r="5919" spans="2:7" x14ac:dyDescent="0.35">
      <c r="B5919" s="46"/>
      <c r="C5919" s="46"/>
      <c r="D5919" s="46"/>
      <c r="E5919" s="46"/>
      <c r="F5919" s="46"/>
      <c r="G5919" s="79"/>
    </row>
    <row r="5920" spans="2:7" x14ac:dyDescent="0.35">
      <c r="B5920" s="46"/>
      <c r="C5920" s="46"/>
      <c r="D5920" s="46"/>
      <c r="E5920" s="46"/>
      <c r="F5920" s="46"/>
      <c r="G5920" s="79"/>
    </row>
    <row r="5921" spans="2:7" x14ac:dyDescent="0.35">
      <c r="B5921" s="46"/>
      <c r="C5921" s="46"/>
      <c r="D5921" s="46"/>
      <c r="E5921" s="46"/>
      <c r="F5921" s="46"/>
      <c r="G5921" s="79"/>
    </row>
    <row r="5922" spans="2:7" x14ac:dyDescent="0.35">
      <c r="B5922" s="46"/>
      <c r="C5922" s="46"/>
      <c r="D5922" s="46"/>
      <c r="E5922" s="46"/>
      <c r="F5922" s="46"/>
      <c r="G5922" s="79"/>
    </row>
    <row r="5923" spans="2:7" x14ac:dyDescent="0.35">
      <c r="B5923" s="46"/>
      <c r="C5923" s="46"/>
      <c r="D5923" s="46"/>
      <c r="E5923" s="46"/>
      <c r="F5923" s="46"/>
      <c r="G5923" s="79"/>
    </row>
    <row r="5924" spans="2:7" x14ac:dyDescent="0.35">
      <c r="B5924" s="46"/>
      <c r="C5924" s="46"/>
      <c r="D5924" s="46"/>
      <c r="E5924" s="46"/>
      <c r="F5924" s="46"/>
      <c r="G5924" s="79"/>
    </row>
    <row r="5925" spans="2:7" x14ac:dyDescent="0.35">
      <c r="B5925" s="46"/>
      <c r="C5925" s="46"/>
      <c r="D5925" s="46"/>
      <c r="E5925" s="46"/>
      <c r="F5925" s="46"/>
      <c r="G5925" s="79"/>
    </row>
    <row r="5926" spans="2:7" x14ac:dyDescent="0.35">
      <c r="B5926" s="46"/>
      <c r="C5926" s="46"/>
      <c r="D5926" s="46"/>
      <c r="E5926" s="46"/>
      <c r="F5926" s="46"/>
      <c r="G5926" s="79"/>
    </row>
    <row r="5927" spans="2:7" x14ac:dyDescent="0.35">
      <c r="B5927" s="46"/>
      <c r="C5927" s="46"/>
      <c r="D5927" s="46"/>
      <c r="E5927" s="46"/>
      <c r="F5927" s="46"/>
      <c r="G5927" s="79"/>
    </row>
    <row r="5928" spans="2:7" x14ac:dyDescent="0.35">
      <c r="B5928" s="46"/>
      <c r="C5928" s="46"/>
      <c r="D5928" s="46"/>
      <c r="E5928" s="46"/>
      <c r="F5928" s="46"/>
      <c r="G5928" s="79"/>
    </row>
    <row r="5929" spans="2:7" x14ac:dyDescent="0.35">
      <c r="B5929" s="46"/>
      <c r="C5929" s="46"/>
      <c r="D5929" s="46"/>
      <c r="E5929" s="46"/>
      <c r="F5929" s="46"/>
      <c r="G5929" s="79"/>
    </row>
    <row r="5930" spans="2:7" x14ac:dyDescent="0.35">
      <c r="B5930" s="46"/>
      <c r="C5930" s="46"/>
      <c r="D5930" s="46"/>
      <c r="E5930" s="46"/>
      <c r="F5930" s="46"/>
      <c r="G5930" s="79"/>
    </row>
    <row r="5931" spans="2:7" x14ac:dyDescent="0.35">
      <c r="B5931" s="46"/>
      <c r="C5931" s="46"/>
      <c r="D5931" s="46"/>
      <c r="E5931" s="46"/>
      <c r="F5931" s="46"/>
      <c r="G5931" s="79"/>
    </row>
    <row r="5932" spans="2:7" x14ac:dyDescent="0.35">
      <c r="B5932" s="46"/>
      <c r="C5932" s="46"/>
      <c r="D5932" s="46"/>
      <c r="E5932" s="46"/>
      <c r="F5932" s="46"/>
      <c r="G5932" s="79"/>
    </row>
    <row r="5933" spans="2:7" x14ac:dyDescent="0.35">
      <c r="B5933" s="46"/>
      <c r="C5933" s="46"/>
      <c r="D5933" s="46"/>
      <c r="E5933" s="46"/>
      <c r="F5933" s="46"/>
      <c r="G5933" s="79"/>
    </row>
    <row r="5934" spans="2:7" x14ac:dyDescent="0.35">
      <c r="B5934" s="46"/>
      <c r="C5934" s="46"/>
      <c r="D5934" s="46"/>
      <c r="E5934" s="46"/>
      <c r="F5934" s="46"/>
      <c r="G5934" s="79"/>
    </row>
    <row r="5935" spans="2:7" x14ac:dyDescent="0.35">
      <c r="B5935" s="46"/>
      <c r="C5935" s="46"/>
      <c r="D5935" s="46"/>
      <c r="E5935" s="46"/>
      <c r="F5935" s="46"/>
      <c r="G5935" s="79"/>
    </row>
    <row r="5936" spans="2:7" x14ac:dyDescent="0.35">
      <c r="B5936" s="46"/>
      <c r="C5936" s="46"/>
      <c r="D5936" s="46"/>
      <c r="E5936" s="46"/>
      <c r="F5936" s="46"/>
      <c r="G5936" s="79"/>
    </row>
    <row r="5937" spans="2:7" x14ac:dyDescent="0.35">
      <c r="B5937" s="46"/>
      <c r="C5937" s="46"/>
      <c r="D5937" s="46"/>
      <c r="E5937" s="46"/>
      <c r="F5937" s="46"/>
      <c r="G5937" s="79"/>
    </row>
    <row r="5938" spans="2:7" x14ac:dyDescent="0.35">
      <c r="B5938" s="46"/>
      <c r="C5938" s="46"/>
      <c r="D5938" s="46"/>
      <c r="E5938" s="46"/>
      <c r="F5938" s="46"/>
      <c r="G5938" s="79"/>
    </row>
    <row r="5939" spans="2:7" x14ac:dyDescent="0.35">
      <c r="B5939" s="46"/>
      <c r="C5939" s="46"/>
      <c r="D5939" s="46"/>
      <c r="E5939" s="46"/>
      <c r="F5939" s="46"/>
      <c r="G5939" s="79"/>
    </row>
    <row r="5940" spans="2:7" x14ac:dyDescent="0.35">
      <c r="B5940" s="46"/>
      <c r="C5940" s="46"/>
      <c r="D5940" s="46"/>
      <c r="E5940" s="46"/>
      <c r="F5940" s="46"/>
      <c r="G5940" s="79"/>
    </row>
    <row r="5941" spans="2:7" x14ac:dyDescent="0.35">
      <c r="B5941" s="46"/>
      <c r="C5941" s="46"/>
      <c r="D5941" s="46"/>
      <c r="E5941" s="46"/>
      <c r="F5941" s="46"/>
      <c r="G5941" s="79"/>
    </row>
    <row r="5942" spans="2:7" x14ac:dyDescent="0.35">
      <c r="B5942" s="46"/>
      <c r="C5942" s="46"/>
      <c r="D5942" s="46"/>
      <c r="E5942" s="46"/>
      <c r="F5942" s="46"/>
      <c r="G5942" s="79"/>
    </row>
    <row r="5943" spans="2:7" x14ac:dyDescent="0.35">
      <c r="B5943" s="46"/>
      <c r="C5943" s="46"/>
      <c r="D5943" s="46"/>
      <c r="E5943" s="46"/>
      <c r="F5943" s="46"/>
      <c r="G5943" s="79"/>
    </row>
    <row r="5944" spans="2:7" x14ac:dyDescent="0.35">
      <c r="B5944" s="46"/>
      <c r="C5944" s="46"/>
      <c r="D5944" s="46"/>
      <c r="E5944" s="46"/>
      <c r="F5944" s="46"/>
      <c r="G5944" s="79"/>
    </row>
    <row r="5945" spans="2:7" x14ac:dyDescent="0.35">
      <c r="B5945" s="46"/>
      <c r="C5945" s="46"/>
      <c r="D5945" s="46"/>
      <c r="E5945" s="46"/>
      <c r="F5945" s="46"/>
      <c r="G5945" s="79"/>
    </row>
    <row r="5946" spans="2:7" x14ac:dyDescent="0.35">
      <c r="B5946" s="46"/>
      <c r="C5946" s="46"/>
      <c r="D5946" s="46"/>
      <c r="E5946" s="46"/>
      <c r="F5946" s="46"/>
      <c r="G5946" s="79"/>
    </row>
    <row r="5947" spans="2:7" x14ac:dyDescent="0.35">
      <c r="B5947" s="46"/>
      <c r="C5947" s="46"/>
      <c r="D5947" s="46"/>
      <c r="E5947" s="46"/>
      <c r="F5947" s="46"/>
      <c r="G5947" s="79"/>
    </row>
    <row r="5948" spans="2:7" x14ac:dyDescent="0.35">
      <c r="B5948" s="46"/>
      <c r="C5948" s="46"/>
      <c r="D5948" s="46"/>
      <c r="E5948" s="46"/>
      <c r="F5948" s="46"/>
      <c r="G5948" s="79"/>
    </row>
    <row r="5949" spans="2:7" x14ac:dyDescent="0.35">
      <c r="B5949" s="46"/>
      <c r="C5949" s="46"/>
      <c r="D5949" s="46"/>
      <c r="E5949" s="46"/>
      <c r="F5949" s="46"/>
      <c r="G5949" s="79"/>
    </row>
    <row r="5950" spans="2:7" x14ac:dyDescent="0.35">
      <c r="B5950" s="46"/>
      <c r="C5950" s="46"/>
      <c r="D5950" s="46"/>
      <c r="E5950" s="46"/>
      <c r="F5950" s="46"/>
      <c r="G5950" s="79"/>
    </row>
    <row r="5951" spans="2:7" x14ac:dyDescent="0.35">
      <c r="B5951" s="46"/>
      <c r="C5951" s="46"/>
      <c r="D5951" s="46"/>
      <c r="E5951" s="46"/>
      <c r="F5951" s="46"/>
      <c r="G5951" s="79"/>
    </row>
    <row r="5952" spans="2:7" x14ac:dyDescent="0.35">
      <c r="B5952" s="46"/>
      <c r="C5952" s="46"/>
      <c r="D5952" s="46"/>
      <c r="E5952" s="46"/>
      <c r="F5952" s="46"/>
      <c r="G5952" s="79"/>
    </row>
    <row r="5953" spans="2:7" x14ac:dyDescent="0.35">
      <c r="B5953" s="46"/>
      <c r="C5953" s="46"/>
      <c r="D5953" s="46"/>
      <c r="E5953" s="46"/>
      <c r="F5953" s="46"/>
      <c r="G5953" s="79"/>
    </row>
    <row r="5954" spans="2:7" x14ac:dyDescent="0.35">
      <c r="B5954" s="46"/>
      <c r="C5954" s="46"/>
      <c r="D5954" s="46"/>
      <c r="E5954" s="46"/>
      <c r="F5954" s="46"/>
      <c r="G5954" s="79"/>
    </row>
    <row r="5955" spans="2:7" x14ac:dyDescent="0.35">
      <c r="B5955" s="46"/>
      <c r="C5955" s="46"/>
      <c r="D5955" s="46"/>
      <c r="E5955" s="46"/>
      <c r="F5955" s="46"/>
      <c r="G5955" s="79"/>
    </row>
    <row r="5956" spans="2:7" x14ac:dyDescent="0.35">
      <c r="B5956" s="46"/>
      <c r="C5956" s="46"/>
      <c r="D5956" s="46"/>
      <c r="E5956" s="46"/>
      <c r="F5956" s="46"/>
      <c r="G5956" s="79"/>
    </row>
    <row r="5957" spans="2:7" x14ac:dyDescent="0.35">
      <c r="B5957" s="46"/>
      <c r="C5957" s="46"/>
      <c r="D5957" s="46"/>
      <c r="E5957" s="46"/>
      <c r="F5957" s="46"/>
      <c r="G5957" s="79"/>
    </row>
    <row r="5958" spans="2:7" x14ac:dyDescent="0.35">
      <c r="B5958" s="46"/>
      <c r="C5958" s="46"/>
      <c r="D5958" s="46"/>
      <c r="E5958" s="46"/>
      <c r="F5958" s="46"/>
      <c r="G5958" s="79"/>
    </row>
    <row r="5959" spans="2:7" x14ac:dyDescent="0.35">
      <c r="B5959" s="46"/>
      <c r="C5959" s="46"/>
      <c r="D5959" s="46"/>
      <c r="E5959" s="46"/>
      <c r="F5959" s="46"/>
      <c r="G5959" s="79"/>
    </row>
    <row r="5960" spans="2:7" x14ac:dyDescent="0.35">
      <c r="B5960" s="46"/>
      <c r="C5960" s="46"/>
      <c r="D5960" s="46"/>
      <c r="E5960" s="46"/>
      <c r="F5960" s="46"/>
      <c r="G5960" s="79"/>
    </row>
    <row r="5961" spans="2:7" x14ac:dyDescent="0.35">
      <c r="B5961" s="46"/>
      <c r="C5961" s="46"/>
      <c r="D5961" s="46"/>
      <c r="E5961" s="46"/>
      <c r="F5961" s="46"/>
      <c r="G5961" s="79"/>
    </row>
    <row r="5962" spans="2:7" x14ac:dyDescent="0.35">
      <c r="B5962" s="46"/>
      <c r="C5962" s="46"/>
      <c r="D5962" s="46"/>
      <c r="E5962" s="46"/>
      <c r="F5962" s="46"/>
      <c r="G5962" s="79"/>
    </row>
    <row r="5963" spans="2:7" x14ac:dyDescent="0.35">
      <c r="B5963" s="46"/>
      <c r="C5963" s="46"/>
      <c r="D5963" s="46"/>
      <c r="E5963" s="46"/>
      <c r="F5963" s="46"/>
      <c r="G5963" s="79"/>
    </row>
    <row r="5964" spans="2:7" x14ac:dyDescent="0.35">
      <c r="B5964" s="46"/>
      <c r="C5964" s="46"/>
      <c r="D5964" s="46"/>
      <c r="E5964" s="46"/>
      <c r="F5964" s="46"/>
      <c r="G5964" s="79"/>
    </row>
    <row r="5965" spans="2:7" x14ac:dyDescent="0.35">
      <c r="B5965" s="46"/>
      <c r="C5965" s="46"/>
      <c r="D5965" s="46"/>
      <c r="E5965" s="46"/>
      <c r="F5965" s="46"/>
      <c r="G5965" s="79"/>
    </row>
    <row r="5966" spans="2:7" x14ac:dyDescent="0.35">
      <c r="B5966" s="46"/>
      <c r="C5966" s="46"/>
      <c r="D5966" s="46"/>
      <c r="E5966" s="46"/>
      <c r="F5966" s="46"/>
      <c r="G5966" s="79"/>
    </row>
    <row r="5967" spans="2:7" x14ac:dyDescent="0.35">
      <c r="B5967" s="46"/>
      <c r="C5967" s="46"/>
      <c r="D5967" s="46"/>
      <c r="E5967" s="46"/>
      <c r="F5967" s="46"/>
      <c r="G5967" s="79"/>
    </row>
    <row r="5968" spans="2:7" x14ac:dyDescent="0.35">
      <c r="B5968" s="46"/>
      <c r="C5968" s="46"/>
      <c r="D5968" s="46"/>
      <c r="E5968" s="46"/>
      <c r="F5968" s="46"/>
      <c r="G5968" s="79"/>
    </row>
    <row r="5969" spans="2:7" x14ac:dyDescent="0.35">
      <c r="B5969" s="46"/>
      <c r="C5969" s="46"/>
      <c r="D5969" s="46"/>
      <c r="E5969" s="46"/>
      <c r="F5969" s="46"/>
      <c r="G5969" s="79"/>
    </row>
    <row r="5970" spans="2:7" x14ac:dyDescent="0.35">
      <c r="B5970" s="46"/>
      <c r="C5970" s="46"/>
      <c r="D5970" s="46"/>
      <c r="E5970" s="46"/>
      <c r="F5970" s="46"/>
      <c r="G5970" s="79"/>
    </row>
    <row r="5971" spans="2:7" x14ac:dyDescent="0.35">
      <c r="B5971" s="46"/>
      <c r="C5971" s="46"/>
      <c r="D5971" s="46"/>
      <c r="E5971" s="46"/>
      <c r="F5971" s="46"/>
      <c r="G5971" s="79"/>
    </row>
    <row r="5972" spans="2:7" x14ac:dyDescent="0.35">
      <c r="B5972" s="46"/>
      <c r="C5972" s="46"/>
      <c r="D5972" s="46"/>
      <c r="E5972" s="46"/>
      <c r="F5972" s="46"/>
      <c r="G5972" s="79"/>
    </row>
    <row r="5973" spans="2:7" x14ac:dyDescent="0.35">
      <c r="B5973" s="46"/>
      <c r="C5973" s="46"/>
      <c r="D5973" s="46"/>
      <c r="E5973" s="46"/>
      <c r="F5973" s="46"/>
      <c r="G5973" s="79"/>
    </row>
    <row r="5974" spans="2:7" x14ac:dyDescent="0.35">
      <c r="B5974" s="46"/>
      <c r="C5974" s="46"/>
      <c r="D5974" s="46"/>
      <c r="E5974" s="46"/>
      <c r="F5974" s="46"/>
      <c r="G5974" s="79"/>
    </row>
    <row r="5975" spans="2:7" x14ac:dyDescent="0.35">
      <c r="B5975" s="46"/>
      <c r="C5975" s="46"/>
      <c r="D5975" s="46"/>
      <c r="E5975" s="46"/>
      <c r="F5975" s="46"/>
      <c r="G5975" s="79"/>
    </row>
    <row r="5976" spans="2:7" x14ac:dyDescent="0.35">
      <c r="B5976" s="46"/>
      <c r="C5976" s="46"/>
      <c r="D5976" s="46"/>
      <c r="E5976" s="46"/>
      <c r="F5976" s="46"/>
      <c r="G5976" s="79"/>
    </row>
    <row r="5977" spans="2:7" x14ac:dyDescent="0.35">
      <c r="B5977" s="46"/>
      <c r="C5977" s="46"/>
      <c r="D5977" s="46"/>
      <c r="E5977" s="46"/>
      <c r="F5977" s="46"/>
      <c r="G5977" s="79"/>
    </row>
    <row r="5978" spans="2:7" x14ac:dyDescent="0.35">
      <c r="B5978" s="46"/>
      <c r="C5978" s="46"/>
      <c r="D5978" s="46"/>
      <c r="E5978" s="46"/>
      <c r="F5978" s="46"/>
      <c r="G5978" s="79"/>
    </row>
    <row r="5979" spans="2:7" x14ac:dyDescent="0.35">
      <c r="B5979" s="46"/>
      <c r="C5979" s="46"/>
      <c r="D5979" s="46"/>
      <c r="E5979" s="46"/>
      <c r="F5979" s="46"/>
      <c r="G5979" s="79"/>
    </row>
    <row r="5980" spans="2:7" x14ac:dyDescent="0.35">
      <c r="B5980" s="46"/>
      <c r="C5980" s="46"/>
      <c r="D5980" s="46"/>
      <c r="E5980" s="46"/>
      <c r="F5980" s="46"/>
      <c r="G5980" s="79"/>
    </row>
    <row r="5981" spans="2:7" x14ac:dyDescent="0.35">
      <c r="B5981" s="46"/>
      <c r="C5981" s="46"/>
      <c r="D5981" s="46"/>
      <c r="E5981" s="46"/>
      <c r="F5981" s="46"/>
      <c r="G5981" s="79"/>
    </row>
    <row r="5982" spans="2:7" x14ac:dyDescent="0.35">
      <c r="B5982" s="46"/>
      <c r="C5982" s="46"/>
      <c r="D5982" s="46"/>
      <c r="E5982" s="46"/>
      <c r="F5982" s="46"/>
      <c r="G5982" s="79"/>
    </row>
    <row r="5983" spans="2:7" x14ac:dyDescent="0.35">
      <c r="B5983" s="46"/>
      <c r="C5983" s="46"/>
      <c r="D5983" s="46"/>
      <c r="E5983" s="46"/>
      <c r="F5983" s="46"/>
      <c r="G5983" s="79"/>
    </row>
    <row r="5984" spans="2:7" x14ac:dyDescent="0.35">
      <c r="B5984" s="46"/>
      <c r="C5984" s="46"/>
      <c r="D5984" s="46"/>
      <c r="E5984" s="46"/>
      <c r="F5984" s="46"/>
      <c r="G5984" s="79"/>
    </row>
    <row r="5985" spans="2:7" x14ac:dyDescent="0.35">
      <c r="B5985" s="46"/>
      <c r="C5985" s="46"/>
      <c r="D5985" s="46"/>
      <c r="E5985" s="46"/>
      <c r="F5985" s="46"/>
      <c r="G5985" s="79"/>
    </row>
    <row r="5986" spans="2:7" x14ac:dyDescent="0.35">
      <c r="B5986" s="46"/>
      <c r="C5986" s="46"/>
      <c r="D5986" s="46"/>
      <c r="E5986" s="46"/>
      <c r="F5986" s="46"/>
      <c r="G5986" s="79"/>
    </row>
    <row r="5987" spans="2:7" x14ac:dyDescent="0.35">
      <c r="B5987" s="46"/>
      <c r="C5987" s="46"/>
      <c r="D5987" s="46"/>
      <c r="E5987" s="46"/>
      <c r="F5987" s="46"/>
      <c r="G5987" s="79"/>
    </row>
    <row r="5988" spans="2:7" x14ac:dyDescent="0.35">
      <c r="B5988" s="46"/>
      <c r="C5988" s="46"/>
      <c r="D5988" s="46"/>
      <c r="E5988" s="46"/>
      <c r="F5988" s="46"/>
      <c r="G5988" s="79"/>
    </row>
    <row r="5989" spans="2:7" x14ac:dyDescent="0.35">
      <c r="B5989" s="46"/>
      <c r="C5989" s="46"/>
      <c r="D5989" s="46"/>
      <c r="E5989" s="46"/>
      <c r="F5989" s="46"/>
      <c r="G5989" s="79"/>
    </row>
    <row r="5990" spans="2:7" x14ac:dyDescent="0.35">
      <c r="B5990" s="46"/>
      <c r="C5990" s="46"/>
      <c r="D5990" s="46"/>
      <c r="E5990" s="46"/>
      <c r="F5990" s="46"/>
      <c r="G5990" s="79"/>
    </row>
    <row r="5991" spans="2:7" x14ac:dyDescent="0.35">
      <c r="B5991" s="46"/>
      <c r="C5991" s="46"/>
      <c r="D5991" s="46"/>
      <c r="E5991" s="46"/>
      <c r="F5991" s="46"/>
      <c r="G5991" s="79"/>
    </row>
    <row r="5992" spans="2:7" x14ac:dyDescent="0.35">
      <c r="B5992" s="46"/>
      <c r="C5992" s="46"/>
      <c r="D5992" s="46"/>
      <c r="E5992" s="46"/>
      <c r="F5992" s="46"/>
      <c r="G5992" s="79"/>
    </row>
    <row r="5993" spans="2:7" x14ac:dyDescent="0.35">
      <c r="B5993" s="46"/>
      <c r="C5993" s="46"/>
      <c r="D5993" s="46"/>
      <c r="E5993" s="46"/>
      <c r="F5993" s="46"/>
      <c r="G5993" s="79"/>
    </row>
    <row r="5994" spans="2:7" x14ac:dyDescent="0.35">
      <c r="B5994" s="46"/>
      <c r="C5994" s="46"/>
      <c r="D5994" s="46"/>
      <c r="E5994" s="46"/>
      <c r="F5994" s="46"/>
      <c r="G5994" s="79"/>
    </row>
    <row r="5995" spans="2:7" x14ac:dyDescent="0.35">
      <c r="B5995" s="46"/>
      <c r="C5995" s="46"/>
      <c r="D5995" s="46"/>
      <c r="E5995" s="46"/>
      <c r="F5995" s="46"/>
      <c r="G5995" s="79"/>
    </row>
    <row r="5996" spans="2:7" x14ac:dyDescent="0.35">
      <c r="B5996" s="46"/>
      <c r="C5996" s="46"/>
      <c r="D5996" s="46"/>
      <c r="E5996" s="46"/>
      <c r="F5996" s="46"/>
      <c r="G5996" s="79"/>
    </row>
    <row r="5997" spans="2:7" x14ac:dyDescent="0.35">
      <c r="B5997" s="46"/>
      <c r="C5997" s="46"/>
      <c r="D5997" s="46"/>
      <c r="E5997" s="46"/>
      <c r="F5997" s="46"/>
      <c r="G5997" s="79"/>
    </row>
    <row r="5998" spans="2:7" x14ac:dyDescent="0.35">
      <c r="B5998" s="46"/>
      <c r="C5998" s="46"/>
      <c r="D5998" s="46"/>
      <c r="E5998" s="46"/>
      <c r="F5998" s="46"/>
      <c r="G5998" s="79"/>
    </row>
    <row r="5999" spans="2:7" x14ac:dyDescent="0.35">
      <c r="B5999" s="46"/>
      <c r="C5999" s="46"/>
      <c r="D5999" s="46"/>
      <c r="E5999" s="46"/>
      <c r="F5999" s="46"/>
      <c r="G5999" s="79"/>
    </row>
    <row r="6000" spans="2:7" x14ac:dyDescent="0.35">
      <c r="B6000" s="46"/>
      <c r="C6000" s="46"/>
      <c r="D6000" s="46"/>
      <c r="E6000" s="46"/>
      <c r="F6000" s="46"/>
      <c r="G6000" s="79"/>
    </row>
    <row r="6001" spans="2:7" x14ac:dyDescent="0.35">
      <c r="B6001" s="46"/>
      <c r="C6001" s="46"/>
      <c r="D6001" s="46"/>
      <c r="E6001" s="46"/>
      <c r="F6001" s="46"/>
      <c r="G6001" s="79"/>
    </row>
    <row r="6002" spans="2:7" x14ac:dyDescent="0.35">
      <c r="B6002" s="46"/>
      <c r="C6002" s="46"/>
      <c r="D6002" s="46"/>
      <c r="E6002" s="46"/>
      <c r="F6002" s="46"/>
      <c r="G6002" s="79"/>
    </row>
    <row r="6003" spans="2:7" x14ac:dyDescent="0.35">
      <c r="B6003" s="46"/>
      <c r="C6003" s="46"/>
      <c r="D6003" s="46"/>
      <c r="E6003" s="46"/>
      <c r="F6003" s="46"/>
      <c r="G6003" s="79"/>
    </row>
    <row r="6004" spans="2:7" x14ac:dyDescent="0.35">
      <c r="B6004" s="46"/>
      <c r="C6004" s="46"/>
      <c r="D6004" s="46"/>
      <c r="E6004" s="46"/>
      <c r="F6004" s="46"/>
      <c r="G6004" s="79"/>
    </row>
    <row r="6005" spans="2:7" x14ac:dyDescent="0.35">
      <c r="B6005" s="46"/>
      <c r="C6005" s="46"/>
      <c r="D6005" s="46"/>
      <c r="E6005" s="46"/>
      <c r="F6005" s="46"/>
      <c r="G6005" s="79"/>
    </row>
    <row r="6006" spans="2:7" x14ac:dyDescent="0.35">
      <c r="B6006" s="46"/>
      <c r="C6006" s="46"/>
      <c r="D6006" s="46"/>
      <c r="E6006" s="46"/>
      <c r="F6006" s="46"/>
      <c r="G6006" s="79"/>
    </row>
    <row r="6007" spans="2:7" x14ac:dyDescent="0.35">
      <c r="B6007" s="46"/>
      <c r="C6007" s="46"/>
      <c r="D6007" s="46"/>
      <c r="E6007" s="46"/>
      <c r="F6007" s="46"/>
      <c r="G6007" s="79"/>
    </row>
    <row r="6008" spans="2:7" x14ac:dyDescent="0.35">
      <c r="B6008" s="46"/>
      <c r="C6008" s="46"/>
      <c r="D6008" s="46"/>
      <c r="E6008" s="46"/>
      <c r="F6008" s="46"/>
      <c r="G6008" s="79"/>
    </row>
    <row r="6009" spans="2:7" x14ac:dyDescent="0.35">
      <c r="B6009" s="46"/>
      <c r="C6009" s="46"/>
      <c r="D6009" s="46"/>
      <c r="E6009" s="46"/>
      <c r="F6009" s="46"/>
      <c r="G6009" s="79"/>
    </row>
    <row r="6010" spans="2:7" x14ac:dyDescent="0.35">
      <c r="B6010" s="46"/>
      <c r="C6010" s="46"/>
      <c r="D6010" s="46"/>
      <c r="E6010" s="46"/>
      <c r="F6010" s="46"/>
      <c r="G6010" s="79"/>
    </row>
    <row r="6011" spans="2:7" x14ac:dyDescent="0.35">
      <c r="B6011" s="46"/>
      <c r="C6011" s="46"/>
      <c r="D6011" s="46"/>
      <c r="E6011" s="46"/>
      <c r="F6011" s="46"/>
      <c r="G6011" s="79"/>
    </row>
    <row r="6012" spans="2:7" x14ac:dyDescent="0.35">
      <c r="B6012" s="46"/>
      <c r="C6012" s="46"/>
      <c r="D6012" s="46"/>
      <c r="E6012" s="46"/>
      <c r="F6012" s="46"/>
      <c r="G6012" s="79"/>
    </row>
    <row r="6013" spans="2:7" x14ac:dyDescent="0.35">
      <c r="B6013" s="46"/>
      <c r="C6013" s="46"/>
      <c r="D6013" s="46"/>
      <c r="E6013" s="46"/>
      <c r="F6013" s="46"/>
      <c r="G6013" s="79"/>
    </row>
    <row r="6014" spans="2:7" x14ac:dyDescent="0.35">
      <c r="B6014" s="46"/>
      <c r="C6014" s="46"/>
      <c r="D6014" s="46"/>
      <c r="E6014" s="46"/>
      <c r="F6014" s="46"/>
      <c r="G6014" s="79"/>
    </row>
    <row r="6015" spans="2:7" x14ac:dyDescent="0.35">
      <c r="B6015" s="46"/>
      <c r="C6015" s="46"/>
      <c r="D6015" s="46"/>
      <c r="E6015" s="46"/>
      <c r="F6015" s="46"/>
      <c r="G6015" s="79"/>
    </row>
    <row r="6016" spans="2:7" x14ac:dyDescent="0.35">
      <c r="B6016" s="46"/>
      <c r="C6016" s="46"/>
      <c r="D6016" s="46"/>
      <c r="E6016" s="46"/>
      <c r="F6016" s="46"/>
      <c r="G6016" s="79"/>
    </row>
    <row r="6017" spans="2:7" x14ac:dyDescent="0.35">
      <c r="B6017" s="46"/>
      <c r="C6017" s="46"/>
      <c r="D6017" s="46"/>
      <c r="E6017" s="46"/>
      <c r="F6017" s="46"/>
      <c r="G6017" s="79"/>
    </row>
    <row r="6018" spans="2:7" x14ac:dyDescent="0.35">
      <c r="B6018" s="46"/>
      <c r="C6018" s="46"/>
      <c r="D6018" s="46"/>
      <c r="E6018" s="46"/>
      <c r="F6018" s="46"/>
      <c r="G6018" s="79"/>
    </row>
    <row r="6019" spans="2:7" x14ac:dyDescent="0.35">
      <c r="B6019" s="46"/>
      <c r="C6019" s="46"/>
      <c r="D6019" s="46"/>
      <c r="E6019" s="46"/>
      <c r="F6019" s="46"/>
      <c r="G6019" s="79"/>
    </row>
    <row r="6020" spans="2:7" x14ac:dyDescent="0.35">
      <c r="B6020" s="46"/>
      <c r="C6020" s="46"/>
      <c r="D6020" s="46"/>
      <c r="E6020" s="46"/>
      <c r="F6020" s="46"/>
      <c r="G6020" s="79"/>
    </row>
    <row r="6021" spans="2:7" x14ac:dyDescent="0.35">
      <c r="B6021" s="46"/>
      <c r="C6021" s="46"/>
      <c r="D6021" s="46"/>
      <c r="E6021" s="46"/>
      <c r="F6021" s="46"/>
      <c r="G6021" s="79"/>
    </row>
    <row r="6022" spans="2:7" x14ac:dyDescent="0.35">
      <c r="B6022" s="46"/>
      <c r="C6022" s="46"/>
      <c r="D6022" s="46"/>
      <c r="E6022" s="46"/>
      <c r="F6022" s="46"/>
      <c r="G6022" s="79"/>
    </row>
    <row r="6023" spans="2:7" x14ac:dyDescent="0.35">
      <c r="B6023" s="46"/>
      <c r="C6023" s="46"/>
      <c r="D6023" s="46"/>
      <c r="E6023" s="46"/>
      <c r="F6023" s="46"/>
      <c r="G6023" s="79"/>
    </row>
    <row r="6024" spans="2:7" x14ac:dyDescent="0.35">
      <c r="B6024" s="46"/>
      <c r="C6024" s="46"/>
      <c r="D6024" s="46"/>
      <c r="E6024" s="46"/>
      <c r="F6024" s="46"/>
      <c r="G6024" s="79"/>
    </row>
    <row r="6025" spans="2:7" x14ac:dyDescent="0.35">
      <c r="B6025" s="46"/>
      <c r="C6025" s="46"/>
      <c r="D6025" s="46"/>
      <c r="E6025" s="46"/>
      <c r="F6025" s="46"/>
      <c r="G6025" s="79"/>
    </row>
    <row r="6026" spans="2:7" x14ac:dyDescent="0.35">
      <c r="B6026" s="46"/>
      <c r="C6026" s="46"/>
      <c r="D6026" s="46"/>
      <c r="E6026" s="46"/>
      <c r="F6026" s="46"/>
      <c r="G6026" s="79"/>
    </row>
    <row r="6027" spans="2:7" x14ac:dyDescent="0.35">
      <c r="B6027" s="46"/>
      <c r="C6027" s="46"/>
      <c r="D6027" s="46"/>
      <c r="E6027" s="46"/>
      <c r="F6027" s="46"/>
      <c r="G6027" s="79"/>
    </row>
    <row r="6028" spans="2:7" x14ac:dyDescent="0.35">
      <c r="B6028" s="46"/>
      <c r="C6028" s="46"/>
      <c r="D6028" s="46"/>
      <c r="E6028" s="46"/>
      <c r="F6028" s="46"/>
      <c r="G6028" s="79"/>
    </row>
    <row r="6029" spans="2:7" x14ac:dyDescent="0.35">
      <c r="B6029" s="46"/>
      <c r="C6029" s="46"/>
      <c r="D6029" s="46"/>
      <c r="E6029" s="46"/>
      <c r="F6029" s="46"/>
      <c r="G6029" s="79"/>
    </row>
    <row r="6030" spans="2:7" x14ac:dyDescent="0.35">
      <c r="B6030" s="46"/>
      <c r="C6030" s="46"/>
      <c r="D6030" s="46"/>
      <c r="E6030" s="46"/>
      <c r="F6030" s="46"/>
      <c r="G6030" s="79"/>
    </row>
    <row r="6031" spans="2:7" x14ac:dyDescent="0.35">
      <c r="B6031" s="46"/>
      <c r="C6031" s="46"/>
      <c r="D6031" s="46"/>
      <c r="E6031" s="46"/>
      <c r="F6031" s="46"/>
      <c r="G6031" s="79"/>
    </row>
    <row r="6032" spans="2:7" x14ac:dyDescent="0.35">
      <c r="B6032" s="46"/>
      <c r="C6032" s="46"/>
      <c r="D6032" s="46"/>
      <c r="E6032" s="46"/>
      <c r="F6032" s="46"/>
      <c r="G6032" s="79"/>
    </row>
    <row r="6033" spans="2:7" x14ac:dyDescent="0.35">
      <c r="B6033" s="46"/>
      <c r="C6033" s="46"/>
      <c r="D6033" s="46"/>
      <c r="E6033" s="46"/>
      <c r="F6033" s="46"/>
      <c r="G6033" s="79"/>
    </row>
    <row r="6034" spans="2:7" x14ac:dyDescent="0.35">
      <c r="B6034" s="46"/>
      <c r="C6034" s="46"/>
      <c r="D6034" s="46"/>
      <c r="E6034" s="46"/>
      <c r="F6034" s="46"/>
      <c r="G6034" s="79"/>
    </row>
    <row r="6035" spans="2:7" x14ac:dyDescent="0.35">
      <c r="B6035" s="46"/>
      <c r="C6035" s="46"/>
      <c r="D6035" s="46"/>
      <c r="E6035" s="46"/>
      <c r="F6035" s="46"/>
      <c r="G6035" s="79"/>
    </row>
    <row r="6036" spans="2:7" x14ac:dyDescent="0.35">
      <c r="B6036" s="46"/>
      <c r="C6036" s="46"/>
      <c r="D6036" s="46"/>
      <c r="E6036" s="46"/>
      <c r="F6036" s="46"/>
      <c r="G6036" s="79"/>
    </row>
    <row r="6037" spans="2:7" x14ac:dyDescent="0.35">
      <c r="B6037" s="46"/>
      <c r="C6037" s="46"/>
      <c r="D6037" s="46"/>
      <c r="E6037" s="46"/>
      <c r="F6037" s="46"/>
      <c r="G6037" s="79"/>
    </row>
    <row r="6038" spans="2:7" x14ac:dyDescent="0.35">
      <c r="B6038" s="46"/>
      <c r="C6038" s="46"/>
      <c r="D6038" s="46"/>
      <c r="E6038" s="46"/>
      <c r="F6038" s="46"/>
      <c r="G6038" s="79"/>
    </row>
    <row r="6039" spans="2:7" x14ac:dyDescent="0.35">
      <c r="B6039" s="46"/>
      <c r="C6039" s="46"/>
      <c r="D6039" s="46"/>
      <c r="E6039" s="46"/>
      <c r="F6039" s="46"/>
      <c r="G6039" s="79"/>
    </row>
    <row r="6040" spans="2:7" x14ac:dyDescent="0.35">
      <c r="B6040" s="46"/>
      <c r="C6040" s="46"/>
      <c r="D6040" s="46"/>
      <c r="E6040" s="46"/>
      <c r="F6040" s="46"/>
      <c r="G6040" s="79"/>
    </row>
    <row r="6041" spans="2:7" x14ac:dyDescent="0.35">
      <c r="B6041" s="46"/>
      <c r="C6041" s="46"/>
      <c r="D6041" s="46"/>
      <c r="E6041" s="46"/>
      <c r="F6041" s="46"/>
      <c r="G6041" s="79"/>
    </row>
    <row r="6042" spans="2:7" x14ac:dyDescent="0.35">
      <c r="B6042" s="46"/>
      <c r="C6042" s="46"/>
      <c r="D6042" s="46"/>
      <c r="E6042" s="46"/>
      <c r="F6042" s="46"/>
      <c r="G6042" s="79"/>
    </row>
    <row r="6043" spans="2:7" x14ac:dyDescent="0.35">
      <c r="B6043" s="46"/>
      <c r="C6043" s="46"/>
      <c r="D6043" s="46"/>
      <c r="E6043" s="46"/>
      <c r="F6043" s="46"/>
      <c r="G6043" s="79"/>
    </row>
    <row r="6044" spans="2:7" x14ac:dyDescent="0.35">
      <c r="B6044" s="46"/>
      <c r="C6044" s="46"/>
      <c r="D6044" s="46"/>
      <c r="E6044" s="46"/>
      <c r="F6044" s="46"/>
      <c r="G6044" s="79"/>
    </row>
    <row r="6045" spans="2:7" x14ac:dyDescent="0.35">
      <c r="B6045" s="46"/>
      <c r="C6045" s="46"/>
      <c r="D6045" s="46"/>
      <c r="E6045" s="46"/>
      <c r="F6045" s="46"/>
      <c r="G6045" s="79"/>
    </row>
    <row r="6046" spans="2:7" x14ac:dyDescent="0.35">
      <c r="B6046" s="46"/>
      <c r="C6046" s="46"/>
      <c r="D6046" s="46"/>
      <c r="E6046" s="46"/>
      <c r="F6046" s="46"/>
      <c r="G6046" s="79"/>
    </row>
    <row r="6047" spans="2:7" x14ac:dyDescent="0.35">
      <c r="B6047" s="46"/>
      <c r="C6047" s="46"/>
      <c r="D6047" s="46"/>
      <c r="E6047" s="46"/>
      <c r="F6047" s="46"/>
      <c r="G6047" s="79"/>
    </row>
    <row r="6048" spans="2:7" x14ac:dyDescent="0.35">
      <c r="B6048" s="46"/>
      <c r="C6048" s="46"/>
      <c r="D6048" s="46"/>
      <c r="E6048" s="46"/>
      <c r="F6048" s="46"/>
      <c r="G6048" s="79"/>
    </row>
    <row r="6049" spans="2:7" x14ac:dyDescent="0.35">
      <c r="B6049" s="46"/>
      <c r="C6049" s="46"/>
      <c r="D6049" s="46"/>
      <c r="E6049" s="46"/>
      <c r="F6049" s="46"/>
      <c r="G6049" s="79"/>
    </row>
    <row r="6050" spans="2:7" x14ac:dyDescent="0.35">
      <c r="B6050" s="46"/>
      <c r="C6050" s="46"/>
      <c r="D6050" s="46"/>
      <c r="E6050" s="46"/>
      <c r="F6050" s="46"/>
      <c r="G6050" s="79"/>
    </row>
    <row r="6051" spans="2:7" x14ac:dyDescent="0.35">
      <c r="B6051" s="46"/>
      <c r="C6051" s="46"/>
      <c r="D6051" s="46"/>
      <c r="E6051" s="46"/>
      <c r="F6051" s="46"/>
      <c r="G6051" s="79"/>
    </row>
    <row r="6052" spans="2:7" x14ac:dyDescent="0.35">
      <c r="B6052" s="46"/>
      <c r="C6052" s="46"/>
      <c r="D6052" s="46"/>
      <c r="E6052" s="46"/>
      <c r="F6052" s="46"/>
      <c r="G6052" s="79"/>
    </row>
    <row r="6053" spans="2:7" x14ac:dyDescent="0.35">
      <c r="B6053" s="46"/>
      <c r="C6053" s="46"/>
      <c r="D6053" s="46"/>
      <c r="E6053" s="46"/>
      <c r="F6053" s="46"/>
      <c r="G6053" s="79"/>
    </row>
    <row r="6054" spans="2:7" x14ac:dyDescent="0.35">
      <c r="B6054" s="46"/>
      <c r="C6054" s="46"/>
      <c r="D6054" s="46"/>
      <c r="E6054" s="46"/>
      <c r="F6054" s="46"/>
      <c r="G6054" s="79"/>
    </row>
    <row r="6055" spans="2:7" x14ac:dyDescent="0.35">
      <c r="B6055" s="46"/>
      <c r="C6055" s="46"/>
      <c r="D6055" s="46"/>
      <c r="E6055" s="46"/>
      <c r="F6055" s="46"/>
      <c r="G6055" s="79"/>
    </row>
  </sheetData>
  <autoFilter ref="B1:G10" xr:uid="{00000000-0009-0000-0000-000003000000}"/>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7BC62"/>
    <pageSetUpPr fitToPage="1"/>
  </sheetPr>
  <dimension ref="B2:G7"/>
  <sheetViews>
    <sheetView showGridLines="0" zoomScaleNormal="100" workbookViewId="0">
      <selection activeCell="D14" sqref="D14"/>
    </sheetView>
  </sheetViews>
  <sheetFormatPr defaultColWidth="8.54296875" defaultRowHeight="14.5" x14ac:dyDescent="0.35"/>
  <cols>
    <col min="1" max="1" width="2.453125" customWidth="1"/>
    <col min="2" max="2" width="24" customWidth="1"/>
    <col min="3" max="7" width="16" customWidth="1"/>
  </cols>
  <sheetData>
    <row r="2" spans="2:7" ht="23.25" customHeight="1" x14ac:dyDescent="0.55000000000000004">
      <c r="B2" s="37" t="s">
        <v>1150</v>
      </c>
      <c r="C2" s="33"/>
      <c r="D2" s="33"/>
      <c r="E2" s="33"/>
      <c r="F2" s="33"/>
      <c r="G2" s="33"/>
    </row>
    <row r="3" spans="2:7" x14ac:dyDescent="0.35">
      <c r="B3" s="36" t="s">
        <v>1151</v>
      </c>
      <c r="C3" s="33"/>
      <c r="D3" s="33"/>
      <c r="E3" s="33"/>
      <c r="F3" s="33"/>
      <c r="G3" s="33"/>
    </row>
    <row r="5" spans="2:7" ht="30" customHeight="1" x14ac:dyDescent="0.35">
      <c r="B5" s="5" t="s">
        <v>1152</v>
      </c>
      <c r="C5" s="5" t="s">
        <v>1153</v>
      </c>
      <c r="D5" s="5" t="s">
        <v>1149</v>
      </c>
      <c r="E5" s="5" t="s">
        <v>1154</v>
      </c>
      <c r="F5" s="5" t="s">
        <v>1155</v>
      </c>
      <c r="G5" s="5" t="s">
        <v>1156</v>
      </c>
    </row>
    <row r="6" spans="2:7" x14ac:dyDescent="0.35">
      <c r="B6" s="6" t="s">
        <v>1157</v>
      </c>
      <c r="C6" s="7">
        <f>COUNTA(CROP!C2:C22)</f>
        <v>19</v>
      </c>
      <c r="D6" s="7">
        <f>COUNTIF(CROP!S2:S22,"Ready to Certify")</f>
        <v>0</v>
      </c>
      <c r="E6" s="7">
        <f>COUNTIF(CROP!S2:S22,"Needs Review")</f>
        <v>0</v>
      </c>
      <c r="F6" s="7">
        <f>COUNTIF(CROP!S2:S22,"Needs Update")</f>
        <v>0</v>
      </c>
      <c r="G6" s="7">
        <f>COUNTIF(CROP!R2:R22,"High")</f>
        <v>0</v>
      </c>
    </row>
    <row r="7" spans="2:7" x14ac:dyDescent="0.35">
      <c r="B7" s="8" t="s">
        <v>1158</v>
      </c>
      <c r="C7" s="9">
        <f>SUM(C6:C6)</f>
        <v>19</v>
      </c>
      <c r="D7" s="9">
        <f>SUM(D6:D6)</f>
        <v>0</v>
      </c>
      <c r="E7" s="9">
        <f>SUM(E6:E6)</f>
        <v>0</v>
      </c>
      <c r="F7" s="9">
        <f>SUM(F6:F6)</f>
        <v>0</v>
      </c>
      <c r="G7" s="9">
        <f>SUM(G6:G6)</f>
        <v>0</v>
      </c>
    </row>
  </sheetData>
  <mergeCells count="2">
    <mergeCell ref="B3:G3"/>
    <mergeCell ref="B2:G2"/>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Instructions</vt:lpstr>
      <vt:lpstr>CROP</vt:lpstr>
      <vt:lpstr>AIVs</vt:lpstr>
      <vt:lpstr>Green Gram</vt:lpstr>
      <vt:lpstr>BEAN</vt:lpstr>
      <vt:lpstr>Summary</vt:lpstr>
      <vt:lpstr>BEAN!Print_Area</vt:lpstr>
      <vt:lpstr>CROP!Print_Area</vt:lpstr>
      <vt:lpstr>'Green Gram'!Print_Area</vt:lpstr>
      <vt:lpstr>Instructions!Print_Area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Primrose Wanyama</cp:lastModifiedBy>
  <cp:revision>0</cp:revision>
  <dcterms:created xsi:type="dcterms:W3CDTF">2026-08-17T07:16:54Z</dcterms:created>
  <dcterms:modified xsi:type="dcterms:W3CDTF">2026-10-15T11:34:55Z</dcterms:modified>
  <dc:language>en-US</dc:language>
</cp:coreProperties>
</file>