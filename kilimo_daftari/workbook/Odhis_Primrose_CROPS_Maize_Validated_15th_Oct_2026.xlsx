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Crop" sheetId="2" r:id="rId5"/>
    <sheet state="visible" name="Maize" sheetId="3" r:id="rId6"/>
    <sheet state="visible" name="Summary" sheetId="4" r:id="rId7"/>
  </sheets>
  <definedNames>
    <definedName hidden="1" localSheetId="1" name="_xlnm._FilterDatabase">Crop!$B$5:$T$28</definedName>
    <definedName hidden="1" localSheetId="2" name="_xlnm._FilterDatabase">Maize!$B$5:$G$10</definedName>
  </definedNames>
  <calcPr/>
  <extLst>
    <ext uri="GoogleSheetsCustomDataVersion2">
      <go:sheetsCustomData xmlns:go="http://customooxmlschemas.google.com/" r:id="rId8" roundtripDataChecksum="gAf18W+BnliQGozu08qIdvjjvMiZA5z4X9CZTqKqTgM="/>
    </ext>
  </extLst>
</workbook>
</file>

<file path=xl/sharedStrings.xml><?xml version="1.0" encoding="utf-8"?>
<sst xmlns="http://schemas.openxmlformats.org/spreadsheetml/2006/main" count="3389" uniqueCount="2239">
  <si>
    <t>Screen &amp; Classify — Working Template</t>
  </si>
  <si>
    <t>Screening Summary (live count)</t>
  </si>
  <si>
    <t>Screen &amp; Classify — Crop</t>
  </si>
  <si>
    <t>Check scientific accuracy &amp; currency; sort by crop, topic and content type</t>
  </si>
  <si>
    <t>Updates automatically as each group screens and classifies its items.</t>
  </si>
  <si>
    <t>Purpose</t>
  </si>
  <si>
    <t>Group</t>
  </si>
  <si>
    <t>Maize Value Chain</t>
  </si>
  <si>
    <t>Total Items</t>
  </si>
  <si>
    <t>Screen &amp; classify crop advisory content — production guides, agronomy, variety information</t>
  </si>
  <si>
    <t>Ready to Certify</t>
  </si>
  <si>
    <t>Needs Review</t>
  </si>
  <si>
    <t>Needs Update</t>
  </si>
  <si>
    <t>•  This is the working template for the Screen &amp; Classify step: checking each inventoried item's scientific accuracy and currency, then sorting/classifying it by crop, topic and content type.</t>
  </si>
  <si>
    <t>High Risk</t>
  </si>
  <si>
    <t>Crop</t>
  </si>
  <si>
    <t>•  It follows on from the Content Inventory template — every item sourced there gets screened here before it is certified for the Kenya Advisory Knowledge Hub.</t>
  </si>
  <si>
    <t>Check scientific accuracy &amp; currency, then sort/classify by crop, topic and content type. Gold-shaded cells are yours to complete. Dropdown columns are marked in the header. The ID column fills itself in. Use the filter arrows on the header row to sort by any field.</t>
  </si>
  <si>
    <t>How to Use This Workbook</t>
  </si>
  <si>
    <t>•  Each group has its own tab: Crop, Livestock, Fisheries, Soil, and Pest &amp; Disease.</t>
  </si>
  <si>
    <t>•  One row = one content item (one source publication/brochure/guide).</t>
  </si>
  <si>
    <t>•  The first data row on each tab is a worked EXAMPLE (greyed out) — reference only, do not edit. The Livestock tab's example is drawn from a real KALRO publication; see the 'Camel Calf Example' tab for its full section-level breakdown.</t>
  </si>
  <si>
    <t>•  Gold-shaded cells are yours to complete. The ID column auto-numbers itself.</t>
  </si>
  <si>
    <t>•  Use the filter arrows on the header row to sort or filter by Value Chain/Commodity, Advisory Domain/Topic, or Content Type.</t>
  </si>
  <si>
    <t>Screening Checks</t>
  </si>
  <si>
    <t>ID</t>
  </si>
  <si>
    <t>•  Currency Status — Current: reviewed/published within the last 2 years. Needs Update: 2-4 years old. Outdated: over 4 years old. Needs Verification: no review date on record.</t>
  </si>
  <si>
    <t>•  Scientific Accuracy Check — Verified: content checked against current science/regulation. Needs Review: unverified or has open questions. Flagged - Inaccurate: known errors, do not use until corrected.</t>
  </si>
  <si>
    <t>MAIZE ADVISORY</t>
  </si>
  <si>
    <t>•  Validation Status — source_validated (validated by the originating institution), expert_reviewed (independently reviewed), pending_validation, or not_validated.</t>
  </si>
  <si>
    <t>Content Title</t>
  </si>
  <si>
    <t>•  Risk Level — flag High for anything involving drug/acaricide dosage, veterinary treatment, or other content where a wrong answer could harm people, animals or livelihoods. High-risk items should default to Quality Flag 'Needs Review' until an expert signs off.</t>
  </si>
  <si>
    <t>Field Definitions</t>
  </si>
  <si>
    <t>Publication ID / Source Link</t>
  </si>
  <si>
    <t>Institution &amp; Author(s)</t>
  </si>
  <si>
    <t>Publish Date</t>
  </si>
  <si>
    <t>Value Chain / Commodity</t>
  </si>
  <si>
    <t>Advisory Domain / Topic</t>
  </si>
  <si>
    <t>Content Type</t>
  </si>
  <si>
    <t>Title of the source publication/brochure/guide.</t>
  </si>
  <si>
    <t>Format</t>
  </si>
  <si>
    <t>Production System</t>
  </si>
  <si>
    <t>Target Users</t>
  </si>
  <si>
    <t>Unique publication ID and/or URL where the source can be found.</t>
  </si>
  <si>
    <t>Country / AEZ</t>
  </si>
  <si>
    <t>Last Reviewed
(Currency Check)</t>
  </si>
  <si>
    <t>Currency Status</t>
  </si>
  <si>
    <t>Scientific Accuracy Check</t>
  </si>
  <si>
    <t>Validation Status</t>
  </si>
  <si>
    <t>Originating institution and named author(s).</t>
  </si>
  <si>
    <t>Risk Level</t>
  </si>
  <si>
    <t>Quality Flag</t>
  </si>
  <si>
    <t>Screening Notes / Escalation Guidance</t>
  </si>
  <si>
    <t>Disclaimer: This resource provides general advisory guidance from a KALRO brochure. Farmer-facing recommendations should be localized and technically reviewed before AI delivery.</t>
  </si>
  <si>
    <t>Date the source was published.</t>
  </si>
  <si>
    <t>CROP-EX</t>
  </si>
  <si>
    <t>Crop, livestock species, fish species or theme this item addresses.</t>
  </si>
  <si>
    <t>The specific advisory topics covered (e.g. calving management, tick control).</t>
  </si>
  <si>
    <t>Production guide, protocol/SOP, factsheet, advisory bulletin, brochure, training manual, poster/infographic, video.</t>
  </si>
  <si>
    <t>The medium the content exists in (PDF, text, video, etc.).</t>
  </si>
  <si>
    <t>Farming/production system the content applies to (e.g. pastoral, smallholder mixed farming).</t>
  </si>
  <si>
    <t>Maize (Zea mays) Production Guide - Highland Zones</t>
  </si>
  <si>
    <t>Who the advisory is written for (farmers, extension officers, CAHWs, etc.).</t>
  </si>
  <si>
    <t>KALRO-CROP-2024-011</t>
  </si>
  <si>
    <t>Geographic and agro-ecological applicability.</t>
  </si>
  <si>
    <t>#</t>
  </si>
  <si>
    <t>KALRO Katumani / J. Mwangi</t>
  </si>
  <si>
    <t>Last Reviewed (Currency Check)</t>
  </si>
  <si>
    <t>Date the content was last checked for scientific currency.</t>
  </si>
  <si>
    <t>2024-03-15</t>
  </si>
  <si>
    <t>Result of the currency check — see Screening Checks above.</t>
  </si>
  <si>
    <t>Section Header</t>
  </si>
  <si>
    <t>Content Summary</t>
  </si>
  <si>
    <t>Result of the accuracy check — see Screening Checks above.</t>
  </si>
  <si>
    <t>Maize</t>
  </si>
  <si>
    <t>Pages</t>
  </si>
  <si>
    <t>Who has validated the content and to what degree.</t>
  </si>
  <si>
    <t>Production guide; agronomy; variety selection</t>
  </si>
  <si>
    <t>Production Guide</t>
  </si>
  <si>
    <t>PDF</t>
  </si>
  <si>
    <t>Smallholder mixed farming</t>
  </si>
  <si>
    <t>Smallholder farmers, extension officers</t>
  </si>
  <si>
    <t>Kenya - Highland zones</t>
  </si>
  <si>
    <t>Current</t>
  </si>
  <si>
    <t>Verified</t>
  </si>
  <si>
    <t>Content Warnings</t>
  </si>
  <si>
    <t>source_validated</t>
  </si>
  <si>
    <t>Low</t>
  </si>
  <si>
    <t>Content Tags</t>
  </si>
  <si>
    <t>Livestock</t>
  </si>
  <si>
    <t>Currency check needed against 2026 seed catalogue before certification.</t>
  </si>
  <si>
    <t>Status</t>
  </si>
  <si>
    <t>Low / Medium / High — potential harm if the advisory is wrong or misapplied.</t>
  </si>
  <si>
    <t>MAIZE-1</t>
  </si>
  <si>
    <t>Ready to Certify, Needs Review, Needs Update, Duplicate, or Reject.</t>
  </si>
  <si>
    <t>Reviewer notes, open questions, and who to escalate high-risk items to.</t>
  </si>
  <si>
    <t>Farmers’ Extension Handbook Cereals and Pulses</t>
  </si>
  <si>
    <t>Legend</t>
  </si>
  <si>
    <t>Maize production in Kenya</t>
  </si>
  <si>
    <t>Maize is a staple food in Kenya, accounting for an average production of 4.4 million tons for the period 2010 to 2013 (FAO, 2015). It contributes to about 65% of daily per capita cereal consumption and serves as a subsistence and commercial crop grown on an estimated 1.4 million hectares. Maize production accounts for more than 20% of the total agricultural production and 25% of agricultural employment in the country. It is an important source of carbohydrate, protein, iron, vitamin B, and minerals. Maize products include baked, roasted, and boiled fresh maize on the cob, porridge, pastes, beer, starch, oil, and livestock feed from by-products of fresh and dry maize grain.</t>
  </si>
  <si>
    <t>Kenya Agricultural and Livestock Research Organization</t>
  </si>
  <si>
    <t>MAIZE-14</t>
  </si>
  <si>
    <t>Fill this in</t>
  </si>
  <si>
    <t>Verify site-specific production data for your region, monitor market prices for best-selling time, ensure proper storage to reduce 30% post-harvest losses, Climate change affects production patterns, diversify maize products for better income</t>
  </si>
  <si>
    <t>staple food, cereal consumption, subsistence crop, commercial crop, carbohydrate source, livestock feed</t>
  </si>
  <si>
    <t>Validated</t>
  </si>
  <si>
    <t>Gold-shaded cells — enter your screening data here.</t>
  </si>
  <si>
    <t>Training Manual</t>
  </si>
  <si>
    <t>Ecological requirement practices (Maize)</t>
  </si>
  <si>
    <t>Farmers</t>
  </si>
  <si>
    <t>Maize is well adapted to diverse climates and hence has wide-ranging maturities from 90 to 210 days, nutritive value, and tolerance/resistance to pests and diseases. In Kenya, maize is widely adapted to soils from the higher-rainfall uplands to the lowland areas.</t>
  </si>
  <si>
    <t>Match variety maturity to your specific agro-ecological zone, Consider local pest and disease pressure when selecting varieties, Soil type varies greatly - test before planting, Climate variability affects adaptation, Consult extension officer for site-specific advice</t>
  </si>
  <si>
    <t>climate adaptation, maturity range, nutritive value, pest resistance, disease tolerance, wide adaptation</t>
  </si>
  <si>
    <t>Fisheries</t>
  </si>
  <si>
    <t>Altitude (Maize)</t>
  </si>
  <si>
    <t>Maize is grown at all altitudes ranging from zero metres above sea level (masl) at the Coast to more than 2,000 m.a.s.l of the highlands.</t>
  </si>
  <si>
    <t>Select varieties suited to your specific altitude, Higher altitudes require longer-maturing varieties, Coastal areas need heat-tolerant varieties, Temperature decreases with altitude affecting growth, Consult variety recommendations for your altitude zone</t>
  </si>
  <si>
    <t>sea level, altitude range, coastal lowlands, highlands, variety adaptation, temperature gradient</t>
  </si>
  <si>
    <t>Example row</t>
  </si>
  <si>
    <t>Rainfall (Maize)</t>
  </si>
  <si>
    <t>Maize can grow and yield with as little as 250 mm but prefers 500 to 1200 mm as the optimal range. Depending on soil type and stored soil moisture, crop failure would be expected if less than 250 mm of rain were received for the crop. The rainfall should be fairly distributed during the growing period. For higher yields, the crop should receive enough rainfall during the first five weeks after sowing and at flowering time. Otherwise, moisture stress at flowering time interferes with pollination and drastically lowers the yields.</t>
  </si>
  <si>
    <t>Worked example — reference only, do not edit.</t>
  </si>
  <si>
    <t>Soil</t>
  </si>
  <si>
    <t>Less than 250mm rainfall risks complete crop failure, Moisture stress at flowering causes severe yield reduction, Rainfall distribution more important than total amount, Consider drought-tolerant varieties in low rainfall areas, Supplementary irrigation may be needed in dry spells</t>
  </si>
  <si>
    <t>rainfall requirement, optimal range, moisture stress, pollination, flowering stage, crop failure risk</t>
  </si>
  <si>
    <t>Pest &amp; Disease</t>
  </si>
  <si>
    <t>Soil type (Maize)</t>
  </si>
  <si>
    <t>MAIZE-2</t>
  </si>
  <si>
    <t>In Kenya, maize is grown on a wide range of soil types. Maize is also grown on lowland soils that are hard-setting, poorly structured, and low in nutrient levels due to leaching. Yields on these soils are very low, and maize production is considered uneconomical. The average soils for growing maize should be well drained, well aerated, deep and warm. The best soils for growing maize are silt loam with sufficient nutrients and a pH range of 5.5-6.8. Waterlogged soils should be avoided because if maize stands in water for more than two days, it withers and dies off. Soils should be routinely analyzed for nutrients.</t>
  </si>
  <si>
    <t>Maize smut (Common Smut)</t>
  </si>
  <si>
    <t>Avoid waterlogged soils - maize dies after 2 days in water, Conduct soil analysis before planting, Maintain soil pH between 5.5-6.8 for optimal growth, Lowland soils may be uneconomical for maize, Add organic matter to improve soil structure</t>
  </si>
  <si>
    <t>Kiritai S.Kagai K. Ngigi B. Mulaa M.</t>
  </si>
  <si>
    <t>silt loam, soil pH, waterlogging, drainage, soil analysis, nutrient management</t>
  </si>
  <si>
    <t>Plant Health</t>
  </si>
  <si>
    <t>Factsheet</t>
  </si>
  <si>
    <t>TOTAL</t>
  </si>
  <si>
    <t>Temperature (Maize)</t>
  </si>
  <si>
    <t>The optimum temperature for maize growth and development is 18 to 32 °C, with temperatures of 35 °C and above considered inhibitory, as it exposes the crop to much respiration, while cold conditions at high altitude will extend the life cycle, resulting in lower yields. However, through practising reduced tillage, maintaining ground cover or applying crop residues such as pulse straw, the impact of drought can be greatly reduced by lowering soil temperature and surface evaporation.</t>
  </si>
  <si>
    <t>Temperatures above 35°C reduce yields, Cold conditions extend maturity period, Use crop residues to moderate soil temperature, Mulching reduces heat stress on plants, Select heat-tolerant varieties for hot areas</t>
  </si>
  <si>
    <t>temperature range, heat stress, cold stress, crop residues, mulching, reduced tillage</t>
  </si>
  <si>
    <t>MAIZE-3</t>
  </si>
  <si>
    <t>MAIZE AGRONOMIC PRACTICES - Varietal selection (Maize)</t>
  </si>
  <si>
    <t>Maize Lethal Necrosis Disease on Maize</t>
  </si>
  <si>
    <t>The choice of appropriate maize varieties for a given location is very important because every variety has been extensively tested and recommended based on climatic conditions, soil type, yield potential, tolerance/resistance to pests and diseases, or maturity period, among others.</t>
  </si>
  <si>
    <t>Gekone M., Otipa M., Kamau R.</t>
  </si>
  <si>
    <t>Match variety to your specific agro-ecological zone, Consider pest and disease resistance, Check maturity period matches growing season, Consult extension officer for variety recommendations, Test new varieties on small plots first</t>
  </si>
  <si>
    <t>variety selection, agro-ecological zone, yield potential, disease tolerance, pest resistance, maturity period</t>
  </si>
  <si>
    <t>Open-pollinated variety (OPV) (Maize)</t>
  </si>
  <si>
    <t>These are stabilised varieties in which farmers do not need new seed each season. If farmers follow proper selection procedures, they can use their seeds selected from their harvests up to three seasons, after which they can buy fresh seeds from seed stockists. However, yields of OPV are lower than hybrids.</t>
  </si>
  <si>
    <t>OPV yields are lower than hybrids, Seed can be saved for max 3 seasons only, Proper selection procedures are essential, Yield declines with recycling beyond 3 seasons. Buy fresh seed from certified stockists</t>
  </si>
  <si>
    <t>open-pollinated variety, seed saving, three seasons, yield potential, seed selection, stockists</t>
  </si>
  <si>
    <t>MAIZE-4</t>
  </si>
  <si>
    <t>Phosphorus deficiency in Maize</t>
  </si>
  <si>
    <t>Kiritai S., Kagai K., Mulaa M., Kilalo D., Wendot P., Kiige P., Otipa M.</t>
  </si>
  <si>
    <t>Hybrid (Maize)</t>
  </si>
  <si>
    <t>Hybrids yield higher than OPVs. Farmers can choose to save their seeds for the next planting. However, as with all hybrid maize seeds, yield is reduced with recycling farm-saved seeds. It is good practice to plant new seed each season/year to ensure a consistently good harvest.</t>
  </si>
  <si>
    <t>Hybrid seed must be bought fresh each season. Recycled hybrid seed gives poor yields, Higher yield potential requires good management. More expensive seed but higher returns, Do not save seed from hybrid varieties</t>
  </si>
  <si>
    <t>hybrid maize, higher yield, fresh seed, season planting, consistent harvest, seed cost</t>
  </si>
  <si>
    <t>MAIZE-5</t>
  </si>
  <si>
    <t>Land preparation (Maize)</t>
  </si>
  <si>
    <t>Maize Stem Borer</t>
  </si>
  <si>
    <t>Mulaa M., Oronje M.L., Otipa M., Ringera E.K.</t>
  </si>
  <si>
    <t>Good land preparation is very important as it enhances yield, controls crop diseases, and prevents pest invasion. There are three main techniques to carry out tillage practice: 1. Conventional tillage - use of mechanical farm implements for land preparation involving ploughing and harrowing using mouldboard plough, disc plough, subsoil plough, chisel plough, or plough powered by tractor or draft animals like oxen. 2. Minimum tillage - use of cutlass to slash weeds and vegetation regrowth; little manipulation with hoe and rake; stubble used as mulching material. 3. Zero tillage - opening narrow strip 2-3 cm wide or hole for seed; weeds controlled with herbicides; crop planted directly without tilling or ploughing.</t>
  </si>
  <si>
    <t>Improper land preparation increases erosion risk, Conventional tillage is costly (KES 4,500/acre), Zero tillage requires herbicides, Minimum tillage needs crop residues for mulching, Timely preparation critical for planting</t>
  </si>
  <si>
    <t>tillage practice, conventional tillage, minimum tillage, zero tillage, ploughing, harrowing</t>
  </si>
  <si>
    <t>Soil fertility management (Maize)</t>
  </si>
  <si>
    <t>Soil fertility can be managed through several strategies, including organic fertilizers/manures and inorganic or chemical fertilizers. Farmyard manure (FYM) can be applied either alone at a rate of 5 tons per acre. When FYM is used in combination with inorganic fertilizers half the recommended rates should be applied. Fertilizer recommendations are based on different agro-ecological zones and soil types. The main fertilizers used are (DAP, 23:23:0, 20:20:0, 17:17:17, Mavuno (Planting and topdressing) CAN, Urea, etc.</t>
  </si>
  <si>
    <t>MAIZE-6</t>
  </si>
  <si>
    <t>Maize production training and extension manual</t>
  </si>
  <si>
    <t>Fertilizer rates vary by zone - follow local recommendations, Over-application pollutes environment and wastes money, FYM application (5 tons/acre) requires planning, Combine organic and inorganic for best results, Soil testing before fertilizer application essential</t>
  </si>
  <si>
    <t>organic fertilizer, inorganic fertilizer, farmyard manure, fertilizer rates, agro-ecological zone, soil fertility</t>
  </si>
  <si>
    <t>Management of acid soils (Maize)</t>
  </si>
  <si>
    <t>Liming is recommended for acidic soils. Soil liming recommendations: Application of lime at 6tha-1 will require another application after 3 years for those practicing continuous cropping or after six cropping seasons. Application of lime at 4tha-1 will require another application after 2.5 years or after five cropping seasons. Application of lime at 2tha-1 will require reapplication every two years for those who practice continuous cropping or after four cropping seasons.</t>
  </si>
  <si>
    <t>Test soil pH before applying lime, Lime rates depend on soil acidity level, Reapplication timing depends on application rate, Continuous cropping requires more frequent liming, Apply lime 2-3 months before planting for best results</t>
  </si>
  <si>
    <t>acid soils, liming, soil pH, application rate, reapplication timing, continuous cropping</t>
  </si>
  <si>
    <t>MAIZE-7</t>
  </si>
  <si>
    <t>Options for Striga management in Kenya</t>
  </si>
  <si>
    <t>Esilaba A.O.</t>
  </si>
  <si>
    <t>Planting time (Maize)</t>
  </si>
  <si>
    <t>Planting should be done within the first two weeks of the onset of rains. It is recommended that there should be at least 30 cm of wet soil throughout the soil profile before sowing. While the hole is still moist, place two seeds in an evenly spaced row in each hole. Cover the seeds using the soil heaped next to the hole to leave a level surface. Make sure no stones or heavy soil clods cover the seeds. Leave the mulch cover between the holes intact. Try to complete planting in a day to ensure an even germination and later, an even crop canopy, which will shade out any weed growth.</t>
  </si>
  <si>
    <t>Delayed planting reduces yields, Ensure 30cm wet soil before planting, Complete planting in one day for even germination, Avoid covering seeds with stones or heavy clods, Leave mulch cover intact between holes</t>
  </si>
  <si>
    <t>planting time, onset of rains, soil moisture, germination, crop canopy, weed suppression</t>
  </si>
  <si>
    <t>Spacing and plant population per hectare (Maize)</t>
  </si>
  <si>
    <t>In the highland and medium areas where the soils are well-drained sandy-loam soils, planting depth of 2 to 3 cm is optimal, as deep seed placement retards germination and emergence of maize seedlings. In dry and coastal lowland areas where the soil is dry and/or sandy, maize seed should be planted more deeply (5 to 10 cm). This enables the development of a deep root system to obtain the needed water and nutrients. Deep roots penetrate far into the soil and use moisture and nutrients from the deeper depths of the soil.</t>
  </si>
  <si>
    <t>MAIZE-8</t>
  </si>
  <si>
    <t>Harmonized Fertilizer Recommendations For Optimal Maize Production In Kenya</t>
  </si>
  <si>
    <t>Incorrect spacing reduces yields significantly, Sandy soils require deeper planting (5-10cm), Highland soils need shallow planting (2-3cm), Use region-specific spacing recommendations, Overcrowding increases disease risk</t>
  </si>
  <si>
    <t>Mangale N., Muriuki A., Kathuku-Gitonga A.N. and Mutegi J.K.</t>
  </si>
  <si>
    <t>planting depth, spacing, plant population, sandy-loam, deep root system, moisture access</t>
  </si>
  <si>
    <t>Weeding (Maize)</t>
  </si>
  <si>
    <t>Weeds reduce maize yields by competing for moisture, nutrients, space and light. Weeds are also an alternative host to vectors/pests and diseases. The most critical stage of weed competition in the life of a maize plant is during the first four to six weeks after emergence. The most common practice in weed management is hand weeding and use of herbicides.</t>
  </si>
  <si>
    <t>Critical weeding period is first 4-6 weeks after emergence, Weeds can cause significant yield loss (up to 80%), Hand weeding is labour intensive (8 people/day/acre), Herbicides require safety training, Delayed weeding reduces crop yields</t>
  </si>
  <si>
    <t>weed competition, critical period, moisture competition, nutrient competition, alternative hosts, yield loss</t>
  </si>
  <si>
    <t>MAIZE-9</t>
  </si>
  <si>
    <t>Maize Production Trainng and Extension Manual</t>
  </si>
  <si>
    <t>Library</t>
  </si>
  <si>
    <t>Hand weeding (Maize)</t>
  </si>
  <si>
    <t>Hand weeding that should be done at least three weeks after emergence of the plants followed by a second weeding at knee high.</t>
  </si>
  <si>
    <t>First weeding at 3 weeks after emergence is critical, Second weeding at knee height prevents late weed competition, Labour intensive activity, Timely weeding prevents yield loss, Combine with other weed control methods</t>
  </si>
  <si>
    <t>hand weeding, three weeks, knee high, second weeding, timely weeding, labour</t>
  </si>
  <si>
    <t>Use of cover crops (Maize)</t>
  </si>
  <si>
    <t>Use of a dense legume cover crop to suppress weeds for example lablab (Lablab purpureus), velvet bean (Mucuna pruriens) or sunhemp (Crotalaria juncea) and desmodium.</t>
  </si>
  <si>
    <t>Select appropriate cover crop for your area, Dense legume cover suppresses weeds effectively, Cover crops may compete with maize if not managed, Desmodium also repels pests (push-pull), Requires proper establishment timing</t>
  </si>
  <si>
    <t>cover crops, lablab, velvet bean, sunhemp, desmodium, weed suppression</t>
  </si>
  <si>
    <t>Mechanized weeding (Maize)</t>
  </si>
  <si>
    <t>MAIZE-10</t>
  </si>
  <si>
    <t>Weeding on large scale farms may be done mechanically using tractor or ox drawn tillers that turn the soil in the rows loosening it and in the process kill some of the weeds. Some hand-held weeding machines are currently available and have the capacity to weed a substantial amount of land per day.</t>
  </si>
  <si>
    <t>Technology, Innovations and Management Practices for Maize Volume II</t>
  </si>
  <si>
    <t>Mechanized weeding suitable for large farms, Hand-held weeders available for small farms, Equipment costs may be high, Requires proper operation and maintenance, May damage crop if not used correctly</t>
  </si>
  <si>
    <t>mechanized weeding, tractor tiller, hand-held weeder, large scale, ox-drawn, efficiency</t>
  </si>
  <si>
    <t xml:space="preserve">https://navcdp.kalro.org/docs/timps_2025/MAIZE%20TIMPS%20Volume-1%20for%20Upload.pdf </t>
  </si>
  <si>
    <t>Use of herbicide (Maize)</t>
  </si>
  <si>
    <t>Use of selective herbicides is advised for pure stands of maize. Essential advice must be sought to ensure that the herbicide chosen is used at the appropriate time and when it is most effective. Most selective herbicides for maize and other cereals kill broad-leaf weeds.</t>
  </si>
  <si>
    <t>Use only selective herbicides for pure maize stands, Seek expert advice before herbicide selection, Apply at correct timing for effectiveness, Broad-leaf weeds controlled most effectively, Follow label instructions strictly for safety</t>
  </si>
  <si>
    <t>selective herbicides, pure stand, broad-leaf weeds, application timing, safety, expert advice</t>
  </si>
  <si>
    <t>Striga control (Maize)</t>
  </si>
  <si>
    <t>The control for this parasitic weed is difficult once it sets in. However, it may be controlled through the use of resistant varieties and the push-and-pull method. Farmers should regularly scout their fields and uproot Striga weed early enough before the seeds are produced and diseased plants.</t>
  </si>
  <si>
    <t>Striga control is difficult once established, Use resistant varieties where available, Push-pull method effective for Striga, Regular scouting critical for early detection, Uproot before seed production</t>
  </si>
  <si>
    <t>Striga control, resistant varieties, push-pull method, scouting, early detection, weed management</t>
  </si>
  <si>
    <t>Crop rotation (Maize)</t>
  </si>
  <si>
    <t>Crop rotation is highly recommended to reduce the build-up of maize diseases and insect pests. Rotation can be done with beans, cowpeas, peas or potatoes depending on the area. Rotation of maize with other cereal crops like sorghum and millet should be avoided, especially in case of maize lethal necrosis (MLN disease).</t>
  </si>
  <si>
    <t>Rotate maize with legumes (beans, cowpeas, peas) for soil fertility, Avoid rotating maize with other cereals (sorghum, millet), MLN disease risk increased with cereal rotation, Plan 2-3 year rotation cycle, Improves soil health and reduces pest buildup</t>
  </si>
  <si>
    <t>crop rotation, beans, cowpeas, peas, potatoes, disease prevention</t>
  </si>
  <si>
    <t>Importance of Pest and Disease Identification in Crop Protection (Maize)</t>
  </si>
  <si>
    <t>Pests and diseases in maize is a major problem in Kenya that leads to heavy yield losses and income for farmers and other value chain players (MOA, 2009; CABI, 2013). Farmers have limited access to technical skills and knowledge on how to control most pests and diseases in maize thereby increasing insurgence. There is a need to innovatively find simpler ways to assist farmers and key stakeholders to correctly identify and manage pests and diseases that affect maize production. This can be done by continually developing and providing information, training manuals and extension materials to crucial stakeholders involved in maize production.</t>
  </si>
  <si>
    <t>Early identification prevents heavy yield losses, Limited pest knowledge increases crop damage, Training manuals essential for proper identification, Regular scouting critical for early detection, Use IPM approach for sustainable management</t>
  </si>
  <si>
    <t>pest identification, disease identification, yield losses, technical skills, training manuals, extension materials</t>
  </si>
  <si>
    <t>Management of Pest and Disease Using IPDM (Maize)</t>
  </si>
  <si>
    <t>IPM is an ecological approach to disease and pest management that relies on a combination of various practices such as cultural, biological, and chemical, as well as the development and use of resistant and tolerant crop varieties. It is guided by constant monitoring and identification of crop pests and diseases in order to prevent and control crop pests. Currently, most farmers have not embraced this approach in pest and disease prevention and management. Pest and disease damage is responsible for significant yield losses in maize production. For instance, the maize lethal necrosis disease and the larger grain borer epidemic on maize in Kenya lead to shortages, hence increased prices of produce in the market.</t>
  </si>
  <si>
    <t>IPM combines multiple control methods for best results, Most farmers not yet using IPM approach, MLN disease causes severe yield losses (up to 100%), Larger grain borer destroys stored grain, Constant monitoring essential for prevention</t>
  </si>
  <si>
    <t>KALRO/Musila R.N., et al. (2022)</t>
  </si>
  <si>
    <t>IPM, ecological approach, cultural control, biological control, chemical control, resistant varieties</t>
  </si>
  <si>
    <t>Scouting for Maize Pests, Diseases and Weeds in Maize</t>
  </si>
  <si>
    <t>The purpose of scouting is to gain an understanding of insects, diseases, weeds and beneficial insect activity in the maize crop. Effective monitoring includes assessing their numbers and incidences in maize. Scouting is a critical component of implementing an IPM programme. When scouting, get in the farm and take a close look. If you have a large block of maize, walk in a Z, V, W or zigzag pattern through the field. Look at 50 leaves in a field but in small patches you may look at every plant. Make sure you turn the leaves over. The protected, damp areas under plants are often insect and disease's favourite homes. Check in all wet areas or other troubled spots for symptoms as well as the pests and diseases. Scout in your maize crop once a week in order to identify problems before they get out of control.</t>
  </si>
  <si>
    <t>Scout weekly for early problem detection, Check undersides of leaves where pests hide, Walk Z/V/W pattern for systematic coverage, Check wet areas - disease hotspots, Identify problems before they get out of control</t>
  </si>
  <si>
    <t>scouting, IPM, monitoring, early detection, Z pattern, beneficial insects</t>
  </si>
  <si>
    <t>MAIZE-11</t>
  </si>
  <si>
    <t xml:space="preserve">https://navcdp.kalro.org/docs/timps_2025/MAIZE%20TIMPS%20Volume%202%20for%20upload.pdf </t>
  </si>
  <si>
    <t>Major Diseases of Maize (Maize)</t>
  </si>
  <si>
    <t>1. Downy mildew: Symptoms appear on leaves and leaf sheaths with white or yellow stripes, leading to stunting and little or no yield. Management: Early planting, crop rotation with non-cereal crops, plant resistant varieties, remove and burn infected leaves. Spray with Metalaxyl-based fungicide (Ridomil gold 20g/L in 20L water, Tata master 50g/20L), Mancozeb or chlorothalonil every 7-10 days. 2. Northern Corn Leaf Blight: Chlorotic "halo" developing into cigar-shaped lesions, appearing first on lower leaves. Management: Resistant varieties, crop rotation, cautious fungicide use. 3. Southern leaf blight: Light brown leaf spots with brown margin (25mm long x 26mm wide), restricted to leaf veins leading to premature leaf death. Management: Disease-free/treated seed, destroy crop residues, crop rotation, tolerant/resistant varieties. 4. Gray leaf spot (GLS): Necrotic brown spots on younger leaves parallel to veins, merging to ashy grey, starting from lower leaves. Action when 5% affected. Management: Tolerant varieties (PAN 99, PAN5243, H614, WH504), remove plant debris, deep ploughing, crop rotation (2 years with potato/beans/pea), fertilizer (120:60:40 NPK kg/ha), destroy infected plants, spray with Azoxystrobin + Difenoconazol. 5. Common rust: Elongated raised bumps (pustules) red to dark brown on leaf surfaces, appearing mid/upper canopy during tasseling. Management: Tolerant varieties, deep ploughing, clean seed, crop rotation with beans/faba bean/chickpea (2-3 years), remove lower leaves. 6. Common smut: Whitish grey tumour-like galls/swelling on tassels, husks, ears, stalks, leaves, roots. Management: Crop rotation with cassava/sweet potatoes, clean seed, tolerant varieties (WH699), destroy infected plants before galls rupture, seed dressing (Vitaflo 280 - 1.5g/kg seed). 7. Maize lethal necrosis disease (MLND): Colourless patches on leaves from base upwards, dwarfing, premature aging, necrosis, dead heart, poor grain fill, no pollen. Management: Avoid moving plants, strict crop rotation (2 seasons with beans/garlic/onions/vegetables), avoid continuous maize, plant early, certified seed, control weeds, destroy diseased plants, spray Imidacloprid or Lambda-cyhalothrin. 8. Maize streak disease: Narrow white to yellowish streaks on leaves, broken lines, "dead heart" symptom. Management: Certified tolerant varieties (Pan 5195, PH4, FS650, Duma 43, PAN67), plant early, weed-free field, rotate with potatoes/cabbages/beans, uproot infected plants, control leafhoppers with Alpha-cypermethrin.</t>
  </si>
  <si>
    <t>Accurate disease identification critical for proper management, Early detection prevents disease spread, Use resistant varieties where available, Chemical control requires correct fungicide selection, Crop rotation helps break disease cycles, Destroy infected plant material by burning or burying, MLN requires strict quarantine measures</t>
  </si>
  <si>
    <t>Downy mildew, Northern Leaf Blight, Gray Leaf Spot, Common Rust, Common Smut, MLND, Maize Streak</t>
  </si>
  <si>
    <t>Post-Harvest Diseases and their Management (Maize)</t>
  </si>
  <si>
    <t>The most important fungi in maize are Aspergillus (aflatoxin producing fungi) and Fusarium (fumonisin producing fungi) species. Once these mycotoxins are produced on the grain, they cannot be destroyed by cooking or heating. The only way to prevent it from growing and spreading is to dry maize grain quickly at harvest to desirable moisture levels of less than 13%. In addition, the dry maize should be kept in clean bags or containers, stored off the ground in dry conditions. Always scout your maize storage regularly to ensure that moisture levels do not increase and allow fungus and mould to grow on it.</t>
  </si>
  <si>
    <t>Mycotoxins cannot be destroyed by cooking or heating, Dry grain to below 13% moisture content immediately after harvest, Store grain off the ground in dry conditions, Regular storage inspection essential, Aflatoxin causes serious health problems</t>
  </si>
  <si>
    <t>Aspergillus, Fusarium, aflatoxin, fumonisin, mycotoxin, moisture content</t>
  </si>
  <si>
    <t>Fusarium Ear Rot (Fusarium verticillioides) (Maize)</t>
  </si>
  <si>
    <t>Symptoms of these fungi appear as white streaks on the surface of grains and occasionally as whitish to pink cottony powder (web-like) over the grains. Fusarium ear rot results in mycotoxins, which are toxic to humans and animals.</t>
  </si>
  <si>
    <t>Take action as soon as 2 to 3 plants in 50 to 100 sampled plants have early Fusarium ear rot symptoms, Plant tolerant varieties, Maintain 70-90 cm inter-row space and 30-50 cm between plants, Use basal fertilizer (20-30 kg/ha D-compound) and top dressing (20-25 urea/ha), Control stalk borers as they carry fungus, Harvest grain when mature to avoid spread, Rotate maize with beans and soybeans after 3 years, Spray with neem to kill stalk borer larvae, Dress seed with thiram (280 ml/100kg), Spray young stalk borer larvae with Bacillus thuringiensis (10-20 ml/16L)</t>
  </si>
  <si>
    <t>Fusarium ear rot, mycotoxins, white streaks, toxic, stalk borers, crop rotation</t>
  </si>
  <si>
    <t>Aspergillus Ear rot (Aspergillus spp) (Maize)</t>
  </si>
  <si>
    <t>It affects the crop during hot, dry weather after flowering and symptoms on cobs appear as silk with yellowish-green powder, the maize plants are stunted with small cobs, while their grain is discoloured. Take action as soon as 1-2 in 10 plants per acre have ear rot.</t>
  </si>
  <si>
    <t>Plant certified non-infected seeds early on the onset of rains to escape drought, Apply nitrogen fertilizer (Basal: 20-40 kg/ha D-compound and top dress: 20 kg/ha Urea) to overcome stress, Harvest grain early when dry to avoid spread, Destroy crop residues by composting, Rotate maize with soya beans, cowpea and beans, Hot dry weather after flowering increases risk</t>
  </si>
  <si>
    <t>Aspergillus ear rot, yellowish-green powder, stunted plants, aflatoxin, drought stress, nitrogen fertilizer</t>
  </si>
  <si>
    <t>MAIZE-12</t>
  </si>
  <si>
    <t>Maize Trainer of Trainers’ Manual</t>
  </si>
  <si>
    <t>Maize stem borers (B. fusca and S.calamistis) (Maize)</t>
  </si>
  <si>
    <t>Karanja J. K., Otipa M., Esilaba A. O., Nyongesa D., Okoti M., Mutuma E., Kathuku-Gitonga A.N., Too A., Mutisya D., Njunie M.,. Muli B &amp; Wasilwa L.</t>
  </si>
  <si>
    <t>Moths lay eggs on maize leaves which hatch into caterpillars that feed on young plants and later burrow stems for water and nutrient flow. Symptoms appear as actively feeding caterpillars on the young plant leaves, which later spread to the stem.</t>
  </si>
  <si>
    <t>Intercrop with non-host crops or Desmodium, Plant Napier grass or Bracharia around plot, Destroy maize residues after harvest, Use biological control with predators and parasites, Use PCPB-approved insecticides only, Monitor for early signs of infestation</t>
  </si>
  <si>
    <t>stem borers, caterpillars, Busseola fusca, Sesamia calamistis, biological control, push-pull</t>
  </si>
  <si>
    <t>Maize leafhoppers (Cicadulina spp.) (Maize)</t>
  </si>
  <si>
    <t>Slender hoppers with two small black spots between eyes hop away on disturbance; leaf hoppers feed on maize plants and transmit maize streak virus. Infected plants turn chlorotic and the streaks and damage may be up to 100%.</t>
  </si>
  <si>
    <t>Uproot affected plants early and feed to animals, Plant away from grassland or previously irrigated crops, Plant early to reduce virus transmission risk, Use MSV resistant varieties, Remove cereal crop residues, Maintain bare strips (10-20m) around large maize fields, Spray six weeks after planting using Brigade, cypermethrin, or carbosulfan</t>
  </si>
  <si>
    <t>leafhoppers, Cicadulina, maize streak virus, chlorotic, MSV resistant, vector control</t>
  </si>
  <si>
    <t>MAIZE-13</t>
  </si>
  <si>
    <t>Your Feed Shortage Problem: Use Maize Forage</t>
  </si>
  <si>
    <t>Armyworm (Maize)</t>
  </si>
  <si>
    <t>Damage on upper and lower leaf tissue leaves "windows" except midrib. Full-size larvae burrow into the ground, become dull in colour, wrinkled, and pupate.</t>
  </si>
  <si>
    <t>Use insecticides with active ingredient cypermethrin following manufacturer's rates, Use biological control agents (natural enemies and parasitoids), Monitor fields regularly for early detection, Larvae burrow into ground to pupate, Early intervention prevents severe damage</t>
  </si>
  <si>
    <t>armyworm, leaf tissue damage, larvae, biological control, cypermethrin, natural enemies</t>
  </si>
  <si>
    <t>Maize Aphids (Rhopalosiphum maidis) (Maize)</t>
  </si>
  <si>
    <t>Aphids are tiny black or green sucking insects that attack at tassels, bracts and leaves. In dry conditions they suck sap from plants until it dies. They secrete honey dew that gives the plant a black appearance (sooty mould that interferes with photosynthetic activity). Mottling stunted growth and diebacks are main symptoms of infestation.</t>
  </si>
  <si>
    <t>Mixed cropping or trap crops may be used, Use predators and parasites like ladybirds and hover fly, Strip leaves below the ear and feed to animals, Chemical spray necessary for early/heavy infestation at silk stage, Use Bestox (cypermethrin) or Karate/Duduthrin, Follow manufacturer's recommended rates</t>
  </si>
  <si>
    <t>aphids, honey dew, sooty mould, photosynthetic activity, mottling, biological control</t>
  </si>
  <si>
    <t>Bollworms (Heliothis armiger) (Maize)</t>
  </si>
  <si>
    <t>Bollworms feed on leaves, buds, growing points, flowers and fruit. Damage reduces leaf area, which slows plant growth and feeding on flowers and fruits.</t>
  </si>
  <si>
    <t>Maize Training Manual</t>
  </si>
  <si>
    <t>Intercrop maize with other crops for natural control, Heavy infestations require chemical spray, Use approved insecticides only, Monitor for early signs of infestation, Growing point damage is most severe, Spray early for effective control</t>
  </si>
  <si>
    <t>bollworms, Heliothis armiger, growing points, leaf area reduction, intercrop, insecticides</t>
  </si>
  <si>
    <t>https://www.kalro.org/navcdp/index.php/information-resoures/publications/training-manuals23</t>
  </si>
  <si>
    <t>Cutworms Symptoms/Description (Maize)</t>
  </si>
  <si>
    <t>These are caterpillars that are found in the soil and damage young seedlings. They cut off the plant at or below the ground level.</t>
  </si>
  <si>
    <t>Do early land preparation to eliminate weeds (2 weeks before planting), Ploughing exposes worms to predators, Mechanical digging and squashing effective, Flooding under irrigation suffocates worms before planting, Soil drenching at base of each plant using insecticide (e.g. Dursban 4E)</t>
  </si>
  <si>
    <t>cutworms, caterpillars, young seedlings, soil insects, land preparation, soil drenching</t>
  </si>
  <si>
    <t>Major weeds affecting Maize - Couch grass or Bermuda grass (Cynodon dactylon) (Maize)</t>
  </si>
  <si>
    <t>It is a spreading perennial grass with vigorous mat-forming stolons; it reproduces and spreads by rhizomes but is also propagated by seed. Couch grass and other species of Cynodon are common in East Africa.</t>
  </si>
  <si>
    <t>Control before planting maize, Harrow with tooth harrow during dry season to uproot rhizomes, Dry rhizomes completely on top of soil, Introduce shade-producing cover crops, Use crop rotation system for control</t>
  </si>
  <si>
    <t>Couch grass, Bermuda grass, Cynodon dactylon, stolons, rhizomes, perennial weed</t>
  </si>
  <si>
    <t>Purple witchweed (Striga spp.) (Striga hermonthica) - Symptoms/Description (Maize)</t>
  </si>
  <si>
    <t>The weeds grow on the roots of maize, affecting its development, the young weeds tap the roots of maize plant and draw water and nutrients, a single weed plant produces many thousands of tiny seeds that survive in the soil for long periods, Striga weeds infest 40% of the arable land in the savannah region, causing annual crop losses of 7 to 13 billion dollars, Striga infestation is associated with increased cropping intensity and declined soil fertility.</t>
  </si>
  <si>
    <t>Striga control is difficult once established, Use resistant varieties where available, Regular scouting essential for early detection, Uproot before seed production, Push-pull method effective, Improved soil fertility reduces Striga severity</t>
  </si>
  <si>
    <t>purple witchweed, Striga hermonthica, parasitic weed, root parasite, soil fertility decline, push-pull</t>
  </si>
  <si>
    <t>KALRO-NAVCDP</t>
  </si>
  <si>
    <t>Not stated</t>
  </si>
  <si>
    <t>Maize is a popular staple food and contributes to about 65% of daily per capita cereal consumption in the country serving as a subsistence and a commercial crop. Kenyan farmers face challenges of poor grain handling and management, leading to 30% of post-harvest losses. Consequently, they sell their grain at low prices at harvest and buy it again for family consumption when prices increase.</t>
  </si>
  <si>
    <t>Good agricultural practices; climate-smart agriculture; agronomy</t>
  </si>
  <si>
    <t>Post-harvest losses estimated at 30% - avoid with proper handling, Sell at harvest time at low prices - consider storage for better prices, Poor grain handling increases losses, Proper storage reduces need to buy at high prices, Join farmer groups for better market access</t>
  </si>
  <si>
    <t>staple food, per capita consumption, subsistence crop, commercial crop, post-harvest losses, price fluctuation</t>
  </si>
  <si>
    <t>Training manual</t>
  </si>
  <si>
    <t>Smallholder rainfed/commercial</t>
  </si>
  <si>
    <t>Farmers; extension officers; lead farmers; service providers</t>
  </si>
  <si>
    <t>Quality Standards for Maize in Kenya (Maize)</t>
  </si>
  <si>
    <t>Kenya's maize standards ensure acceptable grain quality for farmers, processors and consumers. These standards have been harmonized within the Eastern Africa region and are to be enforced in cross-border trade. Maize value chain actors, therefore, need to comply with these standards for commercialization. Most large scale maize buyers in Kenya only purchase Grade 1 and 2 maize and, therefore, smallholder farmers wishing to penetrate these markets (which offer better prices even at harvest time), must strive to produce these grades by practicing appropriate post-harvest technologies.</t>
  </si>
  <si>
    <t>Only Grade 1 and Grade 2 maize attract premium prices, Foreign matter must be below 0.5% for Grade 1, Moisture content must be ≤13.5% for all grades, Aflatoxin levels must be &lt;10 ppb for all grades, Fumonisin levels must be &lt;2 ppb, Broken kernels max 2% for Grade 1</t>
  </si>
  <si>
    <t>quality standards, Grade 1, Grade 2, foreign matter, moisture content, aflatoxin</t>
  </si>
  <si>
    <t>Post-Harvest Losses and Management (Maize)</t>
  </si>
  <si>
    <t>The post-harvest period is the period between the physiological maturity of a crop and the time for its final consumption. Post-harvest losses refer to the degradation of quantity and quality of a food product during the post-harvest period. Post-harvest losses are caused by inappropriate handling practices, pest infestations and infections by pathogens. This occurs at all levels of the value chain, but more than 60% of losses occur at the producer farmer level (MoALF, 2016). Therefore, post-harvest processes of maize can be classified into four major classes. These include a) Farm field based: de-sheathing and piling of harvested maize cobs at physiological maturity. b) En-route based: cobs transported from farms to homesteads. c) Homestead based: drying and grading of cobs, shelling and drying grains, winnowing, pesticide application and packing. d) Storage based: grains stored for later use (Rugumanu, 2009).</t>
  </si>
  <si>
    <t>Over 60% of losses occur at farmer level - not processors or traders, Four key loss stages: field, transport, homestead, storage, Inappropriate handling causes most losses, Early intervention at farm level reduces losses significantly, Training on post-harvest handling essential</t>
  </si>
  <si>
    <t>post-harvest, physiological maturity, farm field losses, transport losses, homestead losses, storage losses</t>
  </si>
  <si>
    <t>Harvesting Green maize (Maize)</t>
  </si>
  <si>
    <t>Maize for the green market is ready for harvest when the grain hardens or when the silky flower at the top of the maize cob turns black.</t>
  </si>
  <si>
    <t>Harvest green maize at correct maturity for best quality, Silky flower turning black indicates readiness, Grain hardening is key indicator, Green maize market requires careful timing, Delayed harvest reduces quality for green market</t>
  </si>
  <si>
    <t>green maize, harvest timing, silky flower, grain hardening, market readiness, quality indicator</t>
  </si>
  <si>
    <t>Dry Maize harvesting (Maize)</t>
  </si>
  <si>
    <t>Maize should be harvested at physiological maturity. Maize can be left in the field beyond physiological maturity to allow further drying. This can be done through stooking for about 2 to 4 weeks. Maize is physiologically mature when: 1. Most leaves have dried up; 2. Cob husks are no longer green; 3. Stalks turn yellow or brown; 4. Cobs begin to droop on the stalk; 5. Kernels show a black layer between the seed and point of attachment to the cob; 6. Grains are hard and not milky; 7. Cobs are no longer good for roasting.</t>
  </si>
  <si>
    <t>Harvest at physiological maturity for best quality, Stooking for 2-4 weeks allows field drying, Black layer between seed and cob indicates maturity, Delayed harvest increases pest and disease risk, Prolonged field stay encourages aflatoxin development</t>
  </si>
  <si>
    <t>physiological maturity, dry maize, stooking, black layer, grain hardness, harvest indicators</t>
  </si>
  <si>
    <t>Preparations for the harvest (Maize)</t>
  </si>
  <si>
    <t>Before harvesting, ensure that equipment needed for the harvest and post-harvest activities are available and in good condition. Decide where drying and threshing will take place and ensure sufficient storage space; grain stores and sacks have been thoroughly cleaned before the new harvest. The new harvest should never be mixed with grain from the previous season as this will encourage the movement of pests from the old to the new harvest. The old harvest can be stored in a separate place for consumption.</t>
  </si>
  <si>
    <t>Ensure all equipment is in good condition before harvest, Clean grain stores and sacks thoroughly before new harvest, NEVER mix new harvest with old grain - pests will transfer, Keep old grain separately for consumption, Plan drying and threshing location in advance</t>
  </si>
  <si>
    <t>MAIZE-15</t>
  </si>
  <si>
    <t>harvest preparation, equipment readiness, storage cleaning, grain separation, pest prevention, planning</t>
  </si>
  <si>
    <t>Maize Extension and Training Manual</t>
  </si>
  <si>
    <t>https://kalroerepository.kalro.org/handle/123456789/13957</t>
  </si>
  <si>
    <t>KALRO; Karanja J.K.; Mwathi J.W.; Ooro P.A.; Esilaba A.O.; Nyongesa D.; Okoti M.; Githunguri C.; Miriti J.; Otipa M.; Nassiuma E.; Too A.; Kamidi M.; Wanjekeche E.</t>
  </si>
  <si>
    <t>2019-04</t>
  </si>
  <si>
    <t>Agronomy; varieties; production; extension</t>
  </si>
  <si>
    <t>Methods of harvesting - Hand harvesting (Maize)</t>
  </si>
  <si>
    <t>Extension manual</t>
  </si>
  <si>
    <t>Maize stalks are cut using a sickle and machete (panga) and stooked on the farm, or carried to the storage area. Stooking enables the maize to dry in the farm and thus allows farmers to have enough time to prepare the stores. It is also easier to pick cobs from one spot and dehusk the maize on the farm. The cobs can also be removed by hand from the plants with or without husking. Husked ears require a smaller storage area and are more resistant to insects, but may rot more easily if stored at a high moisture content.</t>
  </si>
  <si>
    <t>Rainfed; smallholder</t>
  </si>
  <si>
    <t>Hand harvesting is labour intensive, Stooking allows field drying and store preparation, Husked ears are more insect-resistant but need lower moisture, Careful handling reduces grain damage, Train harvesters to minimize losses</t>
  </si>
  <si>
    <t>Extension officers; farmers; service providers</t>
  </si>
  <si>
    <t>hand harvesting, sickle, panga, stooking, dehusking, husked ears</t>
  </si>
  <si>
    <t>Mechanical harvesting (Maize)</t>
  </si>
  <si>
    <t>MAIZE-16</t>
  </si>
  <si>
    <t>Tractor-drawn pickers and picker-shellers that can handle one to two rows at once, but self-propelled combines are available which can harvest up to six to eight rows.</t>
  </si>
  <si>
    <t>KALRO-KCEP Maize Training and Extension Manual</t>
  </si>
  <si>
    <t>https://kalroerepository.kalro.org/handle/123456789/13966</t>
  </si>
  <si>
    <t>Mechanical harvesters are expensive, Suitable for large-scale farms only, Combines can handle 6-8 rows at once, Requires skilled operators, Maintenance costs can be high, Grain damage can occur if not properly adjusted</t>
  </si>
  <si>
    <t>KALRO-KCEP</t>
  </si>
  <si>
    <t>mechanical harvesting, tractor-drawn picker, picker-sheller, combine harvester, large-scale, efficiency</t>
  </si>
  <si>
    <t>2016-04</t>
  </si>
  <si>
    <t>Varieties; field operations; seed; production</t>
  </si>
  <si>
    <t>Training and extension manual</t>
  </si>
  <si>
    <t>How to transport harvested maize (Maize)</t>
  </si>
  <si>
    <t>Rainfed; smallholder/commercial</t>
  </si>
  <si>
    <t>After harvest, maize may be transported from the farm to the homestead by any of the following methods: Head loads, bicycles and motorbikes (boda boda), Oxen carts, Pick-up trucks and, tractors and lorries. Farmers are encouraged to use methods which do not cause damage (bruising, cracking or breakage) or loss through spillage.</t>
  </si>
  <si>
    <t>Farmers; extension officers; trainers</t>
  </si>
  <si>
    <t>Use transport methods that prevent grain damage, Head loads and oxen carts suitable for small farms, Cover grain during transport to prevent spillage, Bruising and cracking lead to storage losses, Avoid overloading transport vehicles</t>
  </si>
  <si>
    <t>transport methods, head loads, oxen carts, pick-up trucks, grain damage, spillage prevention</t>
  </si>
  <si>
    <t>Drying of maize on cobs (Maize)</t>
  </si>
  <si>
    <t>After harvesting, the maize must be dried before shelling and storage. Proper drying of maize enables grains to be stored for long and reduces conditions favourable for pest and moulds infestation by lowering the moisture content. Drying should be done by spreading the cobs on mats, tarpaulins or in cribs. When drying maize at the homestead, it should not be placed in direct contact with the soil and should be kept away from farm animals, or else the grain may be damaged or eaten.</t>
  </si>
  <si>
    <t>Never dry maize on bare soil - use mats or tarpaulins, Keep drying area away from farm animals, Protect from rain and night dew with covers, Target moisture content of 13%, Turn cobs regularly for even drying, Clean area before drying to prevent contamination</t>
  </si>
  <si>
    <t>MAIZE-17</t>
  </si>
  <si>
    <t>cob drying, mats, tarpaulins, cribs, moisture reduction, pest prevention</t>
  </si>
  <si>
    <t>https://kalroerepository.kalro.org/handle/123456789/13956</t>
  </si>
  <si>
    <t>KALRO; Karanja J.K.; Otipa M.; Esilaba A.O.; Nyongesa D.; Okoti M.; Mutuma E.; Kathuku-Gitonga A.N.; Too A.; Mutisya D.; Njunie M.; Muli B.; Wasilwa L.</t>
  </si>
  <si>
    <t>Drying maize cobs in cribs (Maize)</t>
  </si>
  <si>
    <t>Cribs are special shelters recommended for drying grain. They are long and narrow, with wooden slats or chicken wire sides that allow free ventilation, and a roof that protects against rain. To protect from rodents, the stands of the crib should be at least 1 m above ground level, beyond the maximum distance that rodents can jump. The stands are supplied with rodent guards. The cribs are built across the prevailing wind to promote drying.</t>
  </si>
  <si>
    <t>Crib height: 0.6m (humid areas), 1.0m (drier zones), 1.5m (very dry places), Keep crib stands at least 1m above ground to prevent rodents, Clean cribs thoroughly before each harvest, Replace LGB-infested timbers, Build cribs across prevailing wind for better drying</t>
  </si>
  <si>
    <t>maize cribs, ventilation, rodent guards, moisture content, wind direction, larger grain borer</t>
  </si>
  <si>
    <t>Training methods; soil fertility; maize production</t>
  </si>
  <si>
    <t>Knowing when the grain is dry enough - Biting grain method (Maize)</t>
  </si>
  <si>
    <t>ToT manual</t>
  </si>
  <si>
    <t>Farmers need to judge when grain drying is complete, that is, when grains reach a moisture content of 13%. Experienced farmers test the moisture content of dry grain by biting or pinching with fingers. If the grain is dried sufficiently for storage, it will be hard and does not break easily into many parts.</t>
  </si>
  <si>
    <t>Biting method only for experienced farmers, Dry grain should be hard and not break easily, Grain at 13% moisture is safe for storage, Inaccurate testing may lead to storage losses, Consider using moisture meter for accuracy</t>
  </si>
  <si>
    <t>Smallholder; rainfed</t>
  </si>
  <si>
    <t>biting method, moisture content, grain hardness, traditional testing, 13% moisture, storage readiness</t>
  </si>
  <si>
    <t>Trainers; extension officers; lead farmers</t>
  </si>
  <si>
    <t>The 'salt method' of checking grain moisture content (Maize)</t>
  </si>
  <si>
    <t>The 'salt method' of checking grain moisture content is quick and easy but only indicates that grain is above or below 15% moisture content. Dry salt will absorb moisture from grain. The salt must first be dried by spreading on a plastic sheet in hot sun and leaving it for at least 3-4 hours until it hardens. It should be turned at intervals during this time. It can also be dried in an oven. The dry salt should be placed in a sealed container until it is ready for use.</t>
  </si>
  <si>
    <t>Salt method only indicates above/below 15% moisture - not exact, Salt must be thoroughly dried before use (3-4 hours sun drying), Turn salt regularly during drying, Store dry salt in sealed container until use, Use clean dry glass bottle (750ml capacity) with airtight cap</t>
  </si>
  <si>
    <t>salt method, moisture content, 15% threshold, quick test, grain moisture, traditional testing</t>
  </si>
  <si>
    <t>MAIZE-18</t>
  </si>
  <si>
    <t>Solve Your Feed Shortage Problem: Use Maize Forage</t>
  </si>
  <si>
    <t>https://www.kalro.org/information-resources/information-brochures/</t>
  </si>
  <si>
    <t>KALRO</t>
  </si>
  <si>
    <t>2021 (site archive date)</t>
  </si>
  <si>
    <t>Use of moisture meter (Maize)</t>
  </si>
  <si>
    <t>Maize forage; livestock feed; fodder conservation</t>
  </si>
  <si>
    <t>Moisture meters are quick, portable, simple to use and fairly accurate. The procedure of testing moisture content using the Dickey-John multi-grain moisture tester: 1. About 150 g of the grain is scooped by hand and poured into the moisture meter, which is then closed. 2. The device is given a few seconds to detect moisture and temperature. 3. The digital electronic machine will display the readings on the screen once the detection is over. Moisture meters may be used routinely, for example, when grain is delivered to a grain store. They are expensive for individual farmers, and would normally be used by farmers' groups and warehouses that handle a lot of grain.</t>
  </si>
  <si>
    <t>Moisture meters are expensive - best for farmer groups/warehouses, Use 150g grain sample for accurate reading, Follow manufacturer instructions carefully, Digital display shows both moisture and temperature, Regular calibration needed for accuracy</t>
  </si>
  <si>
    <t>Brochure</t>
  </si>
  <si>
    <t>moisture meter, Dickey-John, grain testing, portable device, digital reading, farmers groups</t>
  </si>
  <si>
    <t>Mixed crop-livestock</t>
  </si>
  <si>
    <t>Dairy/livestock farmers; extension officers</t>
  </si>
  <si>
    <t>Sorting / Grading (Maize)</t>
  </si>
  <si>
    <t>Maize cobs need to be selected and sorted before storage or shelling. Cobs infected with diseases, moulds, attacked by pests and other visible damages should be removed.</t>
  </si>
  <si>
    <t>Remove diseased, mouldy, and pest-damaged cobs before storage, Sorting prevents quality contamination of healthy grain, Do not mix healthy with infected cobs, Manual sorting requires careful inspection, Grade sorting improves market value</t>
  </si>
  <si>
    <t>sorting, grading, disease removal, mould removal, pest damaged, quality control</t>
  </si>
  <si>
    <t>Mycotoxins and Aflatoxin Control (Maize)</t>
  </si>
  <si>
    <t>MAIZE-19</t>
  </si>
  <si>
    <t>The most important mycotoxins in maize are produced by Aspergillus (which produces aflatoxin) and Fusarium species (which produces fumonisin). Once these mycotoxins are produced on the grain, they cannot be destroyed by cooking or heating. The only way to prevent moulds from growing and spreading is to dry maize grain quickly at harvest to moisture levels of less than 13%, keep them in clean bags, dry conditions and off the ground during storage. Farmers should check their maize regularly, to ensure that moisture levels do not increase and allow fungus and mould to grow on it.</t>
  </si>
  <si>
    <t>Mycotoxins CANNOT be destroyed by cooking or heating, Dry grain to below 13% moisture immediately after harvest, Store grain off the ground in clean dry conditions, Regular storage inspection is essential, Aflatoxin causes serious health problems to humans and animals</t>
  </si>
  <si>
    <t>aflatoxin, mycotoxin, Aspergillus, Fusarium, fumonisin, moisture content</t>
  </si>
  <si>
    <t>How to Control Maize Stalk Borer</t>
  </si>
  <si>
    <t>Shelling (Maize)</t>
  </si>
  <si>
    <t>The grain should be neither too moist (soft) nor too dry (brittle) at the time of shelling. Shelling is best done when grain is around 14-15% moisture content. Maize cobs can be shelled using bare hands (slow and tedious, especially for large amounts) or a hand sheller (7-12 kg/hour). For large-scale production, hand-cranked, pedal-operated and motor-driven shellers powered by electricity or fuel are available, giving outputs of about 50-130 kg/hour.</t>
  </si>
  <si>
    <t>Best shelling moisture content is 14-15%, Shelling too dry causes grain breakage, Shelling too wet causes grain damage, Hand shelling is slow - consider mechanical options for large amounts, Clean equipment before use to prevent contamination</t>
  </si>
  <si>
    <t>shelling, moisture content, hand sheller, mechanical sheller, grain breakage, post-harvest</t>
  </si>
  <si>
    <t>Pest management; crop protection</t>
  </si>
  <si>
    <t>Extension brochure</t>
  </si>
  <si>
    <t>Drying after shelling (Maize)</t>
  </si>
  <si>
    <t>Smallholder maize</t>
  </si>
  <si>
    <t>After shelling, the maize kernels are dried in the sun either on plastic tarpaulins, concrete slabs, or in commercial dryers if available. Maize should not be dried directly on the ground to avoid contaminating it with dirt, insects, or other pollutants. Maize laid on the ground could pick fungi spores that can lead to mycotoxin contamination. The maximum depth of the maize on the tarpaulin should be up to your ankle bone. Any higher height means that the grain at the bottom of the pile will not dry quickly. If you turn over the grain several times a day, it will dry more quickly. Concrete slabs heat up quickly and speed up drying; a 5m x 5m slab can dry 1,000kg of maize in a day and a 10m x 10m slab can dry up to 4,000kg of grain.</t>
  </si>
  <si>
    <t>Farmers; extension officers</t>
  </si>
  <si>
    <t>NEVER dry grain directly on bare soil - risk of contamination, Tarpaulins/concrete slabs prevent contamination, Grain layer should be no deeper than ankle bone (about 5-10cm), Turn grain several times daily for even drying, Protect from rain and night dew, Clean drying surfaces before use</t>
  </si>
  <si>
    <t>sun drying, tarpaulins, concrete slabs, grain depth, turning grain, contamination prevention</t>
  </si>
  <si>
    <t>Cleaning the grain after threshing (Maize)</t>
  </si>
  <si>
    <t>Clean the maize to remove foreign matter such as stones, plant material from harvesting such as husks, broken grain and dust produced during threshing. Insect damaged and mouldy grains are removed by hand picking. Cleaning can also be done by winnowing which involves tossing the grain into the wind which carries off light impurities, while the heavier grains fall onto a mat. Heavier impurities can be separated by sieving. The mesh sizes for sieving for maize are 4.5mm.</t>
  </si>
  <si>
    <t>Remove stones, husks, and broken grains before storage, Hand picking essential for insect-damaged grains, Winnowing effective for light impurities, Sieving (4.5mm mesh) removes heavier impurities, Clean grain fetches better market prices</t>
  </si>
  <si>
    <t>cleaning, winnowing, sieving, foreign matter removal, hand picking, grain quality</t>
  </si>
  <si>
    <t>Mixing insecticidal dust with shelled grain (Maize)</t>
  </si>
  <si>
    <t>The recommended insecticidal dust is Actellic dust. Process: (1) Use a shovel and enough insecticidal dust; (2) Heap grain on clean concrete floor or tarpaulin; (3) Sprinkle correct amount of powder over heap; (4) Mix powder thoroughly with clean shovel; (5) Shovel heap to another part of sheet, then back again for a third time; (6) All grains should be coated in thin layer of powder without patches; (7) Load grain back into storage structure or sacks.</t>
  </si>
  <si>
    <t>Read insecticide instructions very carefully - use correct dosage, Only use PCPB-approved insecticidal dust, Use recommended Actellic dust, Apply only to dry grain at 13% moisture, Store insecticide away from children and food, Wear protective gear during application, Mix thoroughly for even coverage</t>
  </si>
  <si>
    <t>MAIZE-20</t>
  </si>
  <si>
    <t>Actellic dust, insecticidal dust, grain treatment, pest control, protective gear, correct dosage</t>
  </si>
  <si>
    <t>Storage of shelled maize (Maize)</t>
  </si>
  <si>
    <t>The dried and cleaned grains should be stored in metallic silos or packed in hermetic bags (Agro-Z bags) and stored well on pallets in clean and well-ventilated stores. It is recommended that farmers use a combination of the storage techniques for complementarity to ensure maximum protection of grain during storage.</t>
  </si>
  <si>
    <t>Store only properly dried grain (13% moisture), Use hermetic bags (Agro-Z/PICS) or metal silos, Store on pallets - never directly on floor, Clean storage area thoroughly before use, Do not mix old and new grain, Regular inspection is essential</t>
  </si>
  <si>
    <t>storage, metallic silos, hermetic bags, Agro-Z, PICS bags, pallets</t>
  </si>
  <si>
    <t>Maize storage containers (Maize)</t>
  </si>
  <si>
    <t>Maize Good Agricultural Practices</t>
  </si>
  <si>
    <t>i) Open weave sacks (jute, sisal, polypropylene): storage period 0-6 months, complement with rodent-proof structures and insecticide admix. ii) Hermetic plastic bag: storage period 3-12 months, complement with rodent-proof storage. iii) Hermetic plastic drums: storage period 3-12 months, hermetic and pest-proof, add Admix insecticide. iv) Metal silo: storage period 3-12 months, hermetic and pest-proof, add Admix insecticide.</t>
  </si>
  <si>
    <t>Open weave sacks (jute/sisal) only good for 0-6 months - add insecticide, Hermetic bags protect 3-12 months - ensure rodent-proof, Plastic drums and metal silos best for long storage (3-12 months), Always store on pallets off the ground, Clean all containers before use, Use insecticide admix where recommended</t>
  </si>
  <si>
    <t>storage containers, jute sacks, sisal sacks, hermetic bags, plastic drums, metal silos</t>
  </si>
  <si>
    <t>https://keep.kalro.org/good-agricultural-practices/Maize</t>
  </si>
  <si>
    <t>Produce aggregation and warehousing (Maize)</t>
  </si>
  <si>
    <t>KALRO Kenya Digital Agriculture Platform</t>
  </si>
  <si>
    <t>Produce aggregation and warehousing aims to provide an organised marketing channel for farmers to: i) Aggregate their produce to attain volumes sufficient to attract bulk buyers; ii) Appropriately store the grain to await price appreciation; iii) Leverage their stored grain to access credit to meet immediate financial needs. Activities include: Village collection centres - rented storage space (100-200 bags) in village shopping centres, or construction/refurbishment of new ones; Equipped with weighing machine, moisture meter, tarpaulins, pallets and manual sieve; Certified for warehouse receipting (by SGS or Bureau Veritas); Warehouse Receipt System (WRS) used in e-voucher to access credit.</t>
  </si>
  <si>
    <t>Requires certification for warehouse receipting (SGS/Bureau Veritas), Aggregation helps attract bulk buyers, Wait for better prices by storing grain, Use grain as collateral to access credit, Village collection centres need proper equipment, WRS enables e-voucher credit access</t>
  </si>
  <si>
    <t>Site selection; land preparation; varieties; planting; crop health; post-harvest</t>
  </si>
  <si>
    <t>aggregation, warehousing, bulk buyers, price appreciation, warehouse receipt system, e-voucher</t>
  </si>
  <si>
    <t>Digital learning resource</t>
  </si>
  <si>
    <t>Web</t>
  </si>
  <si>
    <t>Farmers; extension officers; agribusiness advisers</t>
  </si>
  <si>
    <t>Basic requirements for good grain storage (Maize)</t>
  </si>
  <si>
    <t>Four pillars of good storage practice: 1. Ensuring crop going into store is in good condition - good quality whole grain is less likely to suffer insect attacks. 2. Keeping the store in good condition - protects against rodents, birds, domestic animals, theft; should be roofed and sited away from trees and flood-prone areas. 3. Practicing good store hygiene - keep surroundings clean, no vegetation/rubbish, livestock away; clean containers before use; inspect for termite trails. 4. Maintaining the condition of the crop and store throughout storage season - inspect regularly; treat with Actellic if pests occur; start inspections as soon as grain is stored then weekly.</t>
  </si>
  <si>
    <t>Good quality grain is less prone to insect attacks, Store must protect against rodents, birds, and theft, Site away from trees (rodent access), Keep surroundings clean - no vegetation/rubbish, Old grain must be stored separately and consumed first, Inspect weekly from day one of storage, Clean second-hand sacks with boiling water before use</t>
  </si>
  <si>
    <t>storage requirements, store condition, hygiene, weekly inspection, rodent control, Actellic treatment</t>
  </si>
  <si>
    <t>Common maize storage pests (Maize)</t>
  </si>
  <si>
    <t>Pests cause crop losses up to 100%. Main pest categories: insects, rodents, moulds, birds and human beings (thieves). Primary storage pests break down the hard seed coat of undamaged grain; some lay eggs inside kernels and larvae eat inside. In Kenya, the most common primary pests are: larger grain borer, lesser grain borer, maize weevil, and rodents (rats and mice). Rodents feed on maize grain; controlled through rat guards when building granaries, or traps and baits.</t>
  </si>
  <si>
    <t>MAIZE-21</t>
  </si>
  <si>
    <t>Larger grain borer can cause 100% losses, Rats and mice cause significant damage, Use rat guards on granaries (1m above ground), Traps and baits for rodent control, Regular inspection detects pests early, Treat promptly with Actellic at first sign of infestation</t>
  </si>
  <si>
    <t>storage pests, larger grain borer, lesser grain borer, maize weevil, rodents, rat guards</t>
  </si>
  <si>
    <t>KALRO GAPS – Maize and Bean Intercrop / Maize GAPs</t>
  </si>
  <si>
    <t>Mould and aflatoxin control (Maize)</t>
  </si>
  <si>
    <t>Aflatoxin in maize is caused by moulds (Aspergillus species). Cooking or heating cannot destroy aflatoxins. The only way is to dry maize grain quickly after harvest to moisture levels of between 12 and 15% and ensure good ventilation.</t>
  </si>
  <si>
    <t>Aflatoxin CANNOT be destroyed by cooking or heating, Dry grain quickly to 12-15% moisture, Ensure good ventilation in storage, Regular inspection for mould growth, Separate mouldy grain from healthy grain</t>
  </si>
  <si>
    <t>https://www.kalro.org/navcdp/index.php/information-resoures/mobile-apps</t>
  </si>
  <si>
    <t>aflatoxin control, mould control, Aspergillus, moisture content, ventilation, mycotoxin prevention</t>
  </si>
  <si>
    <t>Good agricultural practices; intercrop management</t>
  </si>
  <si>
    <t>Mobile learning application</t>
  </si>
  <si>
    <t>PROCESSING, VALUE ADDITION AND UTILISATION (Maize)</t>
  </si>
  <si>
    <t>Maize in Kenya has three possible uses: Human food (85%), Livestock feed (3%), and Industrial use (particularly starch and oil manufacture).</t>
  </si>
  <si>
    <t>Mobile app</t>
  </si>
  <si>
    <t>Identify market demand before processing, Different uses require different quality standards, Processing adds value but requires investment, Diversify uses for better income</t>
  </si>
  <si>
    <t>processing, value addition, human food, livestock feed, industrial use, diversification</t>
  </si>
  <si>
    <t>UTILIZATION OF MAIZE AS HUMAN FOOD (Maize)</t>
  </si>
  <si>
    <t>Clean and well-dried maize is milled into flour, used to prepare porridge and maize meal (Ugali). Green maize can be roasted or boiled. Maize can also be mixed with beans and boiled - locally called githeri. Sometimes maize is pounded in a mortar to dehull the grains.</t>
  </si>
  <si>
    <t>Use clean dried grain for milling, Green maize requires timely harvest (silky flower turns black), Githeri is nutritious maize and bean mix, Dehulling improves digestibility, Process soon after harvest to maintain quality</t>
  </si>
  <si>
    <t>ugali, porridge, roasted maize, boiled maize, githeri, dehulling</t>
  </si>
  <si>
    <t>MAIZE-22</t>
  </si>
  <si>
    <t>Multilocation Evaluation for Yield and Yield Related Traits in Three-Way Cross Maize Hybrids in Kenya</t>
  </si>
  <si>
    <t>https://www.kalro.org/information-resources/publications/</t>
  </si>
  <si>
    <t>2021-09-10</t>
  </si>
  <si>
    <t>Household level processing (Maize)</t>
  </si>
  <si>
    <t>Clean and well-dried maize is milled into flour, which is used to prepare porridge and maize meal (Ugali). Green maize can be roasted or boiled. Maize can also be mixed with beans and boiled - locally called githeri. Sometimes the maize is pounded in a mortar to dehull the grains.</t>
  </si>
  <si>
    <t>Variety evaluation; yield; maize breeding</t>
  </si>
  <si>
    <t>Proper drying essential before milling, Clean maize produces better flour, Green maize market requires timely harvest, Githeri is a complete meal, Dehulling improves nutritional value</t>
  </si>
  <si>
    <t>Research/manual resource</t>
  </si>
  <si>
    <t>milling, flour, ugali, porridge, roasted maize, githeri</t>
  </si>
  <si>
    <t>PDF/Web</t>
  </si>
  <si>
    <t>Rainfed; breeding trials</t>
  </si>
  <si>
    <t>Researchers; breeders; extension officers</t>
  </si>
  <si>
    <t>Industrial processing (Maize)</t>
  </si>
  <si>
    <t>The main products of industrial processing of maize in Kenya are: Sifted maize flour, Edible oil, Breakfast cereals, Corn starch. Maize is dry milled to produce sifted maize flour and grits of different particle sizes processed into breakfast cereals and livestock feeds. During dry milling, the germ is extracted and processed into edible oil. The bran is processed into livestock feeds. Wet milling produces corn starch for food industry applications. Maize can also be fermented to provide alcoholic beverages.</t>
  </si>
  <si>
    <t>Industrial processing requires large quantities and capital investment, Different products need different processing methods, Quality standards are strict for export markets, Value addition offers higher returns, Consider niche markets for specialty products</t>
  </si>
  <si>
    <t>sifted flour, edible oil, breakfast cereals, corn starch, wet milling, dry milling</t>
  </si>
  <si>
    <t>Utilisation of maize stovers as livestock feed (Maize)</t>
  </si>
  <si>
    <t>The stalks, leaves, and other remains from the maize cobs are used to feed domestic animals especially dairy cattle. They are used both as crop residue and as silage. By-products of industrial maize milling are also used to manufacture commercial livestock feeds.</t>
  </si>
  <si>
    <t>Maize stover is valuable livestock feed - do not waste, Silage preserves nutritional value, Harvest stover after grain harvest, Avoid feeding mouldy stover to livestock, Commercial livestock feed from milling by-products</t>
  </si>
  <si>
    <t>maize stovers, livestock feed, dairy cattle, crop residue, silage, feed by-products</t>
  </si>
  <si>
    <t>Utilization of maize as fuel (Maize)</t>
  </si>
  <si>
    <t>The stalks and cobs are used as fuel particularly in rural areas. They are also used as organic manure.</t>
  </si>
  <si>
    <t>Stalks and cobs are valuable fuel source, Alternative to charcoal - more sustainable, Corn cobs burn well, Stalks can be used for cooking, Also use as organic manure for soil fertility</t>
  </si>
  <si>
    <t>maize fuel, stalks, cobs, firewood substitute, organic manure, sustainable energy</t>
  </si>
  <si>
    <t>Coast composite maize (CCM) - Coastal Lowlands Varieties</t>
  </si>
  <si>
    <t>Open-pollinated heat-tolerant variety with yield potential of 16-21 bags (90kg)/acre, resistant to common leaf rust. Medium maturity (110-120 days) with shiny flint kernels and good husk cover. Suitable for rain fed and irrigated conditions.</t>
  </si>
  <si>
    <t>Verify site-specific suitability for coastal lowlands only, Monitor rust resistance breakdown over time, Ensure adequate moisture during flowering, Follow recommended agronomic practices, Use certified seed for optimal performance</t>
  </si>
  <si>
    <t>open pollinated, heat tolerant, common rust resistant, medium maturity, coastal lowlands, high yielding</t>
  </si>
  <si>
    <t>WSQ104 - Coastal Lowlands Varieties</t>
  </si>
  <si>
    <t>QPM (Quality Protein Maize) variety containing nearly twice as much lysine and tryptophan (essential amino acids). Addresses protein deficiency in infants and school going children.</t>
  </si>
  <si>
    <t>Seed availability may be limited, Requires proper storage to maintain quality, Not a substitute for balanced diet, May have lower yields than commercial hybrids, Ensure proper processing to retain nutritional benefits</t>
  </si>
  <si>
    <t>QPM, lysine, tryptophan, protein deficiency, bio fortification, essential amino acids</t>
  </si>
  <si>
    <t>KH500Q - Coastal Lowlands Varieties</t>
  </si>
  <si>
    <t>QPM three-way cross hybrid with yield potential of 36 bags (90kg)/acre. Drought tolerant, resistant to gray leaf spot, northern leaf blight and maize streak virus (MSV). White dent grain, matures 90-120 days.</t>
  </si>
  <si>
    <t>Seed may have limited availability, Requires adequate fertilizer for optimal yields, Monitor for disease resistance durability, Ensure proper storage to prevent aflatoxin, Best suited for mid-altitude and coastal lowlands</t>
  </si>
  <si>
    <t>QPM, drought tolerant, disease resistant, high yielding, white dent, three-way hybrid</t>
  </si>
  <si>
    <t>Pwani Hybrid 4 (PH4) (Maize) - Coastal Lowlands Varieties</t>
  </si>
  <si>
    <t>Maize hybrid of medium maturity (120-150 days) with yield potential of 24 bags/acre. Tolerant to heat stress, partial resistance to MSV. Can be grown under rainfed and irrigation.</t>
  </si>
  <si>
    <t>Requires adequate moisture for optimal yields, Monitor for MSV infection, Heat stress tolerance does not eliminate need for proper agronomy, Best for coastal lowlands, Use certified seed only</t>
  </si>
  <si>
    <t>heat tolerant, MSV resistant, medium maturity, coastal lowlands, irrigated suitable, high yielding</t>
  </si>
  <si>
    <t>Pwani Hybrid 1 (PH1) (Maize) - Coastal Lowlands Varieties</t>
  </si>
  <si>
    <t>Maize hybrid with medium maturity (90-120 days), yield potential of 18 bags/acre. Tolerant to drought, resistant to most leaf and ear diseases. Excellent husk cover and lodging tolerant.</t>
  </si>
  <si>
    <t>Drought tolerance does not replace need for adequate moisture, Monitor for disease resistance durability, Lodging tolerance reduces but does not eliminate lodging risk, Lower yield potential than newer hybrids</t>
  </si>
  <si>
    <t>drought tolerant, lodging tolerant, disease resistant, medium maturity, coastal lowlands, excellent husk cover</t>
  </si>
  <si>
    <t>Shukran-16 (CKH08069) - Coastal Lowlands Varieties</t>
  </si>
  <si>
    <t>Three-way cross hybrid with yield potential of 25-30 bags/acre. Tolerant to drought and foliar diseases. Medium maturity (120 days). Suitable for coastal lowlands CL2, 3 and 4. Released 2017.</t>
  </si>
  <si>
    <t>Requires adequate soil fertility for optimal yields, Monitor for drought stress during critical growth stages, Not suitable for high altitude areas, Seed availability may vary, Use recommended spacing for best results</t>
  </si>
  <si>
    <t>drought tolerant, foliar disease resistance, medium maturity, coastal lowlands, three-way hybrid, released 2017</t>
  </si>
  <si>
    <t>WE2111 (Maize) - Coastal Lowlands Varieties</t>
  </si>
  <si>
    <t>Three-way hybrid with yield potential of 4.7-8.7 t/ha, matures in 4.5-5 months. Tolerant to drought, resistant to northern corn leaf blight, gray leaf spot, MSV. White grains with dent-like texture. Released 2015.</t>
  </si>
  <si>
    <t>Requires good soil fertility management, Monitor for disease resistance durability, Drought tolerance does not eliminate irrigation needs, Seed availability may be limited, Best suited for specific agro-ecological zones</t>
  </si>
  <si>
    <t>drought tolerant, disease resistant, northern leaf blight, gray leaf spot, MSV resistant, released 2015</t>
  </si>
  <si>
    <t>MTPEH0701 (Maize) - Coastal Lowlands Varieties</t>
  </si>
  <si>
    <t>Three-way cross hybrid of medium maturity (120-150 days), yield potential of 26 bags/acre. Resistant to large grain borer and maize weevil. Suitable for coastal lowlands CL2, 3 and 4. Released 2012.</t>
  </si>
  <si>
    <t>Storage pest resistance does not eliminate need for proper storage, Monitor for resistance durability, Not suitable for high altitude areas, Seed may have limited availability, Requires proper agronomic practices</t>
  </si>
  <si>
    <t>large grain borer resistant, maize weevil resistant, medium maturity, coastal lowlands, post-harvest benefit, released 2012</t>
  </si>
  <si>
    <t>MTPEH0702 (Maize) - Coastal Lowlands Varieties</t>
  </si>
  <si>
    <t>Three-way cross hybrid with yield potential of 26 bags/acre. Medium maturity (120-150 days). Resistant to large grain borer and maize weevil. Suitable for coastal lowlands CL2, 3 and 4. Released 2012.</t>
  </si>
  <si>
    <t>Storage pest resistance requires proper post-harvest handling, Monitor for resistance breakdown, Not for high altitude areas, Seed availability limited, Combine with hermetic storage for best results</t>
  </si>
  <si>
    <t>large grain borer resistant, maize weevil resistant, medium maturity, coastal lowlands, storage pest tolerance, released 2012</t>
  </si>
  <si>
    <t>MTPEH0703  (Maize) - Coastal Lowlands Varieties</t>
  </si>
  <si>
    <t>Three-way cross hybrid with yield potential of 26 bags/acre. Medium maturity (4-5 months). Resistant to spotted stem borers. Suitable for coastal lowlands CL2, 3 and 4. Released 2012.</t>
  </si>
  <si>
    <t>Stem borer resistance may not protect from other pests, Monitor for borer population changes, Not suitable for high altitudes, Seed availability may be limited, Requires proper crop rotation</t>
  </si>
  <si>
    <t>stem borer resistant, spotted stem borer, medium maturity, coastal lowlands, pest resistance, released 2012</t>
  </si>
  <si>
    <t>MTPEH200804  (Maize) - Coastal Lowlands Varieties</t>
  </si>
  <si>
    <t>Three-way cross hybrid with yield potential of 26 bags/acre. Medium maturity (120 days). Resistant to MSV and gray leaf spot. White cob. Suitable for coastal lowlands CL2, 3 and 4. Released 2012.</t>
  </si>
  <si>
    <t>Disease resistance may vary with disease pressure, Monitor for MSV infection, Not suitable for high altitude areas, Seed availability limited, Proper agronomy essential for optimal yields</t>
  </si>
  <si>
    <t>MSV resistant, gray leaf spot resistant, white cob, medium maturity, coastal lowlands, disease resistance</t>
  </si>
  <si>
    <t>MTPEH200805 - Coastal Lowlands Varieties</t>
  </si>
  <si>
    <t>Stay green three-way cross hybrid of medium maturity (120 days). Yield potential of 5-6.4 t/ha. Tolerant to drought, resistant to stem borers and gray leaf spot. Released 2012.</t>
  </si>
  <si>
    <t>Stay green trait does not guarantee drought escape, Monitor stem borer resistance durability, Requires adequate soil fertility, Best for low and medium altitude areas, Seed availability may be limited</t>
  </si>
  <si>
    <t>stay green, drought tolerant, stem borer resistant, gray leaf spot resistant, medium maturity, released 2012</t>
  </si>
  <si>
    <r>
      <rPr>
        <rFont val="Times New Roman"/>
        <color theme="1"/>
        <sz val="12.0"/>
      </rPr>
      <t>KCB (Katumani Composite B) - Medium Altitude - Dry Varieties</t>
    </r>
    <r>
      <rPr>
        <rFont val="Times New Roman"/>
        <b/>
        <color theme="1"/>
        <sz val="12.0"/>
      </rPr>
      <t xml:space="preserve"> </t>
    </r>
  </si>
  <si>
    <t>Open-pollinated variety with yield potential of 16-21 bags (90kg)/acre. Drought-escaping, early maturity (85-95 days). Resistant to stem borers.</t>
  </si>
  <si>
    <t>Lower yield than hybrids, Seed can be recycled but quality degrades, Requires timely planting to escape drought, Limited to dryland mid-altitude zones, Stem borer resistance may diminish over time</t>
  </si>
  <si>
    <t>open pollinated, drought escaping, early maturity, stem borer resistant, dryland, Katumani</t>
  </si>
  <si>
    <r>
      <rPr>
        <rFont val="Times New Roman"/>
        <color theme="1"/>
        <sz val="12.0"/>
      </rPr>
      <t>KDH6 SBR - Medium Altitude - Dry Varieties</t>
    </r>
    <r>
      <rPr>
        <rFont val="Times New Roman"/>
        <b/>
        <color theme="1"/>
        <sz val="12.0"/>
      </rPr>
      <t xml:space="preserve"> </t>
    </r>
  </si>
  <si>
    <t>Three-way cross hybrid of medium maturity (90-120 days). Yield potential of 5 t/ha. Tolerant to drought and low nitrogen, resistant to maize stem borers. Released 2008.</t>
  </si>
  <si>
    <t>Low nitrogen tolerance does not replace fertilizer needs, Monitor stem borer resistance, Best for dry mid-altitude zones, Seed availability may be limited, Requires proper spacing</t>
  </si>
  <si>
    <t>drought tolerant, low nitrogen tolerance, stem borer resistant, medium maturity, dryland, released 2008</t>
  </si>
  <si>
    <r>
      <rPr>
        <rFont val="Times New Roman"/>
        <color theme="1"/>
        <sz val="12.0"/>
      </rPr>
      <t>KH414-03 SBR - Medium Altitude - Dry Varieties</t>
    </r>
    <r>
      <rPr>
        <rFont val="Times New Roman"/>
        <b/>
        <color theme="1"/>
        <sz val="12.0"/>
      </rPr>
      <t xml:space="preserve"> </t>
    </r>
  </si>
  <si>
    <t>Three-way cross hybrid of medium maturity (90-120 days). Yield potential of 4 t/ha. Tolerant to stem borer. Released 2008.</t>
  </si>
  <si>
    <t>Lower yield potential than newer hybrids, Stem borer resistance may not be complete, Best for dry mid-altitude zones, Seed availability limited, Monitor for pest resistance</t>
  </si>
  <si>
    <t>stem borer tolerant, medium maturity, dryland, three-way hybrid, released 2008, moderate yield</t>
  </si>
  <si>
    <r>
      <rPr>
        <rFont val="Times New Roman"/>
        <color theme="1"/>
        <sz val="12.0"/>
      </rPr>
      <t>KDH414-11 (Ukamez 6) - Medium Altitude - Dry Varieties</t>
    </r>
    <r>
      <rPr>
        <rFont val="Times New Roman"/>
        <b/>
        <color theme="1"/>
        <sz val="12.0"/>
      </rPr>
      <t xml:space="preserve"> </t>
    </r>
  </si>
  <si>
    <t>Early maturing (90-100 days) three-way cross hybrid. Yield potential of 4.6-7.5 t/ha. Drought tolerant, resistant to gray leaf spot, northern leaf blight and MSV. Released 2017.</t>
  </si>
  <si>
    <t>Early maturity may sacrifice yield, Drought tolerance not absolute, Requires good soil fertility, Monitor disease resistance, Best for dry mid-altitude zones</t>
  </si>
  <si>
    <t>early maturity, drought tolerant, disease resistant, Ukamez 6, high yielding, released 2017</t>
  </si>
  <si>
    <r>
      <rPr>
        <rFont val="Times New Roman"/>
        <color theme="1"/>
        <sz val="12.0"/>
      </rPr>
      <t>KDH414-12 (Ukamez 7) - Medium Altitude - Dry Varieties</t>
    </r>
    <r>
      <rPr>
        <rFont val="Times New Roman"/>
        <b/>
        <color theme="1"/>
        <sz val="12.0"/>
      </rPr>
      <t xml:space="preserve"> </t>
    </r>
  </si>
  <si>
    <t>Stay green, drought tolerant, early maturing (90-100 days) three-way cross hybrid. Yield potential of 4.3-7.8 t/ha. Resistant to gray leaf spot, northern leaf blight and MSV. Good for livestock feed. Released 2017.</t>
  </si>
  <si>
    <t>Stay green trait good for silage but not yield guarantee, Drought tolerance varies with stress severity, Requires adequate fertility, Monitor disease resistance, Best for dry mid-altitude zones</t>
  </si>
  <si>
    <t>stay green, drought tolerant, disease resistant, livestock feed, Ukamez 7, early maturity</t>
  </si>
  <si>
    <r>
      <rPr>
        <rFont val="Times New Roman"/>
        <color theme="1"/>
        <sz val="12.0"/>
      </rPr>
      <t>WE2109 - Medium Altitude - Dry Varieties</t>
    </r>
    <r>
      <rPr>
        <rFont val="Times New Roman"/>
        <b/>
        <color theme="1"/>
        <sz val="12.0"/>
      </rPr>
      <t xml:space="preserve"> </t>
    </r>
  </si>
  <si>
    <t>Three-way hybrid with yield potential of 5.0-9.6 t/ha. Matures in 4.5-5 months. Tolerant to drought, resistant to northern leaf blight, gray leaf spot and MSV. White grains with dent-like texture. Released 2015.</t>
  </si>
  <si>
    <t>Wide yield range depends on management, Monitor disease resistance durability, Best for dry mid-altitude and coastal lowlands, Seed availability may be limited, Requires optimal fertilizer application</t>
  </si>
  <si>
    <t>drought tolerant, disease resistant, white dent, medium maturity, wide adaptation, released 2015</t>
  </si>
  <si>
    <r>
      <rPr>
        <rFont val="Times New Roman"/>
        <color theme="1"/>
        <sz val="12.0"/>
      </rPr>
      <t>WE2101 - Medium Altitude - Moist Varieties</t>
    </r>
    <r>
      <rPr>
        <rFont val="Times New Roman"/>
        <b/>
        <color theme="1"/>
        <sz val="12.0"/>
      </rPr>
      <t xml:space="preserve"> </t>
    </r>
  </si>
  <si>
    <t>White cob three-way cross hybrid with yield potential of 6.9 t/ha. Matures in 4.5 months. Resistant to northern leaf blight, MSV and gray leaf spot. Good husk cover. Released 2015.</t>
  </si>
  <si>
    <t>Requires good rainfall or irrigation, Monitor disease resistance durability, Best for moist mid-altitude zones, Seed availability may be limited, Proper fertilizer essential</t>
  </si>
  <si>
    <t>white cob, disease resistant, medium maturity, moist mid-altitude, good husk cover, released 2015</t>
  </si>
  <si>
    <r>
      <rPr>
        <rFont val="Times New Roman"/>
        <color theme="1"/>
        <sz val="12.0"/>
      </rPr>
      <t>WE2104 - Medium Altitude - Moist Varieties</t>
    </r>
    <r>
      <rPr>
        <rFont val="Times New Roman"/>
        <b/>
        <color theme="1"/>
        <sz val="12.0"/>
      </rPr>
      <t xml:space="preserve"> </t>
    </r>
  </si>
  <si>
    <t>White cob three-way cross hybrid with yield potential of 7.16 t/ha. Matures in 4.5 months. Resistant to northern leaf blight, MSV and gray leaf spot. Good husk cover. Released 2015.</t>
  </si>
  <si>
    <t>Higher yield requires good management, Monitor disease resistance, Best for moist mid-altitude zones, Requires adequate moisture, Seed availability may vary</t>
  </si>
  <si>
    <t>white cob, high yielding, disease resistant, medium maturity, moist mid-altitude, good husk cover</t>
  </si>
  <si>
    <r>
      <rPr>
        <rFont val="Times New Roman"/>
        <color theme="1"/>
        <sz val="12.0"/>
      </rPr>
      <t>WE2107 - Medium Altitude - Moist Varieties</t>
    </r>
    <r>
      <rPr>
        <rFont val="Times New Roman"/>
        <b/>
        <color theme="1"/>
        <sz val="12.0"/>
      </rPr>
      <t xml:space="preserve"> </t>
    </r>
  </si>
  <si>
    <t>White cob three-way cross hybrid with yield potential of 7 t/ha. Matures in 4.5 months. Resistant to northern leaf blight, MSV and gray leaf spot. Good husk cover. Released 2015.</t>
  </si>
  <si>
    <t>Requires good rainfall distribution, Monitor for disease resistance breakdown, Best for moist mid-altitude, Proper agronomy essential, Seed availability limited</t>
  </si>
  <si>
    <r>
      <rPr>
        <rFont val="Times New Roman"/>
        <color theme="1"/>
        <sz val="12.0"/>
      </rPr>
      <t>WE2108 - Medium Altitude - Moist Varieties</t>
    </r>
    <r>
      <rPr>
        <rFont val="Times New Roman"/>
        <b/>
        <color theme="1"/>
        <sz val="12.0"/>
      </rPr>
      <t xml:space="preserve"> </t>
    </r>
  </si>
  <si>
    <t>Three-way cross hybrid with yield potential of 6.9 t/ha. Matures in 4.5 months. Resistant to northern leaf blight, MSV and gray leaf spot. Good husk cover. Released 2015.</t>
  </si>
  <si>
    <t>Monitor disease resistance, Requires adequate moisture, Best for moist mid-altitude zones, Proper fertilizer application needed, Seed availability may be limited</t>
  </si>
  <si>
    <t>disease resistant, medium maturity, moist mid-altitude, good husk cover, high yielding, released 2015</t>
  </si>
  <si>
    <r>
      <rPr>
        <rFont val="Times New Roman"/>
        <color theme="1"/>
        <sz val="12.0"/>
      </rPr>
      <t>WE5206 -Medium Altitude - Moist Varieties</t>
    </r>
    <r>
      <rPr>
        <rFont val="Times New Roman"/>
        <b/>
        <color theme="1"/>
        <sz val="12.0"/>
      </rPr>
      <t xml:space="preserve"> </t>
    </r>
  </si>
  <si>
    <t>Drought tolerant, medium maturing (105-130 days) three-way cross hybrid. Yield potential of 9 t/ha. Resistant to northern leaf blight, MSV and gray leaf spot. Released 2017.</t>
  </si>
  <si>
    <t>Drought tolerance not absolute, Highest yield requires optimal conditions, Monitor disease resistance, Best for moist mid-altitude, Requires good soil fertility</t>
  </si>
  <si>
    <t>drought tolerant, high yielding, disease resistant, medium maturity, moist mid-altitude, released 2017</t>
  </si>
  <si>
    <r>
      <rPr>
        <rFont val="Times New Roman"/>
        <color theme="1"/>
        <sz val="12.0"/>
      </rPr>
      <t>WE5230 - Medium Altitude - Moist Varieties</t>
    </r>
    <r>
      <rPr>
        <rFont val="Times New Roman"/>
        <b/>
        <color theme="1"/>
        <sz val="12.0"/>
      </rPr>
      <t xml:space="preserve"> </t>
    </r>
  </si>
  <si>
    <t>Drought tolerant, medium maturing (105-130 days) three-way cross hybrid. Yield potential of 8 t/ha. Resistant to northern leaf blight, MSV and gray leaf spot. Released 2017.</t>
  </si>
  <si>
    <t>Yield varies with management, Monitor disease resistance, Best for moist mid-altitude, Requires adequate moisture, Seed availability may be limited</t>
  </si>
  <si>
    <r>
      <rPr>
        <rFont val="Times New Roman"/>
        <color theme="1"/>
        <sz val="12.0"/>
      </rPr>
      <t>EMB225 – KBEST - Medium Altitude - Moist Varieties</t>
    </r>
    <r>
      <rPr>
        <rFont val="Times New Roman"/>
        <b/>
        <color theme="1"/>
        <sz val="12.0"/>
      </rPr>
      <t xml:space="preserve"> </t>
    </r>
  </si>
  <si>
    <t>Early maturing (90-120 days) three-way cross hybrid. Yield potential of 4.6 t/ha. Resistant to northern leaf blight, MSV and leaf rust. Altitude: 1000-1800m. Released 2015.</t>
  </si>
  <si>
    <t>Lower yield than later maturing hybrids, Early maturity may sacrifice yield, Suitable for specific altitude range, Monitor disease resistance, Best for Embu and surrounding areas</t>
  </si>
  <si>
    <t>early maturity, disease resistant, moderate yield, altitude 1000-1800m, released 2015, KBEST</t>
  </si>
  <si>
    <r>
      <rPr>
        <rFont val="Times New Roman"/>
        <color theme="1"/>
        <sz val="12.0"/>
      </rPr>
      <t>EMB 226 - EMBU POA - Medium Altitude - Moist Varieties</t>
    </r>
    <r>
      <rPr>
        <rFont val="Times New Roman"/>
        <b/>
        <color theme="1"/>
        <sz val="12.0"/>
      </rPr>
      <t xml:space="preserve"> </t>
    </r>
  </si>
  <si>
    <t>Stay green, early maturing (90-120 days) three-way cross hybrid. Yield potential of 6.5 t/ha. Resistant to northern leaf blight. Altitude: 1200-1800m. Released 2015.</t>
  </si>
  <si>
    <t>Stay green trait benefits silage, Monitor other diseases not listed, Best for specific altitude range, Requires adequate fertility, Seed availability may be limited</t>
  </si>
  <si>
    <t>stay green, early maturity, northern leaf blight resistant, altitude 1200-1800m, released 2015, EMBU POA</t>
  </si>
  <si>
    <r>
      <rPr>
        <rFont val="Times New Roman"/>
        <color theme="1"/>
        <sz val="12.0"/>
      </rPr>
      <t>KH500-40E - Medium Altitude - Moist Varieties</t>
    </r>
    <r>
      <rPr>
        <rFont val="Times New Roman"/>
        <b/>
        <color theme="1"/>
        <sz val="12.0"/>
      </rPr>
      <t xml:space="preserve"> </t>
    </r>
  </si>
  <si>
    <t>Medium maturing (120-130 days) three-way cross hybrid. Yield potential of 7 t/ha. Tolerant to drought and low nitrogen. Released 2008.</t>
  </si>
  <si>
    <t>Low nitrogen tolerance not a substitute for fertilizer, Drought tolerance varies, Monitor for other stresses, Best for mid-altitude, Seed availability may be limited</t>
  </si>
  <si>
    <t>drought tolerant, low nitrogen tolerance, medium maturity, three-way hybrid, released 2008, moderate yield</t>
  </si>
  <si>
    <r>
      <rPr>
        <rFont val="Times New Roman"/>
        <color theme="1"/>
        <sz val="12.0"/>
      </rPr>
      <t>KH500-39E - Medium Altitude - Moist Varieties</t>
    </r>
    <r>
      <rPr>
        <rFont val="Times New Roman"/>
        <b/>
        <color theme="1"/>
        <sz val="12.0"/>
      </rPr>
      <t xml:space="preserve"> </t>
    </r>
  </si>
  <si>
    <t>Three-way cross hybrid with yield potential of 8-10 t/ha. Tolerant to drought and foliar diseases. Medium maturity (120 days). Suitable for Mt Kenya region. Released 2017/18.</t>
  </si>
  <si>
    <t>High yield requires optimal management, Monitor foliar disease resistance, Best for Mt Kenya region, Requires good rainfall, Proper fertilizer essential</t>
  </si>
  <si>
    <t>high yielding, drought tolerant, foliar disease tolerance, Mt Kenya region, medium maturity, released 2017</t>
  </si>
  <si>
    <r>
      <rPr>
        <rFont val="Times New Roman"/>
        <color theme="1"/>
        <sz val="12.0"/>
      </rPr>
      <t>KH500-56A (KM1101) - Medium Altitude - Moist Varieties</t>
    </r>
    <r>
      <rPr>
        <rFont val="Times New Roman"/>
        <b/>
        <color theme="1"/>
        <sz val="12.0"/>
      </rPr>
      <t xml:space="preserve"> </t>
    </r>
  </si>
  <si>
    <t>White cob flint to intermediate three-way cross hybrid. Yield potential of 6.5 t/ha, matures 5-6 months. Resistant to MSV and gray leaf spot. Released 2017.</t>
  </si>
  <si>
    <t>Longer maturity may be disadvantage in some areas, Monitor MSV resistance, Best for specific zones, Requires adequate moisture, Seed availability may be limited</t>
  </si>
  <si>
    <t>white cob, MSV resistant, gray leaf spot resistant, longer maturity, three-way hybrid, released 2017</t>
  </si>
  <si>
    <r>
      <rPr>
        <rFont val="Times New Roman"/>
        <color theme="1"/>
        <sz val="12.0"/>
      </rPr>
      <t>KH500-Q - Medium Altitude - Moist Varieties</t>
    </r>
    <r>
      <rPr>
        <rFont val="Times New Roman"/>
        <b/>
        <color theme="1"/>
        <sz val="12.0"/>
      </rPr>
      <t xml:space="preserve"> </t>
    </r>
  </si>
  <si>
    <t>Three-way cross hybrid with yield potential of 8-10 t/ha. Tolerant to drought and foliar diseases. Medium maturity (120 days). QPM variety (Quality Protein Maize). Released 2017/18.</t>
  </si>
  <si>
    <t>High yield requires good management, QPM nutritional benefit requires proper processing, Monitor disease resistance, Best for moist mid-altitude, Seed availability may be limited</t>
  </si>
  <si>
    <t>QPM, high yielding, drought tolerant, foliar disease tolerance, medium maturity, released 2017</t>
  </si>
  <si>
    <r>
      <rPr>
        <rFont val="Times New Roman"/>
        <color theme="1"/>
        <sz val="12.0"/>
      </rPr>
      <t>WE2106 - Medium Altitude - Transitional Varieties</t>
    </r>
    <r>
      <rPr>
        <rFont val="Times New Roman"/>
        <b/>
        <color theme="1"/>
        <sz val="12.0"/>
      </rPr>
      <t xml:space="preserve"> </t>
    </r>
  </si>
  <si>
    <t>White cob dent type, drought tolerant three-way cross hybrid. Yield potential of 4.7-9.1 t/ha, matures 4.5-5 months. Resistant to northern leaf blight, gray leaf spot and MSV. Released 2015.</t>
  </si>
  <si>
    <t>Wide yield range depends on management, Monitor disease resistance, Best for transitional zones, Requires adequate moisture, Seed availability may be limited</t>
  </si>
  <si>
    <t>white dent, drought tolerant, disease resistant, transitional zone, wide yield range, released 2015</t>
  </si>
  <si>
    <r>
      <rPr>
        <rFont val="Times New Roman"/>
        <color theme="1"/>
        <sz val="12.0"/>
      </rPr>
      <t>WE3104 ­- Medium Altitude - Transitional Varieties</t>
    </r>
    <r>
      <rPr>
        <rFont val="Times New Roman"/>
        <b/>
        <color theme="1"/>
        <sz val="12.0"/>
      </rPr>
      <t xml:space="preserve"> </t>
    </r>
  </si>
  <si>
    <t>White cob three-way cross hybrid with yield potential of 5.6 t/ha. Matures in 4 months. Resistant to northern leaf blight, MSV and gray leaf spot. Released 2015.</t>
  </si>
  <si>
    <t>Shorter maturity may sacrifice yield, Monitor disease resistance, Best for transitional zones, Requires good soil fertility, Seed availability limited</t>
  </si>
  <si>
    <t>white cob, early maturity, disease resistant, transitional zone, moderate yield, released 2015</t>
  </si>
  <si>
    <r>
      <rPr>
        <rFont val="Times New Roman"/>
        <color theme="1"/>
        <sz val="12.0"/>
      </rPr>
      <t>WE3106 - Medium Altitude - Transitional Varieties</t>
    </r>
    <r>
      <rPr>
        <rFont val="Times New Roman"/>
        <b/>
        <color theme="1"/>
        <sz val="12.0"/>
      </rPr>
      <t xml:space="preserve"> </t>
    </r>
  </si>
  <si>
    <t>White cob three-way cross hybrid with yield potential of 3.28 t/ha. Matures in 4 months. Resistant to northern leaf blight, MSV and gray leaf spot. Released 2015.</t>
  </si>
  <si>
    <t>Lower yield potential, Early maturity good for moisture stress areas, Monitor disease resistance, Best for transitional zones, Requires proper management</t>
  </si>
  <si>
    <t>white cob, early maturity, disease resistant, transitional zone, lower yield, released 2015</t>
  </si>
  <si>
    <r>
      <rPr>
        <rFont val="Times New Roman"/>
        <color theme="1"/>
        <sz val="12.0"/>
      </rPr>
      <t>WE5107 - Medium Altitude - Transitional Varieties</t>
    </r>
    <r>
      <rPr>
        <rFont val="Times New Roman"/>
        <b/>
        <color theme="1"/>
        <sz val="12.0"/>
      </rPr>
      <t xml:space="preserve"> </t>
    </r>
  </si>
  <si>
    <t>White cob, drought tolerant three-way cross hybrid. Yield potential of 3.7-7.2 t/ha, early maturity (105-130 days). Resistant to northern leaf blight, gray leaf spot and MSV. Released 2017.</t>
  </si>
  <si>
    <t>Wide yield range depends on environment, Monitor disease resistance, Best for transitional zones, Requires adequate fertility, Seed availability may be limited</t>
  </si>
  <si>
    <t>drought tolerant, early maturity, disease resistant, white cob, transitional zone, released 2017</t>
  </si>
  <si>
    <r>
      <rPr>
        <rFont val="Times New Roman"/>
        <color theme="1"/>
        <sz val="12.0"/>
      </rPr>
      <t>WE5113 - Medium Altitude - Transitional Varieties</t>
    </r>
    <r>
      <rPr>
        <rFont val="Times New Roman"/>
        <b/>
        <color theme="1"/>
        <sz val="12.0"/>
      </rPr>
      <t xml:space="preserve"> </t>
    </r>
  </si>
  <si>
    <t>White cob, drought tolerant three-way cross hybrid. Yield potential of 3.7-7.3 t/ha, early maturity (105-130 days). Resistant to northern leaf blight, gray leaf spot and MSV. Released 2017.</t>
  </si>
  <si>
    <t>Yield varies with rainfall patterns, Monitor disease resistance, Best for transitional zones, Requires good agronomic practices, Seed availability limited</t>
  </si>
  <si>
    <r>
      <rPr>
        <rFont val="Times New Roman"/>
        <color theme="1"/>
        <sz val="12.0"/>
      </rPr>
      <t>WE5138 - Medium Altitude - Transitional Varieties</t>
    </r>
    <r>
      <rPr>
        <rFont val="Times New Roman"/>
        <b/>
        <color theme="1"/>
        <sz val="12.0"/>
      </rPr>
      <t xml:space="preserve"> </t>
    </r>
  </si>
  <si>
    <t>White cob drought tolerant three-way cross hybrid. Yield potential of 4-6.5 t/ha, early maturity (105-130 days). Resistant to northern leaf blight, gray leaf spot and MSV. Released 2017.</t>
  </si>
  <si>
    <t>Moderate yield potential, Monitor disease resistance, Best for transitional zones, Requires adequate moisture, Seed availability may be limited</t>
  </si>
  <si>
    <r>
      <rPr>
        <rFont val="Times New Roman"/>
        <color theme="1"/>
        <sz val="12.0"/>
      </rPr>
      <t>WE5205 - Medium Altitude - Transitional Varieties</t>
    </r>
    <r>
      <rPr>
        <rFont val="Times New Roman"/>
        <b/>
        <color theme="1"/>
        <sz val="12.0"/>
      </rPr>
      <t xml:space="preserve"> </t>
    </r>
  </si>
  <si>
    <t>White cob drought tolerant three-way cross hybrid. Yield potential of 7.4-9.6 t/ha, early maturity (105-130 days). Resistant to northern leaf blight, gray leaf spot and MSV. Released 2017.</t>
  </si>
  <si>
    <t>High yield requires optimal conditions, Monitor disease resistance, Best for transitional zones, Requires good fertility, Proper management essential</t>
  </si>
  <si>
    <t>high yielding, drought tolerant, disease resistant, early maturity, transitional zone, released 2017</t>
  </si>
  <si>
    <r>
      <rPr>
        <rFont val="Times New Roman"/>
        <color theme="1"/>
        <sz val="12.0"/>
      </rPr>
      <t>WE5210 - Medium Altitude - Transitional Varieties</t>
    </r>
    <r>
      <rPr>
        <rFont val="Times New Roman"/>
        <b/>
        <color theme="1"/>
        <sz val="12.0"/>
      </rPr>
      <t xml:space="preserve"> </t>
    </r>
  </si>
  <si>
    <t>White cob, drought tolerant three-way cross hybrid. Yield potential of 7.6-10.0 t/ha, early maturity (105-130 days). Resistant to northern leaf blight, gray leaf spot and MSV. Released 2017.</t>
  </si>
  <si>
    <t>Highest yield requires excellent management, Monitor disease resistance, Best for transitional zones, Requires adequate rainfall, Seed availability may be limited</t>
  </si>
  <si>
    <r>
      <rPr>
        <rFont val="Times New Roman"/>
        <color theme="1"/>
        <sz val="12.0"/>
      </rPr>
      <t>WE5213 - Medium Altitude - Transitional Varieties</t>
    </r>
    <r>
      <rPr>
        <rFont val="Times New Roman"/>
        <b/>
        <color theme="1"/>
        <sz val="12.0"/>
      </rPr>
      <t xml:space="preserve"> </t>
    </r>
  </si>
  <si>
    <t>White cob, drought tolerant three-way cross hybrid. Yield potential of 7.5-9.6 t/ha, early maturity (105-120 days). Resistant to northern leaf blight, gray leaf spot and MSV. Released 2017.</t>
  </si>
  <si>
    <t>Shorter maturity within early range, Monitor disease resistance, Best for transitional zones, Requires good fertility, Seed availability limited</t>
  </si>
  <si>
    <r>
      <rPr>
        <rFont val="Times New Roman"/>
        <color theme="1"/>
        <sz val="12.0"/>
      </rPr>
      <t>WE5218 - Medium Altitude - Transitional Varieties</t>
    </r>
    <r>
      <rPr>
        <rFont val="Times New Roman"/>
        <b/>
        <color theme="1"/>
        <sz val="12.0"/>
      </rPr>
      <t xml:space="preserve"> </t>
    </r>
  </si>
  <si>
    <t>White cob, drought tolerant three-way cross hybrid. Yield potential of 7.3-9.1 t/ha, early maturity (105-125 days). Resistant to northern leaf blight, gray leaf spot and MSV. Released 2017.</t>
  </si>
  <si>
    <t>Yield depends on management, Monitor disease resistance, Best for transitional zones, Requires adequate moisture, Proper fertilizer application needed</t>
  </si>
  <si>
    <t>drought tolerant, disease resistant, early maturity, transitional zone, white cob, released 2017</t>
  </si>
  <si>
    <r>
      <rPr>
        <rFont val="Times New Roman"/>
        <color theme="1"/>
        <sz val="12.0"/>
      </rPr>
      <t>WE5227 - Medium Altitude - Transitional Varieties</t>
    </r>
    <r>
      <rPr>
        <rFont val="Times New Roman"/>
        <b/>
        <color theme="1"/>
        <sz val="12.0"/>
      </rPr>
      <t xml:space="preserve"> </t>
    </r>
  </si>
  <si>
    <t>White cob, drought tolerant three-way cross hybrid. Yield potential of 7.5-9.5 t/ha, early maturity (105-130 days). Resistant to northern leaf blight, gray leaf spot and MSV. Released 2017.</t>
  </si>
  <si>
    <t>High yield requires optimal conditions, Monitor disease resistance, Best for transitional zones, Requires good soil fertility, Seed availability may be limited</t>
  </si>
  <si>
    <r>
      <rPr>
        <rFont val="Times New Roman"/>
        <color theme="1"/>
        <sz val="12.0"/>
      </rPr>
      <t>KH500-13E - Medium Altitude - Transitional Varieties</t>
    </r>
    <r>
      <rPr>
        <rFont val="Times New Roman"/>
        <b/>
        <color theme="1"/>
        <sz val="12.0"/>
      </rPr>
      <t xml:space="preserve"> </t>
    </r>
  </si>
  <si>
    <t>White cob, drought tolerant three-way cross hybrid. Yield potential of 4.5-5.3 t/ha. Medium maturity (120 days), resistant to ear rot, northern leaf blight, gray leaf spot and MSV. Released 2017.</t>
  </si>
  <si>
    <t>Moderate yield potential, Monitor ear rot resistance, Best for transitional zones, Requires adequate moisture, Proper storage essential for ear rot prevention</t>
  </si>
  <si>
    <t>drought tolerant, ear rot resistant, disease resistant, medium maturity, transitional zone, released 2017</t>
  </si>
  <si>
    <r>
      <rPr>
        <rFont val="Times New Roman"/>
        <color theme="1"/>
        <sz val="12.0"/>
      </rPr>
      <t>KH500-51A (MU07-018) - Medium Altitude - Transitional Varieties</t>
    </r>
    <r>
      <rPr>
        <rFont val="Times New Roman"/>
        <b/>
        <color theme="1"/>
        <sz val="12.0"/>
      </rPr>
      <t xml:space="preserve"> </t>
    </r>
  </si>
  <si>
    <t>White cob flint-like three-way cross hybrid. Yield potential of 6.0-6.5 t/ha, matures 150-170 days. Resistant to northern leaf blight, gray leaf spot and MSV. Released 2015.</t>
  </si>
  <si>
    <t>Longer maturity requires longer growing season, Monitor disease resistance, Best for transitional zones with longer rains, Requires good fertility, Seed availability limited</t>
  </si>
  <si>
    <t>white flint, longer maturity, disease resistant, transitional zone, moderate yield, released 2015</t>
  </si>
  <si>
    <r>
      <rPr>
        <rFont val="Times New Roman"/>
        <color theme="1"/>
        <sz val="12.0"/>
      </rPr>
      <t>KH500-52A (MU08-005) - Medium Altitude - Transitional Varieties</t>
    </r>
    <r>
      <rPr>
        <rFont val="Times New Roman"/>
        <b/>
        <color theme="1"/>
        <sz val="12.0"/>
      </rPr>
      <t xml:space="preserve"> </t>
    </r>
  </si>
  <si>
    <t>White cob flint-like three-way cross hybrid. Yield potential of 4.39 t/ha, matures 4-5 months. Drought tolerant, resistant to northern leaf blight, gray leaf spot and MSV. Released 2015.</t>
  </si>
  <si>
    <t>Lower yield potential, Drought tolerance benefits dry areas, Monitor disease resistance, Best for transitional zones, Requires proper management</t>
  </si>
  <si>
    <t>drought tolerant, disease resistant, flint-like, transitional zone, moderate yield, released 2015</t>
  </si>
  <si>
    <r>
      <rPr>
        <rFont val="Times New Roman"/>
        <color theme="1"/>
        <sz val="12.0"/>
      </rPr>
      <t>KH500-53A (MU10-010) - Medium Altitude - Transitional Varieties</t>
    </r>
    <r>
      <rPr>
        <rFont val="Times New Roman"/>
        <b/>
        <color theme="1"/>
        <sz val="12.0"/>
      </rPr>
      <t xml:space="preserve"> </t>
    </r>
  </si>
  <si>
    <t>White cob flint-like three-way cross hybrid. Yield potential of 4.9-5.0 t/ha, matures 150-170 days. Drought tolerant, resistant to northern leaf blight, gray leaf spot and MSV. Released 2015.</t>
  </si>
  <si>
    <t>Longer maturity, Moderate yield, Monitor disease resistance, Best for specific transitional zones, Seed availability may be limited</t>
  </si>
  <si>
    <t>drought tolerant, disease resistant, longer maturity, flint-like, transitional zone, released 2015</t>
  </si>
  <si>
    <r>
      <rPr>
        <rFont val="Times New Roman"/>
        <color theme="1"/>
        <sz val="12.0"/>
      </rPr>
      <t>KH500-54A (CKH10778) - Medium Altitude - Transitional Varieties</t>
    </r>
    <r>
      <rPr>
        <rFont val="Times New Roman"/>
        <b/>
        <color theme="1"/>
        <sz val="12.0"/>
      </rPr>
      <t xml:space="preserve"> </t>
    </r>
  </si>
  <si>
    <t>White cob flint to intermediate three-way cross hybrid. Yield potential of 8.5 t/ha, matures 5-6 months. Resistant to MSV and gray leaf spot. Released 2017.</t>
  </si>
  <si>
    <t>High yield requires good management, Longer maturity, Monitor MSV resistance, Best for transitional zones, Requires adequate moisture</t>
  </si>
  <si>
    <t>high yielding, MSV resistant, gray leaf spot resistant, longer maturity, transitional zone, released 2017</t>
  </si>
  <si>
    <r>
      <rPr>
        <rFont val="Times New Roman"/>
        <color theme="1"/>
        <sz val="12.0"/>
      </rPr>
      <t>KH500-55A (MU10-233) - Medium Altitude - Transitional Varieties</t>
    </r>
    <r>
      <rPr>
        <rFont val="Times New Roman"/>
        <b/>
        <color theme="1"/>
        <sz val="12.0"/>
      </rPr>
      <t xml:space="preserve"> </t>
    </r>
  </si>
  <si>
    <t>White cob flint to intermediate three-way cross hybrid. Yield potential of 6.5 t/ha, matures 120-160 days. Tolerant to drought, resistant to MSV and gray leaf spot. Released 2016.</t>
  </si>
  <si>
    <t>Moderate yield, Monitor drought tolerance effectiveness, Best for transitional zones, Requires good fertility, Seed availability limited</t>
  </si>
  <si>
    <t>drought tolerant, MSV resistant, gray leaf spot resistant, transitional zone, moderate yield, released 2016</t>
  </si>
  <si>
    <r>
      <rPr>
        <rFont val="Times New Roman"/>
        <color theme="1"/>
        <sz val="12.0"/>
      </rPr>
      <t>KH600-11D - Highland Varieties</t>
    </r>
    <r>
      <rPr>
        <rFont val="Times New Roman"/>
        <b/>
        <color theme="1"/>
        <sz val="12.0"/>
      </rPr>
      <t xml:space="preserve"> </t>
    </r>
  </si>
  <si>
    <t>Varietal cross hybrid for altitude 1800-2500m, rainfall 1000-2000mm. White semi-flint grains, matures 140-160 days. Yield of 32-42 bags/acre. Resistant to Gray Leaf Spot. Released 1999.</t>
  </si>
  <si>
    <t>Suitable only for highland zones, Requires adequate rainfall, Monitor GLS resistance, Lower yield than newer hybrids, Seed availability limited</t>
  </si>
  <si>
    <t>highland, Gray Leaf Spot resistant, white semi-flint, medium-late maturity, moderate yield, released 1999</t>
  </si>
  <si>
    <r>
      <rPr>
        <rFont val="Times New Roman"/>
        <color theme="1"/>
        <sz val="12.0"/>
      </rPr>
      <t>KH600-23A - Highland Varieties</t>
    </r>
    <r>
      <rPr>
        <rFont val="Times New Roman"/>
        <b/>
        <color theme="1"/>
        <sz val="12.0"/>
      </rPr>
      <t xml:space="preserve"> </t>
    </r>
  </si>
  <si>
    <t>Top cross hybrid for altitude 1800-2500m, rainfall 1000-2000mm. White semi-flint grains, matures 145-175 days. Yield of 43-68 bags/acre. Resistant to rust and Gray Leaf Spot. Released 2008.</t>
  </si>
  <si>
    <t>Suitable only for highlands, Monitor rust and GLS resistance, Requires good rainfall, Best for high potential areas, Seed availability may be limited</t>
  </si>
  <si>
    <t>highland, rust resistant, Gray Leaf Spot resistant, high yielding, top cross hybrid, released 2008</t>
  </si>
  <si>
    <r>
      <rPr>
        <rFont val="Times New Roman"/>
        <color theme="1"/>
        <sz val="12.0"/>
      </rPr>
      <t>HAC (High Altitude Composite) - - Highland Varieties</t>
    </r>
    <r>
      <rPr>
        <rFont val="Times New Roman"/>
        <b/>
        <color theme="1"/>
        <sz val="12.0"/>
      </rPr>
      <t xml:space="preserve"> </t>
    </r>
  </si>
  <si>
    <t>Open pollinated variety (composite) for altitude 2200-3000m, rainfall 1000-2000mm. White semi-flint grains, matures 140-160 days. Yield of 20-34 bags/acre. Early maturity, frost tolerant, resistant to Gray Leaf Spot. Released 2006.</t>
  </si>
  <si>
    <t>Suitable for very high altitudes, Lower yield than hybrids, Seed can be recycled but quality degrades, Frost tolerance reduces but not eliminates frost risk, Monitor GLS resistance</t>
  </si>
  <si>
    <t>high altitude, frost tolerant, open pollinated, early maturity, Gray Leaf Spot resistant, released 2006</t>
  </si>
  <si>
    <r>
      <rPr>
        <rFont val="Times New Roman"/>
        <color theme="1"/>
        <sz val="12.0"/>
      </rPr>
      <t>KH600-14E - Highland Varieties</t>
    </r>
    <r>
      <rPr>
        <rFont val="Times New Roman"/>
        <b/>
        <color theme="1"/>
        <sz val="12.0"/>
      </rPr>
      <t xml:space="preserve"> </t>
    </r>
  </si>
  <si>
    <t>Top cross hybrid for altitude 1800-2500m, rainfall 1000-2000mm. White semi-flint grains, matures 150-165 days. Yield of 38-48 bags/acre. Drought tolerant, resistant to rust, Gray Leaf Spot and Turcicum leaf blight. Released 2004.</t>
  </si>
  <si>
    <t>Suitable for highlands, Drought tolerance for drier highland areas, Monitor disease resistance, Requires adequate moisture, Seed availability limited</t>
  </si>
  <si>
    <t>highland, drought tolerant, disease resistant, top cross hybrid, moderate-high yield, released 2004</t>
  </si>
  <si>
    <r>
      <rPr>
        <rFont val="Times New Roman"/>
        <color theme="1"/>
        <sz val="12.0"/>
      </rPr>
      <t>KH600-15A - Highland Varieties</t>
    </r>
    <r>
      <rPr>
        <rFont val="Times New Roman"/>
        <b/>
        <color theme="1"/>
        <sz val="12.0"/>
      </rPr>
      <t xml:space="preserve"> </t>
    </r>
  </si>
  <si>
    <t>Top cross hybrid for altitude 1800-2500m, rainfall 1000-2000mm. White semi-flint grains, matures 145-180 days. Yield of 33-47 bags/acre. Resistant to rust, blight and Gray Leaf Spot. Released 2001.</t>
  </si>
  <si>
    <t>Suitable for highlands, Wide maturity range, Monitor disease resistance, Requires good rainfall, Seed availability may be limited</t>
  </si>
  <si>
    <t>highland, disease resistant, top cross hybrid, medium-late maturity, moderate yield, released 2001</t>
  </si>
  <si>
    <r>
      <rPr>
        <rFont val="Times New Roman"/>
        <color theme="1"/>
        <sz val="12.0"/>
      </rPr>
      <t>KH600-16A - Highland Varieties</t>
    </r>
    <r>
      <rPr>
        <rFont val="Times New Roman"/>
        <b/>
        <color theme="1"/>
        <sz val="12.0"/>
      </rPr>
      <t xml:space="preserve"> </t>
    </r>
  </si>
  <si>
    <t>Top cross hybrid for altitude 1800-2500m, rainfall 1000-2000mm. White semi-flint grains, matures 140-180 days. Yield of 35-48 bags/acre. Resistant to MSV, blight, rust and Gray Leaf Spot. Released 2001.</t>
  </si>
  <si>
    <t>Suitable for highlands, Broad disease resistance, Monitor MSV in highlands, Requires good rainfall, Seed availability limited</t>
  </si>
  <si>
    <t>highland, MSV resistant, multi-disease resistant, moderate-high yield, top cross hybrid, released 2001</t>
  </si>
  <si>
    <r>
      <rPr>
        <rFont val="Times New Roman"/>
        <color theme="1"/>
        <sz val="12.0"/>
      </rPr>
      <t>KH600-17A - Highland Varieties</t>
    </r>
    <r>
      <rPr>
        <rFont val="Times New Roman"/>
        <b/>
        <color theme="1"/>
        <sz val="12.0"/>
      </rPr>
      <t xml:space="preserve"> </t>
    </r>
  </si>
  <si>
    <t>Varietal cross hybrid for altitude 1800-2500m, rainfall 1000-2000mm. White semi-flint grains, matures 140-160 days. Yield of 37-51 bags/acre. Resistant to blight and Gray Leaf Spot. Released 2002.</t>
  </si>
  <si>
    <t>Suitable for highlands, Monitor disease resistance, Requires good fertility, Best for high potential areas, Seed availability may be limited</t>
  </si>
  <si>
    <t>highland, disease resistant, varietal cross, moderate-high yield, medium maturity, released 2002</t>
  </si>
  <si>
    <r>
      <rPr>
        <rFont val="Times New Roman"/>
        <color theme="1"/>
        <sz val="12.0"/>
      </rPr>
      <t>KH600-18A - Highland Varieties</t>
    </r>
    <r>
      <rPr>
        <rFont val="Times New Roman"/>
        <b/>
        <color theme="1"/>
        <sz val="12.0"/>
      </rPr>
      <t xml:space="preserve"> </t>
    </r>
  </si>
  <si>
    <t>Varietal hybrid for altitude 1800-2500m, rainfall 1000-2000mm. White semi-flint grains, matures 155-170 days. Yield of 36-50 bags/acre. Resistant to blight and Gray Leaf Spot. Released 2004.</t>
  </si>
  <si>
    <t>Suitable for highlands, Monitor disease resistance, Requires good rainfall, Best for highland areas, Seed availability limited</t>
  </si>
  <si>
    <t>highland, disease resistant, varietal hybrid, moderate-high yield, medium-late maturity, released 2004</t>
  </si>
  <si>
    <r>
      <rPr>
        <rFont val="Times New Roman"/>
        <color theme="1"/>
        <sz val="12.0"/>
      </rPr>
      <t>KH600-19A - Highland Varieties</t>
    </r>
    <r>
      <rPr>
        <rFont val="Times New Roman"/>
        <b/>
        <color theme="1"/>
        <sz val="12.0"/>
      </rPr>
      <t xml:space="preserve"> </t>
    </r>
  </si>
  <si>
    <t>Double cross hybrid for altitude 1800-2500m, rainfall 1000-2000mm. White semi-flint grains, matures 160-175 days. Yield of 38-53 bags/acre. Resistant to blight and Gray Leaf Spot. Released 2005.</t>
  </si>
  <si>
    <t>Suitable for highlands, Longer maturity, Monitor disease resistance, Requires good rainfall, Seed availability may be limited</t>
  </si>
  <si>
    <t>highland, disease resistant, double cross hybrid, moderate-high yield, late maturity, released 2005</t>
  </si>
  <si>
    <r>
      <rPr>
        <rFont val="Times New Roman"/>
        <color theme="1"/>
        <sz val="12.0"/>
      </rPr>
      <t>KH600-20A - Highland Varieties</t>
    </r>
    <r>
      <rPr>
        <rFont val="Times New Roman"/>
        <b/>
        <color theme="1"/>
        <sz val="12.0"/>
      </rPr>
      <t xml:space="preserve"> </t>
    </r>
  </si>
  <si>
    <t>Top cross hybrid for altitude 1800-2500m, rainfall 1000-2000mm. White semi-flint grains, matures 160-180 days. Yield of 38-55 bags/acre. Strong stalks, resistant to rust, blight and Gray Leaf Spot. Released 2005.</t>
  </si>
  <si>
    <t>Suitable for highlands, Strong stalks reduce lodging, Longer maturity, Monitor disease resistance, Requires good rainfall</t>
  </si>
  <si>
    <t>highland, strong stalks, disease resistant, high yielding, late maturity, released 2005</t>
  </si>
  <si>
    <r>
      <rPr>
        <rFont val="Times New Roman"/>
        <color theme="1"/>
        <sz val="12.0"/>
      </rPr>
      <t>KH600-21A - Highland Varieties</t>
    </r>
    <r>
      <rPr>
        <rFont val="Times New Roman"/>
        <b/>
        <color theme="1"/>
        <sz val="12.0"/>
      </rPr>
      <t xml:space="preserve"> </t>
    </r>
  </si>
  <si>
    <t>Top cross hybrid for altitude 1800-2500m, rainfall 1000-2000mm. White semi-flint grains, matures 140-180 days. Yield of 38-62 bags/acre. Resistant to rust, blight and Gray Leaf Spot. Released 2006.</t>
  </si>
  <si>
    <t>Suitable for highlands, Wide maturity range, High yield potential, Monitor disease resistance, Requires good management</t>
  </si>
  <si>
    <t>highland, disease resistant, high yielding, top cross hybrid, medium-late maturity, released 2006</t>
  </si>
  <si>
    <r>
      <rPr>
        <rFont val="Times New Roman"/>
        <color theme="1"/>
        <sz val="12.0"/>
      </rPr>
      <t>KH600-22A - Highland Varieties</t>
    </r>
    <r>
      <rPr>
        <rFont val="Times New Roman"/>
        <b/>
        <color theme="1"/>
        <sz val="12.0"/>
      </rPr>
      <t xml:space="preserve"> </t>
    </r>
  </si>
  <si>
    <t>Top cross hybrid for altitude 1800-2500m, rainfall 1000-2000mm. White semi-flint grains, matures 140-180 days. Yield of 40-66 bags/acre. Resistant to Gray Leaf Spot with good husk cover. Released 2006.</t>
  </si>
  <si>
    <t>Suitable for highlands, Good husk cover reduces ear rots, Monitor GLS resistance, Requires good management, Seed availability limited</t>
  </si>
  <si>
    <t>highland, good husk cover, Gray Leaf Spot resistant, high yielding, top cross hybrid, released 2006</t>
  </si>
  <si>
    <r>
      <rPr>
        <rFont val="Times New Roman"/>
        <color theme="1"/>
        <sz val="12.0"/>
      </rPr>
      <t>KH600-24A - Highland Varieties</t>
    </r>
    <r>
      <rPr>
        <rFont val="Times New Roman"/>
        <b/>
        <color theme="1"/>
        <sz val="12.0"/>
      </rPr>
      <t xml:space="preserve"> </t>
    </r>
  </si>
  <si>
    <t>Top cross hybrid for altitude 1800-2500m, rainfall 1000-2000mm. White semi-flint grains, matures 140-160 days. Yield of 47-69 bags/acre. Resistant to Gray Leaf Spot, rust, blight. Released 2001.</t>
  </si>
  <si>
    <t>Suitable for highlands, Very high yield potential, Monitor disease resistance, Requires excellent management, Seed availability may be limited</t>
  </si>
  <si>
    <t>highland, disease resistant, very high yielding, top cross hybrid, medium maturity, released 2001</t>
  </si>
  <si>
    <r>
      <rPr>
        <rFont val="Times New Roman"/>
        <color theme="1"/>
        <sz val="12.0"/>
      </rPr>
      <t>KH600-25A - Highland Varieties</t>
    </r>
    <r>
      <rPr>
        <rFont val="Times New Roman"/>
        <b/>
        <color theme="1"/>
        <sz val="12.0"/>
      </rPr>
      <t xml:space="preserve"> </t>
    </r>
  </si>
  <si>
    <t>Top cross hybrid for altitude 1800-2500m, rainfall 1000-2000mm. White semi-flint grains, matures 140-165 days. Yield of 49-70 bags/acre. Resistant to Gray Leaf Spot, rust, blight. Released 2015.</t>
  </si>
  <si>
    <t>Suitable for highlands, High yield potential, Monitor disease resistance, Requires good rainfall and fertility, Best for high potential highlands</t>
  </si>
  <si>
    <t>highland, disease resistant, very high yielding, top cross hybrid, medium maturity, released 2015</t>
  </si>
  <si>
    <r>
      <rPr>
        <rFont val="Times New Roman"/>
        <color theme="1"/>
        <sz val="12.0"/>
      </rPr>
      <t>KH600-26A - Highland Varieties</t>
    </r>
    <r>
      <rPr>
        <rFont val="Times New Roman"/>
        <b/>
        <color theme="1"/>
        <sz val="12.0"/>
      </rPr>
      <t xml:space="preserve"> </t>
    </r>
  </si>
  <si>
    <t>Top cross hybrid for altitude 1800-2500m, rainfall 1000-2000mm. White semi-flint grains, matures 142-170 days. Yield of 51-70 bags/acre. Resistant to Gray Leaf Spot, rust, blight. Released 2015.</t>
  </si>
  <si>
    <t>Suitable for highlands, Very high yield, Monitor disease resistance, Requires optimal management, Seed availability limited</t>
  </si>
  <si>
    <t>highland, disease resistant, high yielding, top cross hybrid, medium-late maturity, released 2015</t>
  </si>
  <si>
    <r>
      <rPr>
        <rFont val="Times New Roman"/>
        <color theme="1"/>
        <sz val="12.0"/>
      </rPr>
      <t>KH600-27A - Highland Varieties</t>
    </r>
    <r>
      <rPr>
        <rFont val="Times New Roman"/>
        <b/>
        <color theme="1"/>
        <sz val="12.0"/>
      </rPr>
      <t xml:space="preserve"> </t>
    </r>
  </si>
  <si>
    <t>Top cross hybrid for altitude 1800-2500m, rainfall 1000-2000mm. White semi-flint grains, matures 145-175 days. Yield of 53-71 bags/acre. Resistant to Gray Leaf Spot, rust, blight. Released 2015.</t>
  </si>
  <si>
    <t>Suitable for highlands, Highest yield potential in series, Monitor disease resistance, Requires excellent management, Best for high potential areas</t>
  </si>
  <si>
    <t>highland, disease resistant, highest yielding, top cross hybrid, medium-late maturity, released 2015</t>
  </si>
  <si>
    <r>
      <rPr>
        <rFont val="Times New Roman"/>
        <color theme="1"/>
        <sz val="12.0"/>
      </rPr>
      <t>H614D - Highland Varieties</t>
    </r>
    <r>
      <rPr>
        <rFont val="Times New Roman"/>
        <b/>
        <color theme="1"/>
        <sz val="12.0"/>
      </rPr>
      <t xml:space="preserve"> </t>
    </r>
  </si>
  <si>
    <t>Top cross hybrid for altitude 1800-2500m, rainfall 1000-2000mm. White semi-flint grains, matures 145-175 days. Yield of 30-35 bags/acre. Drought tolerant, resistant to blight, rust and Gray Leaf Spot. Released 1986.</t>
  </si>
  <si>
    <t>Older variety, Lower yield than newer hybrids, Drought tolerance for highlands, Monitor disease resistance, Seed availability limited</t>
  </si>
  <si>
    <t>highland, drought tolerant, disease resistant, older variety, moderate yield, released 1986</t>
  </si>
  <si>
    <r>
      <rPr>
        <rFont val="Times New Roman"/>
        <color theme="1"/>
        <sz val="12.0"/>
      </rPr>
      <t>H626 - Highland Varieties</t>
    </r>
    <r>
      <rPr>
        <rFont val="Times New Roman"/>
        <b/>
        <color theme="1"/>
        <sz val="12.0"/>
      </rPr>
      <t xml:space="preserve"> </t>
    </r>
  </si>
  <si>
    <t>Double cross hybrid for altitude 1800-2500m, rainfall 1000-2000mm. White semi-flint grains, matures 160-180 days. Yield of 38-42 bags/acre. Strong stalks, resistant to rust and blight. Released 1989.</t>
  </si>
  <si>
    <t>Older variety, Late maturity, Strong stalks reduce lodging, Monitor disease resistance, Seed production by Kenya Seed Company</t>
  </si>
  <si>
    <t>highland, strong stalks, disease resistant, double cross hybrid, late maturity, released 1989</t>
  </si>
  <si>
    <r>
      <rPr>
        <rFont val="Times New Roman"/>
        <color theme="1"/>
        <sz val="12.0"/>
      </rPr>
      <t>H625 - Highland Varieties</t>
    </r>
    <r>
      <rPr>
        <rFont val="Times New Roman"/>
        <b/>
        <color theme="1"/>
        <sz val="12.0"/>
      </rPr>
      <t xml:space="preserve"> </t>
    </r>
  </si>
  <si>
    <t>Double cross hybrid for altitude 1800-2500m, rainfall 1000-2000mm. White semi-flint grains, matures 155-180 days. Yield of 37-40 bags/acre. Strong stalks, resistant to rust and blight. Released 1981.</t>
  </si>
  <si>
    <t>Older variety, Late maturity, Lower yield than newer hybrids, Monitor disease resistance, Seed availability limited</t>
  </si>
  <si>
    <t>highland, strong stalks, disease resistant, older variety, late maturity, released 1981</t>
  </si>
  <si>
    <r>
      <rPr>
        <rFont val="Times New Roman"/>
        <color theme="1"/>
        <sz val="12.0"/>
      </rPr>
      <t>H6213 - Highland Varieties</t>
    </r>
    <r>
      <rPr>
        <rFont val="Times New Roman"/>
        <b/>
        <color theme="1"/>
        <sz val="12.0"/>
      </rPr>
      <t xml:space="preserve"> </t>
    </r>
  </si>
  <si>
    <t>Double cross hybrid for altitude 1800-2500m, rainfall 1000-2000mm. White semi-flint grains, matures 160-180 days. Yield of 52-56 bags/acre. Resistant to Gray Leaf Spot, rust, blight. Released 2002.</t>
  </si>
  <si>
    <t>Suitable for highlands, High yield, Monitor disease resistance, Late maturity, Requires good rainfall and management</t>
  </si>
  <si>
    <t>highland, disease resistant, high yielding, double cross hybrid, late maturity, released 2002</t>
  </si>
  <si>
    <r>
      <rPr>
        <rFont val="Times New Roman"/>
        <color theme="1"/>
        <sz val="12.0"/>
      </rPr>
      <t>H6218 - Highland Varieties</t>
    </r>
    <r>
      <rPr>
        <rFont val="Times New Roman"/>
        <b/>
        <color theme="1"/>
        <sz val="12.0"/>
      </rPr>
      <t xml:space="preserve"> </t>
    </r>
  </si>
  <si>
    <t>Double cross hybrid for altitude 1800-2500m, rainfall 1000-2000mm. White semi-flint grains, matures 145-175 days. Yield of 56-71 bags/acre. Resistant to Gray Leaf Spot, rust, blight. Released 2004.</t>
  </si>
  <si>
    <t>Suitable for highlands, Very high yield, Monitor disease resistance, Requires excellent management, Seed availability limited</t>
  </si>
  <si>
    <t>highland, disease resistant, very high yielding, double cross hybrid, medium-late maturity, released 2004</t>
  </si>
  <si>
    <r>
      <rPr>
        <rFont val="Times New Roman"/>
        <color theme="1"/>
        <sz val="12.0"/>
      </rPr>
      <t>H6210 - Highland Varieties</t>
    </r>
    <r>
      <rPr>
        <rFont val="Times New Roman"/>
        <b/>
        <color theme="1"/>
        <sz val="12.0"/>
      </rPr>
      <t xml:space="preserve"> </t>
    </r>
  </si>
  <si>
    <t>Double cross hybrid for altitude 1800-2500m, rainfall 1000-2000mm. White semi-flint grains, matures 160-185 days. Yield of 50-53 bags/acre. Resistant to Gray Leaf Spot, rust, blight. Released 2004.</t>
  </si>
  <si>
    <t>Suitable for highlands, Longest maturity, Monitor disease resistance, Requires good rainfall, Best for high potential areas</t>
  </si>
  <si>
    <t>highland, disease resistant, high yielding, late maturity, double cross hybrid, released 2004</t>
  </si>
  <si>
    <r>
      <rPr>
        <rFont val="Times New Roman"/>
        <color theme="1"/>
        <sz val="12.0"/>
      </rPr>
      <t>H629 - Highland Varieties</t>
    </r>
    <r>
      <rPr>
        <rFont val="Times New Roman"/>
        <b/>
        <color theme="1"/>
        <sz val="12.0"/>
      </rPr>
      <t xml:space="preserve"> </t>
    </r>
  </si>
  <si>
    <t>Double cross hybrid for altitude 1800-2500m, rainfall 1000-2000mm. White semi-flint grains, matures 160-175 days. Yield of 48-52 bags/acre. Resistant to Gray Leaf Spot, rust, blight. Released 2000.</t>
  </si>
  <si>
    <t>Suitable for highlands, Moderate-high yield, Monitor disease resistance, Late maturity, Requires good management</t>
  </si>
  <si>
    <t>highland, disease resistant, moderate-high yielding, late maturity, double cross hybrid, released 2000</t>
  </si>
  <si>
    <r>
      <rPr>
        <rFont val="Times New Roman"/>
        <color theme="1"/>
        <sz val="12.0"/>
      </rPr>
      <t>H628 - Highland Varieties</t>
    </r>
    <r>
      <rPr>
        <rFont val="Times New Roman"/>
        <b/>
        <color theme="1"/>
        <sz val="12.0"/>
      </rPr>
      <t xml:space="preserve"> </t>
    </r>
  </si>
  <si>
    <t>Double cross hybrid for altitude 1800-2500m, rainfall 1000-2000mm. White semi-flint grains, matures 155-175 days. Yield of 46-50 bags/acre. Resistant to rust, blight and Gray Leaf Spot. Released 1999.</t>
  </si>
  <si>
    <t>Suitable for highlands, Moderate yield, Monitor disease resistance, Late maturity, Seed availability limited</t>
  </si>
  <si>
    <t>highland, disease resistant, moderate yield, late maturity, double cross hybrid, released 1999</t>
  </si>
  <si>
    <r>
      <rPr>
        <rFont val="Times New Roman"/>
        <color theme="1"/>
        <sz val="12.0"/>
      </rPr>
      <t>H624 - Highland Varieties</t>
    </r>
    <r>
      <rPr>
        <rFont val="Times New Roman"/>
        <b/>
        <color theme="1"/>
        <sz val="12.0"/>
      </rPr>
      <t xml:space="preserve"> </t>
    </r>
  </si>
  <si>
    <t>Double cross hybrid for altitude 1600-2300m, rainfall 1000-2000mm. White semi-flint grains, matures 135-150 days. Yield of 30-32 bags/acre. Early maturity, resistant to blight, rust and Gray Leaf Spot. Released 2004.</t>
  </si>
  <si>
    <t>Suitable for lower highlands, Early maturity, Lower yield, Monitor disease resistance, Good for areas with shorter growing season</t>
  </si>
  <si>
    <t>highland, early maturity, disease resistant, moderate yield, lower highlands, released 2004</t>
  </si>
  <si>
    <t>Improved farmer-saved-seed-system (Maize)</t>
  </si>
  <si>
    <t>Process of selecting quality seed from the farm before harvesting. Involves observation, selection and tagging of healthy, true-to-type plants in the middle of the farm. Selected plants harvested early, dried well, shelled, dried at 13% moisture content and stored in hermetic containers. Only practice on one variety for maximum three seasons.</t>
  </si>
  <si>
    <t>Only for OPV varieties - not hybrids, Max 3 seasons then buy fresh seed, Requires proper selection techniques, False selection leads to yield decline, Germination testing essential before planting</t>
  </si>
  <si>
    <t>farmer saved seed, seed selection, OPV seed, seed purity, germination testing, hermetic storage</t>
  </si>
  <si>
    <t>Quality Declared Seed system (Maize)</t>
  </si>
  <si>
    <t>Community based semi-commercial informal seed supply system. Selected farmers/farmer groups given basic seed from research stations or formal seed companies to multiply under agricultural staff and KEPHIS guidance. Only 10% of seed crop inspected once at critical stage. Simple standards on crop health and hygiene.</t>
  </si>
  <si>
    <t>Not yet authorized in Kenya, Requires policy amendment, Only 10% inspection may miss issues, Requires trained inspectors, Basic seed source must be traceable</t>
  </si>
  <si>
    <t>QDS, community seed, semi-commercial, KEPHIS inspection, basic seed, seed multiplication</t>
  </si>
  <si>
    <t>Maize formal seed system</t>
  </si>
  <si>
    <t>Process of producing seed starting from release of varieties, production of early generation seed, and certified seed up to farmer access through seed merchants. Main stakeholders include breeders, seed companies and retailers.</t>
  </si>
  <si>
    <t>Certified seed is more expensive, Availability varies by region, Requires timely purchase, Early generation seed availability limited, Weak public-private linkages affect supply</t>
  </si>
  <si>
    <t>formal seed system, certified seed, early generation seed, seed companies, seed merchants, variety release</t>
  </si>
  <si>
    <t>Food Safety Management System: HACCP Plan (Maize)</t>
  </si>
  <si>
    <t>System of food safety monitoring and control based on systematic identification and assessment of hazards through Hazard Analysis and Critical Control Points (HACCP) in maize value chain. Preventive tool protecting maize supply from biological, chemical and physical hazards.</t>
  </si>
  <si>
    <t>Requires expert team implementation, Demands rigorous documentation, Training costs may be high, Regular verification essential, Not well known among primary stakeholders</t>
  </si>
  <si>
    <t>HACCP, food safety, hazard analysis, critical control points, preventive system, maize value chain</t>
  </si>
  <si>
    <t>Good Agricultural Practices (GAPs) for Maize</t>
  </si>
  <si>
    <t>Systematic process of implementing a standardized production system designed to reassure consumers about food safety. Four pillars: economic viability, environmental sustainability, social acceptability, food safety and quality. Focus on pre-farm gate or on-farm standards.</t>
  </si>
  <si>
    <t>Requires continuous training, May increase production costs, Needs certification and audits, Record keeping essential, Perception as oppressive must be overcome</t>
  </si>
  <si>
    <t>GAPs, food safety, quality assurance, sustainability, traceability, certification</t>
  </si>
  <si>
    <t>Aflasafe KE01™</t>
  </si>
  <si>
    <t>Pre-harvest bio-control agent reducing aflatoxin contamination in maize by 80-99% at harvest and storage. Roasted sterile sorghum coated with four atoxigenic A. flavus types native to Kenya. Broadcast by hand 2-3 weeks before flowering at 10 kg/ha (4 kg/acre).</t>
  </si>
  <si>
    <t>Requires timing 2-3 weeks before flowering, Not all maize growing areas have tested, Cost (KES 201/kg) may be barrier, Requires proper storage of product, Not a substitute for good post-harvest practices</t>
  </si>
  <si>
    <t>aflasafe, aflatoxin control, biocontrol, pre-harvest, Aspergillus flavus, mycotoxin reduction</t>
  </si>
  <si>
    <t>Process of creating a fine seedbed for maize. Conventionally one tractor ploughing followed by one harrowing, or two ploughs with animal draft. Proper seedbed preparation controls weeds, pests and diseases and enhances O2 and CO2 circulation.</t>
  </si>
  <si>
    <t>High cost for small-scale farmers (KES 4,500/acre), Labour intensive, Requires appropriate implements, Improper preparation increases erosion, Timely preparation critical</t>
  </si>
  <si>
    <t>seedbed preparation, ploughing, harrowing, weed control, O2 circulation, CO2 circulation</t>
  </si>
  <si>
    <t>Maize variety selection</t>
  </si>
  <si>
    <t>Choosing appropriate/recommended maize variety for a given agro-ecological zone matching climatic conditions, soil type, tolerance/resistance to pests and diseases, and maturity period. Two types: open pollinated variety (OPV) and hybrid.</t>
  </si>
  <si>
    <t>Hybrid seed cannot be recycled, OPV lower yield than hybrids, Must match variety to specific zone, Incorrect selection leads to crop failure, Seed cost varies by variety</t>
  </si>
  <si>
    <t>variety selection, agro-ecological zone, OPV, hybrid, maturity period, disease resistance</t>
  </si>
  <si>
    <t>Planting Spacing (Maize)</t>
  </si>
  <si>
    <t>Distance within and between rows at which seeds are planted. One plant maintained per station. Recommended spacing: Highland 75x25cm (pure stand), 75x50cm (intercrop); Medium 75x30cm (pure stand), 75x60cm (intercrop); Dryland/coastal 90x30cm (pure stand), 90x60cm (intercrop).</t>
  </si>
  <si>
    <t>Incorrect spacing reduces yield, Labour intensive manual planting, Requires careful measurement, Overcrowding increases disease risk, Under-spacing wastes land</t>
  </si>
  <si>
    <t>plant spacing, row planting, plant population, pure stand, intercropping, optimal density</t>
  </si>
  <si>
    <t>Intercropping (Maize)</t>
  </si>
  <si>
    <t>Growing two or more crops in proximity and various combinations. Most common goal is producing greater yield on given piece of land by using resources/ecological processes not utilized by single crop. Allows different crops in terms of rooting, shapes, weed suppression, pest repulsion to co-exist.</t>
  </si>
  <si>
    <t>Requires compatible crop selection, May increase pest pressure, Nutrient competition possible, Requires additional management, Some combinations reduce maize yield</t>
  </si>
  <si>
    <t>intercropping, crop diversification, weed suppression, pest repulsion, resource utilization, multiple cropping</t>
  </si>
  <si>
    <t>Most common practice is hand weeding and use of herbicides. Hand weeding at least three weeks after emergence followed by second weeding three weeks later. Most critical stage for weed competition is first four to six weeks after emergence.</t>
  </si>
  <si>
    <t>Labour intensive (8 people/day/acre), Herbicides require safety training, Weed resistance to herbicides possible, Critical weeding window is narrow, Competing resources reduce yields</t>
  </si>
  <si>
    <t>weeding, hand weeding, herbicides, critical period, weed competition, crop protection</t>
  </si>
  <si>
    <t>Basal fertilizer application (Maize)</t>
  </si>
  <si>
    <t>Method of applying small quantity of fertilizer in hole meant for seed/seedling during planting. Recommended basic fertilizers: NPK and DAP or organic fertilizers. In acidic soils NPK recommended, in non-acidic soils DAP can be applied. Rate: 50kg/acre DAP or 100kg/acre NPK 23:23:0.</t>
  </si>
  <si>
    <t>High fertilizer cost (KES 6,900/acre), Requires soil testing for best results, Over-application pollutes environment, Mix with soil to prevent seed scorching, Inorganic vs organic choice important</t>
  </si>
  <si>
    <t>basal fertilizer, NPK, DAP, organic fertilizer, acidic soil, planting application</t>
  </si>
  <si>
    <t>Top-dressing fertilizer application (Maize)</t>
  </si>
  <si>
    <t>CAN fertilizer application when crop is 2-3 weeks after planting (about 45cm high, 8-10 leaf stage). Apply at 50 kg/acre in low rainfall areas, in two splits in high rainfall areas. Fertilizer applied around crop avoiding direct contact to protect from scorching.</t>
  </si>
  <si>
    <t>Timely application critical (2-3 weeks), Avoid direct contact with plants, Split application better in high rainfall, Cost may be barrier (KES 6,400/acre), Weeding should precede application</t>
  </si>
  <si>
    <t>top-dressing, CAN fertilizer, nitrogen application, 8-10 leaf stage, split application, crop nutrition</t>
  </si>
  <si>
    <t>Timely harvesting (Maize)</t>
  </si>
  <si>
    <t>Harvesting maize at physiological maturity. For dry grain: when most leaves dried, cob husks not green, stalks turn yellow/brown, cobs begin to droop, kernels show black layer between seed and attachment point, grains hard and not milky.</t>
  </si>
  <si>
    <t>Delayed harvesting causes losses, Requires weather monitoring, Manual harvesting labour intensive, Proper drying needed post-harvest, Storage pests attack if not dried</t>
  </si>
  <si>
    <t>physiological maturity, timely harvest, black layer, moisture content, post-harvest, grain quality</t>
  </si>
  <si>
    <t>Growing different crops in succession on same land to preserve productive capacity of soil. Avoid growing same crop for consecutive years. Principle: interchange tap root crops with fibrous root crops, leguminous with non-leguminous, avoid crops of same family following one another.</t>
  </si>
  <si>
    <t>Requires planning and crop selection, May reduce maize area in some seasons, Legumes needed for nitrogen replenishment, Pest cycle disruption takes time, Climate change affects rotation suitability</t>
  </si>
  <si>
    <t>crop rotation, soil fertility, nutrient cycling, leguminous crops, pest management, sustainable farming</t>
  </si>
  <si>
    <t>Integrated Soil Fertility Management (ISFM) (Maize)</t>
  </si>
  <si>
    <t>Set of soil fertility management practices including use of fertilizers, locally available organic inputs and improved seed combined to adapt practices to local conditions. Emphasizes using scarce resources efficiently through techniques like fertilizer banding and micro-dosing.</t>
  </si>
  <si>
    <t>High cost (KES 50,000-60,000/acre), Labour intensive, Requires knowledge of techniques, Not validated in all counties, Mixing organic and inorganic requires skill</t>
  </si>
  <si>
    <t>ISFM, fertilizer banding, micro-dosing, organic inputs, soil health, nutrient efficiency</t>
  </si>
  <si>
    <t>Integrated Manure Management (IMM) (Maize)</t>
  </si>
  <si>
    <t>Optimal, site-specific handling of livestock manure from collection, through treatment and storage up to application to crops. Enhances soil fertility and health, improves soil structure and biodiversity.</t>
  </si>
  <si>
    <t>Labour intensive, Requires proper storage facilities, Manure quality varies by source, Risk of pathogen contamination, Requires analysis for best results</t>
  </si>
  <si>
    <t>manure management, livestock manure, composting, nutrient recycling, soil structure, biodiversity</t>
  </si>
  <si>
    <t>Rapid soil testing services (Maize)</t>
  </si>
  <si>
    <t>Dry method for soil testing using electromagnetic radiation interaction with matter to characterize biochemical composition of soil and/or plant tissue. Does not require routine laboratory analysis using chemicals. Results generated instantly with accompanying recommendations.</t>
  </si>
  <si>
    <t>Requires scanner equipment, Needs validation with conventional methods, Farmers must trust recommendations, Requires trained personnel, Results not yet validated for all crops</t>
  </si>
  <si>
    <t>rapid soil testing, spectral analysis, electromagnetic radiation, instant results, fertilizer recommendation, soil characterization</t>
  </si>
  <si>
    <t>Low Cost Composting (Maize)</t>
  </si>
  <si>
    <t>Biological decomposition of organic waste by bacteria, fungi, worms and other organisms under controlled aerobic conditions resulting in accumulation of partially decayed organic matter (humus). Effective process for recycling organic wastes intended for agriculture.</t>
  </si>
  <si>
    <t>Requires proper technique, Takes time to mature, May attract pests if poor, Quality varies with materials, Labour intensive (KES 10,000/acre), Heavy metals may contaminate</t>
  </si>
  <si>
    <t>composting, organic waste, humus, biological decomposition, nutrient recycling, soil amendment</t>
  </si>
  <si>
    <t>Conservation Agriculture (Maize)</t>
  </si>
  <si>
    <t>Approach to farming where practices follow key principles targeting conservation of soil, soil moisture, and soil nutrients. Principles: minimal soil disturbance, permanent ground cover with mulch of carbon-rich organic matter, and crop rotation or sequences including trees and nitrogen-fixing legumes.</t>
  </si>
  <si>
    <t>Requires mindset change from conventional tillage, Initial costs for ripping and herbicides (KES 5,000/acre), Competition for crop residues with livestock/fuel, Land tenure insecurity limits investment, Continuous capacity building needed for adoption</t>
  </si>
  <si>
    <t>minimal soil disturbance, permanent ground cover, crop rotation, organic mulch, soil conservation, climate-smart</t>
  </si>
  <si>
    <t>Zai Pits (Maize)</t>
  </si>
  <si>
    <t>Small water harvesting planting pits measuring 15-30 cm width, 10-20 cm deep, spaced 60-80 cm. Harvests and stores water for prolonged crop use. Farmers plant seeds after filling pits with organic material such as manure, compost, or dry plant biomass.</t>
  </si>
  <si>
    <t>Labour intensive (KES 40-100 per pit), Requires large amounts of organic material, Limited to drought-prone areas (ASALs), Not suitable for large-scale mechanized farming, Requires training for proper construction</t>
  </si>
  <si>
    <t>water harvesting, planting pits, drought resilience, organic matter, ASALs, runoff capture</t>
  </si>
  <si>
    <t>Contour Bunds (Maize)</t>
  </si>
  <si>
    <t>Stone or earthen walls built across a slope to prevent runoff. Furrows parallel to contours ensure rainfall and runoff are spread evenly. Earthen bund formed by excavating a channel and creating a small ridge on the downhill side.</t>
  </si>
  <si>
    <t>Labour intensive (KES 6,600-8,000/acre), Improper layout increases erosion risk, Requires site-specific design, May reduce cultivable land area, Requires regular maintenance</t>
  </si>
  <si>
    <t>contour bunds, runoff control, soil conservation, water harvesting, erosion prevention, Fanya Chini</t>
  </si>
  <si>
    <t>Bench Terraces (Maize)</t>
  </si>
  <si>
    <t>Series of beds that are more or less level running across a slope at vertical intervals, supported by steep banks or risers. Enables cultivation of crops on medium to steep slopes (12-47%).</t>
  </si>
  <si>
    <t>Very labour intensive construction and maintenance, Requires soil depth &gt;50cm, Not recommended for slopes &lt;12%, High investment cost, Requires skilled design</t>
  </si>
  <si>
    <t>bench terraces, steep slopes, soil conservation, erosion control, water retention, land management</t>
  </si>
  <si>
    <t>Fanya Juu Terraces (Maize)</t>
  </si>
  <si>
    <t>Constructed by excavating soil and throwing it up-slope to make an embankment. The embankment forms a runoff barrier and the trench retains or collects runoff. Embankments stabilized with fodder grasses.</t>
  </si>
  <si>
    <t>Labour intensive, Improper layout increases erosion risk, Suitable for slopes &lt;20%, Requires regular maintenance, Land tenure issues may limit adoption</t>
  </si>
  <si>
    <t>Fanya Juu, runoff barrier, water harvesting, soil conservation, embankment, fodder grasses</t>
  </si>
  <si>
    <t>Grass Strips (Maize)</t>
  </si>
  <si>
    <t>Planting of grass in strips along contours or across slopes to reduce soil erosion. Grass strips slow runoff, trap sediment, and stabilize soil. Various grass species used including Vetiver, Napier, Guinea and Guatemala.</t>
  </si>
  <si>
    <t>May compete with crops for water/nutrients, Requires regular maintenance and trimming, Can become weeds if not managed, Reduces land area for cropping, Initial establishment labour required</t>
  </si>
  <si>
    <t>grass strips, erosion control, Vetiver grass, sediment trapping, contour planting, soil stabilization</t>
  </si>
  <si>
    <t>Stone Lines (Maize)</t>
  </si>
  <si>
    <t>Lines of stones placed along contours across slopes to reduce soil erosion. Stones trap runoff, slow water flow, and allow sediment deposition. Suitable for areas with abundant stones and low rainfall.</t>
  </si>
  <si>
    <t>Labour intensive (KES 25,000/ha), Requires abundant stones, Improper layout increases erosion risk, May harbour pests, Land tenure issues may limit investment</t>
  </si>
  <si>
    <t>stone lines, erosion control, water harvesting, sediment deposition, contour planting, dryland farming</t>
  </si>
  <si>
    <t>Tied Ridges (Maize)</t>
  </si>
  <si>
    <t>Ridges constructed across the slope with ties (small earth bunds) at intervals within the furrows. Traps water in the furrows allowing it to infiltrate into the soil. Suitable for areas with unpredictable rainfall.</t>
  </si>
  <si>
    <t>Labour intensive (KES 15,000/acre), Requires motorized equipment for efficiency, Poor management may cause waterlogging, Limited access to credit for equipment, Land tenure insecurity limits adoption</t>
  </si>
  <si>
    <t>tied ridges, water harvesting, runoff capture, infiltration, dryland farming, erosion control</t>
  </si>
  <si>
    <t>Retention Ditches (Maize)</t>
  </si>
  <si>
    <t>Ditches dug across the slope to trap runoff and allow water infiltration. Water is stored in the ditches for prolonged crop use. Soil from digging is thrown to the lower side to form an embankment.</t>
  </si>
  <si>
    <t>Labour intensive (KES 18,000/acre for 6 ditches), Improper design increases erosion risk, Requires regular maintenance, May harbour pests and disease vectors, Land tenure issues</t>
  </si>
  <si>
    <t>retention ditches, water harvesting, runoff capture, infiltration, soil conservation, dryland farming</t>
  </si>
  <si>
    <t>Mulching (Maize)</t>
  </si>
  <si>
    <t>Practice of covering the soil/ground with natural materials such as straw, grass, dead leaves and compost to make favourable conditions for plant growth. Benefits include moisture retention, weed suppression, soil cooling, and improved soil fertility.</t>
  </si>
  <si>
    <t>Labour intensive during initial application (KES 5,000/acre), Competing uses for crop residues, May harbour pests if contaminated, Requires additional nitrogen as mulch decomposes, May contain weed seeds</t>
  </si>
  <si>
    <t>mulching, moisture retention, weed suppression, organic matter, soil cooling, crop residues</t>
  </si>
  <si>
    <t>Growing of two or more crops in close proximity for biological interaction. Offers potential to increase yields, enhance soil fertility and biodiversity, control pests, and minimize effects of climate change.</t>
  </si>
  <si>
    <t>Requires compatible crop selection, May increase pest pressure, Nutrient competition possible, Requires additional management, Some combinations reduce maize yield, Requires site-specific validation</t>
  </si>
  <si>
    <t>intercropping, crop diversification, biological interaction, pest control, soil fertility, climate adaptation</t>
  </si>
  <si>
    <t>Furrow Irrigation Systems (Maize)</t>
  </si>
  <si>
    <t>Type of surface irrigation where trenches or "furrows" are dug between crop rows. Water is applied down the furrows using gravity, seeping vertically and horizontally to refill soil reservoir. Easy to design and operate.</t>
  </si>
  <si>
    <t>High cost (KES 50,000-100,000 for ¼ acre), Requires reliable water source, High temperatures cause salinity challenges, Poly tubing may collapse, Requires regular maintenance, Training needed for proper operation</t>
  </si>
  <si>
    <t>furrow irrigation, surface irrigation, gravity irrigation, water application, crop water management, ASALs</t>
  </si>
  <si>
    <t>Agroforestry for soil fertility (Maize)</t>
  </si>
  <si>
    <t>Intentional integration of trees and shrubs into crop and animal farming systems to create environmental, economic, and social benefits. Includes alley cropping (crops planted between rows of trees) and forest farming (food crops under forest canopy).</t>
  </si>
  <si>
    <t>Mindset change required among farmers, Limited species appropriate to different zones, Land tenure issues discourage investment, May compete with crops for resources, Requires training and demonstration, Shortage of tree seeds</t>
  </si>
  <si>
    <t>agroforestry, alley cropping, nutrient cycling, soil fertility, carbon sequestration, biodiversity</t>
  </si>
  <si>
    <t>Integrated management of Fall Army Worm (Maize)</t>
  </si>
  <si>
    <t>Integrating pest management strategies including cultural practices (scouting twice weekly, deep ploughing, clean field bunds, planting Napier grass, ridge and furrow planting), biological management (neem formulation, Bacillus thuringiensis, Metarhizium anisopliae, Beauveria bassiana), and chemical control.</t>
  </si>
  <si>
    <t>Yield losses up to 100% if not controlled, Requires weekly scouting and monitoring, Biopesticides availability limited and costly (KES 5,000/acre), Chemical resistance development possible, New pest - biology not fully understood</t>
  </si>
  <si>
    <t>Fall Armyworm, IPM, Spodoptera frugiperda, biological control, cultural practices, chemical control</t>
  </si>
  <si>
    <t>Integrated Management of Bollworm (Maize)</t>
  </si>
  <si>
    <t>Integrated management using cultural methods (clean seed, remove infested leaves, plough crop residues, crop rotation, weed control), biological control, and chemical control.</t>
  </si>
  <si>
    <t>Yield losses 20-40% if not controlled, Requires regular scouting and monitoring, Biological control options limited, Chemical costs (KES 1,000-2,000/acre), Resistance development possible</t>
  </si>
  <si>
    <t>Bollworm, Helicoverpa armigera, IPM, cultural control, biological control, chemical control</t>
  </si>
  <si>
    <t>Integrated Management of Stem Borer (Maize)</t>
  </si>
  <si>
    <t>Integrating pest management strategies including cultural control (tolerant varieties, intercropping with trap crops, push-pull technology, crop rotation), biological control (neem powder, Azadirachtin, Bacillus thuringiensis), and chemical control.</t>
  </si>
  <si>
    <t>Yield losses 30-50% if not controlled, Push-pull technology requires training, Biological control availability limited, Chemical costs (KES 1,000-2,000/acre), Requires validation in different zones</t>
  </si>
  <si>
    <t>Stem borer, Busseola fusca, push-pull, IPM, tolerant varieties, biological control</t>
  </si>
  <si>
    <t>Integrated management of Aphids (Maize)</t>
  </si>
  <si>
    <t>Integrated pest management using cultural (destroy crop residue, yellow traps, scouting, weed-free environment, soapy solution, predators), biological (Azadirachtin, biopesticides), and chemical control (Deltamethrin, Lambda-cyhalothrin).</t>
  </si>
  <si>
    <t>Yield losses 30-50% if not controlled, Aphids transmit viral diseases, Chemical costs (KES 1,000-2,000/acre), Soapy solutions require correct concentration, Biopesticide availability limited</t>
  </si>
  <si>
    <t>Aphids, Rhopalosiphum maidis, IPM, virus vectors, biological control, yellow traps</t>
  </si>
  <si>
    <t>Integrated Pest Management of African Army worm (Maize)</t>
  </si>
  <si>
    <t>Integrated management through cultural practices (regular monitoring, removing weeds), biological control (neem formulation, botanicals, Bacillus thuringiensis, Metarhizium anisopliae, Beauveria bassiana), and chemical management.</t>
  </si>
  <si>
    <t>Yield losses up to 100% if not controlled, Requires regular monitoring, Biopesticides availability limited, Chemical costs (KES 5,000/acre), Early detection critical for control</t>
  </si>
  <si>
    <t>African Armyworm, IPM, cultural control, biological control, chemical control, Spodoptera exempta</t>
  </si>
  <si>
    <t>Integrated management of soil pest (Cut worms, Agrotis spp) (Maize)</t>
  </si>
  <si>
    <t>Integrated pest management using cultural practices (deep ploughing, remove weeds, solarize soil, use agri-net, intercrop with garlic/peppermint/coriander, spread ashes), biological control, and chemical control.</t>
  </si>
  <si>
    <t>Yield losses 20-30% if not controlled, Deep ploughing required 2 weeks before planting, Ashes effective but need large quantities, Chemical costs (KES 1,000-1,200/acre), Requires validation of biological options</t>
  </si>
  <si>
    <t>Cutworms, Agrotis spp, soil pests, IPM, cultural control, biological control</t>
  </si>
  <si>
    <t>Integrated Management of Maize Weevil (Maize)</t>
  </si>
  <si>
    <t>Integrated pest management using cultural practices (sort cobs, cover with plastic, store cobs with husks, use pheromone traps, harvest early, dry properly), repellent neem powder, and chemical control (dust with Actellic, Skana super, Spintor dust).</t>
  </si>
  <si>
    <t>Yield losses 30-80% if not controlled, Requires proper drying to 13% moisture, Chemical costs (KES 1,500-2,500/acre), Pheromone traps need regular monitoring, Combine with hermetic storage for best results</t>
  </si>
  <si>
    <t>Maize weevil, Sitophilus zeamais, IPM, post-harvest, Actellic dust, hermetic storage</t>
  </si>
  <si>
    <t>Integrated Management of Larger Grain Borer (LGB) (Maize)</t>
  </si>
  <si>
    <t>Integrated pest management for larger grain borer in stored maize using cultural practices and chemical control.</t>
  </si>
  <si>
    <t>Can cause up to 100% storage losses, Requires proper drying to 13% moisture, Chemical costs (KES 1,500-2,500/acre), Replace LGB-infested timber in cribs, Combine with hermetic storage for best control</t>
  </si>
  <si>
    <t>Larger Grain Borer, Prostephanus truncatus, post-harvest, IPM, chemical control, hermetic storage</t>
  </si>
  <si>
    <t>Integrated management of thrips (Frankliniella spp.) (Maize)</t>
  </si>
  <si>
    <t>Integrated management using cultural practices (scouting twice weekly, remove crop residues, crop rotation, weed control, intercropping with onion/garlic, yellow sticky traps), biological control (Azadirachtin, Beauveria bassiana), and chemical control.</t>
  </si>
  <si>
    <t>Yield losses 30-60% if not controlled, Requires weekly scouting, Chemical costs (KES 1,000-2,000/acre), Yellow sticky traps need regular replacement, Intercropping requires additional management</t>
  </si>
  <si>
    <t>Thrips, Frankliniella, IPM, yellow sticky traps, biological control, cultural control</t>
  </si>
  <si>
    <t>Integrated Management of Maize Lethal Necrosis disease (MLND) (Maize)</t>
  </si>
  <si>
    <t>Integrated disease management including cultural practices (regular scouting, certified seed, monitor insect vectors, avoid working in wet fields, uproot weeds, crop rotation, intercropping with chives/garlic, early planting), biological control (biopesticides), and chemical control (Imidacloprid, Lambda-cyhalothrin).</t>
  </si>
  <si>
    <t>Yield losses 30-100% if not controlled, Strict quarantine measures required, Certified seed essential - do not recycle seed, Crop rotation with non-cereals for 2 seasons, Chemical costs (KES 2,000-3,000/acre), Destroy infected plants by burning/burying</t>
  </si>
  <si>
    <t>MLND, virus disease, vector control, certified seed, crop rotation, quarantine</t>
  </si>
  <si>
    <t>Integrated management of Maize Common Rust (Maize)</t>
  </si>
  <si>
    <t>Integrated disease management using cultural practices (tolerant varieties, destroy volunteer plants, proper spacing, weed control, balanced fertilizer), biological control, and chemical control (fungicides with low PHI).</t>
  </si>
  <si>
    <t>Yield losses 30-70% if not controlled, Requires early detection, Chemical costs (KES 1,500-2,000/acre), Tolerant varieties preferred over susceptible, Proper spacing reduces disease spread</t>
  </si>
  <si>
    <t>Common Rust, Puccinia sorghi, disease management, tolerant varieties, fungicide, cultural control</t>
  </si>
  <si>
    <t>Integrated management of Maize Common Smut disease (Maize)</t>
  </si>
  <si>
    <t>Integrated disease management using cultural practices (plant at onset of rains, tolerant varieties, clean seed, avoid feeding livestock infected residues, rogue infected plants, burn heads, crop rotation), chemical control (seed dressing with carboxin+Thiram, Copper Oxychloride).</t>
  </si>
  <si>
    <t>Yield losses up to 50% if not controlled, Seed-borne disease - use certified seed, Destroy infected plants before galls rupture, Do not feed infected maize to livestock, Chemical costs (KES 1,500-2,000/acre)</t>
  </si>
  <si>
    <t>Common Smut, Ustilago maydis, seed-borne disease, cultural control, chemical control, tolerant varieties</t>
  </si>
  <si>
    <t>Integrated management of Maize Head Smut disease (Maize)</t>
  </si>
  <si>
    <t>Integrated disease management using cultural practices (tolerant varieties, avoid planting in areas with disease history, deep plough, crop rotation with non-graminea crops, treated certified seeds), chemical control (seed dressing with carboxin+Thiram, Copper Oxychloride).</t>
  </si>
  <si>
    <t>Yield losses up to 80% if not controlled, Seed-borne disease - use certified seed, Deep plough to bury surviving spores, Crop rotation with non-graminea crops, Chemical costs (KES 1,000-2,000/acre)</t>
  </si>
  <si>
    <t>Head Smut, seed-borne disease, cultural control, chemical control, tolerant varieties, crop rotation</t>
  </si>
  <si>
    <t>Integrated Management of Downy mildew (Maize)</t>
  </si>
  <si>
    <t>Integrated disease management using cultural practices (regular scouting, field hygiene, proper spacing, remove diseased plants, weed control, crop rotation with non-brassica crops, disease-free seeds, baking soda solution), biological control (Biodewcon), and chemical control.</t>
  </si>
  <si>
    <t>Yield losses 30-70% if not controlled, Proper spacing reduces microclimate for disease, Chemical costs (KES 1,000-1,500/acre), Baking soda solution for early stages only, Requires validation of biological control</t>
  </si>
  <si>
    <t>Downy mildew, Perenosclerospora, disease management, cultural control, chemical control, biological control</t>
  </si>
  <si>
    <t>Integrated Management of Gray leaf spot (Maize)</t>
  </si>
  <si>
    <t>Integrated disease management using cultural practices (clean certified seed, scouting, tolerant varieties, remove infected plants, weed control, avoid overhead irrigation, crop rotation, recommended fertilizers), and chemical control (fungicides with low PHI).</t>
  </si>
  <si>
    <t>Yield losses up to 70% if not controlled, Tolerant varieties essential (PAN 99, PAN5243, H614), Avoid overhead irrigation to reduce spread, Chemical costs (KES 1,000-1,500/acre), Crop rotation for at least 2 years</t>
  </si>
  <si>
    <t>Gray Leaf Spot, Cercospora, disease management, tolerant varieties, cultural control, chemical control</t>
  </si>
  <si>
    <t>Integrated Management of Maize Streak Virus (Maize)</t>
  </si>
  <si>
    <t>Integrated disease management using cultural practices (scout for vectors, tolerant varieties, early planting, crop rotation, weed-free field, uproot infected plants, control leafhoppers, rotate with potatoes/cabbages/beans), biological control (Nimbecidine, Achook, Neemroc), and chemical control (Alpha-cypermethrin).</t>
  </si>
  <si>
    <t>Yield losses up to 100% if not controlled, Tolerant varieties essential (Pan 5195, PH4, FS650), Control leafhopper vectors, Chemical costs (KES 1,500-2,000/acre), Keep field weed-free</t>
  </si>
  <si>
    <t>Maize Streak Virus, MSV, vector control, tolerant varieties, leafhopper, chemical control</t>
  </si>
  <si>
    <t>Integrated Management of Aspergillus Ear rot (Maize)</t>
  </si>
  <si>
    <t>Integrated disease management using cultural practices (certified non-infected seeds, early planting, nitrogen fertilizer, early harvest, destroy crop residues, crop rotation), biological control (Nimbecidine, Achook, Neemroc), and chemical control.</t>
  </si>
  <si>
    <t>Yield losses 30-70% if not controlled, Produces aflatoxin - serious health risk, Dry grain to below 13% moisture, Early planting to escape drought stress, Chemical costs (KES 1,000-2,000/acre)</t>
  </si>
  <si>
    <t>Aspergillus ear rot, aflatoxin, mycotoxin, food safety, cultural control, crop rotation</t>
  </si>
  <si>
    <t>Integrated Management of Fusarium Ear Rot (Maize)</t>
  </si>
  <si>
    <t>Integrated disease management using cultural practices (scouting, certified non-infected seeds, early planting, nitrogen fertilizer, dry grain to below 13% moisture, early harvest, destroy crop residues, crop rotation), biological control (biopesticides, neem, Bacillus thuringiensis), and chemical control (Thiram fungicide seed dressing).</t>
  </si>
  <si>
    <t>Yield losses 20-70% if not controlled, Produces fumonisin - health risk, Dry grain to below 13% moisture, Control stalk borers as they carry fungus, Chemical costs (KES 1,000-2,000/acre)</t>
  </si>
  <si>
    <t>Fusarium ear rot, fumonisin, mycotoxin, food safety, seed dressing, crop rotation</t>
  </si>
  <si>
    <t>Scouting for Pests in Maize (Maize)</t>
  </si>
  <si>
    <t>Regular field inspections and monitoring to detect presence of different types of pests and diseases and their severities to make decisions on appropriate control measures. Carry out in morning (6am-10am), walk in defined pattern (Z, V, W or zigzag), turn leaves over, look for symptoms, scout weekly.</t>
  </si>
  <si>
    <t>Requires weekly commitment, Early morning (6-10am) best time, Check underside of leaves where pests hide, Small farms check every plant, Record keeping essential for monitoring, Reduces pesticide costs through early detection</t>
  </si>
  <si>
    <t>scouting, monitoring, IPM, early detection, pest surveillance, field inspection</t>
  </si>
  <si>
    <t>Maize Integrated Weed Management</t>
  </si>
  <si>
    <t>Management of weeds using two or more appropriate approaches such as preventive, land preparation, use of mulch (biodegradable or synthetic), cultural, rotation, intercropping and chemical methods depending on weed types and intensity.</t>
  </si>
  <si>
    <t>Requires knowledge of multiple methods, Weeds cause up to 80% yield loss, Continuous herbicide use environmental hazard, Labour costs (KES 5,000/acre), Follow label instructions strictly, Integration more effective than single method</t>
  </si>
  <si>
    <t>IWM, integrated weed management, cultural control, chemical control, mechanical control, biological control</t>
  </si>
  <si>
    <t>Integrated Management of Striga weed (Maize)</t>
  </si>
  <si>
    <t>Integrated management of Striga weed using preventive methods (planting weed-free seed, quarantine, field hygiene), cultural methods (hand pulling, crop rotation, intercropping with legumes, use of resistant varieties), biological methods (allelopathic plants like Desmodium, use of goats), and chemical methods (herbicides).</t>
  </si>
  <si>
    <t>Striga causes up to 100% yield loss, Control is difficult once established, Requires resistant varieties where available, Push-pull method effective but knowledge intensive, Herbicide-resistant maize option available, Up to 30 days weeding saved</t>
  </si>
  <si>
    <t>Striga, witchweed, parasitic weed, push-pull, resistant varieties, integrated control</t>
  </si>
  <si>
    <t>Cover cropping for maize weed management</t>
  </si>
  <si>
    <t>Growing of specific selected crops to produce biomass/canopy to cover soil. Cover acts as physical barrier cutting off light to stop germinating weed seeds. Large amounts of biomass suppress weeds in subsequent season.</t>
  </si>
  <si>
    <t>Requires proper species selection, May compete with maize if not managed, Requires additional land/seed investment, Biomass must be killed before planting, Requires validation for specific areas</t>
  </si>
  <si>
    <t>cover cropping, weed suppression, biomass production, soil conservation, green manure, crop rotation</t>
  </si>
  <si>
    <t>Mulching for weed management in Maize</t>
  </si>
  <si>
    <t>Practice of covering the soil/ground with natural or synthetic materials to control germination of weed seeds. Organic mulches (2-4 inches deep) prevent weed germination. Synthetic mulches solarize soils, suppress weed growth, prevent seed germination and retain moisture.</t>
  </si>
  <si>
    <t>Organic mulches may contain weed seeds, Competing uses for crop residues, Black polythene requires disposal, Small tears allow weed emergence, Cost of synthetic mulch may be high</t>
  </si>
  <si>
    <t>mulching, weed suppression, organic mulch, synthetic mulch, moisture retention, soil solarization</t>
  </si>
  <si>
    <t>Herbicide/Chemical Weed Control in maize</t>
  </si>
  <si>
    <t>Technology used to control germination and growth of weed species through application of chemicals/herbicides to weeds or soil. Includes pre-emergent herbicides (applied to moist soil before crop and weed emerge) and post-emergent herbicides (applied on germinated weeds).</t>
  </si>
  <si>
    <t>Requires protective gear during application, Fix hood on nozzle to protect maize from drift, Follow PCPB registered products only, Use correct dosage, Risk of herbicide resistance, Costs (KES 3,000-3,500/acre)</t>
  </si>
  <si>
    <t>chemical weed control, pre-emergent, post-emergent, glyphosate, 2,4-D, herbicide resistance</t>
  </si>
  <si>
    <t>Herbicide Resistant Maize</t>
  </si>
  <si>
    <t>Technology using specific maize varieties bred with resistance to certain class of herbicides (Imidazolinones). IR-maize seed is coated with herbicide and availed to farmers ready for planting. Used to control parasitic weeds such as Striga hermonthica.</t>
  </si>
  <si>
    <t>Requires stewardship program adherence, Seed storage affects effectiveness, Only for Striga control - not all weeds, Requires validation for different areas, Environmental and safety concerns with herbicides</t>
  </si>
  <si>
    <t>IR-maize, imidazolinone, Striga control, herbicide resistance, seed coating, parasitic weed</t>
  </si>
  <si>
    <t>Solarisation Bed for Weed Control in maize</t>
  </si>
  <si>
    <t>Method where transparent/clear polythene films/plastic is used to heat the soil and kill weed seedlings and dormant seeds in the top six inches of soil. Increases soil temperatures by about 10°C or more than atmospheric.</t>
  </si>
  <si>
    <t>Requires 40 days of solarization, Transparent polythene essential, Not cost-effective for large areas, Polythene disposal environmental concern, Effectiveness varies by weed species, Requires validation</t>
  </si>
  <si>
    <t>solarization, soil heating, weed seed kill, polythene mulch, organic weed control, soil sterilization</t>
  </si>
  <si>
    <t>Stale seed bed for Weed Control (Maize)</t>
  </si>
  <si>
    <t>Weed management technology where weed seeds just below soil surface are stimulated to germinate after rainfall or wetting and then killed prior to planting. Weeds killed using post-emergent herbicides or ploughed into the soil.</t>
  </si>
  <si>
    <t>Requires timing with rainfall, Herbicide costs (KES 3,000/acre), Multiple flushes may be needed, Not effective for all weed species, Requires validation</t>
  </si>
  <si>
    <t>stale seedbed, false seedbed, weed germination, pre-planting weed control, glyphosate, paraquat</t>
  </si>
  <si>
    <t>Mechanical weed control in maize</t>
  </si>
  <si>
    <t>Weed management technique through physical removal using tools such as pangas and jembes. Land preparation done manually using hoes or implements such as sub-soilers. Sowing done in rows to facilitate inter-row weeding.</t>
  </si>
  <si>
    <t>Labour intensive (KES 11,000/acre), May damage crop roots if not careful, Requires timely weeding (2-3 weeks after emergence), Hand-held weeders may be expensive, Weather-dependent for effectiveness</t>
  </si>
  <si>
    <t>mechanical weeding, hand weeding, jembe, sub-soiler, row planting, inter-row weeding</t>
  </si>
  <si>
    <t>Crop Rotation to control weeds in maize</t>
  </si>
  <si>
    <t>Growing of different crops in succession on a piece of land to avoid exhausting the soil and to control weeds, pests, and diseases. Maize is a heavy feeder and should follow legumes. Rotation adds diversity and provides foundation of long term weed management.</t>
  </si>
  <si>
    <t>Requires planning and crop selection, May reduce maize area in some seasons, Rotation schedules not readily available, Requires land ownership/control, Weed seed bank reduction takes time</t>
  </si>
  <si>
    <t>crop rotation, weed seed bank, soil fertility, legumes, sustainable farming, pest management</t>
  </si>
  <si>
    <t>Safe Use of herbicides (Maize)</t>
  </si>
  <si>
    <t>Management practice that includes methodologies for proper herbicide handling, application, and disposal of leftovers and containers in a safe way to minimize pollution and contamination. Includes capacity building of farmers, formation of spray teams, proper transportation, storage, mixing procedures and application.</t>
  </si>
  <si>
    <t>Protective clothing required (KES 5,000), Use PCPB registered products only, Follow label instructions strictly, Avoid spraying against wind, Dispose empty containers safely, Unauthorized herbicides smuggled from neighboring countries</t>
  </si>
  <si>
    <t>safe herbicide use, protective gear, PCPB, spray teams, chemical disposal, label instructions</t>
  </si>
  <si>
    <t>Maturity Indices (Maize)</t>
  </si>
  <si>
    <t>Management practice involving careful maturity indices for maize. Green maize ready when silky flowering at top turns black. Dry maize should be harvested at physiological maturity: most leaves dried, cob husks not green, stalks turn yellow/brown, cobs droop, kernels show black layer, grains hard and not milky.</t>
  </si>
  <si>
    <t>Requires careful observation of multiple indicators, Delayed harvesting increases post-harvest losses, Early harvesting reduces yields, Black layer method most reliable, Wet weather at maturity encourages rotting</t>
  </si>
  <si>
    <t>maturity indices, physiological maturity, black layer, harvest timing, grain quality, post-harvest</t>
  </si>
  <si>
    <t>Stooking of maize during harvesting</t>
  </si>
  <si>
    <t>Process of leaning maize stalks against each other into a tee-pee-like structure. Allows sun and air to dry maize cobs to help make peeling away husks easier. After stooking for a few days or weeks, farmers snap individual cobs from stalks and remove husks.</t>
  </si>
  <si>
    <t>Labour intensive, Requires dry weather for effective drying, Stooks may attract pests, Prolonged stooking increases aflatoxin risk, Protects cobs from ground moisture</t>
  </si>
  <si>
    <t>stooking, field drying, post-harvest, moisture reduction, husk removal, crop protection</t>
  </si>
  <si>
    <t>Drying of maize cobs – the maize Crib</t>
  </si>
  <si>
    <t>Well-ventilated store for temporary holding maize cobs till they are dry enough for threshing. Long and narrow with wooden slats or chicken wire sides for ventilation, roof protects against rain. Legs 1m above ground with rodent guards. Built across prevailing wind.</t>
  </si>
  <si>
    <t>Construction cost significant, Requires regular cleaning before each harvest, Replace LGB-infested timber, Width varies by humidity (0.6m to 1.5m), Rodent guards essential, Requires adequate ventilation</t>
  </si>
  <si>
    <t>maize crib, cob drying, ventilation, rodent protection, post-harvest, aflatoxin prevention</t>
  </si>
  <si>
    <t>Drying of maize cobs – tarpaulins</t>
  </si>
  <si>
    <t>Large plastic sheet or canvas laid out in the sun for drying maize on cobs before threshing. Place on flattened mound of hard-packed earth or level ground with shallow trench for drainage. Cobs placed in single layer and turned at intervals. Protected from rain and night dew.</t>
  </si>
  <si>
    <t>Never dry on bare soil - use tarpaulins (KES 5,000), Turn cobs regularly for even drying, Protect from rain and night dew, Keep away from farm animals, Clean area before drying, Target 13% moisture</t>
  </si>
  <si>
    <t>tarpaulin drying, sun drying, cob drying, post-harvest, moisture reduction, contamination prevention</t>
  </si>
  <si>
    <t>Threshing / shelling of maize</t>
  </si>
  <si>
    <t>Motorised grain threshing machine for separating grain from cobs. Maize cobs fed into inlet, threshed into grains discharged from one outlet - trash removed in separate outlet. Hand shellers have output of 7-12 kg/hour. Motorised shellers have outputs of 50-130 kg/hour.</t>
  </si>
  <si>
    <t>Best at 14-15% moisture content, Hand shelling slow and tedious (7-12 kg/hour), Motorised shellers cost KES 160,000, Requires skilled operators, Damage increases storage pest risk, Select/sort cobs before shelling</t>
  </si>
  <si>
    <t>threshing, shelling, hand sheller, motorised sheller, post-harvest, grain quality</t>
  </si>
  <si>
    <t>Drying of grains after threshing</t>
  </si>
  <si>
    <t>Drying of maize kernels after shelling using sun drying (on tarpaulins or concrete slabs), solar wrap drying, greenhouse solar dryers, electric dryers, or DehyTrays. Grain should be dried to 13% moisture content for safe storage.</t>
  </si>
  <si>
    <t>Never dry on bare soil, Grain layer no deeper than ankle bone, Turn grain several times daily, Protect from rain and night dew, Concrete slab heats up quickly, Electric dryers expensive but efficient (KES 10,000 for DehyTray)</t>
  </si>
  <si>
    <t>grain drying, sun drying, solar drying, greenhouse dryer, moisture content, aflatoxin prevention</t>
  </si>
  <si>
    <t>Hygrometer for maize moisture determination</t>
  </si>
  <si>
    <t>Small portable digital hygrometer for checking relative humidity of maize. Uses relative humidity and temperature of air environment in equilibrium with grain to determine moisture content. Device and grain put in airtight container, reading after 10-15 minutes. If RH is less than 65%, grain is dry.</t>
  </si>
  <si>
    <t>Low cost (approx. KES 360), Requires airtight container, Wait 10-15 minutes for accurate reading, If RH &gt;65%, continue drying, Calibration needed for accuracy, Not as precise as moisture meter</t>
  </si>
  <si>
    <t>hygrometer, relative humidity, moisture content, grain drying, post-harvest, low-cost testing</t>
  </si>
  <si>
    <t>Subjective methods for moisture content determination</t>
  </si>
  <si>
    <t>Methods for estimating moisture content including biting grain or pinching with fingers (experienced farmers test by biting - if hard and doesn't break easily, it's dry enough), and salt method (dry salt and grain in glass bottle - if salt sticks to bottle after 15 minutes, moisture above 15%).</t>
  </si>
  <si>
    <t>Only indicates above/below 15%, Requires experience for accuracy, Salt must be thoroughly dried before use, Salt method only for experienced users, Not as reliable as moisture meter</t>
  </si>
  <si>
    <t>biting method, salt method, moisture content, traditional testing, grain hardness, post-harvest</t>
  </si>
  <si>
    <t>Winnowing (Maize)</t>
  </si>
  <si>
    <t>Process of removing premature grains, chaff, dust, foreign matter such as stones, shrivelled, mouldy, insect damaged grain. Done manually using winnowing tray or using motorised threshing and winnowing machines. Improves grain quality.</t>
  </si>
  <si>
    <t>Manual winnowing labour intensive, Motorised machines cost significant, Clean grain fetches better prices, Requires proper technique for effectiveness, Remove damaged grains by hand picking</t>
  </si>
  <si>
    <t>winnowing, grain cleaning, chaff removal, quality improvement, post-harvest, value addition</t>
  </si>
  <si>
    <t>Hermetic Storage Bags (Maize)</t>
  </si>
  <si>
    <t>Airtight and moisture proof bags that prevent air and water from getting into cereals. Eliminate pests by depleting oxygen. Consist of one or two-layer envelope made of 80 µm thick high density polyethylene liners inserted in outer woven polypropylene sack. Grain can keep over one year.</t>
  </si>
  <si>
    <t>Cost KES 300 per bag, Rodents can damage bags, Grain must be properly dried (13% moisture), Seal properly for effectiveness, Store on pallets off ground, Combine with rodent control measures</t>
  </si>
  <si>
    <t>hermetic bags, PICS bags, Agro-Z, grain storage, oxygen depletion, pest control</t>
  </si>
  <si>
    <t>Metal silos (Maize)</t>
  </si>
  <si>
    <t>Cylindrical structure constructed from galvanized iron sheet (gauge No. 26 or 0.5 mm thickness) and hermetically sealed. Protect stored grains from rodents, birds and moisture. Capacity ranges from 1, 8, 12 and 1,000 bags. Reusable for multiple crops.</t>
  </si>
  <si>
    <t>Cost: KES 3,000 (1 bag) to KES 24,000 (12 bags), Requires trained artisans for fabrication, Grain must be properly dried (13% moisture), Hermetic seal essential, Rodent-proof if properly constructed, Reusable for multiple seasons</t>
  </si>
  <si>
    <t>metal silos, grain storage, hermetic storage, rodent protection, post-harvest, reusable storage</t>
  </si>
  <si>
    <t>Maize stores</t>
  </si>
  <si>
    <t>Storage structure for storage of bagged grains ensuring bags are not attacked by rodents. Bags placed on pallets, not directly on floor. Can stay for at least 8 months while still in good condition. Maintains quality of grain.</t>
  </si>
  <si>
    <t>Requires proper construction, Pallets essential to keep bags off floor, Regular inspection for pests/rodents, Maintain good ventilation, Practice FIFO (First In First Out), Clean store before each harvest</t>
  </si>
  <si>
    <t>maize stores, grain storage, pallets, rodent control, FIFO, post-harvest</t>
  </si>
  <si>
    <t>Corn starch (Maize)</t>
  </si>
  <si>
    <t>Starch processed from corn grain obtained from the endosperm of the kernel. Common food ingredient used to thicken sauces or soups, and to make corn syrup.</t>
  </si>
  <si>
    <t>Requires specialized processing equipment, Quality standards need development, Limited awareness among farmers, Gluten-free alternative for consumers, Requires validation for commercial viability</t>
  </si>
  <si>
    <t>corn starch, value addition, food ingredient, thickening agent, endosperm, processing</t>
  </si>
  <si>
    <t>Tortillas (Maize)</t>
  </si>
  <si>
    <t>Thin, flat pancake made from maize flour, eaten hot or cold with savoury filling. Made through nixtamalization process which reduces aflatoxin levels by 30-70%, improves calcium and niacin availability.</t>
  </si>
  <si>
    <t>Requires nixtamalization process, Quality standards need development, Limited awareness among consumers, Requires investment in processing equipment, Market development needed</t>
  </si>
  <si>
    <t>tortillas, nixtamalization, aflatoxin reduction, value addition, calcium enrichment, niacin availability</t>
  </si>
  <si>
    <t>Ogi (Maize)</t>
  </si>
  <si>
    <t>Fermented cereal pudding made from maize. Commonly served for breakfast and dinner, often with thinner gravy-like consistency.</t>
  </si>
  <si>
    <t>Requires fermentation process, Quality standards need development, Limited awareness among Kenyans, Requires appropriate packaging, Market development needed</t>
  </si>
  <si>
    <t>ogi, fermented cereal, pudding, value addition, breakfast food, traditional food</t>
  </si>
  <si>
    <t>Popcorn (Maize)</t>
  </si>
  <si>
    <t>Maize variety with hard kernels that swell up and burst open when heated. Commonly served as a snack.</t>
  </si>
  <si>
    <t>Requires specific popcorn varieties, Quality standards need development, Limited awareness among farmers, Requires proper storage to maintain popping ability, Market development needed</t>
  </si>
  <si>
    <t>popcorn, snack, specialty maize, value addition, hard kernels, popping</t>
  </si>
  <si>
    <t>Maize beer (Maize)</t>
  </si>
  <si>
    <t>Alcoholic drink made from yeast-fermented malt flavoured with hops from maize.</t>
  </si>
  <si>
    <t>Requires brewing expertise, Quality standards need development (KEBS), Competition from established beverages, Social-cultural factors may limit adoption, Requires investment in equipment</t>
  </si>
  <si>
    <t>maize beer, alcoholic beverage, fermentation, value addition, brewing, malt</t>
  </si>
  <si>
    <t>Maize oil (Maize)</t>
  </si>
  <si>
    <t>Oil obtained from the germ of maize, used in cooking and salad dressings.</t>
  </si>
  <si>
    <t>Requires oil extraction equipment, Quality standards need development, Limited awareness among farmers, Requires significant investment, Competition from established oils</t>
  </si>
  <si>
    <t>maize oil, germ oil, cooking oil, value addition, extraction, food processing</t>
  </si>
  <si>
    <t>Maize candy (Maize)</t>
  </si>
  <si>
    <t>Molded candies resembling corn kernels in shape with yellow bases, orange middle sections, and white tips. Consumed as snack.</t>
  </si>
  <si>
    <t>Requires candy-making expertise, Quality standards need development, Limited awareness, Competition from established candies, Requires investment in equipment</t>
  </si>
  <si>
    <t>maize candy, confectionery, value addition, snack food, candy making, processing</t>
  </si>
  <si>
    <t>Corn sauce (Maize)</t>
  </si>
  <si>
    <t>Fermented corn sauce produced by fermentation using corn starch as primary substrate.</t>
  </si>
  <si>
    <t>Requires fermentation process, Quality standards need development, Limited awareness, Requires appropriate packaging, Market development needed</t>
  </si>
  <si>
    <t>corn sauce, fermented sauce, value addition, condiment, fermentation, food processing</t>
  </si>
  <si>
    <t>Corn Syrup (Maize)</t>
  </si>
  <si>
    <t>Fermented cereal pudding made from maize. Used to soften texture, add flavour, prevent crystallization of sugar and enhance flavour.</t>
  </si>
  <si>
    <t>Requires fermentation/processing equipment, Quality standards need development, Competition from established syrups, Limited awareness, Requires investment in processing</t>
  </si>
  <si>
    <t>corn syrup, sweetener, value addition, fermentation, food processing, sugar alternative</t>
  </si>
  <si>
    <t>Maize crackies (Maize)</t>
  </si>
  <si>
    <t>Deep-fried snack made from maize flours. Soft and tasty, nutritious, tastier and crunchy. Made through nixtamalization process.</t>
  </si>
  <si>
    <t>Requires nixtamalization, Quality standards need development, Requires deep-frying equipment, Shelf-life considerations, Limited awareness</t>
  </si>
  <si>
    <t>maize crackies, nixtamalization, snack food, deep-fried, value addition, crunchy snack</t>
  </si>
  <si>
    <t>Maize Sausages (Maize)</t>
  </si>
  <si>
    <t>Snack made from minced meat and maize flour with milk or water and baking powder. Dough moulded into oval shapes and deep fried until brown.</t>
  </si>
  <si>
    <t>Requires nixtamalization, Quality standards need development, Meat availability/cost issues, Requires deep-frying equipment, Limited awareness</t>
  </si>
  <si>
    <t>maize sausages, nixtamalization, meat product, snack food, value addition, processing</t>
  </si>
  <si>
    <t>Maize kebab (Maize)</t>
  </si>
  <si>
    <t>Oval shaped snack made from mixture of minced meat and maize flour dipped in beaten eggs before deep frying.</t>
  </si>
  <si>
    <t>maize kebab, nixtamalization, meat product, snack food, value addition, deep-fried</t>
  </si>
  <si>
    <t>Maize Mandazi (Maize)</t>
  </si>
  <si>
    <t>Snack made from maize flour and wheat mixed in ratio of 2:1. Milk added to make dough, rolled into 1 cm thickness, cut into shapes and deep fried until golden brown.</t>
  </si>
  <si>
    <t>Requires nixtamalization, Quality standards need development, Requires deep-frying equipment, Wheat flour availability/cost, Limited awareness</t>
  </si>
  <si>
    <t>maize mandazi, nixtamalization, snack food, deep-fried, value addition, baking</t>
  </si>
  <si>
    <t>Maize Cake (Maize)</t>
  </si>
  <si>
    <t>Snack made from maize flour and wheat mixed in ratio of 2:1 with sugar, margarine and baking powder. Paste poured onto greased baking pan and baked at 190°C for 1 hour 20 minutes.</t>
  </si>
  <si>
    <t>Requires nixtamalization, Quality standards need development, Requires oven/baking equipment, Wheat flour availability/cost, Limited awareness</t>
  </si>
  <si>
    <t>maize cake, nixtamalization, baked product, snack food, value addition, baking</t>
  </si>
  <si>
    <t>Maize Cookies (Maize)</t>
  </si>
  <si>
    <t>Small, flat sweet snacks made from maize flour and wheat mixed in ratio of 1:1 with beaten eggs and fat. Baked at 190°C until golden brown.</t>
  </si>
  <si>
    <t>maize cookies, nixtamalization, baked product, snack food, value addition, gluten-friendly</t>
  </si>
  <si>
    <t>Masa (Maize)</t>
  </si>
  <si>
    <t>Dough made through nixtamalization process. Basic ingredients: 2kg maize, 3 litres water, 20gm lime. Maize cleaned, mixed with water and lime, boiled 25-30 minutes, washed, wet milled to make dough.</t>
  </si>
  <si>
    <t>Requires nixtamalization expertise, Lime quality important, Boiling time critical (25-30 minutes), Used to make multiple products, Limited awareness</t>
  </si>
  <si>
    <t>masa, nixtamalization, maize dough, value addition, processing, lime cooking</t>
  </si>
  <si>
    <t>Nixtamalization (Maize)</t>
  </si>
  <si>
    <t>Cooking of maize in lime. Dry maize boiled for 25-30 minutes in water with food grade lime (or bean stover ash/maize cob ash). Maize washed and either wet milled to form dough (Masa) or sundried and ground to flour. Reduces aflatoxin by 30-70%, increases bioavailability of vitamin B3 and calcium.</t>
  </si>
  <si>
    <t>Requires food-grade lime, Boiling time critical (25-30 minutes), Washing removes excess lime, Quality standards need development, Limited awareness among farmers, Requires further research on gross margin</t>
  </si>
  <si>
    <t>nixtamalization, aflatoxin reduction, lime cooking, vitamin B3, calcium enrichment, masa</t>
  </si>
  <si>
    <t>Power tiller (Maize)</t>
  </si>
  <si>
    <t>Two-wheeled agricultural machine fitted with rotary tillers, disk harrow, mouldboard plough, trailer, chisel or water pump. Can complete 0.5ha per hour. Fuel consumption about 15 litres per ha. Multiple uses: seedbed preparation, sowing, planting, chemical spraying, water pumping, threshing and transport.</t>
  </si>
  <si>
    <t>Cost KES 280,000, Requires skilled operator, Not gender friendly for women, High initial cost for small-scale farmers, Regular maintenance needed, Limited awareness among farmers</t>
  </si>
  <si>
    <t>power tiller, mechanization, seedbed preparation, two-wheel tractor, land preparation, farm mechanization</t>
  </si>
  <si>
    <t>Wheeled Tractor 50Hp (Maize)</t>
  </si>
  <si>
    <t>Engineering vehicle designed to deliver high tractive effort at slow speeds for hauling trailers or machinery. Provides power and traction for mechanizing agricultural tasks including tillage, planting, weeding, spraying, harvesting, ground grading. Fitted with various equipment for different farm operations.</t>
  </si>
  <si>
    <t>Cost KES 1,780,000, Requires skilled operator, Not gender friendly for women, High initial cost, Regular maintenance and fuel costs, Suitable for larger farms</t>
  </si>
  <si>
    <t>wheeled tractor, mechanization, farm power, land preparation, tillage, 50Hp</t>
  </si>
  <si>
    <t>Mouldboard plough (Maize)</t>
  </si>
  <si>
    <t>Agricultural implement for tillage that cuts, lifts, inverts and pulverizes the furrow slice. Available for power tiller and tractor operation. Conserves moisture and biomass while pulverizing soil.</t>
  </si>
  <si>
    <t>Cost KES 550,000, Requires tractor or power tiller, Requires skilled operator, Regular maintenance needed, Not suitable for small farms</t>
  </si>
  <si>
    <t>mouldboard plough, tillage, soil inversion, land preparation, ploughing, mechanization</t>
  </si>
  <si>
    <t>Harrow (Maize)</t>
  </si>
  <si>
    <t>Farm implement used to pulverize soil, break up crop residues, uproot weeds and cover seed. Used for surface tillage after ploughing for breaking up clods and providing smooth soil structure.</t>
  </si>
  <si>
    <t>Cost KES 280,000, Requires tractor or power tiller, Requires skilled operator, Regular maintenance needed, Many farmers skip harrowing to save costs</t>
  </si>
  <si>
    <t>harrow, soil pulverization, surface tillage, seedbed preparation, weed control, mechanization</t>
  </si>
  <si>
    <t>Planter (Maize)</t>
  </si>
  <si>
    <t>Device used in agriculture that opens furrows, meters, sows maize seed by positioning them in soil and burying them to specific depth. Sows seed at proper rate and depth, ensuring seeds are covered by soil.</t>
  </si>
  <si>
    <t>Cost KES 85,000, Requires further research, Regular maintenance needed, Requires calibration for seed rate, Not widely available, Limited awareness</t>
  </si>
  <si>
    <t>planter, seed placement, mechanized planting, row planting, seed metering, precision farming</t>
  </si>
  <si>
    <t>Motorized Sprayer (Maize)</t>
  </si>
  <si>
    <t>Device used to spray liquids for projection of water, weed killers, crop performance materials, pest maintenance chemicals. Man-portable units typically backpacks with spray guns. Used to apply herbicides, insecticides, pesticides, fungicides and micronutrients.</t>
  </si>
  <si>
    <t>Cost KES 55,000, Requires protective gear, Chemical safety training essential, Regular maintenance and cleaning, Risk of chemical drift, Not suitable for small plots</t>
  </si>
  <si>
    <t>motorized sprayer, chemical application, pest control, spraying equipment, crop protection, mechanization</t>
  </si>
  <si>
    <t>Power weeder (Maize)</t>
  </si>
  <si>
    <t>Device used for removing weeds, stirring and pulverizing soil and loosening soil after crop has begun to grow. Self-propelled power weeder with fully functional gear box having forward and reverse gear transmission with clutch.</t>
  </si>
  <si>
    <t>Cost KES 280,000, Requires further research, Requires skilled operator, Not gender friendly for women, High initial cost, Limited awareness</t>
  </si>
  <si>
    <t>power weeder, mechanical weeding, weed control, mechanization, soil loosening, crop protection</t>
  </si>
  <si>
    <t>Maize harvester (Maize)</t>
  </si>
  <si>
    <t>Small type corn harvester that can work single row corn with tiller and walking tractor. Collection bucket fills and can be taken off. Height adjustable, tension clutch works safely, turning radius small.</t>
  </si>
  <si>
    <t>Cost KES 360,000, Requires skilled operator, Not gender friendly for women, High initial cost, Requires transportation for harvested crop, Limited awareness</t>
  </si>
  <si>
    <t>maize harvester, mechanized harvesting, combine, corn harvester, harvesting equipment, mechanization</t>
  </si>
  <si>
    <t>Maize shellers (Maize)</t>
  </si>
  <si>
    <t>Machine that simultaneously threshes, polishes and winnows maize. Appropriate for smallholder farmers, made from locally available materials. Designed to thresh and winnow variety of leguminous crops.</t>
  </si>
  <si>
    <t>Cost KES 125,000, Output 500 kg/hour, Requires 2 operators, Some machines crack grain too much, Fuel 1 litre/hour (4-5 bags), May cause fungal infections (aflatoxin)</t>
  </si>
  <si>
    <t>maize sheller, threshing, winnowing, mechanization, post-harvest, grain processing</t>
  </si>
  <si>
    <t>Transformative Model of production of maize (Maize)</t>
  </si>
  <si>
    <t>Model that builds resiliency of farmers to focus on market orientation. Aims at shift from subsistence to semi-commercial to fully commercial. Subsistence: traditional inputs, output consumed at home. Semi-commercial: both traditional and improved inputs, output consumed and some marketed. Fully commercial: inputs from markets, outputs solely for markets.</t>
  </si>
  <si>
    <t>Requires mindset change, Farmers may be reluctant to shift, Requires market access and information, Investment needed for inputs, Requires validation, Group formation challenges</t>
  </si>
  <si>
    <t>transformative model, commercial farming, market orientation, subsistence to commercial, business model, value chain</t>
  </si>
  <si>
    <t>Building a Business Plan for Maize production (Maize)</t>
  </si>
  <si>
    <t>Maize business plan serves as internal management and organizing tool, used to communicate outside the business. Contains elements of marketing strategy, marketing costs, income streams and financial requirements. Enables farmers to control costs, develop marketing strategies and build production plans to meet market demand.</t>
  </si>
  <si>
    <t>Requires record keeping skills, Low adoption due to illiteracy, Time investment needed, Requires training and capacity building, May be challenging for small-scale farmers</t>
  </si>
  <si>
    <t>business plan, farm management, marketing strategy, financial planning, record keeping, commercialization</t>
  </si>
  <si>
    <t>Collective marketing (Maize)</t>
  </si>
  <si>
    <t>Marketing as a group where farmers establish an entity to create market links. Formation of group of farmers with objective of reducing market inaccessibility. Carried through Producer Organizations (POs) as institutional vehicle for promoting agricultural production by helping farmers solve common problems.</t>
  </si>
  <si>
    <t>Requires trust among members, Side-selling common challenge, Variable quality issues, Group dynamics challenges, Women may be discriminated, Requires strong leadership</t>
  </si>
  <si>
    <t>collective marketing, producer organizations, economies of scale, market access, group marketing, value chain</t>
  </si>
  <si>
    <t>Profitability analysis (Maize)</t>
  </si>
  <si>
    <t>Recording of costs and returns and determination of profit which indicates performance of maize agro-enterprise. Reviews management success and sustainability of maize business. Indicates areas of adjustment.</t>
  </si>
  <si>
    <t>Requires record keeping skills, Illiteracy is a barrier, Family labour often not costed, Average costs KES 18,037/acre, Average returns KES 33,582/acre, Requires training</t>
  </si>
  <si>
    <t>profitability analysis, cost-benefit, record keeping, farm business, financial management, gross margin</t>
  </si>
  <si>
    <t>Market research for market information (Maize)</t>
  </si>
  <si>
    <t>Gathering information on product buyers, demand, type required, minimum volume purchased, collective marketing volume, quality, packaging requirements, frequency of delivery, purchase price, means of payment and willingness to buy from local farmers.</t>
  </si>
  <si>
    <t>Requires dedicated effort and resources, Farmers may lack capacity, Poor connectivity limits access, Information asymmetry common, Need for reliable market information systems</t>
  </si>
  <si>
    <t>market research, market information, buyer requirements, quality standards, market intelligence, value chain</t>
  </si>
  <si>
    <t>Contracted maize production system (Maize)</t>
  </si>
  <si>
    <t>Investment by private companies extending lines of credit to producers in form of farming inputs and technical assistance. Contractors commit to buy entire product at agreed price. Producers avail desired produce for sale. Can be oral or written contract.</t>
  </si>
  <si>
    <t>Risk of non-compliance by either party, Written contract recommended, Power imbalances possible, Small-scale farmers may be disadvantaged, Requires legal awareness, Transparency essential</t>
  </si>
  <si>
    <t>contract farming, production contract, market guarantee, input credit, technical assistance, value chain</t>
  </si>
  <si>
    <t>Marketing Innovation model (Maize)</t>
  </si>
  <si>
    <t>Entrepreneurship where farmers undertake technology modification, finance and business acumen in effort to transform innovations into economic goods and profit. Involves product diversification developing various marketing channels.</t>
  </si>
  <si>
    <t>Requires entrepreneurial skills, Access to finance essential, Business acumen needed, Women lack entrepreneurial skills compared to men, Requires validation, Market linkages needed</t>
  </si>
  <si>
    <t>marketing innovation, entrepreneurship, product diversification, value addition, agribusiness, commercialization</t>
  </si>
  <si>
    <t>Digital marketing (Maize)</t>
  </si>
  <si>
    <t>Online marketplace providing buyers and sellers with avenue to meet and exchange goods and services. Includes variety of online platforms, tools, and content delivery systems.</t>
  </si>
  <si>
    <t>Requires internet connectivity, Low digital skills among farmers, Risk of fraud, Limited ICT exposure, Potential for non-compliance to contracts, Infrastructure challenges</t>
  </si>
  <si>
    <t>digital marketing, online marketplace, e-commerce, ICT tools, market access, digital literacy</t>
  </si>
  <si>
    <t>Farming maize production in the National Agricultural policy (Maize)</t>
  </si>
  <si>
    <t>National Agricultural policy strategy framework provides instruments and rules for smallholder farmers to increase maize productivity in the Counties.</t>
  </si>
  <si>
    <t>Limited awareness of policies, Inadequate representation of smallholders, Need for policy validation, Equity distribution issues, Accessibility to production inputs challenge</t>
  </si>
  <si>
    <t>agricultural policy, policy framework, productivity, smallholder farmers, policy instruments, maize production</t>
  </si>
  <si>
    <t>Participation in County Integrated Development Planning (Maize)</t>
  </si>
  <si>
    <t>County Integrated Development Planning builds a plan for each county to be implemented in five years. Participatory process involving development stakeholders. Issues in maize production, marketing and processing considered during this planning period.</t>
  </si>
  <si>
    <t>Inadequate representation of youth and women, Inadequate representation of VMGs, Disorganized scattered farmers, Specific to certain agro-ecological zones, Inadequate stakeholder information</t>
  </si>
  <si>
    <t>county planning, development plan, participatory planning, stakeholder involvement, policy development, maize value chain</t>
  </si>
  <si>
    <t>Policy Instruments related to maize (Maize)</t>
  </si>
  <si>
    <t>Means to achieve policy objectives for maize production including subsidies for inputs and minimum price for maize outputs.</t>
  </si>
  <si>
    <t>Weak policy instruments lead to market failure, Low understanding among farmers, Need validation of instruments, Specific to certain zones only, Inadequate stakeholder information</t>
  </si>
  <si>
    <t>policy instruments, input subsidies, minimum price, policy objectives, government support, market intervention</t>
  </si>
  <si>
    <t>Policy cycle (Maize)</t>
  </si>
  <si>
    <t>Policy process conceptualized as sequential parts or stages: (1) problem emergence, (2) agenda setting, (3) consideration of policy options, (4) decision-making, (5) implementation, and (6) evaluation. Tool which divides complex procedures into convenient and manageable steps.</t>
  </si>
  <si>
    <t>Requires stakeholder involvement at all stages, Problem identification critical, Implementation often weak, Evaluation needs resources, Policy issues often disconnected from farmer realities</t>
  </si>
  <si>
    <t>policy cycle, agenda setting, policy formulation, implementation, policy evaluation, problem identification</t>
  </si>
  <si>
    <t>Impact of Climate Change on Agriculture - Maize</t>
  </si>
  <si>
    <t>Increased frequency of droughts and floods, changes in weather patterns, high rainfall intensity, increased pests and disease outbreaks.</t>
  </si>
  <si>
    <t>Increased risk of total crop failure, higher vulnerability to pests, soil erosion from heavy rains, unpredictable planting seasons, potential for waterlogging.</t>
  </si>
  <si>
    <t>Climate Change, Drought, Floods, Pests, Weather Patterns, Disease Outbreaks</t>
  </si>
  <si>
    <t>What Causes Climate Change and Variability? - Maize</t>
  </si>
  <si>
    <t>Linked directly and indirectly to human activities: land clearing, burning plant biomass, charcoal burning, conventional tillage, poor manure handling, inappropriate use of agro-chemicals. Carbon dioxide is the major greenhouse gas.</t>
  </si>
  <si>
    <t>Deforestation reduces rainfall, soil degradation from tillage, pollution from chemicals, greenhouse gas emissions, depletion of soil organic matter.</t>
  </si>
  <si>
    <t>Human Activities, Land Clearing, Greenhouse Gases, Agro-Chemicals, Deforestation, Carbon Dioxide</t>
  </si>
  <si>
    <t>Climate Smart Agriculture (CSA) - Maize</t>
  </si>
  <si>
    <t>Agricultural practices aimed at sustainably increasing production and resilience while reducing GHG emissions. Three pillars: increasing production/incomes, enhancing resilience (adaptation), reducing GHG emissions.</t>
  </si>
  <si>
    <t>Requires initial investment, may need new skills/knowledge, adaptation to local conditions necessary, practices may conflict with tradition, monitoring of emissions is complex.</t>
  </si>
  <si>
    <t>Sustainability, Resilience, GHG Reduction, Productivity, Adaptation, Income</t>
  </si>
  <si>
    <t>Characteristics of Climate Smart Farms - Maize</t>
  </si>
  <si>
    <t>Soil and water conservation structures; use of manure/compost; agroforestry; integration of perennial and annual crops; diversification of farm enterprises; readiness of a farm plan.</t>
  </si>
  <si>
    <t>High initial labour for structures, requires long-term planning, need for technical knowledge on integration, potential competition between crops, management complexity.</t>
  </si>
  <si>
    <t>Conservation, Agroforestry, Diversification, Manure, Water Harvesting, Farm Plan</t>
  </si>
  <si>
    <t>CSA Practices and their Benefits - Maize</t>
  </si>
  <si>
    <t>Includes Conservation Agriculture, agroforestry, soil and water conservation, integrated soil fertility management.</t>
  </si>
  <si>
    <t>Can be labour intensive, requires specific inputs, may have delayed benefits, not all practices suit every region, risk of improper implementation.</t>
  </si>
  <si>
    <t>Conservation Agriculture, Agroforestry, Water Conservation, Soil Fertility, Integrated Management, Sustainable Practices</t>
  </si>
  <si>
    <t>Conservation Agriculture - Maize</t>
  </si>
  <si>
    <t>Farming system that conserves, improves and uses natural resources more efficiently through sustainable intensification.</t>
  </si>
  <si>
    <t>Requires specialized equipment, weed control can be challenging, learning curve for new techniques, potential for herbicide overuse, transition period with lower yields.</t>
  </si>
  <si>
    <t>Sustainable Intensification, Resource Efficiency, Conservation, Soil Health, Natural Resources, Farming System</t>
  </si>
  <si>
    <t>Principles of Conservation Agriculture - Maize</t>
  </si>
  <si>
    <t>The principles are minimum soil disturbance, permanent soil cover, and crop diversification.</t>
  </si>
  <si>
    <t>Need for cover crop seeds, risk of harboring pests in residues, equipment for minimum tillage, competition for water with cover crops, initial cost of mulch.</t>
  </si>
  <si>
    <t>Minimum Tillage, Soil Cover, Crop Diversification, Residue Management, No-Till, Soil Protection</t>
  </si>
  <si>
    <t>Benefits of Conservation Agriculture - Maize</t>
  </si>
  <si>
    <t>Economic: saves resources, controls pests/diseases, reduces crop failure risk, and increases output/incomes. Environmental: improved soil health, reduced GHG emissions, improved water infiltration. Agronomic: increased soil organic matter.</t>
  </si>
  <si>
    <t>Benefits take time to materialize, requires strict adherence to principles, pest control may need integrated approach, economic benefits depend on market prices.</t>
  </si>
  <si>
    <t>Economic Benefits, Environmental Benefits, Soil Health, GHG Reduction, Water Infiltration, Crop Failure Risk</t>
  </si>
  <si>
    <t>Principles of Soil and Water Conservation - Maize</t>
  </si>
  <si>
    <t>The principles are to make effective use of soil water reserves, use rainwater effectively, avoid runoff, and reduce water losses through drainage.</t>
  </si>
  <si>
    <t>Requires careful planning of structures, can be labour-intensive, waterlogging risk if not designed well, effectiveness depends on rainfall intensity, loss of farmland to structures.</t>
  </si>
  <si>
    <t>Water Reserves, Rainwater Use, Runoff Prevention, Water Loss, Conservation, Drainage Management</t>
  </si>
  <si>
    <t>Benefits of Soil and Water Conservation - Maize</t>
  </si>
  <si>
    <t>Minimizes crop failure risk; reduces water erosion; improves water infiltration/retention; controls erosion; conserves water; increases land value; provides more fodder; increases water use efficiency.</t>
  </si>
  <si>
    <t>Initial high cost of structures, regular maintenance required, may reduce short-term cropland area, benefits depend on soil type, inconsistent results in dry years.</t>
  </si>
  <si>
    <t>Erosion Control, Water Retention, Land Value, Fodder, Water Efficiency, Crop Failure</t>
  </si>
  <si>
    <t>Common Soil and Water Conservation Technologies - Maize</t>
  </si>
  <si>
    <t>Field level technologies include bench terraces, check dams, contour bunds, Fanya juu terraces, Zai pits, Katumani pits, stone lines, trash lines, grass strips, retention ditches, mulching, and cover crops. Landscape level technologies include agroforestry, windbreaks, woodlots, and riparian buffer strips.</t>
  </si>
  <si>
    <t>High initial labour, need for stones/grass, maintenance is key, might harbor pests, may reduce planting area, knowledge required for correct construction.</t>
  </si>
  <si>
    <t>Terraces, Bunds, Zai Pits, Mulching, Cover Crops, Agroforestry</t>
  </si>
  <si>
    <t>Integrated Soil Fertility Management (ISFM) - Maize</t>
  </si>
  <si>
    <t>Set of practices including fertilizer, organic inputs, improved germplasm, adapted to local conditions to maximize agronomic efficiency and improve productivity.</t>
  </si>
  <si>
    <t>Requires soil testing, fertilizer costs can be high, organic inputs may be scarce, need for training, improper integration can be ineffective.</t>
  </si>
  <si>
    <t>Soil Fertility, Fertilizers, Organic Inputs, Germplasm, Agronomic Efficiency, Productivity</t>
  </si>
  <si>
    <t>Gender in Climate Smart Agriculture - Maize</t>
  </si>
  <si>
    <t>Recognize and address needs of men, women and youth. Women/youth typically have less access to assets, knowledge and resources. Understanding gender dynamics leads to more sustainable results.</t>
  </si>
  <si>
    <t>Cultural resistance to gender roles, unequal access to resources, women's time poverty, youth migration, power imbalances in decision-making.</t>
  </si>
  <si>
    <t>Gender Dynamics, Women, Youth, Access to Resources, Decision-Making, Sustainability</t>
  </si>
  <si>
    <t>What is Soil? - Maize</t>
  </si>
  <si>
    <t>To farmer: medium where plants grow. To agronomist: unconsolidated layer of earth's surface consisting of mineral/organic material, air, water and living organisms that supports plant growth.</t>
  </si>
  <si>
    <t>Erosion is a constant threat, poor management destroys it, contamination from chemicals, compaction by heavy machinery, loss of organic matter.</t>
  </si>
  <si>
    <t>Soil Definition, Plant Growth, Agronomist, Organic Material, Living Organisms, Earth Surface</t>
  </si>
  <si>
    <t>Soil Composition - Maize</t>
  </si>
  <si>
    <t>Mineral particles, organic matter, living organisms, air and soil water.</t>
  </si>
  <si>
    <t>Imbalance in components reduces fertility, organic matter can deplete, compaction reduces air/water, pollution harms organisms, erosion removes top layers.</t>
  </si>
  <si>
    <t>Mineral Particles, Organic Matter, Living Organisms, Soil Air, Soil Water, Composition</t>
  </si>
  <si>
    <t>Soil Properties - Maize</t>
  </si>
  <si>
    <t>Divided into physical, chemical and biological.</t>
  </si>
  <si>
    <t>All properties are interdependent, poor management affects all, degradation is reversible but costly, testing is required for assessment.</t>
  </si>
  <si>
    <t>Physical Properties, Chemical Properties, Biological Properties, Soil Health, Fertility, Management</t>
  </si>
  <si>
    <t>Soil Physical Properties - Maize</t>
  </si>
  <si>
    <t>Texture (sand/silt/clay proportions); Structure (arrangement of aggregates); Bulk density (compactness); Porosity (pore volume); Consistence (resistance to rupture); Horizonation/depth; Colour.</t>
  </si>
  <si>
    <t>Poor texture limits water holding, compaction reduces root growth, erosion changes depth, plough pans create hard layers, colour indicates organic matter loss.</t>
  </si>
  <si>
    <t>Texture, Structure, Bulk Density, Porosity, Soil Colour, Compaction</t>
  </si>
  <si>
    <t>Soil Chemical Properties - Maize</t>
  </si>
  <si>
    <t>Soil pH (acidity/alkalinity, optimum 6.5-7); Cation Exchange Capacity (CEC); Anion Exchange Capacity (AEC); Buffering Capacity. Organic matter improves all properties.</t>
  </si>
  <si>
    <t>Acidification limits nutrient uptake, salinization from irrigation, CEC decreases with organic matter loss, buffering capacity can be overwhelmed by over-liming.</t>
  </si>
  <si>
    <t>Soil pH, Cation Exchange, Anion Exchange, Buffering, Soil Fertility, Nutrient Availability</t>
  </si>
  <si>
    <t>Biological Properties - Maize</t>
  </si>
  <si>
    <t>Micro-organisms (bacteria, fungi, protozoa, nematodes); Macro-organisms (spiders, earthworms, termites); Plant roots. Important for nutrient provision and soil loosening.</t>
  </si>
  <si>
    <t>Pesticides harm beneficial organisms, lack of organic matter reduces activity, termites can become pests, compaction suffocates macro-organisms, tillage disrupts fungal networks.</t>
  </si>
  <si>
    <t>Micro-Organisms, Macro-Organisms, Nutrient Cycling, Soil Structure, Biodiversity, Organic Matter</t>
  </si>
  <si>
    <t>Traditional Soil Fertility Indicators - Maize</t>
  </si>
  <si>
    <t>Soil with big clods indicates fertile soil. Poverty grass (Rhynchyletrum repens) occurs in infertile soils. Dominance of Commelina benghalensis, Bidens pilosa, Galinsoga parviflora, and Amaranthus spp. imply high fertility. Dominance of earthworms imply high fertility.</t>
  </si>
  <si>
    <t>Subjective and can be misleading, may not indicate specific nutrient deficiencies, can be influenced by seasonal changes, requires local knowledge to interpret correctly.</t>
  </si>
  <si>
    <t>Traditional Indicators, Fertility Weeds, Earthworms, Soil Clods, Local Knowledge, Soil Assessment</t>
  </si>
  <si>
    <t>Plant Nutrients and their Roles - Maize</t>
  </si>
  <si>
    <t>Plants require 17 elements. Major: N, P, K, Ca, S, Mg. Micro: Zn, Mo, B, Fe, Co, Mn, Cu, Ni.</t>
  </si>
  <si>
    <t>Deficiencies limit growth, toxicity from over-application, interactions (antagonism) between nutrients, need for balanced fertilization, soil testing essential.</t>
  </si>
  <si>
    <t>Macronutrients, Micronutrients, Nutrient Roles, Plant Growth, Deficiency, Balanced Nutrition</t>
  </si>
  <si>
    <t>Nitrogen (N) - Maize</t>
  </si>
  <si>
    <t>Nitrogen is involved in the formation of chlorophyll, vegetative growth, and protein synthesis.</t>
  </si>
  <si>
    <t>Leaching losses in wet soils, volatilization if surface-applied, overuse causes lodging, deficiency causes yellowing, application timing is critical.</t>
  </si>
  <si>
    <t>Nitrogen, Chlorophyll, Vegetative Growth, Protein Synthesis, Deficiency, Lodging</t>
  </si>
  <si>
    <t>Phosphorus (P) - Maize</t>
  </si>
  <si>
    <t>Phosphorus is involved in the development of root system and seed and fruit formation.</t>
  </si>
  <si>
    <t>Unavailable in acidic soils, fixation in some soils, leaching not a major loss, requires soil testing, placement is important for young seedlings.</t>
  </si>
  <si>
    <t>Phosphorus, Root Development, Seed Formation, Deficiency, Soil Fixation, Fertilization</t>
  </si>
  <si>
    <t>Potassium (K) - Maize</t>
  </si>
  <si>
    <t>Potassium provides tolerance to moisture stress, improves quality of fruits/vegetables/grains, promotes early ripening, and enhances disease resistance.</t>
  </si>
  <si>
    <t>Deficiency common in sandy soils, can be locked up in clay, overuse contributes to salinity, leaching in some soils, affects water uptake.</t>
  </si>
  <si>
    <t>Potassium, Moisture Stress, Quality, Ripening, Disease Resistance, Deficiency</t>
  </si>
  <si>
    <t>Calcium (Ca) - Maize</t>
  </si>
  <si>
    <t>Calcium improves cell structure and fast cell division, leading to faster growth.</t>
  </si>
  <si>
    <t>Deficient in acidic soils, interacts with other nutrients, slow to move in plant, pH correction needed for availability, application timing is crucial.</t>
  </si>
  <si>
    <t>Calcium, Cell Structure, Cell Division, Growth, Deficiency, Soil pH</t>
  </si>
  <si>
    <t>Magnesium (Mg) - Maize</t>
  </si>
  <si>
    <t>Magnesium is involved in chlorophyll formation, phosphate metabolism, biological N fixation, oil/fat formation, and iron utilization.</t>
  </si>
  <si>
    <t>Easily leached from soils, deficiency common in sandy/acidic soils, competes with calcium, can be tied up by potassium, affects photosynthesis.</t>
  </si>
  <si>
    <t>Magnesium, Chlorophyll, N Fixation, Oil Formation, Deficiency, Photosynthesis</t>
  </si>
  <si>
    <t>Zinc (Zn) - Maize</t>
  </si>
  <si>
    <t>Zinc is involved in chlorophyll formation and enzyme activation.</t>
  </si>
  <si>
    <t>Deficiencies common in high pH soils, overuse can be toxic, interacts with phosphorus, crucial for seedling growth, very low rates of application needed.</t>
  </si>
  <si>
    <t>Zinc, Chlorophyll, Enzyme Activation, Deficiency, Micronutrient, Plant Health</t>
  </si>
  <si>
    <t>Organic Amendments - Maize</t>
  </si>
  <si>
    <t>Farmyard manure, compost, green manure, chicken manure, urban waste, sewage.</t>
  </si>
  <si>
    <t>Risk of pathogens, weed seeds, contamination (metals) from urban waste, high N loss in fresh manure, bulky to transport, quality varies widely.</t>
  </si>
  <si>
    <t>Farmyard Manure, Compost, Green Manure, Chicken Manure, Urban Waste, Organic Matter</t>
  </si>
  <si>
    <t>2.7 Organic Amendments - Maize</t>
  </si>
  <si>
    <t>Any material from living organisms.</t>
  </si>
  <si>
    <t>Uncomposted material can burn plants, nutrient content highly variable, may tie up nitrogen during decomposition, application rates are not precise.</t>
  </si>
  <si>
    <t>Organic Material, Living Organisms, Decomposition, Nutrient Content, Soil Amendment</t>
  </si>
  <si>
    <t>2.7.1 Characteristics and Benefits of Manure - Maize</t>
  </si>
  <si>
    <t>Manure supplies macro and micronutrients, buffers soil pH, enhances water retention, creates favourable conditions for soil microorganisms, improves soil structure, and must decompose first to release nutrients.</t>
  </si>
  <si>
    <t>Must be well-decomposed, can contain weed seeds, bulkiness makes it expensive to transport, application timing is key, may harbor pathogens.</t>
  </si>
  <si>
    <t>Manure, Nutrients, pH Buffering, Water Retention, Soil Structure, Microorganisms</t>
  </si>
  <si>
    <t>Inorganic Sources - Maize</t>
  </si>
  <si>
    <t>Manufactured products containing at least one essential plant nutrient. Concentrated sources readily available for plant uptake.</t>
  </si>
  <si>
    <t>Can cause fertilizer burn, high salt index, acidifying effect, expensive input, dependent on supply chains, contributes to GHG emissions in production.</t>
  </si>
  <si>
    <t>Inorganic Fertilizer, Manufactured, Essential Nutrients, Concentrated Source, Quick Uptake, Chemical Fertilizer</t>
  </si>
  <si>
    <t>Characteristics of Chemical Fertilizers - Maize</t>
  </si>
  <si>
    <t>They are rich nutrient sources but contain no organic matter. They absorb moisture (cake) and need proper storage. Nitrate-based fertilizers can become explosive. They provide a quick response and are immediately available.</t>
  </si>
  <si>
    <t>Storage is critical to avoid caking, handling safety measures required, over-reliance leads to soil degradation, no improvement of soil texture.</t>
  </si>
  <si>
    <t>Chemical Fertilizers, Nutrient Concentration, Moisture Absorption, Quick Response, Storage, Safety</t>
  </si>
  <si>
    <t>Classification of In-organic/Chemical Fertilizers - Maize</t>
  </si>
  <si>
    <t>Nitrogenous fertilizers include Ammonium Nitrate, Ammonium Sulphate, Urea, CAN, and NPK. Phosphatic fertilizers include SSP, TSP, and NPK. Potassic fertilizers include Muriate of Potash (MOP), Sulphate of Potash (SOP), and NPK.</t>
  </si>
  <si>
    <t>Need right choice for crop, over-application of one can imbalance others, acidification from N fertilizers, high cost of potash, environmental risk.</t>
  </si>
  <si>
    <t>Nitrogenous, Phosphatic, Potassic, Fertilizer Types, NPK, Soil Nutrition</t>
  </si>
  <si>
    <t>Nutrient Mining - Maize</t>
  </si>
  <si>
    <t>Nutrients removed through cropping. Corrected by leaving crop residues, applying organic/inorganic fertilizers, using the Nutrient Expert tool.</t>
  </si>
  <si>
    <t>Continuous mining depletes soil, lowers yields over time, requires constant monitoring, can be reversed but at a cost, needs precise nutrient replacement.</t>
  </si>
  <si>
    <t>Nutrient Depletion, Crop Removal, Residue Management, Fertilizer Application, Soil Replenishment</t>
  </si>
  <si>
    <t>Soil Acidity - Maize</t>
  </si>
  <si>
    <t>Causes: acidic parent material, leaching of base cations, continuous nutrient mining, acidifying fertilizers, acid rain, industrial emissions. Effects: unavailability of P, micronutrient toxicity, poor microbial activity. Corrected by liming, wood ash, manure/organic matter.</t>
  </si>
  <si>
    <t>Lime takes time to react, wood ash can be variable, toxicity of Al/Mn, reduces microbial activity, loss of base cations.</t>
  </si>
  <si>
    <t>Soil Acidity, Liming, Acidifying Fertilizers, Nutrient Availability, Toxicity, Microbial Activity</t>
  </si>
  <si>
    <t>Soil Compaction - Maize</t>
  </si>
  <si>
    <t>Caused by poor tillage, hard pans. Corrected by sub-soiling, ripping, avoiding ploughing when wet, mulching, adding manure.</t>
  </si>
  <si>
    <t>Reduces root growth, increases erosion risk, limits water infiltration, requires heavy machinery, persistent if not managed.</t>
  </si>
  <si>
    <t>Soil Compaction, Tillage, Root Growth, Sub-Soiling, Mulching, Water Infiltration</t>
  </si>
  <si>
    <t>Soil Erosion - Maize</t>
  </si>
  <si>
    <t>Causes washing away of top fertile soils. Corrected by increased vegetation, embankments, contour cultivation, strip cropping, cover crops, conservation tillage.</t>
  </si>
  <si>
    <t>Loss of topsoil nutrients, reduced water holding capacity, expensive to control, sedimentation of waterways, requires community cooperation.</t>
  </si>
  <si>
    <t>Soil Erosion, Topsoil Loss, Contour Cultivation, Cover Crops, Conservation Tillage, Vegetation</t>
  </si>
  <si>
    <t>Salinization and Sodification - Maize</t>
  </si>
  <si>
    <t>Accumulation of salts. Caused by mineralogy, over-application of fertilizers, poor salt movement. Leads to nutrient occlusion and toxicity.</t>
  </si>
  <si>
    <t>Toxic to plants, difficult and expensive to reclaim, requires specific management, irrigation water quality is crucial, affects soil structure.</t>
  </si>
  <si>
    <t>Salinization, Sodification, Salt Accumulation, Toxicity, Irrigation, Soil Reclamation</t>
  </si>
  <si>
    <t>Leaching - Maize</t>
  </si>
  <si>
    <t>Carrying away of nutrients beyond root reach. Common in high rainfall areas and coarse-textured sandy soils. Corrected by manure application and nutrient replenishment.</t>
  </si>
  <si>
    <t>Loss of N and other nutrients, contributes to groundwater pollution, wastes fertilizer investment, requires split applications, high risk in sandy soils.</t>
  </si>
  <si>
    <t>Leaching, Nutrient Loss, Sandy Soils, Groundwater Pollution, Manure, Split Application</t>
  </si>
  <si>
    <t>Soil Fertility Evaluation - Maize</t>
  </si>
  <si>
    <t>Regular maintenance through soil or plant tissue sampling and analysis.</t>
  </si>
  <si>
    <t>Cost of testing, interpretation can be complex, sampling procedure must be precise, not a one-time activity, availability of labs.</t>
  </si>
  <si>
    <t>Fertility Evaluation, Soil Sampling, Plant Tissue, Laboratory Analysis, Regular Monitoring</t>
  </si>
  <si>
    <t>Soil Sampling Considerations - Maize</t>
  </si>
  <si>
    <t>Topography, soil types, soil colour, land degradation intensities, physical discontinuities (rocky outcrops), land-use history, distance from homestead/livestock facilities.</t>
  </si>
  <si>
    <t>Requires representative sampling, field variability is high, historical management affects results, avoid unusual spots, sampling tools needed.</t>
  </si>
  <si>
    <t>Sampling Design, Topography, Soil Types, Land-Use History, Representative Sample, Field Variability</t>
  </si>
  <si>
    <t>Frequency of Soil Sampling - Maize</t>
  </si>
  <si>
    <t>New land: yearly. Cultivated land: every 2-3 years. Sample at least one month before rains. One composite sample per 2.5 acres or 1 Ha.</t>
  </si>
  <si>
    <t>Timing is critical, frequency must be maintained, composite sample must be well mixed, cost can be high for large farms, requires planning.</t>
  </si>
  <si>
    <t>Sampling Frequency, New Land, Cultivated Land, Timely Sampling, Composite Sample, Planning</t>
  </si>
  <si>
    <t>Soil Analysis Reports - Maize</t>
  </si>
  <si>
    <t>Indicate nutrient levels as low, moderate, adequate or high. Recommendations based on report and intended crop.</t>
  </si>
  <si>
    <t>Need expert interpretation, not all labs give same results, recommendations must be followed, may require specific fertilizers, is crop-specific.</t>
  </si>
  <si>
    <t>Soil Report, Nutrient Levels, Fertilizer Recommendations, Interpretation, Crop Specific</t>
  </si>
  <si>
    <t>Causes of Soil Degradation - Maize</t>
  </si>
  <si>
    <t>Physical (rainfall, runoff, floods, wind, tillage); Chemical (alkalinity, acidity, waterlogging, nutrient removal); Biological (reduced microbial activity); Deforestation; Misuse/excessive fertilizers/chemicals; Industrial/mining activities; Improper cultivation; Urbanization; Overgrazing.</t>
  </si>
  <si>
    <t>Multi-faceted problem, prevention is better than cure, need comprehensive management, can be irreversible, affects food production.</t>
  </si>
  <si>
    <t>Degradation Causes, Physical, Chemical, Biological, Deforestation, Urbanization</t>
  </si>
  <si>
    <t>Sheet erosion - Maize</t>
  </si>
  <si>
    <t>Thin layer of topsoil removed over a whole hillside; may not be readily noticed.</t>
  </si>
  <si>
    <t>Often invisible, gradual loss of fertility, reduces soil depth, requires preventative conservation, difficult to detect without soil testing.</t>
  </si>
  <si>
    <t>Sheet Erosion, Topsoil Loss, Slow Degradation, Conservation, Soil Depth</t>
  </si>
  <si>
    <t>Rill erosion - Maize</t>
  </si>
  <si>
    <t>Runoff water forms small channels (up to 0.3m deep) concentrated down a slope.</t>
  </si>
  <si>
    <t>Channels can deepen, loss of seed/plants, can be corrected with tillage, but preventative contours needed, indicates high runoff.</t>
  </si>
  <si>
    <t>Rill Erosion, Runoff Channels, Contour Ploughing, Soil Loss, Water Flow</t>
  </si>
  <si>
    <t>Gully erosion - Maize</t>
  </si>
  <si>
    <t>Channels deeper than 0.3m; develops where runoff concentrates strongly.</t>
  </si>
  <si>
    <t>Expensive to reclaim, destroys farmland, needs engineering solutions, requires vegetation/structures, can cut off fields.</t>
  </si>
  <si>
    <t>Gully Erosion, Deep Channels, Land Loss, Reclamation, Engineering</t>
  </si>
  <si>
    <t>Scaling - Maize</t>
  </si>
  <si>
    <t>Wind/water erosion removes topsoil, exposing saline or sodic soils.</t>
  </si>
  <si>
    <t>Saline soils are toxic, limits crop choice, reclamation is costly, may need gypsum, water management is critical.</t>
  </si>
  <si>
    <t>Scaling, Salt Exposure, Sodicity, Toxicity, Reclamation</t>
  </si>
  <si>
    <t>Stream bank erosion - Maize</t>
  </si>
  <si>
    <t>Vegetation destruction on river banks causes soil breakdown and removal by water.</t>
  </si>
  <si>
    <t>Loss of farmland, siltation of water bodies, undermining of land, requires riparian buffer zones, affects water quality.</t>
  </si>
  <si>
    <t>Stream Bank Erosion, Riparian Buffers, Siltation, Land Loss, Water Quality</t>
  </si>
  <si>
    <t>Principles of Rainwater Harvesting and Management - Maize</t>
  </si>
  <si>
    <t>Harvest and store water for drier seasons. Develop structures to reduce runoff (contour ditches, terracing, pits, bunds). Reduce water loss by adding organic matter.</t>
  </si>
  <si>
    <t>Water storage can breed mosquitoes, structures need maintenance, can be costly, may reduce cultivated area, water quality concerns.</t>
  </si>
  <si>
    <t>Rainwater Harvesting, Storage, Runoff Reduction, Contour Structures, Organic Matter, Dry Season</t>
  </si>
  <si>
    <t>Types of Rainwater Harvesting - Maize</t>
  </si>
  <si>
    <t>In-situ (infiltration) and Ex-situ (storage).</t>
  </si>
  <si>
    <t>In-situ needs good infiltration, ex-situ needs storage space, both require planning, cost varies, loss through evaporation.</t>
  </si>
  <si>
    <t>In-Situ, Ex-Situ, Infiltration, Storage, Rainwater Management</t>
  </si>
  <si>
    <t>Soil and Water Conservation Technologies - Maize</t>
  </si>
  <si>
    <t>Technologies include contour bunds and hedgerows, bench terraces, Fanya juu terraces, stone lines (25-35 cm contour lines), trash lines (crop residues along contour), retention ditches, grass strips (1m wide on contours), check dams, Zai pits (10-15 cm deep, 15-50 cm wide), and tied ridges (30 cm high).</t>
  </si>
  <si>
    <t>Labour-intensive, need materials (stone, grass), regular maintenance, may attract pests, reduce cropland area.</t>
  </si>
  <si>
    <t>Contour Bunds, Bench Terraces, Stone Lines, Zai Pits, Grass Strips, Check Dams</t>
  </si>
  <si>
    <t>Rainwater Harvesting for Storage (Ex-situ) - Maize</t>
  </si>
  <si>
    <t>Methods include rooftop water harvesting with above ground tank, water pans (1-3 m deep depressions), small earthen dams (2-5 m high), sand dams (wall across stream), and wells and boreholes.</t>
  </si>
  <si>
    <t>High investment, evaporation losses, water quality issues for irrigation, maintenance required, silting up.</t>
  </si>
  <si>
    <t>Rooftop Harvesting, Water Pans, Earthen Dams, Sand Dams, Wells, Boreholes</t>
  </si>
  <si>
    <t>Soil Moisture Conservation Techniques - Maize</t>
  </si>
  <si>
    <t>Minimize water loss through evaporation and transpiration.</t>
  </si>
  <si>
    <t>Can be laborious, mulching attracts pests, weed competition, transpiration can stress crops, need integrated approach.</t>
  </si>
  <si>
    <t>Moisture Conservation, Evaporation Reduction, Transpiration, Mulch, Cover Crops</t>
  </si>
  <si>
    <t>Methods for Soil Moisture Conservation - Maize</t>
  </si>
  <si>
    <t>Methods include spreading manure/compost, mulching, conservation tillage (reduced tillage), crop rotation, green manure, mixed cropping/intercropping/inter-planting, contour ploughing, and strip cropping.</t>
  </si>
  <si>
    <t>Multiple methods needed, each has costs, mulching can harbor pests, composting adds labour, knowledge of crop compatibility needed.</t>
  </si>
  <si>
    <t>Mulching, Conservation Tillage, Crop Rotation, Intercropping, Green Manure, Contour Ploughing</t>
  </si>
  <si>
    <t>Types of Problematic Soils - Maize</t>
  </si>
  <si>
    <t>Physical problem soils, Chemical problem soils, Biological problem soils.</t>
  </si>
  <si>
    <t>Specific management needed, identification is key, can be costly to fix, affects long-term productivity, may require amendments.</t>
  </si>
  <si>
    <t>Problem Soils, Physical, Chemical, Biological, Management, Amendments</t>
  </si>
  <si>
    <t>Soils with Physical Problems - Maize</t>
  </si>
  <si>
    <t>Impermeable soils, soil surface crusting/sealing, subsoil hardpan, shallow soils, highly permeable soils, heavy clay soils, fluffy paddy soils.</t>
  </si>
  <si>
    <t>Root restriction, waterlogging, poor drainage, plough pans, droughtiness, require mechanical intervention.</t>
  </si>
  <si>
    <t>Impermeable Soils, Crusting, Hardpan, Shallow Soils, Heavy Clay, Permeability</t>
  </si>
  <si>
    <t>Soils with Chemical Problems - Maize</t>
  </si>
  <si>
    <t>Acid soils (pH &lt;5.5 strongly acidic), Saline soils (ECe ≥4 dS/m), Sodic soils (ESP &gt;15%, pH ≥8.2), Alkaline soils (high pH, poor structure).</t>
  </si>
  <si>
    <t>Toxicity risks, nutrient unavailability, require specific amendments (lime, gypsum), long correction time, high costs.</t>
  </si>
  <si>
    <t>Acid Soils, Saline Soils, Sodic Soils, Alkaline Soils, Toxicity, Nutrient Deficiency</t>
  </si>
  <si>
    <t>Acid Soil Management - Maize</t>
  </si>
  <si>
    <t>Liming with calcium carbonate/dolomitic lime; application of organic amendments (manure).</t>
  </si>
  <si>
    <t>Lime reaction is slow, heavy to transport, may raise pH too high, need soil test, availability of lime.</t>
  </si>
  <si>
    <t>Lime, Dolomite, Organic Amendments, pH Correction, Soil Testing</t>
  </si>
  <si>
    <t>Saline Soil Management - Maize</t>
  </si>
  <si>
    <t>Leaching with water and drainage; irrigation with good quality water; alternate furrow irrigation; drip/sprinkler/pitcher irrigation; extra N dose (20-25%); organic manure addition; green manuring.</t>
  </si>
  <si>
    <t>Requires large water volumes, drainage infrastructure, water availability is a challenge, salinity can return, high costs.</t>
  </si>
  <si>
    <t>Leaching, Drainage, Irrigation Quality, Organic Manure, Green Manure, Nitrogen</t>
  </si>
  <si>
    <t>Sodic Soil Management - Maize</t>
  </si>
  <si>
    <t>Management involves establishing sodic tolerant crops, applying organic manures, applying chemical amendments (gypsum, calcium chloride, sulphuric acid, iron sulphate, aluminium sulphate), and agronomic management (planting at edge of hills, leaching, crop rotation).</t>
  </si>
  <si>
    <t>Chemical amendments are expensive, gypsum may be required in large quantities, reclamation is slow, crop choice limited, risk of pH fluctuations.</t>
  </si>
  <si>
    <t>Sodicity, Gypsum, Organic Manures, Tolerant Crops, Agronomic Management, Leaching</t>
  </si>
  <si>
    <t>Alkaline Soil Management - Maize</t>
  </si>
  <si>
    <t>Incorporate grass cultures, organic compost, acidifying materials; enhance dissolved Ca by releasing CO₂; deep ploughing to incorporate calcareous subsoil.</t>
  </si>
  <si>
    <t>Slow process, may need repeated applications, deep ploughing disturbs soil, acidification may be needed, cost of inputs.</t>
  </si>
  <si>
    <t>Alkalinity, Grass Cultures, Organic Compost, Acidifying Materials, Deep Ploughing, Calcium</t>
  </si>
  <si>
    <t>Soils with Biological Problems - Maize</t>
  </si>
  <si>
    <t>Low organic matter content, harmful soil living organisms (bacterial wilt, Fusarium wilt, nematodes).</t>
  </si>
  <si>
    <t>Pathogens cause specific diseases, low O.M. reduces soil life, nematodes are difficult to manage, crop rotation needed, cost of biocontrols.</t>
  </si>
  <si>
    <t>Biological Problems, Low Organic Matter, Bacterial Wilt, Fusarium Wilt, Nematodes, Pathogens</t>
  </si>
  <si>
    <t>What is Resilience? - Maize</t>
  </si>
  <si>
    <t>Ability of farm production systems to deal with climatic shocks (rainfall variability, drought, floods, pest infestation) and recover quickly.</t>
  </si>
  <si>
    <t>Resilience can be low without diversification, requires proactive measures, not immediate, recovery time varies, economic capacity matters.</t>
  </si>
  <si>
    <t>Resilience, Climatic Shocks, Recovery, Adaptation, Drought, Diversification</t>
  </si>
  <si>
    <t>Major Technologies and Management Practices - Maize</t>
  </si>
  <si>
    <t>Soil health management, rainwater harvesting, water efficient irrigation, seed management, crop management, agroforestry, pest/disease management, livestock/pasture management, climate information services, and agricultural insurance.</t>
  </si>
  <si>
    <t>High cost of some technologies, need technical knowledge, may not be accessible to all, adoption requires mindset shift, integration is key.</t>
  </si>
  <si>
    <t>Soil Health, Water Harvesting, Irrigation, Seed Management, Agroforestry, Pest Management</t>
  </si>
  <si>
    <t>Increased temperature - Maize</t>
  </si>
  <si>
    <t>Reduced soil organic matter; reduced capacity to retain/supply nutrients; reduced soil water holding capacity</t>
  </si>
  <si>
    <t>Accelerates organic matter decomposition, increases drought stress, may reduce yield, increases evaporation, affects root growth.</t>
  </si>
  <si>
    <t>Temperature Increase, Organic Matter Loss, Water Holding, Nutrient Supply, Drought Stress</t>
  </si>
  <si>
    <t>Increased rainfall intensity - Maize</t>
  </si>
  <si>
    <t>Increased groundwater pollution and soil acidity; loss of soil nutrients; increased pests/diseases/weeds</t>
  </si>
  <si>
    <t>Nutrient leaching, flooding risk, erosion, plant damage, weed proliferation, workable days reduced.</t>
  </si>
  <si>
    <t>Rainfall Intensity, Leaching, Acidity, Pests, Diseases, Groundwater Pollution</t>
  </si>
  <si>
    <t>Reduced rainfall intensity - Maize</t>
  </si>
  <si>
    <t>Poor soil water infiltration and retention; limited root penetration; poor water/nutrient uptake</t>
  </si>
  <si>
    <t>Plant stress, poor germination, reduced growth, food insecurity, livestock feed shortage.</t>
  </si>
  <si>
    <t>Drought, Poor Infiltration, Root Penetration, Crop Failure, Water Stress</t>
  </si>
  <si>
    <t>Reduced tillage (CA) - Maize</t>
  </si>
  <si>
    <t>Low soil organic matter; limited soil water; poor aggregation; low water retention; high erosion</t>
  </si>
  <si>
    <t>Weed management shifts, initial yield dip, need for residue retention, may require herbicides, soil compaction if traffic.</t>
  </si>
  <si>
    <t>Reduced Tillage, Organic Matter, Aggregation, Water Retention, Erosion Control</t>
  </si>
  <si>
    <t>Crop rotations and intercrops - Maize</t>
  </si>
  <si>
    <t>High pests/diseases; low soil organic matter; low soil nutrients</t>
  </si>
  <si>
    <t>Needs good planning, market for all crops, can be complex, may need new skills, timing of planting/harvesting shifts.</t>
  </si>
  <si>
    <t>Crop Rotation, Intercropping, Pest Control, Nutrients, Diversity, Soil Health</t>
  </si>
  <si>
    <t>Growing cover crops - Maize</t>
  </si>
  <si>
    <t>Low soil organic matter; poor aggregation; low water retention; low fertility; high erosion</t>
  </si>
  <si>
    <t>Can compete with main crop, requires seed investment, establishment can be tricky, may harbour pests, management of termination.</t>
  </si>
  <si>
    <t>Cover Crops, Organic Matter, Aggregation, Water Retention, Fertility, Erosion</t>
  </si>
  <si>
    <t>Agro-forestry - Maize</t>
  </si>
  <si>
    <t>Long-term establishment, trees compete for resources, initial cost, pruning needed, rights/tenure issues.</t>
  </si>
  <si>
    <t>Agroforestry, Soil Fertility, Erosion Control, Carbon Sequestration, Tree-Crop Integration</t>
  </si>
  <si>
    <t>Inoculation of leguminous crops - Maize</t>
  </si>
  <si>
    <t>Low soil nitrogen; expensive inorganic N fertilizers</t>
  </si>
  <si>
    <t>Needs right strain for the legume, must be fresh, proper application, can be killed by some fertilizers, soil moisture is critical.</t>
  </si>
  <si>
    <t>Inoculation, Legumes, Nitrogen Fixation, Cost Reduction, Soil Fertility</t>
  </si>
  <si>
    <t>Low soil nutrients; low organic matter; poor aggregation; low water retention</t>
  </si>
  <si>
    <t>Requires understanding of interactions, composite manure, application rates, balanced approach, cost of inputs.</t>
  </si>
  <si>
    <t>ISFM, Nutrient Management, Organic Matter, Soil Structure, Crop Yield</t>
  </si>
  <si>
    <t>Organic fertilizer addition - Maize</t>
  </si>
  <si>
    <t>Low soil organic matter; poor aggregation; low water retention; low nutrients</t>
  </si>
  <si>
    <t>Quality variability, nutrient content, bulkiness, transportation, pathogen risk, weed seed contamination.</t>
  </si>
  <si>
    <t>Organic Fertilizer, Soil Health, Nutrient Supply, Water Retention, Soil Structure</t>
  </si>
  <si>
    <t>Acidic soil liming - Maize</t>
  </si>
  <si>
    <t>Low soil pH; toxic micro-nutrients; low P availability</t>
  </si>
  <si>
    <t>Slow action, high cost, need for sampling, reaction with fertilizers, over-liming risk, heavy application.</t>
  </si>
  <si>
    <t>Liming, Acidic Soils, pH, P Availability, Toxicity, Calcium</t>
  </si>
  <si>
    <t>Inorganic fertilizer addition - Maize</t>
  </si>
  <si>
    <t>Low soil nutrients</t>
  </si>
  <si>
    <t>Cost, environmental pollution, acidification, high salt index, need for balanced use, availability.</t>
  </si>
  <si>
    <t>Inorganic Fertilizer, Nutrient Supply, Yield, Soil Acidity, Cost</t>
  </si>
  <si>
    <t>Water Efficient Irrigation Systems - Maize</t>
  </si>
  <si>
    <t>Drip irrigation technology: saves water by managing evaporation losses, delivering water at crop root zone. Consists of elevated water source, pumping unit, filters, drippers, drip lines (surface or sub-surface).</t>
  </si>
  <si>
    <t>High initial cost, need for maintenance, clogging of drippers, water quality is crucial, requires training to operate.</t>
  </si>
  <si>
    <t>Drip Irrigation, Water Efficiency, Evaporation Loss, Root Zone, Filtration</t>
  </si>
  <si>
    <t>Contributions of Drip Irrigation - Maize</t>
  </si>
  <si>
    <t>Produces more crops with less water; uses less energy; minimal nutrient leaching; increases food security/incomes; reduces workload for women.</t>
  </si>
  <si>
    <t>Filtration is critical, drippers clog easily, pH issues with water, nutrient solution management, capital intensive.</t>
  </si>
  <si>
    <t>Water Savings, Nutrient Leaching, Energy Efficiency, Food Security, Income, Labour Reduction</t>
  </si>
  <si>
    <t>Seed Management Practices - Maize</t>
  </si>
  <si>
    <t>Use early maturing varieties; heat-tolerant varieties; salt-tolerant varieties.</t>
  </si>
  <si>
    <t>Some traits may reduce yield, selection is critical, need reliable seed source, may not suit local taste, cost of high-quality seed.</t>
  </si>
  <si>
    <t>Seed Selection, Early Maturing, Heat Tolerance, Salt Tolerance, Adaptation</t>
  </si>
  <si>
    <t>Contributions of Seed Management - Maize</t>
  </si>
  <si>
    <t>Drought tolerant/faster maturing varieties increase resilience to dry spells; assure harvest; contribute to food production and household incomes.</t>
  </si>
  <si>
    <t>Replacement cost each season, traits may be lost in saved seed, may need specific fertilizer to realize potential, market availability.</t>
  </si>
  <si>
    <t>Drought Tolerance, Dry Spells, Resilience, Food Security, Income</t>
  </si>
  <si>
    <t>Salt-tolerant crop varieties - Maize</t>
  </si>
  <si>
    <t>Crops that survive saline soil and water conditions.</t>
  </si>
  <si>
    <t>May produce less in non-saline soils, limited choices, may not suit local uses, higher seed cost, variety stability.</t>
  </si>
  <si>
    <t>Salt Tolerance, Saline Soils, Crop Survival, Genetic Traits</t>
  </si>
  <si>
    <t>Matching crop/varieties with ecology - Maize</t>
  </si>
  <si>
    <t>Plant crops that suit specific environment/farms.</t>
  </si>
  <si>
    <t>Environmental degradation if misapplied, poor yields, loss of investment, need knowledge of ecology, inappropriate varieties.</t>
  </si>
  <si>
    <t>Crop Selection, Varietal Matching, Ecological Suitability, Yield, Adaptation</t>
  </si>
  <si>
    <t>Seeding/seed rate - Maize</t>
  </si>
  <si>
    <t>Number of seeds per unit area considers plant requirements, purpose, soil fertility, and climate. Practice timely planting.</t>
  </si>
  <si>
    <t>Overcrowding leads to competition, undercrowding reduces yield, timing is crucial, seed quality affects rate, moisture conditions.</t>
  </si>
  <si>
    <t>Seed Rate, Planting Density, Soil Fertility, Timely Planting, Competition</t>
  </si>
  <si>
    <t>Crop diversification - Maize</t>
  </si>
  <si>
    <t>Suppresses pests/diseases; assures harvest from at least one crop.</t>
  </si>
  <si>
    <t>Requires multiple markets, management is complex, can have logistical issues, knowledge of multiple crops, equipment.</t>
  </si>
  <si>
    <t>Diversification, Pest Suppression, Risk Management, Market, Crop Failure</t>
  </si>
  <si>
    <t>Crop fertilization - Maize</t>
  </si>
  <si>
    <t>Increases soil fertility; know soil status through soil testing.</t>
  </si>
  <si>
    <t>Cost of fertilizers, acidification, environmental pollution, need testing, application timing and method.</t>
  </si>
  <si>
    <t>Fertilization, Soil Fertility, Soil Testing, Nutrient Management, Crop Yield</t>
  </si>
  <si>
    <t>Soil Liming - Maize</t>
  </si>
  <si>
    <t>Improves acidic soils leading to increased crop growth and yield.</t>
  </si>
  <si>
    <t>Takes time to react, may need 3-6 months, requires skilled application, can be costly, may affect micronutrients.</t>
  </si>
  <si>
    <t>Soil Liming, Acidity, pH Correction, Crop Yield, Calcium</t>
  </si>
  <si>
    <t>Timely harvesting - Maize</t>
  </si>
  <si>
    <t>Reduces losses and impact on quality.</t>
  </si>
  <si>
    <t>Delays cause losses, weather risks at harvest, need labour, if too early quality suffers, storage pest risks.</t>
  </si>
  <si>
    <t>Timely Harvest, Quality, Loss Reduction, Labour, Weather</t>
  </si>
  <si>
    <t>Post-harvest handling - Maize</t>
  </si>
  <si>
    <t>Appropriate handling, processing and storage minimize losses, increase food security and incomes.</t>
  </si>
  <si>
    <t>Improper storage causes mycotoxin risks, pests, spoilage, quality loss, post-harvest is labour-intensive, investment in hermetic bags.</t>
  </si>
  <si>
    <t>Post-Harvest, Handling, Storage, Processing, Quality Loss, Food Security</t>
  </si>
  <si>
    <t>Contributions of Crop Diversification - Maize</t>
  </si>
  <si>
    <t>Reduces susceptibility to pests/diseases; stabilizes farm production; ensures income from different crops; reduces cash expenditure; builds social capital; improves income/job creation; improves soil quality; reduces risk of crop failure.</t>
  </si>
  <si>
    <t>Requires access to diverse seeds, market linkages, can increase costs, demands wider skill set, management complexity.</t>
  </si>
  <si>
    <t>Crop Diversification, Pest Resistance, Income Stability, Soil Health, Risk Reduction</t>
  </si>
  <si>
    <t>Growing woody perennials (trees, shrubs) alongside other crops and livestock on same land.</t>
  </si>
  <si>
    <t>Needs long-term vision, tree-crop competition, shading, negative root effects, rights/tenure issues, requires pruning.</t>
  </si>
  <si>
    <t>Agroforestry, Perennials, Trees, Soil Fertility, Erosion, Carbon Sink</t>
  </si>
  <si>
    <t>Contributions of Agroforestry - Maize</t>
  </si>
  <si>
    <t>Trees fix nitrogen, enhancing soil fertility. Tree biomass increases soil organic matter and water infiltration/retention. Trees stabilize soil structure and reduce erosion. Sale of agroforestry products (fodder, wood fuel, honey, medicines, mulch, fruits) provides income. There is reduced need for inorganic fertilizers. Diversification reduces environmental/economic risks. Canopy acts as GHG sink (carbon sequestration).</t>
  </si>
  <si>
    <t>Benefits take time, tree crop interactions need management, potential allelopathy, tenureship issues, knowledge of tree species, market access.</t>
  </si>
  <si>
    <t>Nitrogen Fixation, Soil Organic Matter, Income Diversification, Carbon Sequestration, Erosion Control</t>
  </si>
  <si>
    <t>Climate change effects on pests/diseases - Maize</t>
  </si>
  <si>
    <t>Highly variable conditions lead to increased pests/diseases; reduced yields; low quality; loss of life/malnutrition; loss of income; loss of diversity; environmental pollution.</t>
  </si>
  <si>
    <t>Unpredictable outbreaks, increased pesticide use, new pest species, resistance development, economic hardship.</t>
  </si>
  <si>
    <t>Climate Change, Pests, Diseases, Yield Loss, Environmental Pollution</t>
  </si>
  <si>
    <t>Biological pest management - Maize</t>
  </si>
  <si>
    <t>Use of beneficial insects (ladybirds, digger wasps), bacteria (pathogens), Push and Pull Technology.</t>
  </si>
  <si>
    <t>Need knowledge of beneficials, slower action than chemicals, may be specific to pests, requires ecosystem management, can be complex.</t>
  </si>
  <si>
    <t>Biological Control, Beneficial Insects, Pathogens, Push-Pull, Integrated Management</t>
  </si>
  <si>
    <t>Mechanical pest management - Maize</t>
  </si>
  <si>
    <t>Handpicking, tilling, trapping.</t>
  </si>
  <si>
    <t>Labour-intensive, not effective for all pests, trapping needs regular checking, tilling can harm soil.</t>
  </si>
  <si>
    <t>Mechanical Control, Handpicking, Tilling, Trapping, Labour Intensive</t>
  </si>
  <si>
    <t>Pesticides pest management - Maize</t>
  </si>
  <si>
    <t>Chemical, biological or physical agents to prevent, destroy or repel pests.</t>
  </si>
  <si>
    <t>Health risks, environmental pollution, resistance development, high cost, need for protective gear.</t>
  </si>
  <si>
    <t>Pesticides, Chemical Control, Environmental Risk, Resistance, Health Hazard</t>
  </si>
  <si>
    <t>Cultural methods - Maize</t>
  </si>
  <si>
    <t>Irrigation/fertilization schedules, early planting, sanitation, intercropping, improved varieties.</t>
  </si>
  <si>
    <t>Requires detailed planning, best practices not always followed, early planting weather risk, intercropping complexity.</t>
  </si>
  <si>
    <t>Cultural Control, Irrigation Schedules, Early Planting, Sanitation, Intercropping</t>
  </si>
  <si>
    <t>Integrated Pest Management (IPM) - Maize</t>
  </si>
  <si>
    <t>Techniques combining biological control, resistant varieties, hygiene, alternative agricultural practices.</t>
  </si>
  <si>
    <t>High level of knowledge needed, monitoring is key, requires record keeping, slower response, integration is complex.</t>
  </si>
  <si>
    <t>IPM, Biological Control, Resistant Varieties, Hygiene, Alternatives</t>
  </si>
  <si>
    <t>Contributions of Pest/Disease Management - Maize</t>
  </si>
  <si>
    <t>Reduced soil/water pollution; cheaper/easier access; less expenditure; preserves indigenous knowledge.</t>
  </si>
  <si>
    <t>May not be effective against severe outbreaks, implementation complexity, need for early detection, slower action.</t>
  </si>
  <si>
    <t>Pollution Reduction, Cost, Indigenous Knowledge, Sustainable Practices</t>
  </si>
  <si>
    <t>Grazing management control - Maize</t>
  </si>
  <si>
    <t>Fencing, rotational grazing, cut-and-carry, vegetation improvement.</t>
  </si>
  <si>
    <t>Fencing costs, rotational planning, labour for cut-and-carry, water for livestock, pasture improvement takes time.</t>
  </si>
  <si>
    <t>Grazing Management, Fencing, Rotational Grazing, Cut-and-Carry, Vegetation</t>
  </si>
  <si>
    <t>Fodder substitution and fodder banks - Maize</t>
  </si>
  <si>
    <t>Creation of fodder banks; harvesting/keeping fodder; managing invasive species; investing in alternative fodder (Cactus); irrigation-fed fodder.</t>
  </si>
  <si>
    <t>Storage spoilage, investment in fodder species, drought risk, invasive species management, costs of alternative feed.</t>
  </si>
  <si>
    <t>Fodder Banks, Substitution, Cactus, Invasive Species, Irrigation</t>
  </si>
  <si>
    <t>Livestock substitution - Maize</t>
  </si>
  <si>
    <t>Replacing large stock with small stock or switching to camels (more drought-resilient).</t>
  </si>
  <si>
    <t>Market access for animals, cultural preferences, requires adapted breeds, may need different housing, veterinary care changes.</t>
  </si>
  <si>
    <t>Livestock, Small Stock, Camels, Drought Resilience, Breeds</t>
  </si>
  <si>
    <t>Management of crop and industrial residues - Maize</t>
  </si>
  <si>
    <t>Production of livestock feeds (e.g., Multi Nutrient Blocks) to reduce pressure on natural feed sources.</t>
  </si>
  <si>
    <t>Nutrient blocks production cost, quality of residues varies, collection, storage, use, market for blocks.</t>
  </si>
  <si>
    <t>Residue Management, Livestock Feed, Nutrient Blocks, Sustainability</t>
  </si>
  <si>
    <t>Contributions of Livestock/Pasture Management - Maize</t>
  </si>
  <si>
    <t>Increases soil carbon; improves soil fertility; increases fodder availability; fosters social resilience and cohesion.</t>
  </si>
  <si>
    <t>Needs careful grazing intensity, infrastructure investment, community coordination, manure management.</t>
  </si>
  <si>
    <t>Soil Carbon, Soil Fertility, Fodder, Social Cohesion, Manure</t>
  </si>
  <si>
    <t>Importance of Climate Information Services - Maize</t>
  </si>
  <si>
    <t>Climate information services provide increased understanding of climate risks, help choose farm enterprises, support short-term national development planning (subsidies, irrigation infrastructure), support long-term planning (dams, water reservoirs), enable pest/disease surveillance and early warning, and facilitate development of adaptation/mitigation technologies.</t>
  </si>
  <si>
    <t>Reliability of forecasts, access to information, cost of services, translation into farm-level action, technology needed.</t>
  </si>
  <si>
    <t>Climate Information, Risk Understanding, Planning, Early Warning, Adaptation</t>
  </si>
  <si>
    <t>Contributions to Farm Level Resilience - Maize</t>
  </si>
  <si>
    <t>They enable informed decisions on timing of agricultural activities, help manage negative impacts of weather-induced risks, allow adjustment of plans as climate stressors unfold, and support mitigation (e.g., fertilizer use) to reduce GHG emissions.</t>
  </si>
  <si>
    <t>Information may not be trusted, can lead to complex decisions, stress of uncertainty, integration with other inputs.</t>
  </si>
  <si>
    <t>Farm Resilience, Informed Decisions, Risk Management, Timing, GHG Mitigation</t>
  </si>
  <si>
    <t>Agricultural Insurance - Maize</t>
  </si>
  <si>
    <t>Allows farmer to transfer risk of agricultural loss in exchange for a premium. Applicable to crops, livestock, forestry, aquaculture.</t>
  </si>
  <si>
    <t>Cost of premium, complex policies, delayed payouts, documentation requirements, smallholder unaffordability.</t>
  </si>
  <si>
    <t>Agricultural Insurance, Risk Transfer, Premium, Loss Compensation, Security</t>
  </si>
  <si>
    <t>Contributions of Agricultural Insurance - Maize</t>
  </si>
  <si>
    <t>It increases willingness to adopt climate-smart technologies, improves access to credit, supports agricultural/rural development, reduces need for ad hoc disaster programmes, and enables farmers to invest in improved practices.</t>
  </si>
  <si>
    <t>Trust in insurance, payment triggers, basis risk, cost, policy complexity, accessibility for smallholders.</t>
  </si>
  <si>
    <t>Risk Management, Credit Access, Technology Adoption, Investment, Rural Development</t>
  </si>
  <si>
    <t>Agro-Ecological Requirements - Maize</t>
  </si>
  <si>
    <t>Soil: Loamy, well-drained, deep, warm, silt loamy; pH: 5.0-7.0; Temperature: 30-34°C; Rainfall: 250-900 mm. Does not tolerate waterlogging.</t>
  </si>
  <si>
    <t>Mismatch of variety to zone, waterlogging risk, frost sensitivity, poor soil low yields, rainfall variability.</t>
  </si>
  <si>
    <t>Soil Type, pH, Temperature, Rainfall, Waterlogging, Crop Suitability</t>
  </si>
  <si>
    <t>Agronomic Practices - Maize</t>
  </si>
  <si>
    <t>Variety selection; land preparation; soil fertility management; planting; weed management; crop rotation.</t>
  </si>
  <si>
    <t>Mistakes cause major losses, timing is critical, input costs, weather dependent, each step needs knowledge.</t>
  </si>
  <si>
    <t>Variety, Land Preparation, Fertility, Planting, Weeds, Rotation</t>
  </si>
  <si>
    <t>Table 4.1: Maize Requirements - Maize</t>
  </si>
  <si>
    <t>Soil: Loamy; pH: 5.0-7.0; Temperature: 30-34°C; Rainfall: 250-900 mm.</t>
  </si>
  <si>
    <t>Same as above, need site-specific adaptation.</t>
  </si>
  <si>
    <t>Maize Requirements, pH, Temperature, Rainfall, Soil</t>
  </si>
  <si>
    <t>Recommended Maize Varieties in Kenya - Maize</t>
  </si>
  <si>
    <t>KCB (KALRO, Drylands, 90-110 days, 11 bags/acre); KDV1 (Dryland Seed, Drylands, 100-120 days, 12 bags/acre); KDV4 (Dryland Seed, Drylands, 100-120 days, 14 bags/acre); Sungura (Agri-Seedco, Drylands, 100-120 days, 15 bags/acre); SAWA (Dryland Seed, Drylands, 100-120 days, 14 bags/acre); DH02 (Kenya Seed, Drylands, 90-120 days, 11 bags/acre); DUMA43 (Agri-Seedco, Coffee region, 90-110 days, 22 bags/acre).</t>
  </si>
  <si>
    <t>Recommended only if sourced from authentic dealers, different maturity times, need matching to the area, seed price variation.</t>
  </si>
  <si>
    <t>Varieties, Drylands, Maturity, Yield Potential, Adaptability</t>
  </si>
  <si>
    <t>Land Preparation Practices - Maize</t>
  </si>
  <si>
    <t>Conventional: Plough twice + harrow once, or plough once + 2 harrows. Conservation Agriculture: Use Glyphosate-based herbicide (2 L/acre during fallow, 1.2 L/acre 24 hours before planting).</t>
  </si>
  <si>
    <t>Conventional tillage can degrade soil, CA needs herbicide handling, can increase costs, soil moisture loss.</t>
  </si>
  <si>
    <t>Land Preparation, Tillage, Herbicide, Conservation Agriculture, Seedbed</t>
  </si>
  <si>
    <t>Fertilizer Recommendation Rates for Maize - Maize</t>
  </si>
  <si>
    <t>Choice 1: NPK (23-23-0) 2 bags/acre at planting + CAN 1.5 bags/acre top dress. Choice 2: MEA Mazao (10-26-10) 2 bags/acre + CAN 1.5 bags/acre. Choice 3: Mavuno Basal (10-26-10) 2 bags/acre + Mavuno 1.5 bags/acre. Intercrop: Extra 25 kg/acre.</t>
  </si>
  <si>
    <t>Cost of fertilizers, availability, timing application is key, over/under-application, nutrient ratios.</t>
  </si>
  <si>
    <t>Fertilizer Rates, NPK, CAN, Basal, Top Dress, Intercrop</t>
  </si>
  <si>
    <t>Recommended Spacing and Planting Density - Maize</t>
  </si>
  <si>
    <t>Highland: 75x25 cm (1 plant/hill) = 21,333 plants/acre; 75x50 cm (2 plants/hill intercrop) = 21,333. Medium: 75x30 cm = 17,778; 75x60 cm (intercrop) = 11,778. Dryland: 90x30 cm = 15,140; 90x60 cm (intercrop) = 15,140.</t>
  </si>
  <si>
    <t>Density depends on fertility, too low or high loses yield, must match variety, spacing alters competition, row direction matters.</t>
  </si>
  <si>
    <t>Spacing, Planting Density, Highland, Medium, Dryland, Intercrop</t>
  </si>
  <si>
    <t>Weed Management - Maize</t>
  </si>
  <si>
    <t>Hand weeding (first at 4 weeks, second at knee high); herbicides (pre-emergence); cover crops (lablab, velvet bean, sunhemp); Striga management: clean seeds, resistant varieties, push-pull (desmodium + Napier), Kichawi Kill (1-2 g/hole), rogueing.</t>
  </si>
  <si>
    <t>Herbicide drift risk, timing of weeding is crucial, Striga seeds persist in soil, cover crop competition, push-pull management.</t>
  </si>
  <si>
    <t>Weed Management, Hand Weeding, Herbicides, Striga, Cover Crops, Push-Pull</t>
  </si>
  <si>
    <t>Crop Rotation - Maize</t>
  </si>
  <si>
    <t>Rotate with pulses (beans, cowpeas, peas). Avoid rotating with sorghum/millet. Vegetables can be used but careful selection needed.</t>
  </si>
  <si>
    <t>Improper rotation increases pests, legumes need inoculation, vegetables may need more water, market for pulses.</t>
  </si>
  <si>
    <t>Crop Rotation, Pulses, Pest Management, Soil Fertility, Legumes</t>
  </si>
  <si>
    <t>Gray leaf spot (Cercospora mayidis) - Maize</t>
  </si>
  <si>
    <t>Necrotic brown spots parallel to leaf veins; merge to ashy grey; start from lower leaves</t>
  </si>
  <si>
    <t>Fungicides are costly, require regular scouting, crop debris management is critical, resistance possible, early detection is key.</t>
  </si>
  <si>
    <t>Gray Leaf Spot, Fungicide, Resistant Varieties, Crop Residue, Deep Ploughing</t>
  </si>
  <si>
    <t>Common leaf rust - Maize</t>
  </si>
  <si>
    <t>Elongated raised red to dark brown pustules on leaf surfaces; appear during tasseling; turn black, releasing spores</t>
  </si>
  <si>
    <t>Can spread rapidly, favourable weather triggers outbreaks, removes lower leaves, can be managed with varieties.</t>
  </si>
  <si>
    <t>Leaf Rust, Resistant Varieties, Crop Rotation, Deep Ploughing, Spores</t>
  </si>
  <si>
    <t>Common smut (Ustilago mayidis) - Maize</t>
  </si>
  <si>
    <t>Whitish grey tumour-like galls on tassels, husks, ears, stalks, leaves, roots; black spore mass</t>
  </si>
  <si>
    <t>Smut galls are direct loss, spores survive in soil, sanitation is crucial, prevention via seed dress.</t>
  </si>
  <si>
    <t>Common Smut, Galls, Spores, Seed Dressing, Crop Rotation</t>
  </si>
  <si>
    <t>Maize lethal necrosis disease - Maize</t>
  </si>
  <si>
    <t>Colourless patches on leaves starting from base; dwarfing; dead heart; poorly filled kernels</t>
  </si>
  <si>
    <t>Highly devastating, vector control is expensive, no cure, high yield loss, strict quarantine needed.</t>
  </si>
  <si>
    <t>Maize Lethal Necrosis, Virus, Vector Control, Quarantine, Crop Rotation</t>
  </si>
  <si>
    <t>Streak virus disease - Maize</t>
  </si>
  <si>
    <t>Narrow white/yellowish streaks on leaf whorls; broken lines parallel; dead heart</t>
  </si>
  <si>
    <t>Vector (leafhoppers), resistant varieties are key, source of infection must be removed.</t>
  </si>
  <si>
    <t>Streak Virus, Resistant Varieties, Vectors, Crop Rotation</t>
  </si>
  <si>
    <t>Fusarium ear rots - Maize</t>
  </si>
  <si>
    <t>White streaks on grains; whitish to pink cottony powder on grains; mycotoxins</t>
  </si>
  <si>
    <t>Mycotoxins dangerous to humans/livestock, storage risk, harvesting must be timely, insect control.</t>
  </si>
  <si>
    <t>Fusarium, Mycotoxins, Ear Rot, Insect Control, Harvesting</t>
  </si>
  <si>
    <t>Aspergillus ear rot - Maize</t>
  </si>
  <si>
    <t>Yellowish-green powder on cobs' silk; stunted plants, small cobs, discoloured grain</t>
  </si>
  <si>
    <t>Produces aflatoxins, proper storage is crucial, cobs may be inviable.</t>
  </si>
  <si>
    <t>Aspergillus, Aflatoxins, Ear Rot, Harvesting, Residue</t>
  </si>
  <si>
    <t>Stem borers - Maize</t>
  </si>
  <si>
    <t>Caterpillars feed on young plants, later burrow stems</t>
  </si>
  <si>
    <t>Yield loss direct, push-pull system works but needs management, pesticides may not be sustainable.</t>
  </si>
  <si>
    <t>Stem Borers, Push-Pull, Intercropping, Resistant Varieties</t>
  </si>
  <si>
    <t>Fall armyworm - Maize</t>
  </si>
  <si>
    <t>Inverted Y pattern on forehead; gray to black larvae with pale stripe down back</t>
  </si>
  <si>
    <t>Rapid infestation, pesticide resistance, scouting essential, biological controls can be used.</t>
  </si>
  <si>
    <t>Fall Armyworm, Pesticides, Biocontrol, Scouting, Resistance</t>
  </si>
  <si>
    <t>Termites - Maize</t>
  </si>
  <si>
    <t>Attack seeds and whole plants; damage stems at ground level</t>
  </si>
  <si>
    <t>Difficult to control, requires baiting, seed dressing, flooding.</t>
  </si>
  <si>
    <t>Termites, Seed Dressing, Baiting, Flooding</t>
  </si>
  <si>
    <t>Harvesting green maize - Maize</t>
  </si>
  <si>
    <t>When grain starts hardening or silky flowering at top turns black.</t>
  </si>
  <si>
    <t>Timing is critical, market window is short, requires moisture management.</t>
  </si>
  <si>
    <t>Green Maize, Harvesting, Timing, Silking</t>
  </si>
  <si>
    <t>Harvesting dried maize - Maize</t>
  </si>
  <si>
    <t>At physiological maturity; can be left in field for 2-4 weeks (stocking) for further drying.</t>
  </si>
  <si>
    <t>Rodent/bird damage, risk of weevil infestation, weather risk, storage moisture.</t>
  </si>
  <si>
    <t>Dried Maize, Physiological Maturity, Stocking, Drying</t>
  </si>
  <si>
    <t>Processing - Shelling - Maize</t>
  </si>
  <si>
    <t>Immediately after drying cobs; use hand-held sheller; clean grains by removing dirt, foreign matter, and damaged grains.</t>
  </si>
  <si>
    <t>Grain damage reduces storage life, fungal infection risk, cleaning is important.</t>
  </si>
  <si>
    <t>Shelling, Grain Cleaning, Processing, Quality</t>
  </si>
  <si>
    <t>Drying - Maize</t>
  </si>
  <si>
    <t>Dry to &lt;13% moisture on cemented floor, mats, tarpaulins, raised structures (cribs/drying sheds). Protect from rain, dew, animals, and birds. Salt test: Use clean dry bottle, add grains (⅓ full) + 2-3 tbsp salt, shake vigorously, and leave 15 min. If salt sticks to bottle sides, moisture &gt;15% (not safe). If salt does not stick, moisture &lt;15% (safe).</t>
  </si>
  <si>
    <t>Incomplete drying leads to mycotoxin, weather risk, contamination on ground, theft.</t>
  </si>
  <si>
    <t>Drying, Moisture Content, Salt Test, Storage, Mycotoxin</t>
  </si>
  <si>
    <t>Storage - Maize</t>
  </si>
  <si>
    <t>Metallic silos, Hermetic bags (Agro-Z bags); store on pallets in clean, ventilated stores. Sell immediately if storage capacity inadequate.</t>
  </si>
  <si>
    <t>Grain pests, mould, moisture, price fluctuation, cost of bags.</t>
  </si>
  <si>
    <t>Storage, Hermetic Bags, Pallets, Post-Harvest, Pest Control</t>
  </si>
  <si>
    <t>Marketing - Maize</t>
  </si>
  <si>
    <t>Produce aggregation; warehouse receipting; village collection centres.</t>
  </si>
  <si>
    <t>Price volatility, market access, quality, transparency, transport costs.</t>
  </si>
  <si>
    <t>Marketing, Aggregation, Warehousing, Price, Quality</t>
  </si>
  <si>
    <t>Value Addition and Utilization - Maize</t>
  </si>
  <si>
    <t>Food (Githeri, porridge, Ugali); livestock feed; industrial (starch, grits, flour); germ for edible oil; fermentation for alcohol.</t>
  </si>
  <si>
    <t>Market for products, processing skills, hygiene, by-products use.</t>
  </si>
  <si>
    <t>Value Addition, Food, Livestock Feed, Industrial Uses, Germ</t>
  </si>
  <si>
    <t>Agro-Ecological Requirements - Sorghum - Maize</t>
  </si>
  <si>
    <t>Soil: Clay-loamy; pH: 5.0-8.5; Temperature: 15-35°C; Rainfall: 250-900 mm; Altitude: 500-2500 m.</t>
  </si>
  <si>
    <t>Varieties are specific to altitude, poor soil can reduce yield, planting time must align.</t>
  </si>
  <si>
    <t>Sorghum, Soil Type, pH, Temperature, Rainfall, Altitude</t>
  </si>
  <si>
    <t>Agronomic Practices - Sorghum - Maize</t>
  </si>
  <si>
    <t>Variety selection; seed selection and treatment; germination test; land preparation; soil fertility management; planting; weeding; thinning and rogueing; crop rotation.</t>
  </si>
  <si>
    <t>Seed treatment is essential, failing to do so invites pests.</t>
  </si>
  <si>
    <t>Agronomic Practices, Variety, Seed Treatment, Germination, Fertility</t>
  </si>
  <si>
    <t>Sorghum Varieties - Maize</t>
  </si>
  <si>
    <t>Gadam (85-95 days, 8-20 bags/acre, high malting quality); Sila (120-150 days, 10-20 bags/acre); KARI Mtama 1 (95-100 days, 11-17 bags/acre, high malting quality); Macia (10-20 bags/acre, large head); Serena (110-120 days, 10-20 bags/acre, bird tolerant); Seredo (110-120 days, 12 bags/acre); KM 32-1 (90-110 days, 20 bags/acre, malting quality); IS 76 (90-110 days, 10-12 bags/acre); E 1291 (150-210 days, 10-15 bags/acre); E 6518 (150-210 days, 12-17 bags + 7.2 t/ha forage, dual purpose); BJ 28 (150-210 days, 12-15 bags); Ikinyaruka DP (210-240 days, 26 bags + 8 tons forage/ha, dual purpose).</t>
  </si>
  <si>
    <t>Varieties have specific uses, bird tolerance varies, maturity periods differ.</t>
  </si>
  <si>
    <t>Sorghum Varieties, Maturity, Yield, Malting Quality, Bird Tolerance, Dual-Purpose</t>
  </si>
  <si>
    <t>Soil Fertility Management - Sorghum - Maize</t>
  </si>
  <si>
    <t>NPK (20:20:0, 23:23:0 or 17:17:17) 50 kg/acre at planting; top dress CAN 50 kg/acre after first weeding; manure 2 tons/acre broadcast or in bands.</t>
  </si>
  <si>
    <t>Fertilizer type depends on soil test, CAN top dressing timing.</t>
  </si>
  <si>
    <t>Sorghum Fertility, NPK, CAN, Manure, Top Dressing</t>
  </si>
  <si>
    <t>Sorghum Spacing and Seed Rates - Maize</t>
  </si>
  <si>
    <t>Sole crop - Oxen: 90x15 cm; Manual: 75x20 cm; Seed rate: 4-5 kg/acre. Intercrop (single alternate rows) - 90x20 cm with legume between rows; Seed rate: 4 kg/acre. Intercrop (double rows of legumes) - 120x20 cm (two rows legume between sorghum); Seed rate: 2-3 kg/acre.</t>
  </si>
  <si>
    <t>Spacing affects yield, irrigation methods, row geometry.</t>
  </si>
  <si>
    <t>Sorghum Spacing, Seed Rate, Sole Crop, Intercrop</t>
  </si>
  <si>
    <t>Weeding - Sorghum - Maize</t>
  </si>
  <si>
    <t>First weeding 2-3 weeks after emergence; second depending on rainfall and weed density.</t>
  </si>
  <si>
    <t>Weeding is time-sensitive, late weeding affects yield.</t>
  </si>
  <si>
    <t>Weeding, Timing, Competition</t>
  </si>
  <si>
    <t>Thinning - Sorghum - Maize</t>
  </si>
  <si>
    <t>3 weeks after emergence, after first weeding; leave one plant per hole; leave 2 plants adjacent to gap.</t>
  </si>
  <si>
    <t>Thinning too early increases risk, gap filling, density.</t>
  </si>
  <si>
    <t>Thinning, Plant Density</t>
  </si>
  <si>
    <t>Rogueing - Sorghum - Maize</t>
  </si>
  <si>
    <t>Remove plants with abnormal characteristics.</t>
  </si>
  <si>
    <t>Unwanted genetic traits, diseases.</t>
  </si>
  <si>
    <t>Rogueing, Off-types, Disease Control</t>
  </si>
  <si>
    <t>Crop Rotation - Sorghum - Maize</t>
  </si>
  <si>
    <t>Avoid rotating sorghum with other cereals (maize, millet).</t>
  </si>
  <si>
    <t>Cereal rotations invite disease build-up.</t>
  </si>
  <si>
    <t>Rotation, Cereals, Disease</t>
  </si>
  <si>
    <t>Anthracnose - Sorghum - Maize</t>
  </si>
  <si>
    <t>Damages foliage and stems; dry lesions; brown sunken areas on peduncle; brick-red discoloration when cut lengthwise</t>
  </si>
  <si>
    <t>Spreads in wet weather, residue management is crucial.</t>
  </si>
  <si>
    <t>Anthracnose, Resistant Varieties, Crop Rotation, Residue</t>
  </si>
  <si>
    <t>Leaf blight - Sorghum - Maize</t>
  </si>
  <si>
    <t>Small reddish-purple or yellowish-brown spots on leaves; plants look burnt</t>
  </si>
  <si>
    <t>Needs certified seed, rotation is key.</t>
  </si>
  <si>
    <t>Leaf Blight, Resistant Varieties, Seed Health</t>
  </si>
  <si>
    <t>Leaf rust - Sorghum - Maize</t>
  </si>
  <si>
    <t>Small raised pustules/blisters on leaf surfaces; reddish-brown spores; appears near flowering</t>
  </si>
  <si>
    <t>Common in wet seasons, resistant varieties.</t>
  </si>
  <si>
    <t>Leaf Rust, Resistant Varieties, Rotation</t>
  </si>
  <si>
    <t>Long smut - Sorghum - Maize</t>
  </si>
  <si>
    <t>Long pointed smut gall appears in heads instead of normal grains; stunted plants, abundant side branches</t>
  </si>
  <si>
    <t>Seed-borne, need certified disease-free seed.</t>
  </si>
  <si>
    <t>Long Smut, Seed-Borne, Certified Seed, Field Sanitation</t>
  </si>
  <si>
    <t>Covered smut - Sorghum - Maize</t>
  </si>
  <si>
    <t>Black masses of powdery spores instead of grains; entire head black</t>
  </si>
  <si>
    <t>Seed-borne, deep ploughing.</t>
  </si>
  <si>
    <t>Covered Smut, Seed-Borne, Deep Ploughing</t>
  </si>
  <si>
    <t>Ergot - Sorghum - Maize</t>
  </si>
  <si>
    <t>Dark brown to black sclerotia in place of seeds; spores carried by insects or splashed by rain</t>
  </si>
  <si>
    <t>Toxic to humans/livestock, field hygiene is important.</t>
  </si>
  <si>
    <t>Ergot, Sclerotia, Sanitation, Insect Control</t>
  </si>
  <si>
    <t>Shootfly - Sorghum - Maize</t>
  </si>
  <si>
    <t>Yellowish/white maggots bore into shoot; drying of central growing shoot (dead heart)</t>
  </si>
  <si>
    <t>Early planting, seed dressing, systemic sprays.</t>
  </si>
  <si>
    <t>Shootfly, Dead Heart, Seed Dressing, Systemic Insecticide</t>
  </si>
  <si>
    <t>Stalk borers - Sorghum - Maize</t>
  </si>
  <si>
    <t>Caterpillars feed inside stalks; stunted growth; windowing of leaves; withered shoots; poorly developed heads</t>
  </si>
  <si>
    <t>Push-pull is effective, granules application.</t>
  </si>
  <si>
    <t>Stalk Borers, Push-Pull, Insecticides</t>
  </si>
  <si>
    <t>Birds - Sorghum - Maize</t>
  </si>
  <si>
    <t>Capable of heavy losses; notorious Quelea species</t>
  </si>
  <si>
    <t>Bird scaring is labour-intensive, expensive.</t>
  </si>
  <si>
    <t>Birds, Quelea, Scaring, Harvesting</t>
  </si>
  <si>
    <t>Sorghum Ratooning - Maize</t>
  </si>
  <si>
    <t>Cut back plants immediately after harvesting to about 3 inches above ground for vegetative regrowth; reduces labour costs.</t>
  </si>
  <si>
    <t>May affect next season yield, pests/diseases carry over.</t>
  </si>
  <si>
    <t>Ratooning, Regrowth, Labour Reduction</t>
  </si>
  <si>
    <t>Drying and Storage - Sorghum - Maize</t>
  </si>
  <si>
    <t>Sun dry to 12-13% moisture; store as unthreshed panicles or threshed grain; thresh on mats/tarpaulins; winnow and sort; dust with Actellic (50g/90kg); store in clean store, hermetic bags or metal silos; second dusting after 3 months for long storage.</t>
  </si>
  <si>
    <t>Mould risk, moisture must be low, Actellic toxicity.</t>
  </si>
  <si>
    <t>Drying, Threshing, Winnowing, Hermetic Bags, Actellic</t>
  </si>
  <si>
    <t>Value Addition and Utilization - Sorghum - Maize</t>
  </si>
  <si>
    <t>Whole or dehulled grain; sorghum pilau, cookies, cakes, uji, ugali.</t>
  </si>
  <si>
    <t>Market for products, post-harvest processing.</t>
  </si>
  <si>
    <t>Sorghum, Value Addition, Food Products</t>
  </si>
  <si>
    <t>Agro-Ecological Requirements - Pearl Millet - Maize</t>
  </si>
  <si>
    <t>Soil: Clay-loamy; pH: 5.0-8.5; Temperature: 15-30°C; Rainfall: 200-500 mm; Altitude: 500-2400 m.</t>
  </si>
  <si>
    <t>Wide pH tolerance, but clay-loam is needed, altitude is specific.</t>
  </si>
  <si>
    <t>Pearl Millet, Soil, pH, Temperature, Rainfall, Altitude</t>
  </si>
  <si>
    <t>Agronomic Practices - Pearl Millet - Maize</t>
  </si>
  <si>
    <t>Variety selection; seed selection (disease-free plants, large panicles, harvest separately, dry to 12%, discard tip, thresh, dress with Apron star, Poncho FS 600, Cruiser FS 350); germination test (≥85% adequate); land preparation (fine seedbed); soil fertility (NPK 50 kg/acre, CAN top dress 50 kg/acre if needed; manure 5 tons/acre); planting (spacing 90x20 cm; depth 5 cm dry, 2-4 cm wet); seed rates (Pearl: 2 kg/acre, Finger: 1.2 kg/acre, Proso: 1.6 kg/acre, Fox: 1.6 kg/acre); weeding (first at 2-3 weeks, second if needed); thinning (3 weeks after emergence, leave 1 plant/hole).</t>
  </si>
  <si>
    <t>Seed selection is laborious, dressing is essential, varied rates.</t>
  </si>
  <si>
    <t>Pearl Millet Agronomy, Seed Selection, Dressings, Spacing</t>
  </si>
  <si>
    <t>Millet Varieties - Maize</t>
  </si>
  <si>
    <t>KAT/PM-1 (2.5-3 months, Grey, 8-10 bags/acre); KAT/PM3 (2.5-3 months, Grey, 10-12 bags/acre); P2244 (Brown); Gulu E4 (Brown); KAT/FM-1 (Brown); LANET FM-1 (Brown); KAT/PRO-1 (2.5 months, Cream); KAT/FOX-1 (4 months, Cream yellow).</t>
  </si>
  <si>
    <t>Varied maturity, different types (Pearl, Finger, Fox).</t>
  </si>
  <si>
    <t>Millet Varieties, Pearl Millet, Finger Millet, Maturity</t>
  </si>
  <si>
    <t>Intercropping - Millet - Maize</t>
  </si>
  <si>
    <t>Millet can be intercropped with pulses (pigeon peas, green grams) - single alternate rows or two rows millet + two rows pulses.</t>
  </si>
  <si>
    <t>Pigeon pea shade might affect millet, legume competition.</t>
  </si>
  <si>
    <t>Intercropping, Pulses, Row Configuration</t>
  </si>
  <si>
    <t>Head smut - Millet - Maize</t>
  </si>
  <si>
    <t>Enlarged green sacs instead of grain; scattered randomly in head; ovaries converted to black galls</t>
  </si>
  <si>
    <t>Resistance is best, rotation with non-cereals.</t>
  </si>
  <si>
    <t>Head Smut, Resistant Varieties, Rotation</t>
  </si>
  <si>
    <t>Ergot - Millet - Maize</t>
  </si>
  <si>
    <t>Cream to pink mucilaginous droplets of "honeydew"; dry and harden to dark brown/black mass</t>
  </si>
  <si>
    <t>Toxicity risk, field sanitation.</t>
  </si>
  <si>
    <t>Ergot, Honeydew, Sanitation</t>
  </si>
  <si>
    <t>Downy mildew - Millet - Maize</t>
  </si>
  <si>
    <t>Chlorotic lesions from base to higher leaves; bunchy/bushy appearance; stunted plants; floral parts transformed to leafy structures</t>
  </si>
  <si>
    <t>Good drainage, rogueing.</t>
  </si>
  <si>
    <t>Downy Mildew, Leafy Structures, Rogueing</t>
  </si>
  <si>
    <t>Birds - Millet - Maize</t>
  </si>
  <si>
    <t>Feed on grains, can completely devastate crop</t>
  </si>
  <si>
    <t>Scaring, early harvesting, destroying breeding sites.</t>
  </si>
  <si>
    <t>Birds, Scaring, Harvesting</t>
  </si>
  <si>
    <t>Harvesting - Millet - Maize</t>
  </si>
  <si>
    <t>Cut heads manually at physiological maturity; sun-dry; thresh; dry to 12-13% moisture; dust with Actellic for storage pests; seed dress with Bellamid 600 FS or Gaucho FS 350 for soil pests.</t>
  </si>
  <si>
    <t>Manual harvesting, threshing dust.</t>
  </si>
  <si>
    <t>Harvesting, Threshing, Actellic, Seed Dressing</t>
  </si>
  <si>
    <t>Storage - Millet - Maize</t>
  </si>
  <si>
    <t>Metal or plastic containers; sisal bags in cool, dry, ventilated place; second dusting after 3 months for long storage.</t>
  </si>
  <si>
    <t>Insect pests, moisture risk.</t>
  </si>
  <si>
    <t>Storage, Containers, Sisal Bags, Actellic</t>
  </si>
  <si>
    <t>Value Addition and Utilization - Millet - Maize</t>
  </si>
  <si>
    <t>Thin porridge, Ugali, local brew; prevention of cancer, diabetes management; good for Celiac disease; improves digestion; builds bones; promotes red blood cell development; boosts energy.</t>
  </si>
  <si>
    <t>Market for these health products, processing skills.</t>
  </si>
  <si>
    <t>Value Addition, Porridge, Health Benefits, Gluten-Free</t>
  </si>
  <si>
    <t>Agro-Ecological Requirements - Beans - Maize</t>
  </si>
  <si>
    <t>Soil: Silt loamy; pH: 5.8-7.0; Temperature: 18-30°C; Rainfall: 500-1500 mm; Altitude: 900-2100 m.</t>
  </si>
  <si>
    <t>Beans are sensitive to waterlogging, high rainfall and altitude.</t>
  </si>
  <si>
    <t>Beans, Soil, pH, Temperature, Rainfall, Altitude</t>
  </si>
  <si>
    <t>Agronomic Practices - Beans - Maize</t>
  </si>
  <si>
    <t>Variety selection (certified seed, disease-free, pure, clean, not damaged); seed dressing (Aldrin 2.5% at 5g/kg or thiram/Fenasan D at 3g/kg); germination test (≥90% = good, 80% = plant 2 seeds/hole, &lt;40% = discard).</t>
  </si>
  <si>
    <t>Aldrin is restricted/highly toxic, seed treatment is crucial, seed certification is important.</t>
  </si>
  <si>
    <t>Beans Agronomy, Seed Selection, Seed Dressing, Germination</t>
  </si>
  <si>
    <t>Recommended Bean Varieties - Maize</t>
  </si>
  <si>
    <t>Mwitemania (2-3 months, 6-8 bags, drought tolerant); Rosecoco (2-3 months, 8-10 bags, high yield, wide adaptation); Red Haricot/Wairimu (2-3 months, 6-8 bags, susceptible to root rot); KK8 (2-3 months, 8-10 bags, tolerant to root rot); Chelalang (2.5-3 months, 10-12 bags, disease/pest tolerant); Tasha (2.5-3 months, 8-10 bags, disease/pest tolerant); KATRAM (2.5-3 months, 7-8 bags, drought tolerant); Nyota (2.5-3 months, 6-7 bags, drought tolerant, high Fe &gt;95ppm, high Zn &gt;39ppm); Angaza (2.5-3 months, 6-7 bags, high Fe &gt;97ppm, high Zn &gt;57ppm, fast cook); Faida (2.5-3 months, 6-7 bags, high Zn &gt;56ppm, high K 2746ppm).</t>
  </si>
  <si>
    <t>Root rot resistance is key, variety has specific uses (Iron/Zinc content).</t>
  </si>
  <si>
    <t>Bean Varieties, Drought Tolerance, Disease Resistance, Iron, Zinc</t>
  </si>
  <si>
    <t>Land Preparation - Beans - Maize</t>
  </si>
  <si>
    <t>Avoid steep slopes, swamps, shallow sandy soils; early preparation; fine, level seedbed.</t>
  </si>
  <si>
    <t>Steep slopes risk erosion, soil type selection is important.</t>
  </si>
  <si>
    <t>Land Preparation, Slopes, Drainage, Seedbed</t>
  </si>
  <si>
    <t>Soil Fertility Management - Beans - Maize</t>
  </si>
  <si>
    <t>Manure 15-20 tons/ha; DAP or 23:23:0 or Mavuno 80 kg/acre; Rhizobium inoculation (dissolve 60g molasses in ½L water + culture packet; mix with 10kg seed; dry in shade; plant immediately).</t>
  </si>
  <si>
    <t>Inoculation cost, care in mixing, manure bulk.</t>
  </si>
  <si>
    <t>Soil Fertility, Manure, DAP, Rhizobium Inoculation</t>
  </si>
  <si>
    <t>Planting - Beans - Maize</t>
  </si>
  <si>
    <t>At onset of rains; monocrop: 50x10 cm (one seed/hole, depth 2.5-5 cm); intercrop with maize: two bean rows between maize rows (one seed/hole) or one bean row (two seeds/hole); seed rate: 16-25 kg/acre.</t>
  </si>
  <si>
    <t>Intercropping arrangement, seed rate varies.</t>
  </si>
  <si>
    <t>Planting, Spacing, Intercropping, Seed Rate</t>
  </si>
  <si>
    <t>Weeding - Beans - Maize</t>
  </si>
  <si>
    <t>First at 2-3 weeks; second 3 weeks later (before flowering); avoid weeding during flowering or when wet. Herbicides: pre-emergence (apply at/just before planting) + one manual weeding at 4-5 weeks.</t>
  </si>
  <si>
    <t>Weeding during flowering damages plants, herbicides need careful application.</t>
  </si>
  <si>
    <t>Weeding, Herbicides, Timing, Manual Weed</t>
  </si>
  <si>
    <t>Crop Rotation - Beans - Maize</t>
  </si>
  <si>
    <t>Rotate with cassava, maize, sorghum or non-leguminaceae family crops.</t>
  </si>
  <si>
    <t>Legume rotation reduces disease build-up, ensures soil health.</t>
  </si>
  <si>
    <t>Rotation, Legumes, Disease Control</t>
  </si>
  <si>
    <t>Powdery mildew - Beans - Maize</t>
  </si>
  <si>
    <t>Small white powdery spots on leaves, stem, pods; turn dirty white; leaves turn yellow/fall</t>
  </si>
  <si>
    <t>Fungicides are needed, overhead irrigation risk.</t>
  </si>
  <si>
    <t>Powdery Mildew, Sulphur, Rotation</t>
  </si>
  <si>
    <t>Rust - Beans - Maize</t>
  </si>
  <si>
    <t>Dark brown raised spots on leaves; severe cases on stems/pods; leaves fall</t>
  </si>
  <si>
    <t>Spreads in wet weather, copper fungicides.</t>
  </si>
  <si>
    <t>Rust, Copper, Rotation</t>
  </si>
  <si>
    <t>Anthracnose - Beans - Maize</t>
  </si>
  <si>
    <t>Sunken dark brown spots on pods/leaves; orange/pink spores; reddish-brown spots on leaf veins/stem/pods</t>
  </si>
  <si>
    <t>Seed-borne, contact fungicides, rotations.</t>
  </si>
  <si>
    <t>Anthracnose, Seed-Borne, Rotation</t>
  </si>
  <si>
    <t>Angular leaf spot - Beans - Maize</t>
  </si>
  <si>
    <t>Grey spots on leaves turn brown; enclosed within veins; dark brown spots on stems/pods; leaves fall</t>
  </si>
  <si>
    <t>Copper fungicides, rotation, certified seed.</t>
  </si>
  <si>
    <t>Angular Leaf Spot, Copper, Rotation</t>
  </si>
  <si>
    <t>Halo blight - Beans - Maize</t>
  </si>
  <si>
    <t>Small brown spots on leaves surrounded by yellow ring; entire leaf turns yellow; oval greasy water-soaked spots on pods become sunken reddish/brown</t>
  </si>
  <si>
    <t>Bacteria, copper sprays, avoid working wet fields.</t>
  </si>
  <si>
    <t>Halo Blight, Bacteria, Copper</t>
  </si>
  <si>
    <t>Bacterial blight - Beans - Maize</t>
  </si>
  <si>
    <t>Water-soaked spots on leaves/pods; angular orientation on leaf margins</t>
  </si>
  <si>
    <t>Seed-borne, spread by rain splash, copper sprays, drip irrigation.</t>
  </si>
  <si>
    <t>Bacterial Blight, Copper, Irrigation</t>
  </si>
  <si>
    <t>Mosaic viruses - Beans - Maize</t>
  </si>
  <si>
    <t>Distorted leaves; stunted growth; dark green along main veins, light green/yellow in between; leaves curl/roll downwards; fail to form pods</t>
  </si>
  <si>
    <t>Vector transmission (aphids), rogueing is crucial.</t>
  </si>
  <si>
    <t>Mosaic Virus, Aphids, Rogueing, Certified Seed</t>
  </si>
  <si>
    <t>Bean fly/Bean stem maggot - Beans - Maize</t>
  </si>
  <si>
    <t>Thickening of stem at soil level; brown feeding area/larvae inside stem; holes on leaves/stem; stunted/wilting</t>
  </si>
  <si>
    <t>Seed dress with insecticides, mulching, crop rotation.</t>
  </si>
  <si>
    <t>Bean Fly, Stem Maggot, Seed Dressing, Rotation</t>
  </si>
  <si>
    <t>African Bollworm - Beans - Maize</t>
  </si>
  <si>
    <t>Large roundish holes in green pods; feeds on flowers, leaves, terminal buds; waste on surface</t>
  </si>
  <si>
    <t>Neem, synthetic pyrethroids, deep ploughing.</t>
  </si>
  <si>
    <t>African Bollworm, Pyrethroids, Neem</t>
  </si>
  <si>
    <t>Aphids - Beans - Maize</t>
  </si>
  <si>
    <t>Black/grey soft-bodied insects on stem, young shoots, pods, underside of leaves; suck sap; stunting; sooty mold</t>
  </si>
  <si>
    <t>Populations explode quickly, sooty mould, spray soap.</t>
  </si>
  <si>
    <t>Aphids, Sooty Mold, Neem, Soapy Water</t>
  </si>
  <si>
    <t>Thrips - Beans - Maize</t>
  </si>
  <si>
    <t>Small slender yellow/brown/black insects in flowers/underside of leaves; water-soaked spots; curling pods; silvery leaves; flower abortion</t>
  </si>
  <si>
    <t>Repellent crops (garlic, onions), sticky traps, chemical sprays.</t>
  </si>
  <si>
    <t>Thrips, Sticky Traps, Onions, Garlic</t>
  </si>
  <si>
    <t>Root knot nematodes - Beans - Maize</t>
  </si>
  <si>
    <t>Stunting; yellowing; wilting; galling on roots; patchy field</t>
  </si>
  <si>
    <t>Rotation with grass crops, biopesticides, hygiene.</t>
  </si>
  <si>
    <t>Nematodes, Galling, Rotation, Biopesticides</t>
  </si>
  <si>
    <t>Bean bruchids - Beans - Maize</t>
  </si>
  <si>
    <t>Small reddish-brown beetles; bore tunnels beneath seed coat; circular holes on grain surface</t>
  </si>
  <si>
    <t>Storage pest, harvest timely, Actellic dusting.</t>
  </si>
  <si>
    <t>Bruchids, Actellic, Storage</t>
  </si>
  <si>
    <t>Harvesting - Beans - Maize</t>
  </si>
  <si>
    <t>When pods turned yellow, before shattering; moisture at 16%; sun dry if &gt;16%.</t>
  </si>
  <si>
    <t>Shattering risk, timely harvest, moisture content.</t>
  </si>
  <si>
    <t>Harvesting, Pods, Shattering, Drying</t>
  </si>
  <si>
    <t>Threshing - Beans - Maize</t>
  </si>
  <si>
    <t>On threshing rack to avoid damage; broken/cracked seed attacked by insects/fungi.</t>
  </si>
  <si>
    <t>Physical damage exposes grain to pathogens.</t>
  </si>
  <si>
    <t>Threshing, Damage, Pathogens</t>
  </si>
  <si>
    <t>Drying - Beans - Maize</t>
  </si>
  <si>
    <t>To 10% moisture on mats/wire mesh trays; spread thinly; turn regularly.</t>
  </si>
  <si>
    <t>Mould risk, even drying is key.</t>
  </si>
  <si>
    <t>Drying, Mould, Moisture</t>
  </si>
  <si>
    <t>Winnowing/Sorting - Beans - Maize</t>
  </si>
  <si>
    <t>Remove chaff, stones, broken/shrivelled/mouldy/insect-damaged seeds.</t>
  </si>
  <si>
    <t>Grading is important for market price.</t>
  </si>
  <si>
    <t>Winnowing, Sorting, Grading</t>
  </si>
  <si>
    <t>Storage - Beans - Maize</t>
  </si>
  <si>
    <t>Well-ventilated store; dust with Malathion 25% (400g/5L water per 100m²); bruchids: dust with Actellic (50g/90kg bag) or 2% Malathion dust (50g/bag) or sunflower/maize oil (200ml/bag); air-tight bins/drums or gunny bags. Planting seed: treat with Fernason D (3g/kg) or Aldrin 2.5% (5g/kg).</t>
  </si>
  <si>
    <t>Malathion toxicity, oil treatment may affect germination if not careful.</t>
  </si>
  <si>
    <t>Storage, Malathion, Actellic, Air-Tight</t>
  </si>
  <si>
    <t>Value Addition and Utilization - Beans - Maize</t>
  </si>
  <si>
    <t>Githeri (beans+maize); Mukimo (beans+maize+mashing with potato/greens); Mushenye (beans+mashing with sweet potato); beans with Ugali/rice; canned pre-cooked beans.</t>
  </si>
  <si>
    <t>Hygienic processing, market for canned products.</t>
  </si>
  <si>
    <t>Value Addition, Githeri, Mukimo, Canned Beans</t>
  </si>
  <si>
    <t>Agro-Ecological Requirements - Green Gram - Maize</t>
  </si>
  <si>
    <t>Soil: Sandy loamy; pH: 6.3-7.2; Temperature: 25-30°C; Rainfall: 350-700 mm; Altitude: 50-1600 m.</t>
  </si>
  <si>
    <t>Good drainage is key, a narrow pH range, warm temperatures.</t>
  </si>
  <si>
    <t>Green Gram, Sandy Loam, pH, Temperature, Rainfall</t>
  </si>
  <si>
    <t>Green Gram Varieties - Maize</t>
  </si>
  <si>
    <t>N22/KVR22 (Golden yellow seeds, semi-determinate, flowers 55-60 days, matures 80-90 days, 4-7 bags, tolerant to aphids, yellow mosaic, powdery mildew); N26/Nylon (Shiny green, determinate, flowers 40-45 days, matures 60-65 days, 6-8 bags); KS20 (Uncle, Cotton) (Dull green, larger grains, flowers 60-65 days, matures 80-90 days, 7-10 bags).</t>
  </si>
  <si>
    <t>Varieties differ in maturity and yield potential, pest tolerance.</t>
  </si>
  <si>
    <t>Green Gram Varieties, Maturity, Pest Tolerance</t>
  </si>
  <si>
    <t>Germination Test - Green Gram - Maize</t>
  </si>
  <si>
    <t>Soak seeds overnight, wrap in moist cloth/newspaper, water 3x/day; ≥60% = plant 3-4 seeds/hole, ≥90% = plant 2 seeds/hole.</t>
  </si>
  <si>
    <t>Over-watering rots seeds, accurate counting needed.</t>
  </si>
  <si>
    <t>Germination, Testing, Seed Viability</t>
  </si>
  <si>
    <t>Land Preparation - Green Gram - Maize</t>
  </si>
  <si>
    <t>Avoid steep slopes, swamps, heavy clays, couch grass; fine seedbed.</t>
  </si>
  <si>
    <t>Couch grass competition, soil texture is important.</t>
  </si>
  <si>
    <t>Land Preparation, Drainage, Weeds</t>
  </si>
  <si>
    <t>Soil Fertility - Green Gram - Maize</t>
  </si>
  <si>
    <t>NPK (23:23:0) 50 kg/acre broadcast; manure 10-20 tons/acre; lime one year prior.</t>
  </si>
  <si>
    <t>Lime application is a long process, high manure quantities.</t>
  </si>
  <si>
    <t>Soil Fertility, NPK, Manure, Lime</t>
  </si>
  <si>
    <t>Planting - Green Gram - Maize</t>
  </si>
  <si>
    <t>Depth 3-5 cm (7.5 cm if dry, no crust); monocrop: 45x15 cm; intercrop: legume rows between main crop; seed rate: 4-5 kg/acre.</t>
  </si>
  <si>
    <t>Depth is critical, seed rate is low, intercropping arrangement.</t>
  </si>
  <si>
    <t>Planting, Depth, Spacing, Intercropping</t>
  </si>
  <si>
    <t>Weeding - Green Gram - Maize</t>
  </si>
  <si>
    <t>First at 2 weeks; second before flowering.</t>
  </si>
  <si>
    <t>Weeding before flowering is critical for yield.</t>
  </si>
  <si>
    <t>Weeding, Timing, Flowering</t>
  </si>
  <si>
    <t>Crop Rotation - Green Gram - Maize</t>
  </si>
  <si>
    <t>Rotate with non-legumes (maize, millet, sorghum, sweet potatoes, cassava); don't grow consecutive seasons.</t>
  </si>
  <si>
    <t>Legume rotation is essential to break diseases.</t>
  </si>
  <si>
    <t>Rotation, Non-Legumes, Disease Break</t>
  </si>
  <si>
    <t>Bean fly - Green Gram - Maize</t>
  </si>
  <si>
    <t>Leaves droop, yellow, dry; stem swells/cracks</t>
  </si>
  <si>
    <t>Seed dress is key, high risk in wet conditions.</t>
  </si>
  <si>
    <t>Bean Fly, Seed Dressing, Wilting</t>
  </si>
  <si>
    <t>Thrips - Green Gram - Maize</t>
  </si>
  <si>
    <t>Feed on flower stigma; flower abortion; shriveled grains</t>
  </si>
  <si>
    <t>Intercrop with repellents, chemical sprays.</t>
  </si>
  <si>
    <t>Thrips, Flower Abortion, Onions, Garlic</t>
  </si>
  <si>
    <t>Bean Aphids - Green Gram - Maize</t>
  </si>
  <si>
    <t>Feed on foliage/pods; distortion of leaves; stunting</t>
  </si>
  <si>
    <t>Natural enemies are important, soap solution.</t>
  </si>
  <si>
    <t>Bean Aphids, Sooty Mold, Neem</t>
  </si>
  <si>
    <t>Whitefly - Green Gram - Maize</t>
  </si>
  <si>
    <t>Transmits yellow mosaic virus</t>
  </si>
  <si>
    <t>Neem products are effective, yellow sticky traps.</t>
  </si>
  <si>
    <t>Whitefly, Yellow Mosaic, Neem</t>
  </si>
  <si>
    <t>Red spider mites - Green Gram - Maize</t>
  </si>
  <si>
    <t>Speckling of leaves; webs on underside; drying of plants</t>
  </si>
  <si>
    <t>Dish soap, abamectin products, early planting.</t>
  </si>
  <si>
    <t>Red Spider Mites, Abamectin, Soap</t>
  </si>
  <si>
    <t>Bruchids - Green Gram - Maize</t>
  </si>
  <si>
    <t>Holes in seeds; whitish larva/pupa inside</t>
  </si>
  <si>
    <t>Storage pest, Actellic dust, oil treatment.</t>
  </si>
  <si>
    <t>Bruchids, Actellic, Oil</t>
  </si>
  <si>
    <t>Powdery Mildew - Green Gram - Maize</t>
  </si>
  <si>
    <t>White powdery spots on leaves, stem, pods; turn dirty white</t>
  </si>
  <si>
    <t>Rotation with non-legumes, avoid overhead irrigation.</t>
  </si>
  <si>
    <t>Powdery Mildew, Rotation, Overhead Irrigation</t>
  </si>
  <si>
    <t>Harvesting - Green Gram - Maize</t>
  </si>
  <si>
    <t>When most pods turn black; pick individually or uproot whole plants; dry 2-5 days before threshing.</t>
  </si>
  <si>
    <t>Shattering risk, multiple pickings for high yield, drying.</t>
  </si>
  <si>
    <t>Harvesting, Pods, Drying, Shattering</t>
  </si>
  <si>
    <t>Threshing - Green Gram - Maize</t>
  </si>
  <si>
    <t>Test moisture by crushing grains with teeth; use stick on tarpaulin/bag or mechanical thresher.</t>
  </si>
  <si>
    <t>Over-threshing damages seed, sanitation.</t>
  </si>
  <si>
    <t>Threshing, Moisture, Tarpaulin</t>
  </si>
  <si>
    <t>Winnowing/Sorting - Green Gram - Maize</t>
  </si>
  <si>
    <t>Remove foreign materials; scoop grain subject to wind action.</t>
  </si>
  <si>
    <t>Quality grading is key to market price.</t>
  </si>
  <si>
    <t>Winnowing, Sorting, Foreign Matter</t>
  </si>
  <si>
    <t>Drying - Green Gram - Maize</t>
  </si>
  <si>
    <t>Dry to 12% moisture before storage.</t>
  </si>
  <si>
    <t>Moisture content impacts storage life.</t>
  </si>
  <si>
    <t>Drying, 12% Moisture</t>
  </si>
  <si>
    <t>Storage - Green Gram - Maize</t>
  </si>
  <si>
    <t>Clean bins/silos; fumigate; Actellic 50g/90kg bag; air-tight silos/hermetic bags.</t>
  </si>
  <si>
    <t>Actellic toxicity, airtight storage is safer.</t>
  </si>
  <si>
    <t>Storage, Actellic, Hermetic Bags</t>
  </si>
  <si>
    <t>Value Addition and Utilization - Green Gram - Maize</t>
  </si>
  <si>
    <t>Stew with rice, chapatti, Ugali, cassava or sweet potatoes; sprouts with lemon/salt; flour for soups, porridge, snacks, bread, noodles.</t>
  </si>
  <si>
    <t>Sprouting requires careful hygiene.</t>
  </si>
  <si>
    <t>Value Addition, Sprouting, Flour</t>
  </si>
  <si>
    <t>Agro-Ecological Requirements - Pigeon Pea - Maize</t>
  </si>
  <si>
    <t>Soil: Medium heavy loams; pH: 5.0-7.0 (tolerates 4.5-8.4); Temperature: 18-30°C; Rainfall: 400-750 mm; Altitude: 0-1800 m.</t>
  </si>
  <si>
    <t>Wide tolerance but heavy loams are best.</t>
  </si>
  <si>
    <t>Pigeon Pea, Soil, pH, Temperature, Rainfall</t>
  </si>
  <si>
    <t>Pigeon Pea Varieties - Maize</t>
  </si>
  <si>
    <t>Mbaazi 1 (ICPL 87091): 105-120 days, 400-800 kg/acre, determinate, 80-120 cm, susceptible to pod suckers/borers. KAT 60/8: 135-150 days, 400-1200 kg/acre, indeterminate, 85-130 cm, white grains with brown spots, susceptible to pod suckers/borers, tolerant to wilt/leaf spot. Mbaazi 2 (ICEAP 00040): 150-180 days, 520 kg/acre, indeterminate, 120-240 cm, two-season variety, greyish grains.</t>
  </si>
  <si>
    <t>Determinate vs Indeterminate, yield potential, maturity times.</t>
  </si>
  <si>
    <t>Pigeon Pea Varieties, Maturity, Indeterminate, Tolerance</t>
  </si>
  <si>
    <t>Seed Treatment - Pigeon Pea - Maize</t>
  </si>
  <si>
    <t>Protect from seed/soil borne diseases and pests; dress with dry formulation or wet slurry/liquid.</t>
  </si>
  <si>
    <t>Requires proper dressing technique, safety gear.</t>
  </si>
  <si>
    <t>Seed Treatment, Disease Control, Slurry</t>
  </si>
  <si>
    <t>Germination Test - Pigeon Pea - Maize</t>
  </si>
  <si>
    <t>100 seeds on moist newspaper; count emerged seedlings 7-11 days; calculate % germination.</t>
  </si>
  <si>
    <t>Seed viability, accurate counting.</t>
  </si>
  <si>
    <t>Germination, Viability, Testing</t>
  </si>
  <si>
    <t>Land Preparation - Pigeon Pea - Maize</t>
  </si>
  <si>
    <t>Medium tilt; avoid huge soil clods.</t>
  </si>
  <si>
    <t>Clods hinder germination, seedbed preparation.</t>
  </si>
  <si>
    <t>Land Preparation, Tilt, Seedbed</t>
  </si>
  <si>
    <t>Soil Fertility - Pigeon Pea - Maize</t>
  </si>
  <si>
    <t>Basal NPK (20:20:0 or 23:23:0) 50 kg/acre; N: 9-11 kg/acre; Rhizobium inoculation; can be used as green manure.</t>
  </si>
  <si>
    <t>N requirement for initial growth, inoculation.</t>
  </si>
  <si>
    <t>Soil Fertility, NPK, Inoculation, Green Manure</t>
  </si>
  <si>
    <t>Planting - Pigeon Pea - Maize</t>
  </si>
  <si>
    <t>Broadcast or drill 2.5-10 cm deep; seed rate: 10 kg/ha (4 kg/acre). Spacing - Mbaazi 1: 50x10 cm; KAT 60/8: 75x50 cm; Mbaazi 2: 100x50 cm (lower altitudes), reduce 20-30 cm at higher; Local: 120x60 cm. Intercropping: one row pigeon pea after one row cereal or one row pigeon pea + two rows maize; Mbaazi 1 as pure stand.</t>
  </si>
  <si>
    <t>Spacing differs by variety, intercropping arrangements.</t>
  </si>
  <si>
    <t>Weeding - Pigeon Pea - Maize</t>
  </si>
  <si>
    <t>First 2-3 weeks after germination; subsequent as needed.</t>
  </si>
  <si>
    <t>Timely weeding to reduce competition, later weedings may not be needed.</t>
  </si>
  <si>
    <t>Flower thrips - Pigeon Pea - Maize</t>
  </si>
  <si>
    <t>Shiny yellow/black insects; flower abortion/failure</t>
  </si>
  <si>
    <t>Causes direct yield loss, needs monitoring.</t>
  </si>
  <si>
    <t>Flower Thrips, Flower Abortion</t>
  </si>
  <si>
    <t>Aphids - Pigeon Pea - Maize</t>
  </si>
  <si>
    <t>Feed on foliage/pods; leaf distortion; stunting</t>
  </si>
  <si>
    <t>Damage to growing points, honeydew.</t>
  </si>
  <si>
    <t>Aphids, Distortion, Sooty Mold</t>
  </si>
  <si>
    <t>Pod borers - Pigeon Pea - Maize</t>
  </si>
  <si>
    <t>Yellowish/white/greenish/reddish-white caterpillars feed on flower buds/seeds</t>
  </si>
  <si>
    <t>Protected during feeding, hard to control.</t>
  </si>
  <si>
    <t>Pod Borers, Seed Damage</t>
  </si>
  <si>
    <t>Bruchids - Pigeon Pea - Maize</t>
  </si>
  <si>
    <t>Thin tunnels beneath seed coat; circular holes on surface</t>
  </si>
  <si>
    <t>Storage pest, hermetic bags, Actellic.</t>
  </si>
  <si>
    <t>Bruchids, Storage, Hermetic Bags</t>
  </si>
  <si>
    <t>Fusarium wilt - Pigeon Pea - Maize</t>
  </si>
  <si>
    <t>Use tolerant varieties (KAT 60/8); crop rotation; avoid wet soils.</t>
  </si>
  <si>
    <t>Soil-borne, resistant varieties are key.</t>
  </si>
  <si>
    <t>Fusarium Wilt, Tolerant Varieties, Rotation</t>
  </si>
  <si>
    <t>Harvesting - Pigeon Pea - Maize</t>
  </si>
  <si>
    <t>When most pods dry and turn brown; hand picking individual pods or cutting branches.</t>
  </si>
  <si>
    <t>Spreading harvest, shattering risk.</t>
  </si>
  <si>
    <t>Harvesting, Pods, Maturity</t>
  </si>
  <si>
    <t>Threshing - Pigeon Pea - Maize</t>
  </si>
  <si>
    <t>Mechanical or manual (sticks on tarpaulin/bag).</t>
  </si>
  <si>
    <t>Mechanical threshing can damage seeds.</t>
  </si>
  <si>
    <t>Threshing, Tarpaulin, Mechanical</t>
  </si>
  <si>
    <t>Winnowing/Sorting - Pigeon Pea - Maize</t>
  </si>
  <si>
    <t>Use winnowing trays ('uteo') or wind action; remove foreign materials.</t>
  </si>
  <si>
    <t>Quality grading for market.</t>
  </si>
  <si>
    <t>Grain Dressing and Storage - Pigeon Pea - Maize</t>
  </si>
  <si>
    <t>Dry to 13% moisture or less; dress with neem leaves, wood ash (4-6 kg/90kg bag) or Actellic (50g/90kg bag); air-tight drums/hermetic bags for consumption; gunny bags for planting seed (not air-tight).</t>
  </si>
  <si>
    <t>Actellic toxicity, treatment methods vary for seed.</t>
  </si>
  <si>
    <t>Dressing, Storage, Hermetic Bags, Actellic</t>
  </si>
  <si>
    <t>Value Addition and Utilization - Pigeon Pea - Maize</t>
  </si>
  <si>
    <t>Human food (whole grain, split/dehulled, dhal, green vegetable); livestock feed (leaves, husks); sprouted; hedges on dry soils/paddy bunds; baskets/firewood; shade/cover crop/windbreak.</t>
  </si>
  <si>
    <t>Multipurpose uses, processing skills.</t>
  </si>
  <si>
    <t>Value Addition, Dhal, Livestock Feed, Windbreak</t>
  </si>
  <si>
    <t>Agro-ecological Requirements - Cowpea - Maize</t>
  </si>
  <si>
    <t>Soil: Sandy to well-drained clays; pH: 5.0-6.5; Temperature: 20-35°C; Rainfall: 200-500 mm; Altitude: 0-1500 m.</t>
  </si>
  <si>
    <t>Prefers sandy soils, tolerant to low rainfall.</t>
  </si>
  <si>
    <t>Cowpea, Soil, pH, Temperature, Rainfall</t>
  </si>
  <si>
    <t>Cowpea Varieties - Maize</t>
  </si>
  <si>
    <t>Machakos 66 (M66): 80-95 days, 4-7 bags, tolerant to aphids/thrips, yellow mosaic, scab; Katumani 80 (K80): 75-85 days, 4-8 bags, resistant to aphids, moderately tolerant to thrips/pod borers; KVU 27-1: 70-90 days, 4-8 bags, dual purpose, moderately tolerant to aphids/thrips/pod borers, resistant to foliar fungi/mosaic; KVU-419: 65-72 days, 1-1.5 bags, mainly grain, tolerant to cold, fast drought recovery; Kunde-Faulu: 70-80 days, 7-10 bags, large grain, early maturing, tolerant to Alectra vogelii; Kunde-Tamu: 70-80 days, 7-9 bags, tender/sweet leaves, dual purpose; KAT-Kunde: 80-90 days, 6-9 bags, early maturing, tolerant to Alectra, dual purpose; Kunde-Soko: 80-90 days, 6-8 bags, large grain, early maturing, tolerant to Alectra; Kunde-Tumaini: 70-80 days, 6-9 bags, white grain, early maturing, tolerant to Alectra.</t>
  </si>
  <si>
    <t>Varieties have specific traits, maturity differences, dual-purpose types.</t>
  </si>
  <si>
    <t>Cowpea Varieties, Maturity, Disease Tolerance, Dual Purpose</t>
  </si>
  <si>
    <t>Germination Test - Cowpea - Maize</t>
  </si>
  <si>
    <t>Soak seeds overnight, wrap in moist cloth/newspaper, water 3x/day; ≥90% = good; &lt;60% = discard.</t>
  </si>
  <si>
    <t>Maintaining moisture, avoiding seed rot.</t>
  </si>
  <si>
    <t>Germination, Testing, Viability</t>
  </si>
  <si>
    <t>Land Preparation - Cowpea - Maize</t>
  </si>
  <si>
    <t>Fine tilth; deep, level, firm seedbed.</t>
  </si>
  <si>
    <t>Good drainage, fine tilth for small seeds.</t>
  </si>
  <si>
    <t>Land Preparation, Tilth, Seedbed</t>
  </si>
  <si>
    <t>(Duplicated row - see above)</t>
  </si>
  <si>
    <t>(Same as above)</t>
  </si>
  <si>
    <t>Soil Fertility - Cowpea - Maize</t>
  </si>
  <si>
    <t>Organic: 2.5 tons/acre manure. Inorganic: SSP 16 kg P/acre; thoroughly mix with soil.</t>
  </si>
  <si>
    <t>SSP is phosphorus-specific, mixing is essential.</t>
  </si>
  <si>
    <t>Soil Fertility, Manure, SSP, Phosphorus</t>
  </si>
  <si>
    <t>Planting - Cowpea - Maize</t>
  </si>
  <si>
    <t>Sole crop: erect/semi-erect - 60x20 cm (2 seeds/hole) = 66,400 plants/acre; spreading - 50x75 cm (2 seeds/hole, thin to 2) = 21,600 plants/acre. Intercrop with cereals: two equidistant rows between cereal rows at 20 cm; or one row with 2 seeds/hole. Seed depth: 2.0-2.5 cm. Seed rate: 12-25 kg/acre (depends on variety, seed size, cropping system, viability).</t>
  </si>
  <si>
    <t>Spacing differs for growth habit, seed rate range is wide.</t>
  </si>
  <si>
    <t>Planting, Spacing, Seed Rate, Intercropping</t>
  </si>
  <si>
    <t>Weeding - Cowpea - Maize</t>
  </si>
  <si>
    <t>First at 2 weeks; second 3 weeks later (before flowering); avoid weeding at flowering or when wet. Herbicides: pre-emergence (apply at/just before planting) + one manual weeding at 4-5 weeks.</t>
  </si>
  <si>
    <t>Weeding during flowering affects yield, pre-emergence herbicides.</t>
  </si>
  <si>
    <t>Weeding, Timing, Herbicides</t>
  </si>
  <si>
    <t>Crop Rotation - Cowpea - Maize</t>
  </si>
  <si>
    <t>Rotate with cassava, maize, sorghum, millet or non-leguminous crops.</t>
  </si>
  <si>
    <t>Essential to break diseases and soil fertility.</t>
  </si>
  <si>
    <t>Aphids - Cowpea - Maize</t>
  </si>
  <si>
    <t>Leaves curl, become chlorotic; black sooty mould covers leaf surface; transmit mosaic virus</t>
  </si>
  <si>
    <t>Viral transmission, sooty mould, yield loss.</t>
  </si>
  <si>
    <t>Aphids, Sooty Mold, Virus Transmission</t>
  </si>
  <si>
    <t>Pod borers - Cowpea - Maize</t>
  </si>
  <si>
    <t>Defoliation; larvae thrust head inside pods with body hanging out</t>
  </si>
  <si>
    <t>Direct damage to seeds, hanging out indicates heavy infestation.</t>
  </si>
  <si>
    <t>Pod Borers, Defoliation, Seed Damage</t>
  </si>
  <si>
    <t>Flower thrips - Cowpea - Maize</t>
  </si>
  <si>
    <t>Flowers brown, dried, distorted; drop prematurely; decreased pod production; deformed pods</t>
  </si>
  <si>
    <t>Direct cause of flower abortion, need monitoring.</t>
  </si>
  <si>
    <t>Flower Thrips, Flower Abortion, Deformed Pods</t>
  </si>
  <si>
    <t>Pod sucking bugs - Cowpea - Maize</t>
  </si>
  <si>
    <t>Suck sap from pods/seeds; necrosis; pod malformation; premature drying; shriveled seeds; empty pods</t>
  </si>
  <si>
    <t>Causes significant seed quality loss.</t>
  </si>
  <si>
    <t>Pod Sucking Bugs, Sap Sucking, Shriveling</t>
  </si>
  <si>
    <t>Cowpea Bruchids - Cowpea - Maize</t>
  </si>
  <si>
    <t>Larvae feed on seeds; adults emerge leaving small round holes</t>
  </si>
  <si>
    <t>Storage pest, Actellic, hermetic storage.</t>
  </si>
  <si>
    <t>Bruchids, Storage, Holes</t>
  </si>
  <si>
    <t>Leaves harvesting - Cowpea - Maize</t>
  </si>
  <si>
    <t>Young/tender leaves 3 weeks after planting at weekly intervals up to flowering; uproot entire plant at 3-5 true leaf stage for vegetables.</t>
  </si>
  <si>
    <t>Overharvesting reduces grain yield, timing is key.</t>
  </si>
  <si>
    <t>Leaf Harvesting, Vegetables, Timing</t>
  </si>
  <si>
    <t>Dry seed harvesting - Cowpea - Maize</t>
  </si>
  <si>
    <t>When pods fully mature and dry; early-maturing erect: one picking; indeterminate/prostrate: two or three pickings; harvest promptly to avoid shattering/weevil infestation.</t>
  </si>
  <si>
    <t>Shattering risk, multiple pickings for some varieties.</t>
  </si>
  <si>
    <t>Dry Seed Harvesting, Maturity, Shattering</t>
  </si>
  <si>
    <t>Threshing and winnowing - Cowpea - Maize</t>
  </si>
  <si>
    <t>Manual (thrashing on clean cement/tarpaulin, beating bagged pods with sticks) or mechanical; test moisture by biting/pinching grain (should crack, not bend); winnow against airflow.</t>
  </si>
  <si>
    <t>Damage risk, moisture check by pinching.</t>
  </si>
  <si>
    <t>Threshing, Winnowing, Moisture Test</t>
  </si>
  <si>
    <t>Moisture content before storage - Cowpea - Maize</t>
  </si>
  <si>
    <t>Dry to 10% on mats/plastic sheets/wire mesh trays; spread thinly; turn regularly; protect from rain, insects, animals, dirt.</t>
  </si>
  <si>
    <t>Low moisture is critical to prevent mould.</t>
  </si>
  <si>
    <t>Drying, Moisture, Mould</t>
  </si>
  <si>
    <t>Moisture check - Cowpea - Maize</t>
  </si>
  <si>
    <t>Salt test: clean dry bottle/jar with lid + handful of cowpea + 1 tsp salt; shake; if damp salt stuck to sides after 10 min = moisture &gt;13% (not dry).</t>
  </si>
  <si>
    <t>Quick test, but not as accurate as a moisture meter.</t>
  </si>
  <si>
    <t>Salt Test, Moisture, Accuracy</t>
  </si>
  <si>
    <t>Sorting and grading - Cowpea - Maize</t>
  </si>
  <si>
    <t>Remove broken, discoloured, rotten, pest-damaged, immature, shrivelled seeds and foreign matter.</t>
  </si>
  <si>
    <t>Quality affects price, remove disease.</t>
  </si>
  <si>
    <t>Sorting, Grading, Quality</t>
  </si>
  <si>
    <t>Storage - Cowpea - Maize</t>
  </si>
  <si>
    <t>Clean store; dry to &lt;13% (8-10% for long term); hermetic bags (PICS) protected from rats/mice; or dust with Actellic in metal/plastic silos.</t>
  </si>
  <si>
    <t>Actellic toxicity, PICS bags are safer for food.</t>
  </si>
  <si>
    <t>Storage, Hermetic Bags, Actellic</t>
  </si>
  <si>
    <t>Value Addition and Utilization - Cowpea - Maize</t>
  </si>
  <si>
    <t>Grain (shelled green/dried), pods/leaves (green vegetables), green manure; livestock feed from stems/leaves; cooked with vegetables/maize/spices/oil (thick soup) with rice/ugali/chapati; source of vitamins A, B, C; calcium, phosphorus, carbohydrates, protein, fibre; canned/frozen green grains.</t>
  </si>
  <si>
    <t>Multiple uses, canning/freezing, nutritional benefits.</t>
  </si>
  <si>
    <t>Value Addition, Vegetables, Nutrition, Livestock Feed</t>
  </si>
  <si>
    <t>Advantages/Importance of Farming as a Business - Maize</t>
  </si>
  <si>
    <t>Farmers get best out of farms/resources. Apply business methods: record keeping, benefit-cost analysis, marketing skills, group management, gender considerations, and communication skills. Involves weighing, sorting, grading, packaging at aggregation centres. Know what to produce, how, for whom, when, how much.</t>
  </si>
  <si>
    <t>High literacy/skills needed, record-keeping is tedious, market price volatility.</t>
  </si>
  <si>
    <t>Farming as Business, Record Keeping, Benefit-Cost, Marketing, Aggregation</t>
  </si>
  <si>
    <t>Farm Records and Record Keeping - Maize</t>
  </si>
  <si>
    <t>Written proof of what happened. Gathering operational data for future analysis (sales, costs, profits). Records include crops cultivated, livestock kept, varieties planted, management activities, quantity harvested.</t>
  </si>
  <si>
    <t>Time-consuming, need literacy, can be forgotten, must be reliable.</t>
  </si>
  <si>
    <t>Farm Records, Data Gathering, Analysis, Operational Data</t>
  </si>
  <si>
    <t>Importance of Record Keeping - Maize</t>
  </si>
  <si>
    <t>Essential for farm planning; credit sourcing; monitoring farm performance; decision making; insights on money spent/received; determine profit/loss.</t>
  </si>
  <si>
    <t>Poor records lead to missed opportunities, credit denial, bad decisions.</t>
  </si>
  <si>
    <t>Importance, Planning, Credit, Performance, Profit</t>
  </si>
  <si>
    <t>Common Types of Farm Records - Maize</t>
  </si>
  <si>
    <t>The common types include production records (performance of enterprises), labour records (hired/employed labour), cash flow records (cash in/out), home consumption records (household intake), fixed assets records (items on farm), and profit and loss records (economic performance).</t>
  </si>
  <si>
    <t>Managing multiple records can be complex, requires consistency.</t>
  </si>
  <si>
    <t>Record Types, Production, Labour, Cash Flow, Assets, Profit</t>
  </si>
  <si>
    <t>Markets and Marketing for Cereals and Legumes - Maize</t>
  </si>
  <si>
    <t>Market: place where buyers and sellers meet to exchange goods/services. Marketing: process bridging producers and consumers; involves finding consumer wants and supplying at a profit. Organized farming reduces storage/transportation costs; central management at aggregation centres; quality checks/grading; bargaining advantage.</t>
  </si>
  <si>
    <t>Access to markets, price volatility, quality standards, storage costs.</t>
  </si>
  <si>
    <t>Market, Marketing, Aggregation, Bargaining, Quality Checks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</si>
</sst>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24">
    <font>
      <sz val="11.0"/>
      <color theme="1"/>
      <name val="Calibri"/>
      <scheme val="minor"/>
    </font>
    <font>
      <sz val="12.0"/>
      <color rgb="FF000000"/>
      <name val="Calibri"/>
    </font>
    <font>
      <b/>
      <sz val="20.0"/>
      <color rgb="FF1B3D1C"/>
      <name val="Calibri"/>
    </font>
    <font>
      <b/>
      <sz val="18.0"/>
      <color rgb="FF1B3D1C"/>
      <name val="Calibri"/>
    </font>
    <font>
      <b/>
      <sz val="12.0"/>
      <color rgb="FF000000"/>
      <name val="Calibri"/>
    </font>
    <font>
      <i/>
      <sz val="11.0"/>
      <color rgb="FF5A5A50"/>
      <name val="Calibri"/>
    </font>
    <font>
      <sz val="12.0"/>
      <color theme="1"/>
      <name val="Times New Roman"/>
    </font>
    <font>
      <b/>
      <sz val="10.0"/>
      <color rgb="FFFFFFFF"/>
      <name val="Calibri"/>
    </font>
    <font>
      <b/>
      <sz val="13.0"/>
      <color rgb="FF2C5F2D"/>
      <name val="Calibri"/>
    </font>
    <font/>
    <font>
      <i/>
      <sz val="12.0"/>
      <color rgb="FF000000"/>
      <name val="Calibri"/>
    </font>
    <font>
      <b/>
      <sz val="12.0"/>
      <color rgb="FF1B3D1C"/>
      <name val="Times New Roman"/>
    </font>
    <font>
      <sz val="10.0"/>
      <color rgb="FF2B2B26"/>
      <name val="Calibri"/>
    </font>
    <font>
      <sz val="12.0"/>
      <color theme="0"/>
      <name val="Calibri"/>
    </font>
    <font>
      <sz val="12.0"/>
      <color rgb="FFBFBFBF"/>
      <name val="Times New Roman"/>
    </font>
    <font>
      <b/>
      <sz val="12.0"/>
      <color theme="0"/>
      <name val="Calibri"/>
    </font>
    <font>
      <b/>
      <sz val="12.0"/>
      <color rgb="FFFFFFFF"/>
      <name val="Times New Roman"/>
    </font>
    <font>
      <b/>
      <sz val="11.0"/>
      <color rgb="FF1B3D1C"/>
      <name val="Calibri"/>
    </font>
    <font>
      <i/>
      <sz val="12.0"/>
      <color rgb="FF5A5A50"/>
      <name val="Times New Roman"/>
    </font>
    <font>
      <b/>
      <sz val="12.0"/>
      <color rgb="FFBFBFBF"/>
      <name val="Times New Roman"/>
    </font>
    <font>
      <b/>
      <sz val="12.0"/>
      <color theme="0"/>
      <name val="Times New Roman"/>
    </font>
    <font>
      <i/>
      <sz val="10.0"/>
      <color rgb="FF8A8A80"/>
      <name val="Calibri"/>
    </font>
    <font>
      <u/>
      <sz val="12.0"/>
      <color rgb="FF000000"/>
      <name val="Calibri"/>
    </font>
    <font>
      <u/>
      <sz val="12.0"/>
      <color rgb="FF000000"/>
      <name val="Calibri"/>
    </font>
  </fonts>
  <fills count="8">
    <fill>
      <patternFill patternType="none"/>
    </fill>
    <fill>
      <patternFill patternType="lightGray"/>
    </fill>
    <fill>
      <patternFill patternType="solid">
        <fgColor rgb="FF2C5F2D"/>
        <bgColor rgb="FF2C5F2D"/>
      </patternFill>
    </fill>
    <fill>
      <patternFill patternType="solid">
        <fgColor rgb="FFF7F7F2"/>
        <bgColor rgb="FFF7F7F2"/>
      </patternFill>
    </fill>
    <fill>
      <patternFill patternType="solid">
        <fgColor rgb="FFC0392B"/>
        <bgColor rgb="FFC0392B"/>
      </patternFill>
    </fill>
    <fill>
      <patternFill patternType="solid">
        <fgColor rgb="FF00602B"/>
        <bgColor rgb="FF00602B"/>
      </patternFill>
    </fill>
    <fill>
      <patternFill patternType="solid">
        <fgColor rgb="FFFFF6DF"/>
        <bgColor rgb="FFFFF6DF"/>
      </patternFill>
    </fill>
    <fill>
      <patternFill patternType="solid">
        <fgColor rgb="FFF2F2EC"/>
        <bgColor rgb="FFF2F2EC"/>
      </patternFill>
    </fill>
  </fills>
  <borders count="19">
    <border/>
    <border>
      <left style="thin">
        <color rgb="FF000000"/>
      </left>
      <right style="thin">
        <color rgb="FF000000"/>
      </right>
      <top style="thin">
        <color rgb="FF000000"/>
      </top>
      <bottom style="thin">
        <color rgb="FF000000"/>
      </bottom>
    </border>
    <border>
      <left style="thin">
        <color rgb="FFE0E0D8"/>
      </left>
      <right style="thin">
        <color rgb="FFE0E0D8"/>
      </right>
      <top style="thin">
        <color rgb="FFE0E0D8"/>
      </top>
      <bottom style="thin">
        <color rgb="FFE0E0D8"/>
      </bottom>
    </border>
    <border>
      <left/>
      <top/>
      <bottom/>
    </border>
    <border>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right/>
      <top/>
      <bottom/>
    </border>
    <border>
      <left/>
      <right style="thin">
        <color rgb="FFE0E0D8"/>
      </right>
      <top style="thin">
        <color rgb="FFE0E0D8"/>
      </top>
      <bottom style="thin">
        <color rgb="FFE0E0D8"/>
      </bottom>
    </border>
    <border>
      <left style="thin">
        <color rgb="FFE0E0D8"/>
      </left>
      <right/>
      <top style="thin">
        <color rgb="FFE0E0D8"/>
      </top>
      <bottom style="thin">
        <color rgb="FFE0E0D8"/>
      </bottom>
    </border>
    <border>
      <left style="thin">
        <color rgb="FFD8D8D8"/>
      </left>
      <right style="thin">
        <color rgb="FFE0E0D8"/>
      </right>
      <top style="thin">
        <color rgb="FFE0E0D8"/>
      </top>
      <bottom style="thin">
        <color rgb="FFE0E0D8"/>
      </bottom>
    </border>
    <border>
      <left style="thin">
        <color rgb="FFE0E0D8"/>
      </left>
    </border>
    <border>
      <left style="thin">
        <color rgb="FF000000"/>
      </left>
      <right style="thin">
        <color rgb="FF000000"/>
      </right>
      <top style="thin">
        <color rgb="FF000000"/>
      </top>
      <bottom/>
    </border>
    <border>
      <left style="thin">
        <color rgb="FFF2F2F2"/>
      </left>
      <top style="thin">
        <color rgb="FFF2F2F2"/>
      </top>
      <bottom style="thin">
        <color rgb="FFE0E0D8"/>
      </bottom>
    </border>
    <border>
      <left style="thin">
        <color rgb="FF000000"/>
      </left>
      <right style="thin">
        <color rgb="FFF2F2F2"/>
      </right>
      <top style="thin">
        <color rgb="FFF2F2F2"/>
      </top>
      <bottom style="thin">
        <color rgb="FF000000"/>
      </bottom>
    </border>
    <border>
      <left/>
      <right style="thin">
        <color rgb="FF000000"/>
      </right>
      <top style="thin">
        <color rgb="FF000000"/>
      </top>
      <bottom style="thin">
        <color rgb="FF000000"/>
      </bottom>
    </border>
    <border>
      <left style="thin">
        <color rgb="FFF2F2F2"/>
      </left>
      <top style="thin">
        <color rgb="FFE0E0D8"/>
      </top>
      <bottom style="thin">
        <color rgb="FFE0E0D8"/>
      </bottom>
    </border>
    <border>
      <left style="thin">
        <color rgb="FF000000"/>
      </left>
      <right style="thin">
        <color rgb="FFF2F2F2"/>
      </right>
      <top style="thin">
        <color rgb="FF000000"/>
      </top>
      <bottom style="thin">
        <color rgb="FF000000"/>
      </bottom>
    </border>
  </borders>
  <cellStyleXfs count="1">
    <xf borderId="0" fillId="0" fontId="0" numFmtId="0" applyAlignment="1" applyFont="1"/>
  </cellStyleXfs>
  <cellXfs count="60">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Font="1"/>
    <xf borderId="0" fillId="0" fontId="4" numFmtId="0" xfId="0" applyAlignment="1" applyFont="1">
      <alignment horizontal="left"/>
    </xf>
    <xf borderId="0" fillId="0" fontId="5" numFmtId="0" xfId="0" applyFont="1"/>
    <xf borderId="1" fillId="0" fontId="6" numFmtId="0" xfId="0" applyBorder="1" applyFont="1"/>
    <xf borderId="2" fillId="2" fontId="7" numFmtId="0" xfId="0" applyAlignment="1" applyBorder="1" applyFill="1" applyFont="1">
      <alignment horizontal="center" shrinkToFit="0" vertical="center" wrapText="1"/>
    </xf>
    <xf borderId="3" fillId="3" fontId="8" numFmtId="0" xfId="0" applyBorder="1" applyFill="1" applyFont="1"/>
    <xf borderId="4" fillId="0" fontId="9" numFmtId="0" xfId="0" applyBorder="1" applyFont="1"/>
    <xf borderId="0" fillId="0" fontId="10" numFmtId="0" xfId="0" applyAlignment="1" applyFont="1">
      <alignment horizontal="left"/>
    </xf>
    <xf borderId="5" fillId="0" fontId="11" numFmtId="0" xfId="0" applyBorder="1" applyFont="1"/>
    <xf borderId="0" fillId="0" fontId="12" numFmtId="0" xfId="0" applyAlignment="1" applyFont="1">
      <alignment shrinkToFit="0" vertical="top" wrapText="1"/>
    </xf>
    <xf borderId="6" fillId="0" fontId="9" numFmtId="0" xfId="0" applyBorder="1" applyFont="1"/>
    <xf borderId="2" fillId="0" fontId="12" numFmtId="0" xfId="0" applyAlignment="1" applyBorder="1" applyFont="1">
      <alignment horizontal="left" vertical="center"/>
    </xf>
    <xf borderId="7" fillId="0" fontId="9" numFmtId="0" xfId="0" applyBorder="1" applyFont="1"/>
    <xf borderId="0" fillId="0" fontId="13" numFmtId="0" xfId="0" applyFont="1"/>
    <xf borderId="1" fillId="0" fontId="14" numFmtId="0" xfId="0" applyAlignment="1" applyBorder="1" applyFont="1">
      <alignment horizontal="left"/>
    </xf>
    <xf borderId="2" fillId="2" fontId="15" numFmtId="0" xfId="0" applyAlignment="1" applyBorder="1" applyFill="1" applyFont="1">
      <alignment shrinkToFit="0" vertical="center" wrapText="1"/>
    </xf>
    <xf borderId="2" fillId="2" fontId="15" numFmtId="0" xfId="0" applyAlignment="1" applyBorder="1" applyFill="1" applyFont="1">
      <alignment horizontal="center" shrinkToFit="0" vertical="center" wrapText="1"/>
    </xf>
    <xf borderId="5" fillId="4" fontId="16" numFmtId="0" xfId="0" applyBorder="1" applyFill="1" applyFont="1"/>
    <xf borderId="2" fillId="0" fontId="12" numFmtId="0" xfId="0" applyAlignment="1" applyBorder="1" applyFont="1">
      <alignment horizontal="center" vertical="center"/>
    </xf>
    <xf borderId="0" fillId="0" fontId="17" numFmtId="0" xfId="0" applyAlignment="1" applyFont="1">
      <alignment shrinkToFit="0" vertical="top" wrapText="1"/>
    </xf>
    <xf borderId="5" fillId="0" fontId="18" numFmtId="0" xfId="0" applyAlignment="1" applyBorder="1" applyFont="1">
      <alignment shrinkToFit="0" vertical="top" wrapText="1"/>
    </xf>
    <xf borderId="2" fillId="0" fontId="10" numFmtId="0" xfId="0" applyAlignment="1" applyBorder="1" applyFont="1">
      <alignment vertical="center"/>
    </xf>
    <xf borderId="2" fillId="0" fontId="10" numFmtId="0" xfId="0" applyAlignment="1" applyBorder="1" applyFont="1">
      <alignment shrinkToFit="0" vertical="center" wrapText="1"/>
    </xf>
    <xf borderId="1" fillId="2" fontId="16" numFmtId="0" xfId="0" applyAlignment="1" applyBorder="1" applyFill="1" applyFont="1">
      <alignment horizontal="center" shrinkToFit="0" vertical="center" wrapText="1"/>
    </xf>
    <xf borderId="2" fillId="0" fontId="10" numFmtId="164" xfId="0" applyAlignment="1" applyBorder="1" applyFont="1" applyNumberFormat="1">
      <alignment shrinkToFit="0" vertical="center" wrapText="1"/>
    </xf>
    <xf borderId="1" fillId="2" fontId="19" numFmtId="0" xfId="0" applyAlignment="1" applyBorder="1" applyFill="1" applyFont="1">
      <alignment horizontal="left" shrinkToFit="0" vertical="center" wrapText="1"/>
    </xf>
    <xf borderId="1" fillId="5" fontId="20" numFmtId="0" xfId="0" applyBorder="1" applyFill="1" applyFont="1"/>
    <xf borderId="2" fillId="0" fontId="1" numFmtId="0" xfId="0" applyAlignment="1" applyBorder="1" applyFont="1">
      <alignment vertical="center"/>
    </xf>
    <xf borderId="1" fillId="0" fontId="6" numFmtId="0" xfId="0" applyAlignment="1" applyBorder="1" applyFont="1">
      <alignment horizontal="left" shrinkToFit="0" vertical="top" wrapText="1"/>
    </xf>
    <xf borderId="2" fillId="0" fontId="1" numFmtId="0" xfId="0" applyAlignment="1" applyBorder="1" applyFont="1">
      <alignment shrinkToFit="0" vertical="center" wrapText="1"/>
    </xf>
    <xf borderId="1" fillId="0" fontId="14" numFmtId="0" xfId="0" applyAlignment="1" applyBorder="1" applyFont="1">
      <alignment horizontal="left" shrinkToFit="0" vertical="top" wrapText="1"/>
    </xf>
    <xf borderId="2" fillId="0" fontId="1" numFmtId="164" xfId="0" applyAlignment="1" applyBorder="1" applyFont="1" applyNumberFormat="1">
      <alignment shrinkToFit="0" vertical="center" wrapText="1"/>
    </xf>
    <xf borderId="2" fillId="6" fontId="12" numFmtId="0" xfId="0" applyBorder="1" applyFill="1" applyFont="1"/>
    <xf borderId="1" fillId="0" fontId="6" numFmtId="0" xfId="0" applyAlignment="1" applyBorder="1" applyFont="1">
      <alignment vertical="top"/>
    </xf>
    <xf borderId="0" fillId="0" fontId="12" numFmtId="0" xfId="0" applyFont="1"/>
    <xf borderId="2" fillId="7" fontId="21" numFmtId="0" xfId="0" applyBorder="1" applyFill="1" applyFont="1"/>
    <xf borderId="2" fillId="3" fontId="17" numFmtId="0" xfId="0" applyBorder="1" applyFill="1" applyFont="1"/>
    <xf borderId="2" fillId="3" fontId="17" numFmtId="0" xfId="0" applyAlignment="1" applyBorder="1" applyFill="1" applyFont="1">
      <alignment horizontal="center" vertical="center"/>
    </xf>
    <xf borderId="8" fillId="0" fontId="1" numFmtId="0" xfId="0" applyBorder="1" applyFont="1"/>
    <xf borderId="2" fillId="0" fontId="22" numFmtId="0" xfId="0" applyAlignment="1" applyBorder="1" applyFont="1">
      <alignment shrinkToFit="0" vertical="center" wrapText="1"/>
    </xf>
    <xf borderId="1" fillId="0" fontId="1" numFmtId="0" xfId="0" applyAlignment="1" applyBorder="1" applyFont="1">
      <alignment vertical="center"/>
    </xf>
    <xf borderId="1" fillId="0" fontId="1" numFmtId="0" xfId="0" applyAlignment="1" applyBorder="1" applyFont="1">
      <alignment shrinkToFit="0" vertical="center" wrapText="1"/>
    </xf>
    <xf borderId="1" fillId="0" fontId="23" numFmtId="0" xfId="0" applyAlignment="1" applyBorder="1" applyFont="1">
      <alignment shrinkToFit="0" vertical="center" wrapText="1"/>
    </xf>
    <xf borderId="1" fillId="0" fontId="1" numFmtId="0" xfId="0" applyAlignment="1" applyBorder="1" applyFont="1">
      <alignment shrinkToFit="0" vertical="top" wrapText="1"/>
    </xf>
    <xf borderId="9" fillId="0" fontId="1" numFmtId="0" xfId="0" applyAlignment="1" applyBorder="1" applyFont="1">
      <alignment shrinkToFit="0" vertical="center" wrapText="1"/>
    </xf>
    <xf borderId="10" fillId="0" fontId="1" numFmtId="0" xfId="0" applyAlignment="1" applyBorder="1" applyFont="1">
      <alignment shrinkToFit="0" vertical="center" wrapText="1"/>
    </xf>
    <xf borderId="11" fillId="0" fontId="1" numFmtId="0" xfId="0" applyAlignment="1" applyBorder="1" applyFont="1">
      <alignment shrinkToFit="0" vertical="center" wrapText="1"/>
    </xf>
    <xf borderId="5" fillId="0" fontId="1" numFmtId="0" xfId="0" applyAlignment="1" applyBorder="1" applyFont="1">
      <alignment vertical="center"/>
    </xf>
    <xf borderId="12" fillId="0" fontId="1" numFmtId="0" xfId="0" applyAlignment="1" applyBorder="1" applyFont="1">
      <alignment vertical="center"/>
    </xf>
    <xf borderId="13" fillId="0" fontId="1" numFmtId="0" xfId="0" applyAlignment="1" applyBorder="1" applyFont="1">
      <alignment shrinkToFit="0" vertical="top" wrapText="1"/>
    </xf>
    <xf borderId="14" fillId="0" fontId="1" numFmtId="0" xfId="0" applyAlignment="1" applyBorder="1" applyFont="1">
      <alignment vertical="center"/>
    </xf>
    <xf borderId="15" fillId="0" fontId="1" numFmtId="0" xfId="0" applyAlignment="1" applyBorder="1" applyFont="1">
      <alignment shrinkToFit="0" vertical="top" wrapText="1"/>
    </xf>
    <xf borderId="16" fillId="0" fontId="1" numFmtId="0" xfId="0" applyAlignment="1" applyBorder="1" applyFont="1">
      <alignment shrinkToFit="0" vertical="top" wrapText="1"/>
    </xf>
    <xf borderId="17" fillId="0" fontId="1" numFmtId="0" xfId="0" applyAlignment="1" applyBorder="1" applyFont="1">
      <alignment vertical="center"/>
    </xf>
    <xf borderId="18" fillId="0" fontId="1" numFmtId="0" xfId="0" applyAlignment="1" applyBorder="1" applyFont="1">
      <alignment shrinkToFit="0" vertical="top" wrapText="1"/>
    </xf>
    <xf borderId="1" fillId="0" fontId="6" numFmtId="0" xfId="0" applyAlignment="1" applyBorder="1" applyFont="1">
      <alignment shrinkToFit="0" vertical="top" wrapText="1"/>
    </xf>
    <xf borderId="1" fillId="0" fontId="14" numFmtId="0" xfId="0" applyAlignment="1" applyBorder="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navcdp.kalro.org/docs/timps_2025/MAIZE%20TIMPS%20Volume-1%20for%20Upload.pdf" TargetMode="External"/><Relationship Id="rId2" Type="http://schemas.openxmlformats.org/officeDocument/2006/relationships/hyperlink" Target="https://navcdp.kalro.org/docs/timps_2025/MAIZE%20TIMPS%20Volume%202%20for%20upload.pdf" TargetMode="External"/><Relationship Id="rId3" Type="http://schemas.openxmlformats.org/officeDocument/2006/relationships/hyperlink" Target="https://www.kalro.org/navcdp/index.php/information-resoures/publications/training-manuals23"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9A441"/>
    <pageSetUpPr fitToPage="1"/>
  </sheetPr>
  <sheetViews>
    <sheetView showGridLines="0" workbookViewId="0"/>
  </sheetViews>
  <sheetFormatPr customHeight="1" defaultColWidth="14.43" defaultRowHeight="15.0"/>
  <cols>
    <col customWidth="1" min="1" max="1" width="2.43"/>
    <col customWidth="1" min="2" max="2" width="30.0"/>
    <col customWidth="1" min="3" max="3" width="62.0"/>
    <col customWidth="1" min="4" max="26" width="8.71"/>
  </cols>
  <sheetData>
    <row r="2">
      <c r="B2" s="2" t="s">
        <v>0</v>
      </c>
    </row>
    <row r="3">
      <c r="B3" s="5" t="s">
        <v>3</v>
      </c>
    </row>
    <row r="5" ht="21.75" customHeight="1">
      <c r="B5" s="8" t="s">
        <v>5</v>
      </c>
      <c r="C5" s="9"/>
    </row>
    <row r="6" ht="27.75" customHeight="1">
      <c r="B6" s="12" t="s">
        <v>13</v>
      </c>
    </row>
    <row r="7" ht="27.75" customHeight="1">
      <c r="B7" s="12" t="s">
        <v>16</v>
      </c>
    </row>
    <row r="9" ht="21.75" customHeight="1">
      <c r="B9" s="8" t="s">
        <v>18</v>
      </c>
      <c r="C9" s="9"/>
    </row>
    <row r="10" ht="27.75" customHeight="1">
      <c r="B10" s="12" t="s">
        <v>19</v>
      </c>
    </row>
    <row r="11" ht="27.75" customHeight="1">
      <c r="B11" s="12" t="s">
        <v>20</v>
      </c>
    </row>
    <row r="12" ht="27.75" customHeight="1">
      <c r="B12" s="12" t="s">
        <v>21</v>
      </c>
    </row>
    <row r="13" ht="27.75" customHeight="1">
      <c r="B13" s="12" t="s">
        <v>22</v>
      </c>
    </row>
    <row r="14" ht="27.75" customHeight="1">
      <c r="B14" s="12" t="s">
        <v>23</v>
      </c>
    </row>
    <row r="16" ht="21.75" customHeight="1">
      <c r="B16" s="8" t="s">
        <v>24</v>
      </c>
      <c r="C16" s="9"/>
    </row>
    <row r="17" ht="27.75" customHeight="1">
      <c r="B17" s="12" t="s">
        <v>26</v>
      </c>
    </row>
    <row r="18" ht="27.75" customHeight="1">
      <c r="B18" s="12" t="s">
        <v>27</v>
      </c>
    </row>
    <row r="19" ht="27.75" customHeight="1">
      <c r="B19" s="12" t="s">
        <v>29</v>
      </c>
    </row>
    <row r="20" ht="27.75" customHeight="1">
      <c r="B20" s="12" t="s">
        <v>31</v>
      </c>
    </row>
    <row r="21" ht="15.75" customHeight="1"/>
    <row r="22" ht="21.75" customHeight="1">
      <c r="B22" s="8" t="s">
        <v>32</v>
      </c>
      <c r="C22" s="9"/>
    </row>
    <row r="23" ht="27.75" customHeight="1">
      <c r="B23" s="22" t="s">
        <v>30</v>
      </c>
      <c r="C23" s="12" t="s">
        <v>39</v>
      </c>
    </row>
    <row r="24" ht="27.75" customHeight="1">
      <c r="B24" s="22" t="s">
        <v>33</v>
      </c>
      <c r="C24" s="12" t="s">
        <v>43</v>
      </c>
    </row>
    <row r="25" ht="27.75" customHeight="1">
      <c r="B25" s="22" t="s">
        <v>34</v>
      </c>
      <c r="C25" s="12" t="s">
        <v>49</v>
      </c>
    </row>
    <row r="26" ht="27.75" customHeight="1">
      <c r="B26" s="22" t="s">
        <v>35</v>
      </c>
      <c r="C26" s="12" t="s">
        <v>54</v>
      </c>
    </row>
    <row r="27" ht="27.75" customHeight="1">
      <c r="B27" s="22" t="s">
        <v>36</v>
      </c>
      <c r="C27" s="12" t="s">
        <v>56</v>
      </c>
    </row>
    <row r="28" ht="27.75" customHeight="1">
      <c r="B28" s="22" t="s">
        <v>37</v>
      </c>
      <c r="C28" s="12" t="s">
        <v>57</v>
      </c>
    </row>
    <row r="29" ht="27.75" customHeight="1">
      <c r="B29" s="22" t="s">
        <v>38</v>
      </c>
      <c r="C29" s="12" t="s">
        <v>58</v>
      </c>
    </row>
    <row r="30" ht="27.75" customHeight="1">
      <c r="B30" s="22" t="s">
        <v>40</v>
      </c>
      <c r="C30" s="12" t="s">
        <v>59</v>
      </c>
    </row>
    <row r="31" ht="27.75" customHeight="1">
      <c r="B31" s="22" t="s">
        <v>41</v>
      </c>
      <c r="C31" s="12" t="s">
        <v>60</v>
      </c>
    </row>
    <row r="32" ht="27.75" customHeight="1">
      <c r="B32" s="22" t="s">
        <v>42</v>
      </c>
      <c r="C32" s="12" t="s">
        <v>62</v>
      </c>
    </row>
    <row r="33" ht="27.75" customHeight="1">
      <c r="B33" s="22" t="s">
        <v>44</v>
      </c>
      <c r="C33" s="12" t="s">
        <v>64</v>
      </c>
    </row>
    <row r="34" ht="27.75" customHeight="1">
      <c r="B34" s="22" t="s">
        <v>67</v>
      </c>
      <c r="C34" s="12" t="s">
        <v>68</v>
      </c>
    </row>
    <row r="35" ht="27.75" customHeight="1">
      <c r="B35" s="22" t="s">
        <v>46</v>
      </c>
      <c r="C35" s="12" t="s">
        <v>70</v>
      </c>
    </row>
    <row r="36" ht="27.75" customHeight="1">
      <c r="B36" s="22" t="s">
        <v>47</v>
      </c>
      <c r="C36" s="12" t="s">
        <v>73</v>
      </c>
    </row>
    <row r="37" ht="27.75" customHeight="1">
      <c r="B37" s="22" t="s">
        <v>48</v>
      </c>
      <c r="C37" s="12" t="s">
        <v>76</v>
      </c>
    </row>
    <row r="38" ht="27.75" customHeight="1">
      <c r="B38" s="22" t="s">
        <v>50</v>
      </c>
      <c r="C38" s="12" t="s">
        <v>92</v>
      </c>
    </row>
    <row r="39" ht="27.75" customHeight="1">
      <c r="B39" s="22" t="s">
        <v>51</v>
      </c>
      <c r="C39" s="12" t="s">
        <v>94</v>
      </c>
    </row>
    <row r="40" ht="27.75" customHeight="1">
      <c r="B40" s="22" t="s">
        <v>52</v>
      </c>
      <c r="C40" s="12" t="s">
        <v>95</v>
      </c>
    </row>
    <row r="41" ht="15.75" customHeight="1"/>
    <row r="42" ht="21.75" customHeight="1">
      <c r="B42" s="8" t="s">
        <v>97</v>
      </c>
      <c r="C42" s="9"/>
    </row>
    <row r="43" ht="15.75" customHeight="1">
      <c r="B43" s="35" t="s">
        <v>102</v>
      </c>
      <c r="C43" s="37" t="s">
        <v>106</v>
      </c>
    </row>
    <row r="44" ht="15.75" customHeight="1">
      <c r="B44" s="38" t="s">
        <v>118</v>
      </c>
      <c r="C44" s="37" t="s">
        <v>121</v>
      </c>
    </row>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8">
    <mergeCell ref="B2:C2"/>
    <mergeCell ref="B3:C3"/>
    <mergeCell ref="B5:C5"/>
    <mergeCell ref="B6:C6"/>
    <mergeCell ref="B7:C7"/>
    <mergeCell ref="B9:C9"/>
    <mergeCell ref="B10:C10"/>
    <mergeCell ref="B19:C19"/>
    <mergeCell ref="B20:C20"/>
    <mergeCell ref="B22:C22"/>
    <mergeCell ref="B42:C42"/>
    <mergeCell ref="B11:C11"/>
    <mergeCell ref="B12:C12"/>
    <mergeCell ref="B13:C13"/>
    <mergeCell ref="B14:C14"/>
    <mergeCell ref="B16:C16"/>
    <mergeCell ref="B17:C17"/>
    <mergeCell ref="B18:C18"/>
  </mergeCells>
  <printOptions/>
  <pageMargins bottom="1.0" footer="0.0" header="0.0" left="0.75" right="0.75" top="1.0"/>
  <pageSetup fitToHeight="0"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C5F2D"/>
    <pageSetUpPr fitToPage="1"/>
  </sheetPr>
  <sheetViews>
    <sheetView showGridLines="0" workbookViewId="0">
      <pane xSplit="3.0" ySplit="5.0" topLeftCell="D6" activePane="bottomRight" state="frozen"/>
      <selection activeCell="D1" sqref="D1" pane="topRight"/>
      <selection activeCell="A6" sqref="A6" pane="bottomLeft"/>
      <selection activeCell="D6" sqref="D6" pane="bottomRight"/>
    </sheetView>
  </sheetViews>
  <sheetFormatPr customHeight="1" defaultColWidth="14.43" defaultRowHeight="15.0"/>
  <cols>
    <col customWidth="1" min="1" max="1" width="2.43"/>
    <col customWidth="1" min="2" max="2" width="10.0"/>
    <col customWidth="1" min="3" max="3" width="41.0"/>
    <col customWidth="1" min="4" max="4" width="39.43"/>
    <col customWidth="1" min="5" max="5" width="24.0"/>
    <col customWidth="1" min="6" max="6" width="13.0"/>
    <col customWidth="1" min="7" max="7" width="20.0"/>
    <col customWidth="1" min="8" max="8" width="26.0"/>
    <col customWidth="1" min="9" max="9" width="16.0"/>
    <col customWidth="1" min="10" max="10" width="13.0"/>
    <col customWidth="1" min="11" max="11" width="20.0"/>
    <col customWidth="1" min="12" max="13" width="22.0"/>
    <col customWidth="1" min="14" max="14" width="15.0"/>
    <col customWidth="1" min="15" max="15" width="16.0"/>
    <col customWidth="1" min="16" max="16" width="18.0"/>
    <col customWidth="1" min="17" max="17" width="16.0"/>
    <col customWidth="1" min="18" max="18" width="12.0"/>
    <col customWidth="1" min="19" max="19" width="16.0"/>
    <col customWidth="1" min="20" max="20" width="38.0"/>
    <col customWidth="1" min="21" max="26" width="8.71"/>
  </cols>
  <sheetData>
    <row r="1">
      <c r="A1" s="1"/>
      <c r="B1" s="4" t="s">
        <v>2</v>
      </c>
      <c r="K1" s="1"/>
      <c r="L1" s="1"/>
      <c r="M1" s="1"/>
      <c r="N1" s="1"/>
      <c r="O1" s="1"/>
      <c r="P1" s="1"/>
      <c r="Q1" s="1"/>
      <c r="R1" s="1"/>
      <c r="S1" s="1"/>
      <c r="T1" s="1"/>
      <c r="U1" s="1"/>
      <c r="V1" s="1"/>
      <c r="W1" s="1"/>
      <c r="X1" s="1"/>
      <c r="Y1" s="1"/>
      <c r="Z1" s="1"/>
    </row>
    <row r="2">
      <c r="A2" s="1"/>
      <c r="B2" s="10" t="s">
        <v>9</v>
      </c>
      <c r="K2" s="1"/>
      <c r="L2" s="1"/>
      <c r="M2" s="1"/>
      <c r="N2" s="1"/>
      <c r="O2" s="1"/>
      <c r="P2" s="1"/>
      <c r="Q2" s="1"/>
      <c r="R2" s="1"/>
      <c r="S2" s="1"/>
      <c r="T2" s="1"/>
      <c r="U2" s="1"/>
      <c r="V2" s="1"/>
      <c r="W2" s="1"/>
      <c r="X2" s="1"/>
      <c r="Y2" s="1"/>
      <c r="Z2" s="1"/>
    </row>
    <row r="3" ht="27.75" customHeight="1">
      <c r="A3" s="1"/>
      <c r="B3" s="10" t="s">
        <v>17</v>
      </c>
      <c r="T3" s="1"/>
      <c r="U3" s="1"/>
      <c r="V3" s="1"/>
      <c r="W3" s="1"/>
      <c r="X3" s="1"/>
      <c r="Y3" s="1"/>
      <c r="Z3" s="1"/>
    </row>
    <row r="4">
      <c r="A4" s="1"/>
      <c r="B4" s="1"/>
      <c r="C4" s="1"/>
      <c r="D4" s="1"/>
      <c r="E4" s="1"/>
      <c r="F4" s="1"/>
      <c r="G4" s="1"/>
      <c r="H4" s="1"/>
      <c r="I4" s="1"/>
      <c r="J4" s="1"/>
      <c r="K4" s="1"/>
      <c r="L4" s="1"/>
      <c r="M4" s="1"/>
      <c r="N4" s="1"/>
      <c r="O4" s="1"/>
      <c r="P4" s="1"/>
      <c r="Q4" s="1"/>
      <c r="R4" s="1"/>
      <c r="S4" s="1"/>
      <c r="T4" s="1"/>
      <c r="U4" s="1"/>
      <c r="V4" s="1"/>
      <c r="W4" s="1"/>
      <c r="X4" s="1"/>
      <c r="Y4" s="1"/>
      <c r="Z4" s="1"/>
    </row>
    <row r="5">
      <c r="A5" s="16"/>
      <c r="B5" s="18" t="s">
        <v>25</v>
      </c>
      <c r="C5" s="19" t="s">
        <v>30</v>
      </c>
      <c r="D5" s="19" t="s">
        <v>33</v>
      </c>
      <c r="E5" s="19" t="s">
        <v>34</v>
      </c>
      <c r="F5" s="19" t="s">
        <v>35</v>
      </c>
      <c r="G5" s="19" t="s">
        <v>36</v>
      </c>
      <c r="H5" s="19" t="s">
        <v>37</v>
      </c>
      <c r="I5" s="19" t="s">
        <v>38</v>
      </c>
      <c r="J5" s="19" t="s">
        <v>40</v>
      </c>
      <c r="K5" s="19" t="s">
        <v>41</v>
      </c>
      <c r="L5" s="19" t="s">
        <v>42</v>
      </c>
      <c r="M5" s="19" t="s">
        <v>44</v>
      </c>
      <c r="N5" s="19" t="s">
        <v>45</v>
      </c>
      <c r="O5" s="19" t="s">
        <v>46</v>
      </c>
      <c r="P5" s="19" t="s">
        <v>47</v>
      </c>
      <c r="Q5" s="19" t="s">
        <v>48</v>
      </c>
      <c r="R5" s="19" t="s">
        <v>50</v>
      </c>
      <c r="S5" s="19" t="s">
        <v>51</v>
      </c>
      <c r="T5" s="19" t="s">
        <v>52</v>
      </c>
      <c r="U5" s="16"/>
      <c r="V5" s="16"/>
      <c r="W5" s="16"/>
      <c r="X5" s="16"/>
      <c r="Y5" s="16"/>
      <c r="Z5" s="16"/>
    </row>
    <row r="6">
      <c r="A6" s="1"/>
      <c r="B6" s="24" t="s">
        <v>55</v>
      </c>
      <c r="C6" s="25" t="s">
        <v>61</v>
      </c>
      <c r="D6" s="25" t="s">
        <v>63</v>
      </c>
      <c r="E6" s="25" t="s">
        <v>66</v>
      </c>
      <c r="F6" s="27" t="s">
        <v>69</v>
      </c>
      <c r="G6" s="25" t="s">
        <v>74</v>
      </c>
      <c r="H6" s="25" t="s">
        <v>77</v>
      </c>
      <c r="I6" s="25" t="s">
        <v>78</v>
      </c>
      <c r="J6" s="25" t="s">
        <v>79</v>
      </c>
      <c r="K6" s="25" t="s">
        <v>80</v>
      </c>
      <c r="L6" s="25" t="s">
        <v>81</v>
      </c>
      <c r="M6" s="25" t="s">
        <v>82</v>
      </c>
      <c r="N6" s="27" t="s">
        <v>69</v>
      </c>
      <c r="O6" s="25" t="s">
        <v>83</v>
      </c>
      <c r="P6" s="25" t="s">
        <v>84</v>
      </c>
      <c r="Q6" s="25" t="s">
        <v>86</v>
      </c>
      <c r="R6" s="25" t="s">
        <v>87</v>
      </c>
      <c r="S6" s="25" t="s">
        <v>10</v>
      </c>
      <c r="T6" s="25" t="s">
        <v>90</v>
      </c>
      <c r="U6" s="1"/>
      <c r="V6" s="1"/>
      <c r="W6" s="1"/>
      <c r="X6" s="1"/>
      <c r="Y6" s="1"/>
      <c r="Z6" s="1"/>
    </row>
    <row r="7">
      <c r="A7" s="1"/>
      <c r="B7" s="30" t="s">
        <v>93</v>
      </c>
      <c r="C7" s="32" t="s">
        <v>96</v>
      </c>
      <c r="D7" s="32"/>
      <c r="E7" s="32" t="s">
        <v>100</v>
      </c>
      <c r="F7" s="34">
        <v>44287.0</v>
      </c>
      <c r="G7" s="32" t="s">
        <v>74</v>
      </c>
      <c r="H7" s="32"/>
      <c r="I7" s="32" t="s">
        <v>107</v>
      </c>
      <c r="J7" s="32" t="s">
        <v>79</v>
      </c>
      <c r="K7" s="32"/>
      <c r="L7" s="32" t="s">
        <v>109</v>
      </c>
      <c r="M7" s="32"/>
      <c r="N7" s="34"/>
      <c r="O7" s="32"/>
      <c r="P7" s="32"/>
      <c r="Q7" s="32"/>
      <c r="R7" s="32"/>
      <c r="S7" s="32"/>
      <c r="T7" s="32"/>
      <c r="U7" s="1"/>
      <c r="V7" s="1"/>
      <c r="W7" s="1"/>
      <c r="X7" s="1"/>
      <c r="Y7" s="1"/>
      <c r="Z7" s="1"/>
    </row>
    <row r="8" ht="30.0" customHeight="1">
      <c r="A8" s="1"/>
      <c r="B8" s="30" t="s">
        <v>127</v>
      </c>
      <c r="C8" s="32" t="s">
        <v>129</v>
      </c>
      <c r="D8" s="32"/>
      <c r="E8" s="32" t="s">
        <v>131</v>
      </c>
      <c r="F8" s="34"/>
      <c r="G8" s="32" t="s">
        <v>74</v>
      </c>
      <c r="H8" s="32" t="s">
        <v>133</v>
      </c>
      <c r="I8" s="32" t="s">
        <v>134</v>
      </c>
      <c r="J8" s="32" t="s">
        <v>79</v>
      </c>
      <c r="K8" s="32"/>
      <c r="L8" s="32" t="s">
        <v>109</v>
      </c>
      <c r="M8" s="32"/>
      <c r="N8" s="34"/>
      <c r="O8" s="32"/>
      <c r="P8" s="32"/>
      <c r="Q8" s="32"/>
      <c r="R8" s="32"/>
      <c r="S8" s="32"/>
      <c r="T8" s="32"/>
      <c r="U8" s="1"/>
      <c r="V8" s="1"/>
      <c r="W8" s="1"/>
      <c r="X8" s="1"/>
      <c r="Y8" s="1"/>
      <c r="Z8" s="1"/>
    </row>
    <row r="9" ht="30.0" customHeight="1">
      <c r="A9" s="1"/>
      <c r="B9" s="30" t="s">
        <v>140</v>
      </c>
      <c r="C9" s="32" t="s">
        <v>142</v>
      </c>
      <c r="D9" s="32"/>
      <c r="E9" s="32" t="s">
        <v>144</v>
      </c>
      <c r="F9" s="34"/>
      <c r="G9" s="32" t="s">
        <v>74</v>
      </c>
      <c r="H9" s="32" t="s">
        <v>133</v>
      </c>
      <c r="I9" s="32" t="s">
        <v>134</v>
      </c>
      <c r="J9" s="32" t="s">
        <v>79</v>
      </c>
      <c r="K9" s="32"/>
      <c r="L9" s="32" t="s">
        <v>109</v>
      </c>
      <c r="M9" s="32"/>
      <c r="N9" s="34"/>
      <c r="O9" s="32"/>
      <c r="P9" s="32"/>
      <c r="Q9" s="32"/>
      <c r="R9" s="32"/>
      <c r="S9" s="32"/>
      <c r="T9" s="32"/>
      <c r="U9" s="1"/>
      <c r="V9" s="1"/>
      <c r="W9" s="1"/>
      <c r="X9" s="1"/>
      <c r="Y9" s="1"/>
      <c r="Z9" s="1"/>
    </row>
    <row r="10">
      <c r="A10" s="1"/>
      <c r="B10" s="30" t="s">
        <v>151</v>
      </c>
      <c r="C10" s="32" t="s">
        <v>152</v>
      </c>
      <c r="D10" s="32"/>
      <c r="E10" s="32" t="s">
        <v>153</v>
      </c>
      <c r="F10" s="34"/>
      <c r="G10" s="32" t="s">
        <v>74</v>
      </c>
      <c r="H10" s="32" t="s">
        <v>133</v>
      </c>
      <c r="I10" s="32" t="s">
        <v>134</v>
      </c>
      <c r="J10" s="32" t="s">
        <v>79</v>
      </c>
      <c r="K10" s="32"/>
      <c r="L10" s="32" t="s">
        <v>109</v>
      </c>
      <c r="M10" s="32"/>
      <c r="N10" s="34"/>
      <c r="O10" s="32"/>
      <c r="P10" s="32"/>
      <c r="Q10" s="32"/>
      <c r="R10" s="32"/>
      <c r="S10" s="32"/>
      <c r="T10" s="32"/>
      <c r="U10" s="1"/>
      <c r="V10" s="1"/>
      <c r="W10" s="1"/>
      <c r="X10" s="1"/>
      <c r="Y10" s="1"/>
      <c r="Z10" s="1"/>
    </row>
    <row r="11" ht="30.0" customHeight="1">
      <c r="A11" s="1"/>
      <c r="B11" s="30" t="s">
        <v>158</v>
      </c>
      <c r="C11" s="32" t="s">
        <v>160</v>
      </c>
      <c r="D11" s="32"/>
      <c r="E11" s="32" t="s">
        <v>161</v>
      </c>
      <c r="F11" s="34"/>
      <c r="G11" s="32" t="s">
        <v>74</v>
      </c>
      <c r="H11" s="32" t="s">
        <v>133</v>
      </c>
      <c r="I11" s="32" t="s">
        <v>134</v>
      </c>
      <c r="J11" s="32" t="s">
        <v>79</v>
      </c>
      <c r="K11" s="32"/>
      <c r="L11" s="32" t="s">
        <v>109</v>
      </c>
      <c r="M11" s="32"/>
      <c r="N11" s="34"/>
      <c r="O11" s="32"/>
      <c r="P11" s="32"/>
      <c r="Q11" s="32"/>
      <c r="R11" s="32"/>
      <c r="S11" s="32"/>
      <c r="T11" s="32"/>
      <c r="U11" s="1"/>
      <c r="V11" s="1"/>
      <c r="W11" s="1"/>
      <c r="X11" s="1"/>
      <c r="Y11" s="1"/>
      <c r="Z11" s="1"/>
    </row>
    <row r="12">
      <c r="A12" s="1"/>
      <c r="B12" s="30" t="s">
        <v>167</v>
      </c>
      <c r="C12" s="32" t="s">
        <v>168</v>
      </c>
      <c r="D12" s="32"/>
      <c r="E12" s="32" t="s">
        <v>100</v>
      </c>
      <c r="F12" s="34">
        <v>42377.0</v>
      </c>
      <c r="G12" s="32" t="s">
        <v>74</v>
      </c>
      <c r="H12" s="32"/>
      <c r="I12" s="32" t="s">
        <v>107</v>
      </c>
      <c r="J12" s="32" t="s">
        <v>79</v>
      </c>
      <c r="K12" s="32"/>
      <c r="L12" s="32" t="s">
        <v>109</v>
      </c>
      <c r="M12" s="32"/>
      <c r="N12" s="34"/>
      <c r="O12" s="32"/>
      <c r="P12" s="32"/>
      <c r="Q12" s="32"/>
      <c r="R12" s="32"/>
      <c r="S12" s="32"/>
      <c r="T12" s="32"/>
      <c r="U12" s="1"/>
      <c r="V12" s="1"/>
      <c r="W12" s="1"/>
      <c r="X12" s="1"/>
      <c r="Y12" s="1"/>
      <c r="Z12" s="1"/>
    </row>
    <row r="13" ht="30.0" customHeight="1">
      <c r="A13" s="1"/>
      <c r="B13" s="30" t="s">
        <v>175</v>
      </c>
      <c r="C13" s="32" t="s">
        <v>176</v>
      </c>
      <c r="D13" s="32"/>
      <c r="E13" s="32" t="s">
        <v>177</v>
      </c>
      <c r="F13" s="34">
        <v>38795.0</v>
      </c>
      <c r="G13" s="32" t="s">
        <v>74</v>
      </c>
      <c r="H13" s="32" t="s">
        <v>133</v>
      </c>
      <c r="I13" s="32" t="s">
        <v>134</v>
      </c>
      <c r="J13" s="32" t="s">
        <v>79</v>
      </c>
      <c r="K13" s="32"/>
      <c r="L13" s="32" t="s">
        <v>109</v>
      </c>
      <c r="M13" s="32"/>
      <c r="N13" s="34"/>
      <c r="O13" s="32"/>
      <c r="P13" s="32"/>
      <c r="Q13" s="32"/>
      <c r="R13" s="32"/>
      <c r="S13" s="32"/>
      <c r="T13" s="32"/>
      <c r="U13" s="1"/>
      <c r="V13" s="1"/>
      <c r="W13" s="1"/>
      <c r="X13" s="1"/>
      <c r="Y13" s="1"/>
      <c r="Z13" s="1"/>
    </row>
    <row r="14">
      <c r="A14" s="1"/>
      <c r="B14" s="30" t="s">
        <v>184</v>
      </c>
      <c r="C14" s="32" t="s">
        <v>185</v>
      </c>
      <c r="D14" s="32"/>
      <c r="E14" s="32" t="s">
        <v>187</v>
      </c>
      <c r="F14" s="34">
        <v>42644.0</v>
      </c>
      <c r="G14" s="32" t="s">
        <v>74</v>
      </c>
      <c r="H14" s="32"/>
      <c r="I14" s="32" t="s">
        <v>78</v>
      </c>
      <c r="J14" s="32" t="s">
        <v>79</v>
      </c>
      <c r="K14" s="32"/>
      <c r="L14" s="32" t="s">
        <v>109</v>
      </c>
      <c r="M14" s="32"/>
      <c r="N14" s="34"/>
      <c r="O14" s="32"/>
      <c r="P14" s="32"/>
      <c r="Q14" s="32"/>
      <c r="R14" s="32"/>
      <c r="S14" s="32"/>
      <c r="T14" s="32"/>
      <c r="U14" s="1"/>
      <c r="V14" s="1"/>
      <c r="W14" s="1"/>
      <c r="X14" s="1"/>
      <c r="Y14" s="1"/>
      <c r="Z14" s="1"/>
    </row>
    <row r="15">
      <c r="A15" s="1"/>
      <c r="B15" s="30" t="s">
        <v>193</v>
      </c>
      <c r="C15" s="32" t="s">
        <v>194</v>
      </c>
      <c r="D15" s="32" t="s">
        <v>195</v>
      </c>
      <c r="E15" s="32" t="s">
        <v>100</v>
      </c>
      <c r="F15" s="34"/>
      <c r="G15" s="32" t="s">
        <v>74</v>
      </c>
      <c r="H15" s="32"/>
      <c r="I15" s="32" t="s">
        <v>107</v>
      </c>
      <c r="J15" s="32" t="s">
        <v>79</v>
      </c>
      <c r="K15" s="32"/>
      <c r="L15" s="32" t="s">
        <v>109</v>
      </c>
      <c r="M15" s="32"/>
      <c r="N15" s="34"/>
      <c r="O15" s="32"/>
      <c r="P15" s="32"/>
      <c r="Q15" s="32"/>
      <c r="R15" s="32"/>
      <c r="S15" s="32"/>
      <c r="T15" s="32"/>
      <c r="U15" s="1"/>
      <c r="V15" s="1"/>
      <c r="W15" s="1"/>
      <c r="X15" s="1"/>
      <c r="Y15" s="1"/>
      <c r="Z15" s="1"/>
    </row>
    <row r="16">
      <c r="A16" s="41"/>
      <c r="B16" s="30" t="s">
        <v>205</v>
      </c>
      <c r="C16" s="32" t="s">
        <v>207</v>
      </c>
      <c r="D16" s="42" t="s">
        <v>210</v>
      </c>
      <c r="E16" s="32" t="s">
        <v>230</v>
      </c>
      <c r="F16" s="34"/>
      <c r="G16" s="32" t="s">
        <v>74</v>
      </c>
      <c r="H16" s="32"/>
      <c r="I16" s="32" t="s">
        <v>107</v>
      </c>
      <c r="J16" s="32" t="s">
        <v>79</v>
      </c>
      <c r="K16" s="32"/>
      <c r="L16" s="32" t="s">
        <v>109</v>
      </c>
      <c r="M16" s="32"/>
      <c r="N16" s="34"/>
      <c r="O16" s="32"/>
      <c r="P16" s="32"/>
      <c r="Q16" s="32"/>
      <c r="R16" s="32"/>
      <c r="S16" s="32"/>
      <c r="T16" s="32"/>
      <c r="U16" s="41"/>
      <c r="V16" s="41"/>
      <c r="W16" s="41"/>
      <c r="X16" s="41"/>
      <c r="Y16" s="41"/>
      <c r="Z16" s="41"/>
    </row>
    <row r="17">
      <c r="A17" s="1"/>
      <c r="B17" s="30" t="s">
        <v>236</v>
      </c>
      <c r="C17" s="32" t="s">
        <v>207</v>
      </c>
      <c r="D17" s="42" t="s">
        <v>237</v>
      </c>
      <c r="E17" s="32" t="s">
        <v>100</v>
      </c>
      <c r="F17" s="34"/>
      <c r="G17" s="32" t="s">
        <v>74</v>
      </c>
      <c r="H17" s="32"/>
      <c r="I17" s="32" t="s">
        <v>107</v>
      </c>
      <c r="J17" s="32" t="s">
        <v>79</v>
      </c>
      <c r="K17" s="32"/>
      <c r="L17" s="32" t="s">
        <v>109</v>
      </c>
      <c r="M17" s="32"/>
      <c r="N17" s="34"/>
      <c r="O17" s="32"/>
      <c r="P17" s="32"/>
      <c r="Q17" s="32"/>
      <c r="R17" s="32"/>
      <c r="S17" s="32"/>
      <c r="T17" s="32"/>
      <c r="U17" s="1"/>
      <c r="V17" s="1"/>
      <c r="W17" s="1"/>
      <c r="X17" s="1"/>
      <c r="Y17" s="1"/>
      <c r="Z17" s="1"/>
    </row>
    <row r="18">
      <c r="A18" s="1"/>
      <c r="B18" s="30" t="s">
        <v>254</v>
      </c>
      <c r="C18" s="32" t="s">
        <v>255</v>
      </c>
      <c r="D18" s="32" t="s">
        <v>195</v>
      </c>
      <c r="E18" s="32" t="s">
        <v>257</v>
      </c>
      <c r="F18" s="34"/>
      <c r="G18" s="32" t="s">
        <v>74</v>
      </c>
      <c r="H18" s="32"/>
      <c r="I18" s="32" t="s">
        <v>107</v>
      </c>
      <c r="J18" s="32" t="s">
        <v>79</v>
      </c>
      <c r="K18" s="32"/>
      <c r="L18" s="32" t="s">
        <v>109</v>
      </c>
      <c r="M18" s="32"/>
      <c r="N18" s="34"/>
      <c r="O18" s="32"/>
      <c r="P18" s="32"/>
      <c r="Q18" s="32"/>
      <c r="R18" s="32"/>
      <c r="S18" s="32"/>
      <c r="T18" s="32"/>
      <c r="U18" s="1"/>
      <c r="V18" s="1"/>
      <c r="W18" s="1"/>
      <c r="X18" s="1"/>
      <c r="Y18" s="1"/>
      <c r="Z18" s="1"/>
    </row>
    <row r="19">
      <c r="A19" s="1"/>
      <c r="B19" s="30" t="s">
        <v>265</v>
      </c>
      <c r="C19" s="32" t="s">
        <v>266</v>
      </c>
      <c r="D19" s="32" t="s">
        <v>195</v>
      </c>
      <c r="E19" s="32" t="s">
        <v>100</v>
      </c>
      <c r="F19" s="34"/>
      <c r="G19" s="32" t="s">
        <v>74</v>
      </c>
      <c r="H19" s="32"/>
      <c r="I19" s="32" t="s">
        <v>134</v>
      </c>
      <c r="J19" s="32" t="s">
        <v>79</v>
      </c>
      <c r="K19" s="32"/>
      <c r="L19" s="32" t="s">
        <v>109</v>
      </c>
      <c r="M19" s="32"/>
      <c r="N19" s="34"/>
      <c r="O19" s="32"/>
      <c r="P19" s="32"/>
      <c r="Q19" s="32"/>
      <c r="R19" s="32"/>
      <c r="S19" s="32"/>
      <c r="T19" s="32"/>
      <c r="U19" s="1"/>
      <c r="V19" s="1"/>
      <c r="W19" s="1"/>
      <c r="X19" s="1"/>
      <c r="Y19" s="1"/>
      <c r="Z19" s="1"/>
    </row>
    <row r="20">
      <c r="A20" s="1"/>
      <c r="B20" s="43" t="s">
        <v>101</v>
      </c>
      <c r="C20" s="44" t="s">
        <v>277</v>
      </c>
      <c r="D20" s="45" t="s">
        <v>280</v>
      </c>
      <c r="E20" s="46" t="s">
        <v>293</v>
      </c>
      <c r="F20" s="46" t="s">
        <v>294</v>
      </c>
      <c r="G20" s="46" t="s">
        <v>74</v>
      </c>
      <c r="H20" s="46" t="s">
        <v>296</v>
      </c>
      <c r="I20" s="46" t="s">
        <v>299</v>
      </c>
      <c r="J20" s="46" t="s">
        <v>79</v>
      </c>
      <c r="K20" s="46" t="s">
        <v>300</v>
      </c>
      <c r="L20" s="46" t="s">
        <v>301</v>
      </c>
      <c r="M20" s="47"/>
      <c r="N20" s="34"/>
      <c r="O20" s="32"/>
      <c r="P20" s="32"/>
      <c r="Q20" s="32"/>
      <c r="R20" s="48"/>
      <c r="S20" s="49"/>
      <c r="T20" s="32"/>
      <c r="U20" s="1"/>
      <c r="V20" s="1"/>
      <c r="W20" s="1"/>
      <c r="X20" s="1"/>
      <c r="Y20" s="1"/>
      <c r="Z20" s="1"/>
    </row>
    <row r="21">
      <c r="A21" s="1"/>
      <c r="B21" s="50" t="s">
        <v>321</v>
      </c>
      <c r="C21" s="46" t="s">
        <v>323</v>
      </c>
      <c r="D21" s="46" t="s">
        <v>324</v>
      </c>
      <c r="E21" s="46" t="s">
        <v>325</v>
      </c>
      <c r="F21" s="46" t="s">
        <v>326</v>
      </c>
      <c r="G21" s="46" t="s">
        <v>74</v>
      </c>
      <c r="H21" s="46" t="s">
        <v>327</v>
      </c>
      <c r="I21" s="46" t="s">
        <v>329</v>
      </c>
      <c r="J21" s="46" t="s">
        <v>79</v>
      </c>
      <c r="K21" s="46" t="s">
        <v>331</v>
      </c>
      <c r="L21" s="46" t="s">
        <v>333</v>
      </c>
      <c r="M21" s="47"/>
      <c r="N21" s="34"/>
      <c r="O21" s="32"/>
      <c r="P21" s="32"/>
      <c r="Q21" s="32"/>
      <c r="R21" s="32"/>
      <c r="S21" s="32"/>
      <c r="T21" s="32"/>
      <c r="U21" s="1"/>
      <c r="V21" s="1"/>
      <c r="W21" s="1"/>
      <c r="X21" s="1"/>
      <c r="Y21" s="1"/>
      <c r="Z21" s="1"/>
    </row>
    <row r="22">
      <c r="A22" s="1"/>
      <c r="B22" s="50" t="s">
        <v>336</v>
      </c>
      <c r="C22" s="46" t="s">
        <v>338</v>
      </c>
      <c r="D22" s="46" t="s">
        <v>339</v>
      </c>
      <c r="E22" s="46" t="s">
        <v>341</v>
      </c>
      <c r="F22" s="46" t="s">
        <v>343</v>
      </c>
      <c r="G22" s="46" t="s">
        <v>74</v>
      </c>
      <c r="H22" s="46" t="s">
        <v>344</v>
      </c>
      <c r="I22" s="46" t="s">
        <v>345</v>
      </c>
      <c r="J22" s="46" t="s">
        <v>79</v>
      </c>
      <c r="K22" s="46" t="s">
        <v>347</v>
      </c>
      <c r="L22" s="46" t="s">
        <v>349</v>
      </c>
      <c r="M22" s="47"/>
      <c r="N22" s="34"/>
      <c r="O22" s="32"/>
      <c r="P22" s="32"/>
      <c r="Q22" s="32"/>
      <c r="R22" s="32"/>
      <c r="S22" s="32"/>
      <c r="T22" s="32"/>
      <c r="U22" s="1"/>
      <c r="V22" s="1"/>
      <c r="W22" s="1"/>
      <c r="X22" s="1"/>
      <c r="Y22" s="1"/>
      <c r="Z22" s="1"/>
    </row>
    <row r="23">
      <c r="A23" s="1"/>
      <c r="B23" s="50" t="s">
        <v>355</v>
      </c>
      <c r="C23" s="46" t="s">
        <v>255</v>
      </c>
      <c r="D23" s="46" t="s">
        <v>357</v>
      </c>
      <c r="E23" s="46" t="s">
        <v>358</v>
      </c>
      <c r="F23" s="46" t="s">
        <v>326</v>
      </c>
      <c r="G23" s="46" t="s">
        <v>74</v>
      </c>
      <c r="H23" s="46" t="s">
        <v>363</v>
      </c>
      <c r="I23" s="46" t="s">
        <v>365</v>
      </c>
      <c r="J23" s="46" t="s">
        <v>79</v>
      </c>
      <c r="K23" s="46" t="s">
        <v>368</v>
      </c>
      <c r="L23" s="46" t="s">
        <v>370</v>
      </c>
      <c r="M23" s="47"/>
      <c r="N23" s="34"/>
      <c r="O23" s="32"/>
      <c r="P23" s="32"/>
      <c r="Q23" s="32"/>
      <c r="R23" s="32"/>
      <c r="S23" s="32"/>
      <c r="T23" s="32"/>
      <c r="U23" s="1"/>
      <c r="V23" s="1"/>
      <c r="W23" s="1"/>
      <c r="X23" s="1"/>
      <c r="Y23" s="1"/>
      <c r="Z23" s="1"/>
    </row>
    <row r="24">
      <c r="A24" s="1"/>
      <c r="B24" s="50" t="s">
        <v>375</v>
      </c>
      <c r="C24" s="46" t="s">
        <v>376</v>
      </c>
      <c r="D24" s="46" t="s">
        <v>377</v>
      </c>
      <c r="E24" s="46" t="s">
        <v>378</v>
      </c>
      <c r="F24" s="46" t="s">
        <v>379</v>
      </c>
      <c r="G24" s="46" t="s">
        <v>74</v>
      </c>
      <c r="H24" s="46" t="s">
        <v>381</v>
      </c>
      <c r="I24" s="46" t="s">
        <v>384</v>
      </c>
      <c r="J24" s="46" t="s">
        <v>79</v>
      </c>
      <c r="K24" s="46" t="s">
        <v>386</v>
      </c>
      <c r="L24" s="46" t="s">
        <v>387</v>
      </c>
      <c r="M24" s="47"/>
      <c r="N24" s="34"/>
      <c r="O24" s="32"/>
      <c r="P24" s="32"/>
      <c r="Q24" s="32"/>
      <c r="R24" s="32"/>
      <c r="S24" s="32"/>
      <c r="T24" s="32"/>
      <c r="U24" s="1"/>
      <c r="V24" s="1"/>
      <c r="W24" s="1"/>
      <c r="X24" s="1"/>
      <c r="Y24" s="1"/>
      <c r="Z24" s="1"/>
    </row>
    <row r="25">
      <c r="A25" s="1"/>
      <c r="B25" s="51" t="s">
        <v>393</v>
      </c>
      <c r="C25" s="52" t="s">
        <v>397</v>
      </c>
      <c r="D25" s="46" t="s">
        <v>377</v>
      </c>
      <c r="E25" s="46" t="s">
        <v>378</v>
      </c>
      <c r="F25" s="46" t="s">
        <v>379</v>
      </c>
      <c r="G25" s="46" t="s">
        <v>74</v>
      </c>
      <c r="H25" s="46" t="s">
        <v>402</v>
      </c>
      <c r="I25" s="46" t="s">
        <v>403</v>
      </c>
      <c r="J25" s="46" t="s">
        <v>79</v>
      </c>
      <c r="K25" s="46" t="s">
        <v>405</v>
      </c>
      <c r="L25" s="46" t="s">
        <v>407</v>
      </c>
      <c r="M25" s="47"/>
      <c r="N25" s="34"/>
      <c r="O25" s="32"/>
      <c r="P25" s="32"/>
      <c r="Q25" s="32"/>
      <c r="R25" s="32"/>
      <c r="S25" s="32"/>
      <c r="T25" s="32"/>
      <c r="U25" s="1"/>
      <c r="V25" s="1"/>
      <c r="W25" s="1"/>
      <c r="X25" s="1"/>
      <c r="Y25" s="1"/>
      <c r="Z25" s="1"/>
    </row>
    <row r="26">
      <c r="A26" s="1"/>
      <c r="B26" s="53" t="s">
        <v>417</v>
      </c>
      <c r="C26" s="54" t="s">
        <v>424</v>
      </c>
      <c r="D26" s="55" t="s">
        <v>428</v>
      </c>
      <c r="E26" s="46" t="s">
        <v>430</v>
      </c>
      <c r="F26" s="46" t="s">
        <v>294</v>
      </c>
      <c r="G26" s="46" t="s">
        <v>74</v>
      </c>
      <c r="H26" s="46" t="s">
        <v>433</v>
      </c>
      <c r="I26" s="46" t="s">
        <v>435</v>
      </c>
      <c r="J26" s="46" t="s">
        <v>436</v>
      </c>
      <c r="K26" s="46" t="s">
        <v>347</v>
      </c>
      <c r="L26" s="46" t="s">
        <v>437</v>
      </c>
      <c r="M26" s="47"/>
      <c r="N26" s="34"/>
      <c r="O26" s="32"/>
      <c r="P26" s="32"/>
      <c r="Q26" s="32"/>
      <c r="R26" s="32"/>
      <c r="S26" s="32"/>
      <c r="T26" s="32"/>
      <c r="U26" s="1"/>
      <c r="V26" s="1"/>
      <c r="W26" s="1"/>
      <c r="X26" s="1"/>
      <c r="Y26" s="1"/>
      <c r="Z26" s="1"/>
    </row>
    <row r="27">
      <c r="A27" s="1"/>
      <c r="B27" s="56" t="s">
        <v>444</v>
      </c>
      <c r="C27" s="57" t="s">
        <v>447</v>
      </c>
      <c r="D27" s="55" t="s">
        <v>451</v>
      </c>
      <c r="E27" s="46" t="s">
        <v>293</v>
      </c>
      <c r="F27" s="46" t="s">
        <v>294</v>
      </c>
      <c r="G27" s="46" t="s">
        <v>74</v>
      </c>
      <c r="H27" s="46" t="s">
        <v>453</v>
      </c>
      <c r="I27" s="46" t="s">
        <v>454</v>
      </c>
      <c r="J27" s="46" t="s">
        <v>457</v>
      </c>
      <c r="K27" s="46" t="s">
        <v>368</v>
      </c>
      <c r="L27" s="46" t="s">
        <v>407</v>
      </c>
      <c r="M27" s="47"/>
      <c r="N27" s="34"/>
      <c r="O27" s="32"/>
      <c r="P27" s="32"/>
      <c r="Q27" s="32"/>
      <c r="R27" s="32"/>
      <c r="S27" s="32"/>
      <c r="T27" s="32"/>
      <c r="U27" s="1"/>
      <c r="V27" s="1"/>
      <c r="W27" s="1"/>
      <c r="X27" s="1"/>
      <c r="Y27" s="1"/>
      <c r="Z27" s="1"/>
    </row>
    <row r="28" ht="15.75" customHeight="1">
      <c r="A28" s="1"/>
      <c r="B28" s="1" t="s">
        <v>464</v>
      </c>
      <c r="C28" s="46" t="s">
        <v>465</v>
      </c>
      <c r="D28" s="46" t="s">
        <v>466</v>
      </c>
      <c r="E28" s="46" t="s">
        <v>378</v>
      </c>
      <c r="F28" s="46" t="s">
        <v>467</v>
      </c>
      <c r="G28" s="46" t="s">
        <v>74</v>
      </c>
      <c r="H28" s="46" t="s">
        <v>470</v>
      </c>
      <c r="I28" s="46" t="s">
        <v>472</v>
      </c>
      <c r="J28" s="46" t="s">
        <v>474</v>
      </c>
      <c r="K28" s="46" t="s">
        <v>475</v>
      </c>
      <c r="L28" s="46" t="s">
        <v>476</v>
      </c>
      <c r="M28" s="41"/>
      <c r="N28" s="41"/>
      <c r="O28" s="41"/>
      <c r="P28" s="41"/>
      <c r="Q28" s="41"/>
      <c r="R28" s="41"/>
      <c r="S28" s="41"/>
      <c r="T28" s="4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autoFilter ref="$B$5:$T$28"/>
  <mergeCells count="3">
    <mergeCell ref="B1:J1"/>
    <mergeCell ref="B2:J2"/>
    <mergeCell ref="B3:S3"/>
  </mergeCells>
  <dataValidations>
    <dataValidation type="list" allowBlank="1" sqref="J7:J27">
      <formula1>"PDF,Text / Word,Poster,Audio,Video,Spreadsheet,Other"</formula1>
    </dataValidation>
    <dataValidation type="list" allowBlank="1" sqref="S7:S27">
      <formula1>"Ready to Certify,Needs Review,Needs Update,Duplicate,Reject"</formula1>
    </dataValidation>
    <dataValidation type="list" allowBlank="1" sqref="O7:O27">
      <formula1>"Current,Needs Update,Outdated,Needs Verification"</formula1>
    </dataValidation>
    <dataValidation type="list" allowBlank="1" sqref="Q7:Q27">
      <formula1>"source_validated,expert_reviewed,pending_validation,not_validated"</formula1>
    </dataValidation>
    <dataValidation type="list" allowBlank="1" sqref="I7:I27">
      <formula1>"Production Guide,Protocol / SOP,Factsheet,Advisory Bulletin,Brochure,Training Manual,Poster / Infographic,Video,Other"</formula1>
    </dataValidation>
    <dataValidation type="list" allowBlank="1" sqref="P7:P27">
      <formula1>"Verified,Needs Review,Flagged - Inaccurate"</formula1>
    </dataValidation>
    <dataValidation type="list" allowBlank="1" sqref="R7:R27">
      <formula1>"Low,Medium,High"</formula1>
    </dataValidation>
  </dataValidations>
  <hyperlinks>
    <hyperlink r:id="rId1" ref="D16"/>
    <hyperlink r:id="rId2" ref="D17"/>
    <hyperlink r:id="rId3" ref="D20"/>
  </hyperlinks>
  <printOptions/>
  <pageMargins bottom="1.0" footer="0.0" header="0.0" left="0.75" right="0.75" top="1.0"/>
  <pageSetup fitToHeight="0" orientation="landscape"/>
  <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0392B"/>
    <pageSetUpPr fitToPage="1"/>
  </sheetPr>
  <sheetViews>
    <sheetView showGridLines="0" workbookViewId="0">
      <pane xSplit="1.0" ySplit="5.0" topLeftCell="B6" activePane="bottomRight" state="frozen"/>
      <selection activeCell="B1" sqref="B1" pane="topRight"/>
      <selection activeCell="A6" sqref="A6" pane="bottomLeft"/>
      <selection activeCell="B6" sqref="B6" pane="bottomRight"/>
    </sheetView>
  </sheetViews>
  <sheetFormatPr customHeight="1" defaultColWidth="14.43" defaultRowHeight="15.0"/>
  <cols>
    <col customWidth="1" min="1" max="1" width="2.43"/>
    <col customWidth="1" min="2" max="2" width="5.71"/>
    <col customWidth="1" min="3" max="3" width="26.0"/>
    <col customWidth="1" min="4" max="4" width="86.57"/>
    <col customWidth="1" min="5" max="5" width="16.14"/>
    <col customWidth="1" min="6" max="6" width="53.14"/>
    <col customWidth="1" min="7" max="7" width="26.0"/>
    <col customWidth="1" min="8" max="8" width="13.86"/>
  </cols>
  <sheetData>
    <row r="1" ht="19.5" customHeight="1">
      <c r="A1" s="6"/>
      <c r="B1" s="11" t="s">
        <v>7</v>
      </c>
      <c r="C1" s="13"/>
      <c r="D1" s="13"/>
      <c r="E1" s="13"/>
      <c r="F1" s="13"/>
      <c r="G1" s="13"/>
      <c r="H1" s="15"/>
      <c r="I1" s="6"/>
      <c r="J1" s="6"/>
      <c r="K1" s="6"/>
      <c r="L1" s="6"/>
      <c r="M1" s="6"/>
      <c r="N1" s="6"/>
      <c r="O1" s="6"/>
      <c r="P1" s="6"/>
      <c r="Q1" s="6"/>
      <c r="R1" s="6"/>
      <c r="S1" s="6"/>
      <c r="T1" s="6"/>
      <c r="U1" s="6"/>
      <c r="V1" s="6"/>
      <c r="W1" s="6"/>
      <c r="X1" s="6"/>
      <c r="Y1" s="6"/>
      <c r="Z1" s="6"/>
    </row>
    <row r="2" ht="19.5" customHeight="1">
      <c r="A2" s="6"/>
      <c r="B2" s="6"/>
      <c r="C2" s="6"/>
      <c r="D2" s="6"/>
      <c r="E2" s="17"/>
      <c r="F2" s="6"/>
      <c r="G2" s="6"/>
      <c r="H2" s="6"/>
      <c r="I2" s="6"/>
      <c r="J2" s="6"/>
      <c r="K2" s="6"/>
      <c r="L2" s="6"/>
      <c r="M2" s="6"/>
      <c r="N2" s="6"/>
      <c r="O2" s="6"/>
      <c r="P2" s="6"/>
      <c r="Q2" s="6"/>
      <c r="R2" s="6"/>
      <c r="S2" s="6"/>
      <c r="T2" s="6"/>
      <c r="U2" s="6"/>
      <c r="V2" s="6"/>
      <c r="W2" s="6"/>
      <c r="X2" s="6"/>
      <c r="Y2" s="6"/>
      <c r="Z2" s="6"/>
    </row>
    <row r="3" ht="19.5" customHeight="1">
      <c r="A3" s="6"/>
      <c r="B3" s="20" t="s">
        <v>28</v>
      </c>
      <c r="C3" s="13"/>
      <c r="D3" s="13"/>
      <c r="E3" s="13"/>
      <c r="F3" s="13"/>
      <c r="G3" s="13"/>
      <c r="H3" s="15"/>
      <c r="I3" s="6"/>
      <c r="J3" s="6"/>
      <c r="K3" s="6"/>
      <c r="L3" s="6"/>
      <c r="M3" s="6"/>
      <c r="N3" s="6"/>
      <c r="O3" s="6"/>
      <c r="P3" s="6"/>
      <c r="Q3" s="6"/>
      <c r="R3" s="6"/>
      <c r="S3" s="6"/>
      <c r="T3" s="6"/>
      <c r="U3" s="6"/>
      <c r="V3" s="6"/>
      <c r="W3" s="6"/>
      <c r="X3" s="6"/>
      <c r="Y3" s="6"/>
      <c r="Z3" s="6"/>
    </row>
    <row r="4" ht="19.5" customHeight="1">
      <c r="A4" s="6"/>
      <c r="B4" s="23" t="s">
        <v>53</v>
      </c>
      <c r="C4" s="13"/>
      <c r="D4" s="13"/>
      <c r="E4" s="13"/>
      <c r="F4" s="13"/>
      <c r="G4" s="13"/>
      <c r="H4" s="15"/>
      <c r="I4" s="6"/>
      <c r="J4" s="6"/>
      <c r="K4" s="6"/>
      <c r="L4" s="6"/>
      <c r="M4" s="6"/>
      <c r="N4" s="6"/>
      <c r="O4" s="6"/>
      <c r="P4" s="6"/>
      <c r="Q4" s="6"/>
      <c r="R4" s="6"/>
      <c r="S4" s="6"/>
      <c r="T4" s="6"/>
      <c r="U4" s="6"/>
      <c r="V4" s="6"/>
      <c r="W4" s="6"/>
      <c r="X4" s="6"/>
      <c r="Y4" s="6"/>
      <c r="Z4" s="6"/>
    </row>
    <row r="5" ht="19.5" customHeight="1">
      <c r="A5" s="6"/>
      <c r="B5" s="26" t="s">
        <v>65</v>
      </c>
      <c r="C5" s="26" t="s">
        <v>71</v>
      </c>
      <c r="D5" s="26" t="s">
        <v>72</v>
      </c>
      <c r="E5" s="28" t="s">
        <v>75</v>
      </c>
      <c r="F5" s="26" t="s">
        <v>85</v>
      </c>
      <c r="G5" s="26" t="s">
        <v>88</v>
      </c>
      <c r="H5" s="29" t="s">
        <v>91</v>
      </c>
      <c r="I5" s="6"/>
      <c r="J5" s="6"/>
      <c r="K5" s="6"/>
      <c r="L5" s="6"/>
      <c r="M5" s="6"/>
      <c r="N5" s="6"/>
      <c r="O5" s="6"/>
      <c r="P5" s="6"/>
      <c r="Q5" s="6"/>
      <c r="R5" s="6"/>
      <c r="S5" s="6"/>
      <c r="T5" s="6"/>
      <c r="U5" s="6"/>
      <c r="V5" s="6"/>
      <c r="W5" s="6"/>
      <c r="X5" s="6"/>
      <c r="Y5" s="6"/>
      <c r="Z5" s="6"/>
    </row>
    <row r="6" ht="119.25" customHeight="1">
      <c r="A6" s="6"/>
      <c r="B6" s="31">
        <v>1.0</v>
      </c>
      <c r="C6" s="31" t="s">
        <v>98</v>
      </c>
      <c r="D6" s="31" t="s">
        <v>99</v>
      </c>
      <c r="E6" s="33" t="s">
        <v>101</v>
      </c>
      <c r="F6" s="31" t="s">
        <v>103</v>
      </c>
      <c r="G6" s="31" t="s">
        <v>104</v>
      </c>
      <c r="H6" s="36" t="s">
        <v>105</v>
      </c>
      <c r="I6" s="6"/>
      <c r="J6" s="6"/>
      <c r="K6" s="6"/>
      <c r="L6" s="6"/>
      <c r="M6" s="6"/>
      <c r="N6" s="6"/>
      <c r="O6" s="6"/>
      <c r="P6" s="6"/>
      <c r="Q6" s="6"/>
      <c r="R6" s="6"/>
      <c r="S6" s="6"/>
      <c r="T6" s="6"/>
      <c r="U6" s="6"/>
      <c r="V6" s="6"/>
      <c r="W6" s="6"/>
      <c r="X6" s="6"/>
      <c r="Y6" s="6"/>
      <c r="Z6" s="6"/>
    </row>
    <row r="7" ht="60.0" customHeight="1">
      <c r="A7" s="6"/>
      <c r="B7" s="31">
        <v>2.0</v>
      </c>
      <c r="C7" s="31" t="s">
        <v>108</v>
      </c>
      <c r="D7" s="31" t="s">
        <v>110</v>
      </c>
      <c r="E7" s="33" t="s">
        <v>101</v>
      </c>
      <c r="F7" s="31" t="s">
        <v>111</v>
      </c>
      <c r="G7" s="31" t="s">
        <v>112</v>
      </c>
      <c r="H7" s="36" t="s">
        <v>105</v>
      </c>
      <c r="I7" s="6"/>
      <c r="J7" s="6"/>
      <c r="K7" s="6"/>
      <c r="L7" s="6"/>
      <c r="M7" s="6"/>
      <c r="N7" s="6"/>
      <c r="O7" s="6"/>
      <c r="P7" s="6"/>
      <c r="Q7" s="6"/>
      <c r="R7" s="6"/>
      <c r="S7" s="6"/>
      <c r="T7" s="6"/>
      <c r="U7" s="6"/>
      <c r="V7" s="6"/>
      <c r="W7" s="6"/>
      <c r="X7" s="6"/>
      <c r="Y7" s="6"/>
      <c r="Z7" s="6"/>
    </row>
    <row r="8" ht="60.0" customHeight="1">
      <c r="A8" s="6"/>
      <c r="B8" s="31">
        <v>3.0</v>
      </c>
      <c r="C8" s="31" t="s">
        <v>114</v>
      </c>
      <c r="D8" s="31" t="s">
        <v>115</v>
      </c>
      <c r="E8" s="33" t="s">
        <v>101</v>
      </c>
      <c r="F8" s="31" t="s">
        <v>116</v>
      </c>
      <c r="G8" s="31" t="s">
        <v>117</v>
      </c>
      <c r="H8" s="36" t="s">
        <v>105</v>
      </c>
      <c r="I8" s="6"/>
      <c r="J8" s="6"/>
      <c r="K8" s="6"/>
      <c r="L8" s="6"/>
      <c r="M8" s="6"/>
      <c r="N8" s="6"/>
      <c r="O8" s="6"/>
      <c r="P8" s="6"/>
      <c r="Q8" s="6"/>
      <c r="R8" s="6"/>
      <c r="S8" s="6"/>
      <c r="T8" s="6"/>
      <c r="U8" s="6"/>
      <c r="V8" s="6"/>
      <c r="W8" s="6"/>
      <c r="X8" s="6"/>
      <c r="Y8" s="6"/>
      <c r="Z8" s="6"/>
    </row>
    <row r="9" ht="60.0" customHeight="1">
      <c r="A9" s="6"/>
      <c r="B9" s="31">
        <v>4.0</v>
      </c>
      <c r="C9" s="31" t="s">
        <v>119</v>
      </c>
      <c r="D9" s="31" t="s">
        <v>120</v>
      </c>
      <c r="E9" s="33" t="s">
        <v>101</v>
      </c>
      <c r="F9" s="31" t="s">
        <v>123</v>
      </c>
      <c r="G9" s="31" t="s">
        <v>124</v>
      </c>
      <c r="H9" s="36" t="s">
        <v>105</v>
      </c>
      <c r="I9" s="6"/>
      <c r="J9" s="6"/>
      <c r="K9" s="6"/>
      <c r="L9" s="6"/>
      <c r="M9" s="6"/>
      <c r="N9" s="6"/>
      <c r="O9" s="6"/>
      <c r="P9" s="6"/>
      <c r="Q9" s="6"/>
      <c r="R9" s="6"/>
      <c r="S9" s="6"/>
      <c r="T9" s="6"/>
      <c r="U9" s="6"/>
      <c r="V9" s="6"/>
      <c r="W9" s="6"/>
      <c r="X9" s="6"/>
      <c r="Y9" s="6"/>
      <c r="Z9" s="6"/>
    </row>
    <row r="10" ht="60.0" customHeight="1">
      <c r="A10" s="6"/>
      <c r="B10" s="31">
        <v>5.0</v>
      </c>
      <c r="C10" s="31" t="s">
        <v>126</v>
      </c>
      <c r="D10" s="31" t="s">
        <v>128</v>
      </c>
      <c r="E10" s="33" t="s">
        <v>101</v>
      </c>
      <c r="F10" s="31" t="s">
        <v>130</v>
      </c>
      <c r="G10" s="31" t="s">
        <v>132</v>
      </c>
      <c r="H10" s="36" t="s">
        <v>105</v>
      </c>
      <c r="I10" s="6"/>
      <c r="J10" s="6"/>
      <c r="K10" s="6"/>
      <c r="L10" s="6"/>
      <c r="M10" s="6"/>
      <c r="N10" s="6"/>
      <c r="O10" s="6"/>
      <c r="P10" s="6"/>
      <c r="Q10" s="6"/>
      <c r="R10" s="6"/>
      <c r="S10" s="6"/>
      <c r="T10" s="6"/>
      <c r="U10" s="6"/>
      <c r="V10" s="6"/>
      <c r="W10" s="6"/>
      <c r="X10" s="6"/>
      <c r="Y10" s="6"/>
      <c r="Z10" s="6"/>
    </row>
    <row r="11" ht="60.0" customHeight="1">
      <c r="A11" s="6"/>
      <c r="B11" s="31">
        <v>6.0</v>
      </c>
      <c r="C11" s="31" t="s">
        <v>136</v>
      </c>
      <c r="D11" s="31" t="s">
        <v>137</v>
      </c>
      <c r="E11" s="33" t="s">
        <v>101</v>
      </c>
      <c r="F11" s="31" t="s">
        <v>138</v>
      </c>
      <c r="G11" s="31" t="s">
        <v>139</v>
      </c>
      <c r="H11" s="36" t="s">
        <v>105</v>
      </c>
      <c r="I11" s="6"/>
      <c r="J11" s="6"/>
      <c r="K11" s="6"/>
      <c r="L11" s="6"/>
      <c r="M11" s="6"/>
      <c r="N11" s="6"/>
      <c r="O11" s="6"/>
      <c r="P11" s="6"/>
      <c r="Q11" s="6"/>
      <c r="R11" s="6"/>
      <c r="S11" s="6"/>
      <c r="T11" s="6"/>
      <c r="U11" s="6"/>
      <c r="V11" s="6"/>
      <c r="W11" s="6"/>
      <c r="X11" s="6"/>
      <c r="Y11" s="6"/>
      <c r="Z11" s="6"/>
    </row>
    <row r="12" ht="60.0" customHeight="1">
      <c r="A12" s="6"/>
      <c r="B12" s="31">
        <v>7.0</v>
      </c>
      <c r="C12" s="31" t="s">
        <v>141</v>
      </c>
      <c r="D12" s="31" t="s">
        <v>143</v>
      </c>
      <c r="E12" s="33" t="s">
        <v>101</v>
      </c>
      <c r="F12" s="31" t="s">
        <v>145</v>
      </c>
      <c r="G12" s="31" t="s">
        <v>146</v>
      </c>
      <c r="H12" s="36" t="s">
        <v>105</v>
      </c>
      <c r="I12" s="6"/>
      <c r="J12" s="6"/>
      <c r="K12" s="6"/>
      <c r="L12" s="6"/>
      <c r="M12" s="6"/>
      <c r="N12" s="6"/>
      <c r="O12" s="6"/>
      <c r="P12" s="6"/>
      <c r="Q12" s="6"/>
      <c r="R12" s="6"/>
      <c r="S12" s="6"/>
      <c r="T12" s="6"/>
      <c r="U12" s="6"/>
      <c r="V12" s="6"/>
      <c r="W12" s="6"/>
      <c r="X12" s="6"/>
      <c r="Y12" s="6"/>
      <c r="Z12" s="6"/>
    </row>
    <row r="13" ht="60.0" customHeight="1">
      <c r="A13" s="6"/>
      <c r="B13" s="31">
        <v>8.0</v>
      </c>
      <c r="C13" s="31" t="s">
        <v>147</v>
      </c>
      <c r="D13" s="31" t="s">
        <v>148</v>
      </c>
      <c r="E13" s="33" t="s">
        <v>101</v>
      </c>
      <c r="F13" s="31" t="s">
        <v>149</v>
      </c>
      <c r="G13" s="31" t="s">
        <v>150</v>
      </c>
      <c r="H13" s="36" t="s">
        <v>105</v>
      </c>
      <c r="I13" s="6"/>
      <c r="J13" s="6"/>
      <c r="K13" s="6"/>
      <c r="L13" s="6"/>
      <c r="M13" s="6"/>
      <c r="N13" s="6"/>
      <c r="O13" s="6"/>
      <c r="P13" s="6"/>
      <c r="Q13" s="6"/>
      <c r="R13" s="6"/>
      <c r="S13" s="6"/>
      <c r="T13" s="6"/>
      <c r="U13" s="6"/>
      <c r="V13" s="6"/>
      <c r="W13" s="6"/>
      <c r="X13" s="6"/>
      <c r="Y13" s="6"/>
      <c r="Z13" s="6"/>
    </row>
    <row r="14" ht="60.0" customHeight="1">
      <c r="A14" s="6"/>
      <c r="B14" s="31">
        <v>9.0</v>
      </c>
      <c r="C14" s="31" t="s">
        <v>154</v>
      </c>
      <c r="D14" s="31" t="s">
        <v>155</v>
      </c>
      <c r="E14" s="33" t="s">
        <v>101</v>
      </c>
      <c r="F14" s="31" t="s">
        <v>156</v>
      </c>
      <c r="G14" s="31" t="s">
        <v>157</v>
      </c>
      <c r="H14" s="36" t="s">
        <v>105</v>
      </c>
      <c r="I14" s="6"/>
      <c r="J14" s="6"/>
      <c r="K14" s="6"/>
      <c r="L14" s="6"/>
      <c r="M14" s="6"/>
      <c r="N14" s="6"/>
      <c r="O14" s="6"/>
      <c r="P14" s="6"/>
      <c r="Q14" s="6"/>
      <c r="R14" s="6"/>
      <c r="S14" s="6"/>
      <c r="T14" s="6"/>
      <c r="U14" s="6"/>
      <c r="V14" s="6"/>
      <c r="W14" s="6"/>
      <c r="X14" s="6"/>
      <c r="Y14" s="6"/>
      <c r="Z14" s="6"/>
    </row>
    <row r="15" ht="60.0" customHeight="1">
      <c r="A15" s="6"/>
      <c r="B15" s="31">
        <v>10.0</v>
      </c>
      <c r="C15" s="31" t="s">
        <v>159</v>
      </c>
      <c r="D15" s="31" t="s">
        <v>162</v>
      </c>
      <c r="E15" s="33" t="s">
        <v>101</v>
      </c>
      <c r="F15" s="31" t="s">
        <v>163</v>
      </c>
      <c r="G15" s="31" t="s">
        <v>164</v>
      </c>
      <c r="H15" s="36" t="s">
        <v>105</v>
      </c>
      <c r="I15" s="6"/>
      <c r="J15" s="6"/>
      <c r="K15" s="6"/>
      <c r="L15" s="6"/>
      <c r="M15" s="6"/>
      <c r="N15" s="6"/>
      <c r="O15" s="6"/>
      <c r="P15" s="6"/>
      <c r="Q15" s="6"/>
      <c r="R15" s="6"/>
      <c r="S15" s="6"/>
      <c r="T15" s="6"/>
      <c r="U15" s="6"/>
      <c r="V15" s="6"/>
      <c r="W15" s="6"/>
      <c r="X15" s="6"/>
      <c r="Y15" s="6"/>
      <c r="Z15" s="6"/>
    </row>
    <row r="16" ht="60.0" customHeight="1">
      <c r="A16" s="6"/>
      <c r="B16" s="31">
        <v>11.0</v>
      </c>
      <c r="C16" s="31" t="s">
        <v>165</v>
      </c>
      <c r="D16" s="31" t="s">
        <v>166</v>
      </c>
      <c r="E16" s="33" t="s">
        <v>101</v>
      </c>
      <c r="F16" s="31" t="s">
        <v>169</v>
      </c>
      <c r="G16" s="31" t="s">
        <v>170</v>
      </c>
      <c r="H16" s="36" t="s">
        <v>105</v>
      </c>
      <c r="I16" s="6"/>
      <c r="J16" s="6"/>
      <c r="K16" s="6"/>
      <c r="L16" s="6"/>
      <c r="M16" s="6"/>
      <c r="N16" s="6"/>
      <c r="O16" s="6"/>
      <c r="P16" s="6"/>
      <c r="Q16" s="6"/>
      <c r="R16" s="6"/>
      <c r="S16" s="6"/>
      <c r="T16" s="6"/>
      <c r="U16" s="6"/>
      <c r="V16" s="6"/>
      <c r="W16" s="6"/>
      <c r="X16" s="6"/>
      <c r="Y16" s="6"/>
      <c r="Z16" s="6"/>
    </row>
    <row r="17" ht="60.0" customHeight="1">
      <c r="A17" s="6"/>
      <c r="B17" s="31">
        <v>12.0</v>
      </c>
      <c r="C17" s="31" t="s">
        <v>171</v>
      </c>
      <c r="D17" s="31" t="s">
        <v>172</v>
      </c>
      <c r="E17" s="33" t="s">
        <v>101</v>
      </c>
      <c r="F17" s="31" t="s">
        <v>173</v>
      </c>
      <c r="G17" s="31" t="s">
        <v>174</v>
      </c>
      <c r="H17" s="36" t="s">
        <v>105</v>
      </c>
      <c r="I17" s="6"/>
      <c r="J17" s="6"/>
      <c r="K17" s="6"/>
      <c r="L17" s="6"/>
      <c r="M17" s="6"/>
      <c r="N17" s="6"/>
      <c r="O17" s="6"/>
      <c r="P17" s="6"/>
      <c r="Q17" s="6"/>
      <c r="R17" s="6"/>
      <c r="S17" s="6"/>
      <c r="T17" s="6"/>
      <c r="U17" s="6"/>
      <c r="V17" s="6"/>
      <c r="W17" s="6"/>
      <c r="X17" s="6"/>
      <c r="Y17" s="6"/>
      <c r="Z17" s="6"/>
    </row>
    <row r="18" ht="60.0" customHeight="1">
      <c r="A18" s="6"/>
      <c r="B18" s="31">
        <v>13.0</v>
      </c>
      <c r="C18" s="31" t="s">
        <v>178</v>
      </c>
      <c r="D18" s="31" t="s">
        <v>179</v>
      </c>
      <c r="E18" s="33" t="s">
        <v>101</v>
      </c>
      <c r="F18" s="31" t="s">
        <v>180</v>
      </c>
      <c r="G18" s="31" t="s">
        <v>181</v>
      </c>
      <c r="H18" s="36" t="s">
        <v>105</v>
      </c>
      <c r="I18" s="6"/>
      <c r="J18" s="6"/>
      <c r="K18" s="6"/>
      <c r="L18" s="6"/>
      <c r="M18" s="6"/>
      <c r="N18" s="6"/>
      <c r="O18" s="6"/>
      <c r="P18" s="6"/>
      <c r="Q18" s="6"/>
      <c r="R18" s="6"/>
      <c r="S18" s="6"/>
      <c r="T18" s="6"/>
      <c r="U18" s="6"/>
      <c r="V18" s="6"/>
      <c r="W18" s="6"/>
      <c r="X18" s="6"/>
      <c r="Y18" s="6"/>
      <c r="Z18" s="6"/>
    </row>
    <row r="19" ht="60.0" customHeight="1">
      <c r="A19" s="6"/>
      <c r="B19" s="31">
        <v>14.0</v>
      </c>
      <c r="C19" s="31" t="s">
        <v>182</v>
      </c>
      <c r="D19" s="31" t="s">
        <v>183</v>
      </c>
      <c r="E19" s="33" t="s">
        <v>101</v>
      </c>
      <c r="F19" s="31" t="s">
        <v>186</v>
      </c>
      <c r="G19" s="31" t="s">
        <v>188</v>
      </c>
      <c r="H19" s="36" t="s">
        <v>105</v>
      </c>
      <c r="I19" s="6"/>
      <c r="J19" s="6"/>
      <c r="K19" s="6"/>
      <c r="L19" s="6"/>
      <c r="M19" s="6"/>
      <c r="N19" s="6"/>
      <c r="O19" s="6"/>
      <c r="P19" s="6"/>
      <c r="Q19" s="6"/>
      <c r="R19" s="6"/>
      <c r="S19" s="6"/>
      <c r="T19" s="6"/>
      <c r="U19" s="6"/>
      <c r="V19" s="6"/>
      <c r="W19" s="6"/>
      <c r="X19" s="6"/>
      <c r="Y19" s="6"/>
      <c r="Z19" s="6"/>
    </row>
    <row r="20" ht="60.0" customHeight="1">
      <c r="A20" s="6"/>
      <c r="B20" s="31">
        <v>15.0</v>
      </c>
      <c r="C20" s="31" t="s">
        <v>189</v>
      </c>
      <c r="D20" s="31" t="s">
        <v>190</v>
      </c>
      <c r="E20" s="33" t="s">
        <v>101</v>
      </c>
      <c r="F20" s="31" t="s">
        <v>191</v>
      </c>
      <c r="G20" s="31" t="s">
        <v>192</v>
      </c>
      <c r="H20" s="36" t="s">
        <v>105</v>
      </c>
      <c r="I20" s="6"/>
      <c r="J20" s="6"/>
      <c r="K20" s="6"/>
      <c r="L20" s="6"/>
      <c r="M20" s="6"/>
      <c r="N20" s="6"/>
      <c r="O20" s="6"/>
      <c r="P20" s="6"/>
      <c r="Q20" s="6"/>
      <c r="R20" s="6"/>
      <c r="S20" s="6"/>
      <c r="T20" s="6"/>
      <c r="U20" s="6"/>
      <c r="V20" s="6"/>
      <c r="W20" s="6"/>
      <c r="X20" s="6"/>
      <c r="Y20" s="6"/>
      <c r="Z20" s="6"/>
    </row>
    <row r="21" ht="60.0" customHeight="1">
      <c r="A21" s="6"/>
      <c r="B21" s="31">
        <v>16.0</v>
      </c>
      <c r="C21" s="31" t="s">
        <v>196</v>
      </c>
      <c r="D21" s="31" t="s">
        <v>197</v>
      </c>
      <c r="E21" s="33" t="s">
        <v>101</v>
      </c>
      <c r="F21" s="31" t="s">
        <v>198</v>
      </c>
      <c r="G21" s="31" t="s">
        <v>199</v>
      </c>
      <c r="H21" s="36" t="s">
        <v>105</v>
      </c>
      <c r="I21" s="6"/>
      <c r="J21" s="6"/>
      <c r="K21" s="6"/>
      <c r="L21" s="6"/>
      <c r="M21" s="6"/>
      <c r="N21" s="6"/>
      <c r="O21" s="6"/>
      <c r="P21" s="6"/>
      <c r="Q21" s="6"/>
      <c r="R21" s="6"/>
      <c r="S21" s="6"/>
      <c r="T21" s="6"/>
      <c r="U21" s="6"/>
      <c r="V21" s="6"/>
      <c r="W21" s="6"/>
      <c r="X21" s="6"/>
      <c r="Y21" s="6"/>
      <c r="Z21" s="6"/>
    </row>
    <row r="22" ht="60.0" customHeight="1">
      <c r="A22" s="6"/>
      <c r="B22" s="31">
        <v>17.0</v>
      </c>
      <c r="C22" s="31" t="s">
        <v>200</v>
      </c>
      <c r="D22" s="31" t="s">
        <v>201</v>
      </c>
      <c r="E22" s="33" t="s">
        <v>101</v>
      </c>
      <c r="F22" s="31" t="s">
        <v>202</v>
      </c>
      <c r="G22" s="31" t="s">
        <v>203</v>
      </c>
      <c r="H22" s="36" t="s">
        <v>105</v>
      </c>
      <c r="I22" s="6"/>
      <c r="J22" s="6"/>
      <c r="K22" s="6"/>
      <c r="L22" s="6"/>
      <c r="M22" s="6"/>
      <c r="N22" s="6"/>
      <c r="O22" s="6"/>
      <c r="P22" s="6"/>
      <c r="Q22" s="6"/>
      <c r="R22" s="6"/>
      <c r="S22" s="6"/>
      <c r="T22" s="6"/>
      <c r="U22" s="6"/>
      <c r="V22" s="6"/>
      <c r="W22" s="6"/>
      <c r="X22" s="6"/>
      <c r="Y22" s="6"/>
      <c r="Z22" s="6"/>
    </row>
    <row r="23" ht="60.0" customHeight="1">
      <c r="A23" s="6"/>
      <c r="B23" s="31">
        <v>18.0</v>
      </c>
      <c r="C23" s="31" t="s">
        <v>204</v>
      </c>
      <c r="D23" s="31" t="s">
        <v>206</v>
      </c>
      <c r="E23" s="33" t="s">
        <v>101</v>
      </c>
      <c r="F23" s="31" t="s">
        <v>208</v>
      </c>
      <c r="G23" s="31" t="s">
        <v>209</v>
      </c>
      <c r="H23" s="36" t="s">
        <v>105</v>
      </c>
      <c r="I23" s="6"/>
      <c r="J23" s="6"/>
      <c r="K23" s="6"/>
      <c r="L23" s="6"/>
      <c r="M23" s="6"/>
      <c r="N23" s="6"/>
      <c r="O23" s="6"/>
      <c r="P23" s="6"/>
      <c r="Q23" s="6"/>
      <c r="R23" s="6"/>
      <c r="S23" s="6"/>
      <c r="T23" s="6"/>
      <c r="U23" s="6"/>
      <c r="V23" s="6"/>
      <c r="W23" s="6"/>
      <c r="X23" s="6"/>
      <c r="Y23" s="6"/>
      <c r="Z23" s="6"/>
    </row>
    <row r="24" ht="60.0" customHeight="1">
      <c r="A24" s="6"/>
      <c r="B24" s="31">
        <v>19.0</v>
      </c>
      <c r="C24" s="31" t="s">
        <v>211</v>
      </c>
      <c r="D24" s="31" t="s">
        <v>212</v>
      </c>
      <c r="E24" s="33" t="s">
        <v>101</v>
      </c>
      <c r="F24" s="31" t="s">
        <v>213</v>
      </c>
      <c r="G24" s="31" t="s">
        <v>214</v>
      </c>
      <c r="H24" s="36" t="s">
        <v>105</v>
      </c>
      <c r="I24" s="6"/>
      <c r="J24" s="6"/>
      <c r="K24" s="6"/>
      <c r="L24" s="6"/>
      <c r="M24" s="6"/>
      <c r="N24" s="6"/>
      <c r="O24" s="6"/>
      <c r="P24" s="6"/>
      <c r="Q24" s="6"/>
      <c r="R24" s="6"/>
      <c r="S24" s="6"/>
      <c r="T24" s="6"/>
      <c r="U24" s="6"/>
      <c r="V24" s="6"/>
      <c r="W24" s="6"/>
      <c r="X24" s="6"/>
      <c r="Y24" s="6"/>
      <c r="Z24" s="6"/>
    </row>
    <row r="25" ht="60.0" customHeight="1">
      <c r="A25" s="6"/>
      <c r="B25" s="31">
        <v>20.0</v>
      </c>
      <c r="C25" s="31" t="s">
        <v>215</v>
      </c>
      <c r="D25" s="31" t="s">
        <v>216</v>
      </c>
      <c r="E25" s="33" t="s">
        <v>101</v>
      </c>
      <c r="F25" s="31" t="s">
        <v>217</v>
      </c>
      <c r="G25" s="31" t="s">
        <v>218</v>
      </c>
      <c r="H25" s="36" t="s">
        <v>105</v>
      </c>
      <c r="I25" s="6"/>
      <c r="J25" s="6"/>
      <c r="K25" s="6"/>
      <c r="L25" s="6"/>
      <c r="M25" s="6"/>
      <c r="N25" s="6"/>
      <c r="O25" s="6"/>
      <c r="P25" s="6"/>
      <c r="Q25" s="6"/>
      <c r="R25" s="6"/>
      <c r="S25" s="6"/>
      <c r="T25" s="6"/>
      <c r="U25" s="6"/>
      <c r="V25" s="6"/>
      <c r="W25" s="6"/>
      <c r="X25" s="6"/>
      <c r="Y25" s="6"/>
      <c r="Z25" s="6"/>
    </row>
    <row r="26" ht="60.0" customHeight="1">
      <c r="A26" s="6"/>
      <c r="B26" s="31">
        <v>21.0</v>
      </c>
      <c r="C26" s="31" t="s">
        <v>219</v>
      </c>
      <c r="D26" s="31" t="s">
        <v>220</v>
      </c>
      <c r="E26" s="33" t="s">
        <v>101</v>
      </c>
      <c r="F26" s="31" t="s">
        <v>221</v>
      </c>
      <c r="G26" s="31" t="s">
        <v>222</v>
      </c>
      <c r="H26" s="36" t="s">
        <v>105</v>
      </c>
      <c r="I26" s="6"/>
      <c r="J26" s="6"/>
      <c r="K26" s="6"/>
      <c r="L26" s="6"/>
      <c r="M26" s="6"/>
      <c r="N26" s="6"/>
      <c r="O26" s="6"/>
      <c r="P26" s="6"/>
      <c r="Q26" s="6"/>
      <c r="R26" s="6"/>
      <c r="S26" s="6"/>
      <c r="T26" s="6"/>
      <c r="U26" s="6"/>
      <c r="V26" s="6"/>
      <c r="W26" s="6"/>
      <c r="X26" s="6"/>
      <c r="Y26" s="6"/>
      <c r="Z26" s="6"/>
    </row>
    <row r="27" ht="60.0" customHeight="1">
      <c r="A27" s="6"/>
      <c r="B27" s="31">
        <v>22.0</v>
      </c>
      <c r="C27" s="31" t="s">
        <v>223</v>
      </c>
      <c r="D27" s="31" t="s">
        <v>224</v>
      </c>
      <c r="E27" s="33" t="s">
        <v>101</v>
      </c>
      <c r="F27" s="31" t="s">
        <v>225</v>
      </c>
      <c r="G27" s="31" t="s">
        <v>226</v>
      </c>
      <c r="H27" s="36" t="s">
        <v>105</v>
      </c>
      <c r="I27" s="6"/>
      <c r="J27" s="6"/>
      <c r="K27" s="6"/>
      <c r="L27" s="6"/>
      <c r="M27" s="6"/>
      <c r="N27" s="6"/>
      <c r="O27" s="6"/>
      <c r="P27" s="6"/>
      <c r="Q27" s="6"/>
      <c r="R27" s="6"/>
      <c r="S27" s="6"/>
      <c r="T27" s="6"/>
      <c r="U27" s="6"/>
      <c r="V27" s="6"/>
      <c r="W27" s="6"/>
      <c r="X27" s="6"/>
      <c r="Y27" s="6"/>
      <c r="Z27" s="6"/>
    </row>
    <row r="28" ht="60.0" customHeight="1">
      <c r="A28" s="6"/>
      <c r="B28" s="31">
        <v>23.0</v>
      </c>
      <c r="C28" s="31" t="s">
        <v>227</v>
      </c>
      <c r="D28" s="31" t="s">
        <v>228</v>
      </c>
      <c r="E28" s="33" t="s">
        <v>101</v>
      </c>
      <c r="F28" s="31" t="s">
        <v>229</v>
      </c>
      <c r="G28" s="31" t="s">
        <v>231</v>
      </c>
      <c r="H28" s="36" t="s">
        <v>105</v>
      </c>
      <c r="I28" s="6"/>
      <c r="J28" s="6"/>
      <c r="K28" s="6"/>
      <c r="L28" s="6"/>
      <c r="M28" s="6"/>
      <c r="N28" s="6"/>
      <c r="O28" s="6"/>
      <c r="P28" s="6"/>
      <c r="Q28" s="6"/>
      <c r="R28" s="6"/>
      <c r="S28" s="6"/>
      <c r="T28" s="6"/>
      <c r="U28" s="6"/>
      <c r="V28" s="6"/>
      <c r="W28" s="6"/>
      <c r="X28" s="6"/>
      <c r="Y28" s="6"/>
      <c r="Z28" s="6"/>
    </row>
    <row r="29" ht="60.0" customHeight="1">
      <c r="A29" s="6"/>
      <c r="B29" s="31">
        <v>24.0</v>
      </c>
      <c r="C29" s="31" t="s">
        <v>232</v>
      </c>
      <c r="D29" s="31" t="s">
        <v>233</v>
      </c>
      <c r="E29" s="33" t="s">
        <v>101</v>
      </c>
      <c r="F29" s="31" t="s">
        <v>234</v>
      </c>
      <c r="G29" s="31" t="s">
        <v>235</v>
      </c>
      <c r="H29" s="36" t="s">
        <v>105</v>
      </c>
      <c r="I29" s="6"/>
      <c r="J29" s="6"/>
      <c r="K29" s="6"/>
      <c r="L29" s="6"/>
      <c r="M29" s="6"/>
      <c r="N29" s="6"/>
      <c r="O29" s="6"/>
      <c r="P29" s="6"/>
      <c r="Q29" s="6"/>
      <c r="R29" s="6"/>
      <c r="S29" s="6"/>
      <c r="T29" s="6"/>
      <c r="U29" s="6"/>
      <c r="V29" s="6"/>
      <c r="W29" s="6"/>
      <c r="X29" s="6"/>
      <c r="Y29" s="6"/>
      <c r="Z29" s="6"/>
    </row>
    <row r="30" ht="60.0" customHeight="1">
      <c r="A30" s="6"/>
      <c r="B30" s="31">
        <v>25.0</v>
      </c>
      <c r="C30" s="31" t="s">
        <v>238</v>
      </c>
      <c r="D30" s="31" t="s">
        <v>239</v>
      </c>
      <c r="E30" s="33" t="s">
        <v>101</v>
      </c>
      <c r="F30" s="31" t="s">
        <v>240</v>
      </c>
      <c r="G30" s="31" t="s">
        <v>241</v>
      </c>
      <c r="H30" s="36" t="s">
        <v>105</v>
      </c>
      <c r="I30" s="6"/>
      <c r="J30" s="6"/>
      <c r="K30" s="6"/>
      <c r="L30" s="6"/>
      <c r="M30" s="6"/>
      <c r="N30" s="6"/>
      <c r="O30" s="6"/>
      <c r="P30" s="6"/>
      <c r="Q30" s="6"/>
      <c r="R30" s="6"/>
      <c r="S30" s="6"/>
      <c r="T30" s="6"/>
      <c r="U30" s="6"/>
      <c r="V30" s="6"/>
      <c r="W30" s="6"/>
      <c r="X30" s="6"/>
      <c r="Y30" s="6"/>
      <c r="Z30" s="6"/>
    </row>
    <row r="31" ht="60.0" customHeight="1">
      <c r="A31" s="6"/>
      <c r="B31" s="31">
        <v>26.0</v>
      </c>
      <c r="C31" s="31" t="s">
        <v>242</v>
      </c>
      <c r="D31" s="31" t="s">
        <v>243</v>
      </c>
      <c r="E31" s="33" t="s">
        <v>101</v>
      </c>
      <c r="F31" s="31" t="s">
        <v>244</v>
      </c>
      <c r="G31" s="31" t="s">
        <v>245</v>
      </c>
      <c r="H31" s="36" t="s">
        <v>105</v>
      </c>
      <c r="I31" s="6"/>
      <c r="J31" s="6"/>
      <c r="K31" s="6"/>
      <c r="L31" s="6"/>
      <c r="M31" s="6"/>
      <c r="N31" s="6"/>
      <c r="O31" s="6"/>
      <c r="P31" s="6"/>
      <c r="Q31" s="6"/>
      <c r="R31" s="6"/>
      <c r="S31" s="6"/>
      <c r="T31" s="6"/>
      <c r="U31" s="6"/>
      <c r="V31" s="6"/>
      <c r="W31" s="6"/>
      <c r="X31" s="6"/>
      <c r="Y31" s="6"/>
      <c r="Z31" s="6"/>
    </row>
    <row r="32" ht="60.0" customHeight="1">
      <c r="A32" s="6"/>
      <c r="B32" s="31">
        <v>27.0</v>
      </c>
      <c r="C32" s="31" t="s">
        <v>246</v>
      </c>
      <c r="D32" s="31" t="s">
        <v>247</v>
      </c>
      <c r="E32" s="33" t="s">
        <v>101</v>
      </c>
      <c r="F32" s="31" t="s">
        <v>248</v>
      </c>
      <c r="G32" s="31" t="s">
        <v>249</v>
      </c>
      <c r="H32" s="36" t="s">
        <v>105</v>
      </c>
      <c r="I32" s="6"/>
      <c r="J32" s="6"/>
      <c r="K32" s="6"/>
      <c r="L32" s="6"/>
      <c r="M32" s="6"/>
      <c r="N32" s="6"/>
      <c r="O32" s="6"/>
      <c r="P32" s="6"/>
      <c r="Q32" s="6"/>
      <c r="R32" s="6"/>
      <c r="S32" s="6"/>
      <c r="T32" s="6"/>
      <c r="U32" s="6"/>
      <c r="V32" s="6"/>
      <c r="W32" s="6"/>
      <c r="X32" s="6"/>
      <c r="Y32" s="6"/>
      <c r="Z32" s="6"/>
    </row>
    <row r="33" ht="60.0" customHeight="1">
      <c r="A33" s="6"/>
      <c r="B33" s="31">
        <v>28.0</v>
      </c>
      <c r="C33" s="31" t="s">
        <v>250</v>
      </c>
      <c r="D33" s="31" t="s">
        <v>251</v>
      </c>
      <c r="E33" s="33" t="s">
        <v>101</v>
      </c>
      <c r="F33" s="31" t="s">
        <v>252</v>
      </c>
      <c r="G33" s="31" t="s">
        <v>253</v>
      </c>
      <c r="H33" s="36" t="s">
        <v>105</v>
      </c>
      <c r="I33" s="6"/>
      <c r="J33" s="6"/>
      <c r="K33" s="6"/>
      <c r="L33" s="6"/>
      <c r="M33" s="6"/>
      <c r="N33" s="6"/>
      <c r="O33" s="6"/>
      <c r="P33" s="6"/>
      <c r="Q33" s="6"/>
      <c r="R33" s="6"/>
      <c r="S33" s="6"/>
      <c r="T33" s="6"/>
      <c r="U33" s="6"/>
      <c r="V33" s="6"/>
      <c r="W33" s="6"/>
      <c r="X33" s="6"/>
      <c r="Y33" s="6"/>
      <c r="Z33" s="6"/>
    </row>
    <row r="34" ht="60.0" customHeight="1">
      <c r="A34" s="6"/>
      <c r="B34" s="31">
        <v>29.0</v>
      </c>
      <c r="C34" s="31" t="s">
        <v>256</v>
      </c>
      <c r="D34" s="31" t="s">
        <v>258</v>
      </c>
      <c r="E34" s="33" t="s">
        <v>101</v>
      </c>
      <c r="F34" s="31" t="s">
        <v>259</v>
      </c>
      <c r="G34" s="31" t="s">
        <v>260</v>
      </c>
      <c r="H34" s="36" t="s">
        <v>105</v>
      </c>
      <c r="I34" s="6"/>
      <c r="J34" s="6"/>
      <c r="K34" s="6"/>
      <c r="L34" s="6"/>
      <c r="M34" s="6"/>
      <c r="N34" s="6"/>
      <c r="O34" s="6"/>
      <c r="P34" s="6"/>
      <c r="Q34" s="6"/>
      <c r="R34" s="6"/>
      <c r="S34" s="6"/>
      <c r="T34" s="6"/>
      <c r="U34" s="6"/>
      <c r="V34" s="6"/>
      <c r="W34" s="6"/>
      <c r="X34" s="6"/>
      <c r="Y34" s="6"/>
      <c r="Z34" s="6"/>
    </row>
    <row r="35" ht="60.0" customHeight="1">
      <c r="A35" s="6"/>
      <c r="B35" s="31">
        <v>30.0</v>
      </c>
      <c r="C35" s="31" t="s">
        <v>261</v>
      </c>
      <c r="D35" s="31" t="s">
        <v>262</v>
      </c>
      <c r="E35" s="33" t="s">
        <v>101</v>
      </c>
      <c r="F35" s="31" t="s">
        <v>263</v>
      </c>
      <c r="G35" s="31" t="s">
        <v>264</v>
      </c>
      <c r="H35" s="36" t="s">
        <v>105</v>
      </c>
      <c r="I35" s="6"/>
      <c r="J35" s="6"/>
      <c r="K35" s="6"/>
      <c r="L35" s="6"/>
      <c r="M35" s="6"/>
      <c r="N35" s="6"/>
      <c r="O35" s="6"/>
      <c r="P35" s="6"/>
      <c r="Q35" s="6"/>
      <c r="R35" s="6"/>
      <c r="S35" s="6"/>
      <c r="T35" s="6"/>
      <c r="U35" s="6"/>
      <c r="V35" s="6"/>
      <c r="W35" s="6"/>
      <c r="X35" s="6"/>
      <c r="Y35" s="6"/>
      <c r="Z35" s="6"/>
    </row>
    <row r="36" ht="60.0" customHeight="1">
      <c r="A36" s="6"/>
      <c r="B36" s="31">
        <v>31.0</v>
      </c>
      <c r="C36" s="31" t="s">
        <v>267</v>
      </c>
      <c r="D36" s="31" t="s">
        <v>268</v>
      </c>
      <c r="E36" s="33" t="s">
        <v>101</v>
      </c>
      <c r="F36" s="31" t="s">
        <v>269</v>
      </c>
      <c r="G36" s="31" t="s">
        <v>270</v>
      </c>
      <c r="H36" s="36" t="s">
        <v>105</v>
      </c>
      <c r="I36" s="6"/>
      <c r="J36" s="6"/>
      <c r="K36" s="6"/>
      <c r="L36" s="6"/>
      <c r="M36" s="6"/>
      <c r="N36" s="6"/>
      <c r="O36" s="6"/>
      <c r="P36" s="6"/>
      <c r="Q36" s="6"/>
      <c r="R36" s="6"/>
      <c r="S36" s="6"/>
      <c r="T36" s="6"/>
      <c r="U36" s="6"/>
      <c r="V36" s="6"/>
      <c r="W36" s="6"/>
      <c r="X36" s="6"/>
      <c r="Y36" s="6"/>
      <c r="Z36" s="6"/>
    </row>
    <row r="37" ht="60.0" customHeight="1">
      <c r="A37" s="6"/>
      <c r="B37" s="31">
        <v>32.0</v>
      </c>
      <c r="C37" s="31" t="s">
        <v>271</v>
      </c>
      <c r="D37" s="31" t="s">
        <v>272</v>
      </c>
      <c r="E37" s="33" t="s">
        <v>101</v>
      </c>
      <c r="F37" s="31" t="s">
        <v>273</v>
      </c>
      <c r="G37" s="31" t="s">
        <v>274</v>
      </c>
      <c r="H37" s="36" t="s">
        <v>105</v>
      </c>
      <c r="I37" s="6"/>
      <c r="J37" s="6"/>
      <c r="K37" s="6"/>
      <c r="L37" s="6"/>
      <c r="M37" s="6"/>
      <c r="N37" s="6"/>
      <c r="O37" s="6"/>
      <c r="P37" s="6"/>
      <c r="Q37" s="6"/>
      <c r="R37" s="6"/>
      <c r="S37" s="6"/>
      <c r="T37" s="6"/>
      <c r="U37" s="6"/>
      <c r="V37" s="6"/>
      <c r="W37" s="6"/>
      <c r="X37" s="6"/>
      <c r="Y37" s="6"/>
      <c r="Z37" s="6"/>
    </row>
    <row r="38" ht="60.0" customHeight="1">
      <c r="A38" s="6"/>
      <c r="B38" s="31">
        <v>33.0</v>
      </c>
      <c r="C38" s="31" t="s">
        <v>275</v>
      </c>
      <c r="D38" s="31" t="s">
        <v>276</v>
      </c>
      <c r="E38" s="33" t="s">
        <v>101</v>
      </c>
      <c r="F38" s="31" t="s">
        <v>278</v>
      </c>
      <c r="G38" s="31" t="s">
        <v>279</v>
      </c>
      <c r="H38" s="36" t="s">
        <v>105</v>
      </c>
      <c r="I38" s="6"/>
      <c r="J38" s="6"/>
      <c r="K38" s="6"/>
      <c r="L38" s="6"/>
      <c r="M38" s="6"/>
      <c r="N38" s="6"/>
      <c r="O38" s="6"/>
      <c r="P38" s="6"/>
      <c r="Q38" s="6"/>
      <c r="R38" s="6"/>
      <c r="S38" s="6"/>
      <c r="T38" s="6"/>
      <c r="U38" s="6"/>
      <c r="V38" s="6"/>
      <c r="W38" s="6"/>
      <c r="X38" s="6"/>
      <c r="Y38" s="6"/>
      <c r="Z38" s="6"/>
    </row>
    <row r="39" ht="60.0" customHeight="1">
      <c r="A39" s="6"/>
      <c r="B39" s="31">
        <v>34.0</v>
      </c>
      <c r="C39" s="31" t="s">
        <v>281</v>
      </c>
      <c r="D39" s="31" t="s">
        <v>282</v>
      </c>
      <c r="E39" s="33" t="s">
        <v>101</v>
      </c>
      <c r="F39" s="31" t="s">
        <v>283</v>
      </c>
      <c r="G39" s="31" t="s">
        <v>284</v>
      </c>
      <c r="H39" s="36" t="s">
        <v>105</v>
      </c>
      <c r="I39" s="6"/>
      <c r="J39" s="6"/>
      <c r="K39" s="6"/>
      <c r="L39" s="6"/>
      <c r="M39" s="6"/>
      <c r="N39" s="6"/>
      <c r="O39" s="6"/>
      <c r="P39" s="6"/>
      <c r="Q39" s="6"/>
      <c r="R39" s="6"/>
      <c r="S39" s="6"/>
      <c r="T39" s="6"/>
      <c r="U39" s="6"/>
      <c r="V39" s="6"/>
      <c r="W39" s="6"/>
      <c r="X39" s="6"/>
      <c r="Y39" s="6"/>
      <c r="Z39" s="6"/>
    </row>
    <row r="40" ht="60.0" customHeight="1">
      <c r="A40" s="6"/>
      <c r="B40" s="31">
        <v>35.0</v>
      </c>
      <c r="C40" s="31" t="s">
        <v>285</v>
      </c>
      <c r="D40" s="31" t="s">
        <v>286</v>
      </c>
      <c r="E40" s="33" t="s">
        <v>101</v>
      </c>
      <c r="F40" s="31" t="s">
        <v>287</v>
      </c>
      <c r="G40" s="31" t="s">
        <v>288</v>
      </c>
      <c r="H40" s="36" t="s">
        <v>105</v>
      </c>
      <c r="I40" s="6"/>
      <c r="J40" s="6"/>
      <c r="K40" s="6"/>
      <c r="L40" s="6"/>
      <c r="M40" s="6"/>
      <c r="N40" s="6"/>
      <c r="O40" s="6"/>
      <c r="P40" s="6"/>
      <c r="Q40" s="6"/>
      <c r="R40" s="6"/>
      <c r="S40" s="6"/>
      <c r="T40" s="6"/>
      <c r="U40" s="6"/>
      <c r="V40" s="6"/>
      <c r="W40" s="6"/>
      <c r="X40" s="6"/>
      <c r="Y40" s="6"/>
      <c r="Z40" s="6"/>
    </row>
    <row r="41" ht="60.0" customHeight="1">
      <c r="A41" s="6"/>
      <c r="B41" s="31">
        <v>36.0</v>
      </c>
      <c r="C41" s="31" t="s">
        <v>289</v>
      </c>
      <c r="D41" s="31" t="s">
        <v>290</v>
      </c>
      <c r="E41" s="33" t="s">
        <v>101</v>
      </c>
      <c r="F41" s="31" t="s">
        <v>291</v>
      </c>
      <c r="G41" s="31" t="s">
        <v>292</v>
      </c>
      <c r="H41" s="36" t="s">
        <v>105</v>
      </c>
      <c r="I41" s="6"/>
      <c r="J41" s="6"/>
      <c r="K41" s="6"/>
      <c r="L41" s="6"/>
      <c r="M41" s="6"/>
      <c r="N41" s="6"/>
      <c r="O41" s="6"/>
      <c r="P41" s="6"/>
      <c r="Q41" s="6"/>
      <c r="R41" s="6"/>
      <c r="S41" s="6"/>
      <c r="T41" s="6"/>
      <c r="U41" s="6"/>
      <c r="V41" s="6"/>
      <c r="W41" s="6"/>
      <c r="X41" s="6"/>
      <c r="Y41" s="6"/>
      <c r="Z41" s="6"/>
    </row>
    <row r="42" ht="60.0" customHeight="1">
      <c r="A42" s="6"/>
      <c r="B42" s="31">
        <v>37.0</v>
      </c>
      <c r="C42" s="31" t="s">
        <v>98</v>
      </c>
      <c r="D42" s="31" t="s">
        <v>295</v>
      </c>
      <c r="E42" s="33" t="s">
        <v>101</v>
      </c>
      <c r="F42" s="31" t="s">
        <v>297</v>
      </c>
      <c r="G42" s="31" t="s">
        <v>298</v>
      </c>
      <c r="H42" s="36" t="s">
        <v>105</v>
      </c>
      <c r="I42" s="6"/>
      <c r="J42" s="6"/>
      <c r="K42" s="6"/>
      <c r="L42" s="6"/>
      <c r="M42" s="6"/>
      <c r="N42" s="6"/>
      <c r="O42" s="6"/>
      <c r="P42" s="6"/>
      <c r="Q42" s="6"/>
      <c r="R42" s="6"/>
      <c r="S42" s="6"/>
      <c r="T42" s="6"/>
      <c r="U42" s="6"/>
      <c r="V42" s="6"/>
      <c r="W42" s="6"/>
      <c r="X42" s="6"/>
      <c r="Y42" s="6"/>
      <c r="Z42" s="6"/>
    </row>
    <row r="43" ht="60.0" customHeight="1">
      <c r="A43" s="6"/>
      <c r="B43" s="31">
        <v>38.0</v>
      </c>
      <c r="C43" s="31" t="s">
        <v>302</v>
      </c>
      <c r="D43" s="31" t="s">
        <v>303</v>
      </c>
      <c r="E43" s="33" t="s">
        <v>101</v>
      </c>
      <c r="F43" s="31" t="s">
        <v>304</v>
      </c>
      <c r="G43" s="31" t="s">
        <v>305</v>
      </c>
      <c r="H43" s="36" t="s">
        <v>105</v>
      </c>
      <c r="I43" s="6"/>
      <c r="J43" s="6"/>
      <c r="K43" s="6"/>
      <c r="L43" s="6"/>
      <c r="M43" s="6"/>
      <c r="N43" s="6"/>
      <c r="O43" s="6"/>
      <c r="P43" s="6"/>
      <c r="Q43" s="6"/>
      <c r="R43" s="6"/>
      <c r="S43" s="6"/>
      <c r="T43" s="6"/>
      <c r="U43" s="6"/>
      <c r="V43" s="6"/>
      <c r="W43" s="6"/>
      <c r="X43" s="6"/>
      <c r="Y43" s="6"/>
      <c r="Z43" s="6"/>
    </row>
    <row r="44" ht="60.0" customHeight="1">
      <c r="A44" s="6"/>
      <c r="B44" s="31">
        <v>39.0</v>
      </c>
      <c r="C44" s="31" t="s">
        <v>306</v>
      </c>
      <c r="D44" s="31" t="s">
        <v>307</v>
      </c>
      <c r="E44" s="33" t="s">
        <v>101</v>
      </c>
      <c r="F44" s="31" t="s">
        <v>308</v>
      </c>
      <c r="G44" s="31" t="s">
        <v>309</v>
      </c>
      <c r="H44" s="36" t="s">
        <v>105</v>
      </c>
      <c r="I44" s="6"/>
      <c r="J44" s="6"/>
      <c r="K44" s="6"/>
      <c r="L44" s="6"/>
      <c r="M44" s="6"/>
      <c r="N44" s="6"/>
      <c r="O44" s="6"/>
      <c r="P44" s="6"/>
      <c r="Q44" s="6"/>
      <c r="R44" s="6"/>
      <c r="S44" s="6"/>
      <c r="T44" s="6"/>
      <c r="U44" s="6"/>
      <c r="V44" s="6"/>
      <c r="W44" s="6"/>
      <c r="X44" s="6"/>
      <c r="Y44" s="6"/>
      <c r="Z44" s="6"/>
    </row>
    <row r="45" ht="60.0" customHeight="1">
      <c r="A45" s="6"/>
      <c r="B45" s="31">
        <v>40.0</v>
      </c>
      <c r="C45" s="31" t="s">
        <v>310</v>
      </c>
      <c r="D45" s="31" t="s">
        <v>311</v>
      </c>
      <c r="E45" s="33" t="s">
        <v>101</v>
      </c>
      <c r="F45" s="31" t="s">
        <v>312</v>
      </c>
      <c r="G45" s="31" t="s">
        <v>313</v>
      </c>
      <c r="H45" s="36" t="s">
        <v>105</v>
      </c>
      <c r="I45" s="6"/>
      <c r="J45" s="6"/>
      <c r="K45" s="6"/>
      <c r="L45" s="6"/>
      <c r="M45" s="6"/>
      <c r="N45" s="6"/>
      <c r="O45" s="6"/>
      <c r="P45" s="6"/>
      <c r="Q45" s="6"/>
      <c r="R45" s="6"/>
      <c r="S45" s="6"/>
      <c r="T45" s="6"/>
      <c r="U45" s="6"/>
      <c r="V45" s="6"/>
      <c r="W45" s="6"/>
      <c r="X45" s="6"/>
      <c r="Y45" s="6"/>
      <c r="Z45" s="6"/>
    </row>
    <row r="46" ht="60.0" customHeight="1">
      <c r="A46" s="6"/>
      <c r="B46" s="31">
        <v>41.0</v>
      </c>
      <c r="C46" s="31" t="s">
        <v>314</v>
      </c>
      <c r="D46" s="31" t="s">
        <v>315</v>
      </c>
      <c r="E46" s="33" t="s">
        <v>101</v>
      </c>
      <c r="F46" s="31" t="s">
        <v>316</v>
      </c>
      <c r="G46" s="31" t="s">
        <v>317</v>
      </c>
      <c r="H46" s="36" t="s">
        <v>105</v>
      </c>
      <c r="I46" s="6"/>
      <c r="J46" s="6"/>
      <c r="K46" s="6"/>
      <c r="L46" s="6"/>
      <c r="M46" s="6"/>
      <c r="N46" s="6"/>
      <c r="O46" s="6"/>
      <c r="P46" s="6"/>
      <c r="Q46" s="6"/>
      <c r="R46" s="6"/>
      <c r="S46" s="6"/>
      <c r="T46" s="6"/>
      <c r="U46" s="6"/>
      <c r="V46" s="6"/>
      <c r="W46" s="6"/>
      <c r="X46" s="6"/>
      <c r="Y46" s="6"/>
      <c r="Z46" s="6"/>
    </row>
    <row r="47" ht="60.0" customHeight="1">
      <c r="A47" s="6"/>
      <c r="B47" s="31">
        <v>42.0</v>
      </c>
      <c r="C47" s="31" t="s">
        <v>318</v>
      </c>
      <c r="D47" s="31" t="s">
        <v>319</v>
      </c>
      <c r="E47" s="33" t="s">
        <v>101</v>
      </c>
      <c r="F47" s="31" t="s">
        <v>320</v>
      </c>
      <c r="G47" s="31" t="s">
        <v>322</v>
      </c>
      <c r="H47" s="36" t="s">
        <v>105</v>
      </c>
      <c r="I47" s="6"/>
      <c r="J47" s="6"/>
      <c r="K47" s="6"/>
      <c r="L47" s="6"/>
      <c r="M47" s="6"/>
      <c r="N47" s="6"/>
      <c r="O47" s="6"/>
      <c r="P47" s="6"/>
      <c r="Q47" s="6"/>
      <c r="R47" s="6"/>
      <c r="S47" s="6"/>
      <c r="T47" s="6"/>
      <c r="U47" s="6"/>
      <c r="V47" s="6"/>
      <c r="W47" s="6"/>
      <c r="X47" s="6"/>
      <c r="Y47" s="6"/>
      <c r="Z47" s="6"/>
    </row>
    <row r="48" ht="60.0" customHeight="1">
      <c r="A48" s="6"/>
      <c r="B48" s="31">
        <v>43.0</v>
      </c>
      <c r="C48" s="31" t="s">
        <v>328</v>
      </c>
      <c r="D48" s="31" t="s">
        <v>330</v>
      </c>
      <c r="E48" s="33" t="s">
        <v>101</v>
      </c>
      <c r="F48" s="31" t="s">
        <v>332</v>
      </c>
      <c r="G48" s="31" t="s">
        <v>334</v>
      </c>
      <c r="H48" s="36" t="s">
        <v>105</v>
      </c>
      <c r="I48" s="6"/>
      <c r="J48" s="6"/>
      <c r="K48" s="6"/>
      <c r="L48" s="6"/>
      <c r="M48" s="6"/>
      <c r="N48" s="6"/>
      <c r="O48" s="6"/>
      <c r="P48" s="6"/>
      <c r="Q48" s="6"/>
      <c r="R48" s="6"/>
      <c r="S48" s="6"/>
      <c r="T48" s="6"/>
      <c r="U48" s="6"/>
      <c r="V48" s="6"/>
      <c r="W48" s="6"/>
      <c r="X48" s="6"/>
      <c r="Y48" s="6"/>
      <c r="Z48" s="6"/>
    </row>
    <row r="49" ht="60.0" customHeight="1">
      <c r="A49" s="6"/>
      <c r="B49" s="31">
        <v>44.0</v>
      </c>
      <c r="C49" s="31" t="s">
        <v>335</v>
      </c>
      <c r="D49" s="31" t="s">
        <v>337</v>
      </c>
      <c r="E49" s="33" t="s">
        <v>101</v>
      </c>
      <c r="F49" s="31" t="s">
        <v>340</v>
      </c>
      <c r="G49" s="31" t="s">
        <v>342</v>
      </c>
      <c r="H49" s="36" t="s">
        <v>105</v>
      </c>
      <c r="I49" s="6"/>
      <c r="J49" s="6"/>
      <c r="K49" s="6"/>
      <c r="L49" s="6"/>
      <c r="M49" s="6"/>
      <c r="N49" s="6"/>
      <c r="O49" s="6"/>
      <c r="P49" s="6"/>
      <c r="Q49" s="6"/>
      <c r="R49" s="6"/>
      <c r="S49" s="6"/>
      <c r="T49" s="6"/>
      <c r="U49" s="6"/>
      <c r="V49" s="6"/>
      <c r="W49" s="6"/>
      <c r="X49" s="6"/>
      <c r="Y49" s="6"/>
      <c r="Z49" s="6"/>
    </row>
    <row r="50" ht="60.0" customHeight="1">
      <c r="A50" s="6"/>
      <c r="B50" s="31">
        <v>45.0</v>
      </c>
      <c r="C50" s="31" t="s">
        <v>346</v>
      </c>
      <c r="D50" s="31" t="s">
        <v>348</v>
      </c>
      <c r="E50" s="33" t="s">
        <v>101</v>
      </c>
      <c r="F50" s="31" t="s">
        <v>350</v>
      </c>
      <c r="G50" s="31" t="s">
        <v>351</v>
      </c>
      <c r="H50" s="36" t="s">
        <v>105</v>
      </c>
      <c r="I50" s="6"/>
      <c r="J50" s="6"/>
      <c r="K50" s="6"/>
      <c r="L50" s="6"/>
      <c r="M50" s="6"/>
      <c r="N50" s="6"/>
      <c r="O50" s="6"/>
      <c r="P50" s="6"/>
      <c r="Q50" s="6"/>
      <c r="R50" s="6"/>
      <c r="S50" s="6"/>
      <c r="T50" s="6"/>
      <c r="U50" s="6"/>
      <c r="V50" s="6"/>
      <c r="W50" s="6"/>
      <c r="X50" s="6"/>
      <c r="Y50" s="6"/>
      <c r="Z50" s="6"/>
    </row>
    <row r="51" ht="60.0" customHeight="1">
      <c r="A51" s="6"/>
      <c r="B51" s="31">
        <v>46.0</v>
      </c>
      <c r="C51" s="31" t="s">
        <v>352</v>
      </c>
      <c r="D51" s="31" t="s">
        <v>353</v>
      </c>
      <c r="E51" s="33" t="s">
        <v>101</v>
      </c>
      <c r="F51" s="31" t="s">
        <v>354</v>
      </c>
      <c r="G51" s="31" t="s">
        <v>356</v>
      </c>
      <c r="H51" s="36" t="s">
        <v>105</v>
      </c>
      <c r="I51" s="6"/>
      <c r="J51" s="6"/>
      <c r="K51" s="6"/>
      <c r="L51" s="6"/>
      <c r="M51" s="6"/>
      <c r="N51" s="6"/>
      <c r="O51" s="6"/>
      <c r="P51" s="6"/>
      <c r="Q51" s="6"/>
      <c r="R51" s="6"/>
      <c r="S51" s="6"/>
      <c r="T51" s="6"/>
      <c r="U51" s="6"/>
      <c r="V51" s="6"/>
      <c r="W51" s="6"/>
      <c r="X51" s="6"/>
      <c r="Y51" s="6"/>
      <c r="Z51" s="6"/>
    </row>
    <row r="52" ht="60.0" customHeight="1">
      <c r="A52" s="6"/>
      <c r="B52" s="31">
        <v>47.0</v>
      </c>
      <c r="C52" s="31" t="s">
        <v>359</v>
      </c>
      <c r="D52" s="31" t="s">
        <v>360</v>
      </c>
      <c r="E52" s="33" t="s">
        <v>101</v>
      </c>
      <c r="F52" s="31" t="s">
        <v>361</v>
      </c>
      <c r="G52" s="31" t="s">
        <v>362</v>
      </c>
      <c r="H52" s="36" t="s">
        <v>105</v>
      </c>
      <c r="I52" s="6"/>
      <c r="J52" s="6"/>
      <c r="K52" s="6"/>
      <c r="L52" s="6"/>
      <c r="M52" s="6"/>
      <c r="N52" s="6"/>
      <c r="O52" s="6"/>
      <c r="P52" s="6"/>
      <c r="Q52" s="6"/>
      <c r="R52" s="6"/>
      <c r="S52" s="6"/>
      <c r="T52" s="6"/>
      <c r="U52" s="6"/>
      <c r="V52" s="6"/>
      <c r="W52" s="6"/>
      <c r="X52" s="6"/>
      <c r="Y52" s="6"/>
      <c r="Z52" s="6"/>
    </row>
    <row r="53" ht="60.0" customHeight="1">
      <c r="A53" s="6"/>
      <c r="B53" s="31">
        <v>48.0</v>
      </c>
      <c r="C53" s="31" t="s">
        <v>364</v>
      </c>
      <c r="D53" s="31" t="s">
        <v>366</v>
      </c>
      <c r="E53" s="33" t="s">
        <v>101</v>
      </c>
      <c r="F53" s="31" t="s">
        <v>367</v>
      </c>
      <c r="G53" s="31" t="s">
        <v>369</v>
      </c>
      <c r="H53" s="36" t="s">
        <v>105</v>
      </c>
      <c r="I53" s="6"/>
      <c r="J53" s="6"/>
      <c r="K53" s="6"/>
      <c r="L53" s="6"/>
      <c r="M53" s="6"/>
      <c r="N53" s="6"/>
      <c r="O53" s="6"/>
      <c r="P53" s="6"/>
      <c r="Q53" s="6"/>
      <c r="R53" s="6"/>
      <c r="S53" s="6"/>
      <c r="T53" s="6"/>
      <c r="U53" s="6"/>
      <c r="V53" s="6"/>
      <c r="W53" s="6"/>
      <c r="X53" s="6"/>
      <c r="Y53" s="6"/>
      <c r="Z53" s="6"/>
    </row>
    <row r="54" ht="60.0" customHeight="1">
      <c r="A54" s="6"/>
      <c r="B54" s="31">
        <v>49.0</v>
      </c>
      <c r="C54" s="31" t="s">
        <v>371</v>
      </c>
      <c r="D54" s="31" t="s">
        <v>372</v>
      </c>
      <c r="E54" s="33" t="s">
        <v>101</v>
      </c>
      <c r="F54" s="31" t="s">
        <v>373</v>
      </c>
      <c r="G54" s="31" t="s">
        <v>374</v>
      </c>
      <c r="H54" s="36" t="s">
        <v>105</v>
      </c>
      <c r="I54" s="6"/>
      <c r="J54" s="6"/>
      <c r="K54" s="6"/>
      <c r="L54" s="6"/>
      <c r="M54" s="6"/>
      <c r="N54" s="6"/>
      <c r="O54" s="6"/>
      <c r="P54" s="6"/>
      <c r="Q54" s="6"/>
      <c r="R54" s="6"/>
      <c r="S54" s="6"/>
      <c r="T54" s="6"/>
      <c r="U54" s="6"/>
      <c r="V54" s="6"/>
      <c r="W54" s="6"/>
      <c r="X54" s="6"/>
      <c r="Y54" s="6"/>
      <c r="Z54" s="6"/>
    </row>
    <row r="55" ht="60.0" customHeight="1">
      <c r="A55" s="6"/>
      <c r="B55" s="31">
        <v>50.0</v>
      </c>
      <c r="C55" s="31" t="s">
        <v>380</v>
      </c>
      <c r="D55" s="31" t="s">
        <v>382</v>
      </c>
      <c r="E55" s="33" t="s">
        <v>101</v>
      </c>
      <c r="F55" s="31" t="s">
        <v>383</v>
      </c>
      <c r="G55" s="31" t="s">
        <v>385</v>
      </c>
      <c r="H55" s="36" t="s">
        <v>105</v>
      </c>
      <c r="I55" s="6"/>
      <c r="J55" s="6"/>
      <c r="K55" s="6"/>
      <c r="L55" s="6"/>
      <c r="M55" s="6"/>
      <c r="N55" s="6"/>
      <c r="O55" s="6"/>
      <c r="P55" s="6"/>
      <c r="Q55" s="6"/>
      <c r="R55" s="6"/>
      <c r="S55" s="6"/>
      <c r="T55" s="6"/>
      <c r="U55" s="6"/>
      <c r="V55" s="6"/>
      <c r="W55" s="6"/>
      <c r="X55" s="6"/>
      <c r="Y55" s="6"/>
      <c r="Z55" s="6"/>
    </row>
    <row r="56" ht="60.0" customHeight="1">
      <c r="A56" s="6"/>
      <c r="B56" s="31">
        <v>51.0</v>
      </c>
      <c r="C56" s="31" t="s">
        <v>388</v>
      </c>
      <c r="D56" s="31" t="s">
        <v>389</v>
      </c>
      <c r="E56" s="33" t="s">
        <v>101</v>
      </c>
      <c r="F56" s="31" t="s">
        <v>390</v>
      </c>
      <c r="G56" s="31" t="s">
        <v>391</v>
      </c>
      <c r="H56" s="36" t="s">
        <v>105</v>
      </c>
      <c r="I56" s="6"/>
      <c r="J56" s="6"/>
      <c r="K56" s="6"/>
      <c r="L56" s="6"/>
      <c r="M56" s="6"/>
      <c r="N56" s="6"/>
      <c r="O56" s="6"/>
      <c r="P56" s="6"/>
      <c r="Q56" s="6"/>
      <c r="R56" s="6"/>
      <c r="S56" s="6"/>
      <c r="T56" s="6"/>
      <c r="U56" s="6"/>
      <c r="V56" s="6"/>
      <c r="W56" s="6"/>
      <c r="X56" s="6"/>
      <c r="Y56" s="6"/>
      <c r="Z56" s="6"/>
    </row>
    <row r="57" ht="60.0" customHeight="1">
      <c r="A57" s="6"/>
      <c r="B57" s="31">
        <v>52.0</v>
      </c>
      <c r="C57" s="31" t="s">
        <v>392</v>
      </c>
      <c r="D57" s="31" t="s">
        <v>394</v>
      </c>
      <c r="E57" s="33" t="s">
        <v>101</v>
      </c>
      <c r="F57" s="31" t="s">
        <v>395</v>
      </c>
      <c r="G57" s="31" t="s">
        <v>396</v>
      </c>
      <c r="H57" s="36" t="s">
        <v>105</v>
      </c>
      <c r="I57" s="6"/>
      <c r="J57" s="6"/>
      <c r="K57" s="6"/>
      <c r="L57" s="6"/>
      <c r="M57" s="6"/>
      <c r="N57" s="6"/>
      <c r="O57" s="6"/>
      <c r="P57" s="6"/>
      <c r="Q57" s="6"/>
      <c r="R57" s="6"/>
      <c r="S57" s="6"/>
      <c r="T57" s="6"/>
      <c r="U57" s="6"/>
      <c r="V57" s="6"/>
      <c r="W57" s="6"/>
      <c r="X57" s="6"/>
      <c r="Y57" s="6"/>
      <c r="Z57" s="6"/>
    </row>
    <row r="58" ht="60.0" customHeight="1">
      <c r="A58" s="6"/>
      <c r="B58" s="31">
        <v>53.0</v>
      </c>
      <c r="C58" s="31" t="s">
        <v>398</v>
      </c>
      <c r="D58" s="31" t="s">
        <v>399</v>
      </c>
      <c r="E58" s="33" t="s">
        <v>101</v>
      </c>
      <c r="F58" s="31" t="s">
        <v>400</v>
      </c>
      <c r="G58" s="31" t="s">
        <v>401</v>
      </c>
      <c r="H58" s="36" t="s">
        <v>105</v>
      </c>
      <c r="I58" s="6"/>
      <c r="J58" s="6"/>
      <c r="K58" s="6"/>
      <c r="L58" s="6"/>
      <c r="M58" s="6"/>
      <c r="N58" s="6"/>
      <c r="O58" s="6"/>
      <c r="P58" s="6"/>
      <c r="Q58" s="6"/>
      <c r="R58" s="6"/>
      <c r="S58" s="6"/>
      <c r="T58" s="6"/>
      <c r="U58" s="6"/>
      <c r="V58" s="6"/>
      <c r="W58" s="6"/>
      <c r="X58" s="6"/>
      <c r="Y58" s="6"/>
      <c r="Z58" s="6"/>
    </row>
    <row r="59" ht="60.0" customHeight="1">
      <c r="A59" s="6"/>
      <c r="B59" s="31">
        <v>54.0</v>
      </c>
      <c r="C59" s="31" t="s">
        <v>404</v>
      </c>
      <c r="D59" s="31" t="s">
        <v>406</v>
      </c>
      <c r="E59" s="33" t="s">
        <v>101</v>
      </c>
      <c r="F59" s="31" t="s">
        <v>408</v>
      </c>
      <c r="G59" s="31" t="s">
        <v>409</v>
      </c>
      <c r="H59" s="36" t="s">
        <v>105</v>
      </c>
      <c r="I59" s="6"/>
      <c r="J59" s="6"/>
      <c r="K59" s="6"/>
      <c r="L59" s="6"/>
      <c r="M59" s="6"/>
      <c r="N59" s="6"/>
      <c r="O59" s="6"/>
      <c r="P59" s="6"/>
      <c r="Q59" s="6"/>
      <c r="R59" s="6"/>
      <c r="S59" s="6"/>
      <c r="T59" s="6"/>
      <c r="U59" s="6"/>
      <c r="V59" s="6"/>
      <c r="W59" s="6"/>
      <c r="X59" s="6"/>
      <c r="Y59" s="6"/>
      <c r="Z59" s="6"/>
    </row>
    <row r="60" ht="60.0" customHeight="1">
      <c r="A60" s="6"/>
      <c r="B60" s="31">
        <v>55.0</v>
      </c>
      <c r="C60" s="31" t="s">
        <v>410</v>
      </c>
      <c r="D60" s="31" t="s">
        <v>411</v>
      </c>
      <c r="E60" s="33" t="s">
        <v>101</v>
      </c>
      <c r="F60" s="31" t="s">
        <v>412</v>
      </c>
      <c r="G60" s="31" t="s">
        <v>413</v>
      </c>
      <c r="H60" s="36" t="s">
        <v>105</v>
      </c>
      <c r="I60" s="6"/>
      <c r="J60" s="6"/>
      <c r="K60" s="6"/>
      <c r="L60" s="6"/>
      <c r="M60" s="6"/>
      <c r="N60" s="6"/>
      <c r="O60" s="6"/>
      <c r="P60" s="6"/>
      <c r="Q60" s="6"/>
      <c r="R60" s="6"/>
      <c r="S60" s="6"/>
      <c r="T60" s="6"/>
      <c r="U60" s="6"/>
      <c r="V60" s="6"/>
      <c r="W60" s="6"/>
      <c r="X60" s="6"/>
      <c r="Y60" s="6"/>
      <c r="Z60" s="6"/>
    </row>
    <row r="61" ht="60.0" customHeight="1">
      <c r="A61" s="6"/>
      <c r="B61" s="31">
        <v>56.0</v>
      </c>
      <c r="C61" s="31" t="s">
        <v>414</v>
      </c>
      <c r="D61" s="31" t="s">
        <v>415</v>
      </c>
      <c r="E61" s="33" t="s">
        <v>101</v>
      </c>
      <c r="F61" s="31" t="s">
        <v>416</v>
      </c>
      <c r="G61" s="31" t="s">
        <v>418</v>
      </c>
      <c r="H61" s="36" t="s">
        <v>105</v>
      </c>
      <c r="I61" s="6"/>
      <c r="J61" s="6"/>
      <c r="K61" s="6"/>
      <c r="L61" s="6"/>
      <c r="M61" s="6"/>
      <c r="N61" s="6"/>
      <c r="O61" s="6"/>
      <c r="P61" s="6"/>
      <c r="Q61" s="6"/>
      <c r="R61" s="6"/>
      <c r="S61" s="6"/>
      <c r="T61" s="6"/>
      <c r="U61" s="6"/>
      <c r="V61" s="6"/>
      <c r="W61" s="6"/>
      <c r="X61" s="6"/>
      <c r="Y61" s="6"/>
      <c r="Z61" s="6"/>
    </row>
    <row r="62" ht="60.0" customHeight="1">
      <c r="A62" s="6"/>
      <c r="B62" s="31">
        <v>57.0</v>
      </c>
      <c r="C62" s="31" t="s">
        <v>419</v>
      </c>
      <c r="D62" s="31" t="s">
        <v>420</v>
      </c>
      <c r="E62" s="33" t="s">
        <v>101</v>
      </c>
      <c r="F62" s="31" t="s">
        <v>421</v>
      </c>
      <c r="G62" s="31" t="s">
        <v>422</v>
      </c>
      <c r="H62" s="36" t="s">
        <v>105</v>
      </c>
      <c r="I62" s="6"/>
      <c r="J62" s="6"/>
      <c r="K62" s="6"/>
      <c r="L62" s="6"/>
      <c r="M62" s="6"/>
      <c r="N62" s="6"/>
      <c r="O62" s="6"/>
      <c r="P62" s="6"/>
      <c r="Q62" s="6"/>
      <c r="R62" s="6"/>
      <c r="S62" s="6"/>
      <c r="T62" s="6"/>
      <c r="U62" s="6"/>
      <c r="V62" s="6"/>
      <c r="W62" s="6"/>
      <c r="X62" s="6"/>
      <c r="Y62" s="6"/>
      <c r="Z62" s="6"/>
    </row>
    <row r="63" ht="60.0" customHeight="1">
      <c r="A63" s="6"/>
      <c r="B63" s="31">
        <v>58.0</v>
      </c>
      <c r="C63" s="31" t="s">
        <v>423</v>
      </c>
      <c r="D63" s="31" t="s">
        <v>425</v>
      </c>
      <c r="E63" s="33" t="s">
        <v>101</v>
      </c>
      <c r="F63" s="31" t="s">
        <v>426</v>
      </c>
      <c r="G63" s="31" t="s">
        <v>427</v>
      </c>
      <c r="H63" s="36" t="s">
        <v>105</v>
      </c>
      <c r="I63" s="6"/>
      <c r="J63" s="6"/>
      <c r="K63" s="6"/>
      <c r="L63" s="6"/>
      <c r="M63" s="6"/>
      <c r="N63" s="6"/>
      <c r="O63" s="6"/>
      <c r="P63" s="6"/>
      <c r="Q63" s="6"/>
      <c r="R63" s="6"/>
      <c r="S63" s="6"/>
      <c r="T63" s="6"/>
      <c r="U63" s="6"/>
      <c r="V63" s="6"/>
      <c r="W63" s="6"/>
      <c r="X63" s="6"/>
      <c r="Y63" s="6"/>
      <c r="Z63" s="6"/>
    </row>
    <row r="64" ht="60.0" customHeight="1">
      <c r="A64" s="6"/>
      <c r="B64" s="31">
        <v>59.0</v>
      </c>
      <c r="C64" s="31" t="s">
        <v>429</v>
      </c>
      <c r="D64" s="31" t="s">
        <v>431</v>
      </c>
      <c r="E64" s="33" t="s">
        <v>101</v>
      </c>
      <c r="F64" s="31" t="s">
        <v>432</v>
      </c>
      <c r="G64" s="31" t="s">
        <v>434</v>
      </c>
      <c r="H64" s="36" t="s">
        <v>105</v>
      </c>
      <c r="I64" s="6"/>
      <c r="J64" s="6"/>
      <c r="K64" s="6"/>
      <c r="L64" s="6"/>
      <c r="M64" s="6"/>
      <c r="N64" s="6"/>
      <c r="O64" s="6"/>
      <c r="P64" s="6"/>
      <c r="Q64" s="6"/>
      <c r="R64" s="6"/>
      <c r="S64" s="6"/>
      <c r="T64" s="6"/>
      <c r="U64" s="6"/>
      <c r="V64" s="6"/>
      <c r="W64" s="6"/>
      <c r="X64" s="6"/>
      <c r="Y64" s="6"/>
      <c r="Z64" s="6"/>
    </row>
    <row r="65" ht="60.0" customHeight="1">
      <c r="A65" s="6"/>
      <c r="B65" s="31">
        <v>60.0</v>
      </c>
      <c r="C65" s="31" t="s">
        <v>438</v>
      </c>
      <c r="D65" s="31" t="s">
        <v>439</v>
      </c>
      <c r="E65" s="33" t="s">
        <v>101</v>
      </c>
      <c r="F65" s="31" t="s">
        <v>440</v>
      </c>
      <c r="G65" s="31" t="s">
        <v>441</v>
      </c>
      <c r="H65" s="36" t="s">
        <v>105</v>
      </c>
      <c r="I65" s="6"/>
      <c r="J65" s="6"/>
      <c r="K65" s="6"/>
      <c r="L65" s="6"/>
      <c r="M65" s="6"/>
      <c r="N65" s="6"/>
      <c r="O65" s="6"/>
      <c r="P65" s="6"/>
      <c r="Q65" s="6"/>
      <c r="R65" s="6"/>
      <c r="S65" s="6"/>
      <c r="T65" s="6"/>
      <c r="U65" s="6"/>
      <c r="V65" s="6"/>
      <c r="W65" s="6"/>
      <c r="X65" s="6"/>
      <c r="Y65" s="6"/>
      <c r="Z65" s="6"/>
    </row>
    <row r="66" ht="60.0" customHeight="1">
      <c r="A66" s="6"/>
      <c r="B66" s="31">
        <v>61.0</v>
      </c>
      <c r="C66" s="31" t="s">
        <v>442</v>
      </c>
      <c r="D66" s="31" t="s">
        <v>443</v>
      </c>
      <c r="E66" s="33" t="s">
        <v>101</v>
      </c>
      <c r="F66" s="31" t="s">
        <v>445</v>
      </c>
      <c r="G66" s="31" t="s">
        <v>446</v>
      </c>
      <c r="H66" s="36" t="s">
        <v>105</v>
      </c>
      <c r="I66" s="6"/>
      <c r="J66" s="6"/>
      <c r="K66" s="6"/>
      <c r="L66" s="6"/>
      <c r="M66" s="6"/>
      <c r="N66" s="6"/>
      <c r="O66" s="6"/>
      <c r="P66" s="6"/>
      <c r="Q66" s="6"/>
      <c r="R66" s="6"/>
      <c r="S66" s="6"/>
      <c r="T66" s="6"/>
      <c r="U66" s="6"/>
      <c r="V66" s="6"/>
      <c r="W66" s="6"/>
      <c r="X66" s="6"/>
      <c r="Y66" s="6"/>
      <c r="Z66" s="6"/>
    </row>
    <row r="67" ht="60.0" customHeight="1">
      <c r="A67" s="6"/>
      <c r="B67" s="31">
        <v>62.0</v>
      </c>
      <c r="C67" s="31" t="s">
        <v>448</v>
      </c>
      <c r="D67" s="31" t="s">
        <v>449</v>
      </c>
      <c r="E67" s="33" t="s">
        <v>101</v>
      </c>
      <c r="F67" s="31" t="s">
        <v>450</v>
      </c>
      <c r="G67" s="31" t="s">
        <v>452</v>
      </c>
      <c r="H67" s="36" t="s">
        <v>105</v>
      </c>
      <c r="I67" s="6"/>
      <c r="J67" s="6"/>
      <c r="K67" s="6"/>
      <c r="L67" s="6"/>
      <c r="M67" s="6"/>
      <c r="N67" s="6"/>
      <c r="O67" s="6"/>
      <c r="P67" s="6"/>
      <c r="Q67" s="6"/>
      <c r="R67" s="6"/>
      <c r="S67" s="6"/>
      <c r="T67" s="6"/>
      <c r="U67" s="6"/>
      <c r="V67" s="6"/>
      <c r="W67" s="6"/>
      <c r="X67" s="6"/>
      <c r="Y67" s="6"/>
      <c r="Z67" s="6"/>
    </row>
    <row r="68" ht="60.0" customHeight="1">
      <c r="A68" s="6"/>
      <c r="B68" s="31">
        <v>63.0</v>
      </c>
      <c r="C68" s="31" t="s">
        <v>455</v>
      </c>
      <c r="D68" s="31" t="s">
        <v>456</v>
      </c>
      <c r="E68" s="33" t="s">
        <v>101</v>
      </c>
      <c r="F68" s="31" t="s">
        <v>458</v>
      </c>
      <c r="G68" s="31" t="s">
        <v>459</v>
      </c>
      <c r="H68" s="36" t="s">
        <v>105</v>
      </c>
      <c r="I68" s="6"/>
      <c r="J68" s="6"/>
      <c r="K68" s="6"/>
      <c r="L68" s="6"/>
      <c r="M68" s="6"/>
      <c r="N68" s="6"/>
      <c r="O68" s="6"/>
      <c r="P68" s="6"/>
      <c r="Q68" s="6"/>
      <c r="R68" s="6"/>
      <c r="S68" s="6"/>
      <c r="T68" s="6"/>
      <c r="U68" s="6"/>
      <c r="V68" s="6"/>
      <c r="W68" s="6"/>
      <c r="X68" s="6"/>
      <c r="Y68" s="6"/>
      <c r="Z68" s="6"/>
    </row>
    <row r="69" ht="60.0" customHeight="1">
      <c r="A69" s="6"/>
      <c r="B69" s="31">
        <v>64.0</v>
      </c>
      <c r="C69" s="31" t="s">
        <v>460</v>
      </c>
      <c r="D69" s="31" t="s">
        <v>461</v>
      </c>
      <c r="E69" s="33" t="s">
        <v>101</v>
      </c>
      <c r="F69" s="31" t="s">
        <v>462</v>
      </c>
      <c r="G69" s="31" t="s">
        <v>463</v>
      </c>
      <c r="H69" s="36" t="s">
        <v>105</v>
      </c>
      <c r="I69" s="6"/>
      <c r="J69" s="6"/>
      <c r="K69" s="6"/>
      <c r="L69" s="6"/>
      <c r="M69" s="6"/>
      <c r="N69" s="6"/>
      <c r="O69" s="6"/>
      <c r="P69" s="6"/>
      <c r="Q69" s="6"/>
      <c r="R69" s="6"/>
      <c r="S69" s="6"/>
      <c r="T69" s="6"/>
      <c r="U69" s="6"/>
      <c r="V69" s="6"/>
      <c r="W69" s="6"/>
      <c r="X69" s="6"/>
      <c r="Y69" s="6"/>
      <c r="Z69" s="6"/>
    </row>
    <row r="70" ht="60.0" customHeight="1">
      <c r="A70" s="6"/>
      <c r="B70" s="31">
        <v>65.0</v>
      </c>
      <c r="C70" s="31" t="s">
        <v>468</v>
      </c>
      <c r="D70" s="31" t="s">
        <v>469</v>
      </c>
      <c r="E70" s="33" t="s">
        <v>101</v>
      </c>
      <c r="F70" s="31" t="s">
        <v>471</v>
      </c>
      <c r="G70" s="31" t="s">
        <v>473</v>
      </c>
      <c r="H70" s="36" t="s">
        <v>105</v>
      </c>
      <c r="I70" s="6"/>
      <c r="J70" s="6"/>
      <c r="K70" s="6"/>
      <c r="L70" s="6"/>
      <c r="M70" s="6"/>
      <c r="N70" s="6"/>
      <c r="O70" s="6"/>
      <c r="P70" s="6"/>
      <c r="Q70" s="6"/>
      <c r="R70" s="6"/>
      <c r="S70" s="6"/>
      <c r="T70" s="6"/>
      <c r="U70" s="6"/>
      <c r="V70" s="6"/>
      <c r="W70" s="6"/>
      <c r="X70" s="6"/>
      <c r="Y70" s="6"/>
      <c r="Z70" s="6"/>
    </row>
    <row r="71" ht="60.0" customHeight="1">
      <c r="A71" s="6"/>
      <c r="B71" s="31">
        <v>66.0</v>
      </c>
      <c r="C71" s="31" t="s">
        <v>477</v>
      </c>
      <c r="D71" s="31" t="s">
        <v>478</v>
      </c>
      <c r="E71" s="33" t="s">
        <v>101</v>
      </c>
      <c r="F71" s="31" t="s">
        <v>479</v>
      </c>
      <c r="G71" s="31" t="s">
        <v>480</v>
      </c>
      <c r="H71" s="36" t="s">
        <v>105</v>
      </c>
      <c r="I71" s="6"/>
      <c r="J71" s="6"/>
      <c r="K71" s="6"/>
      <c r="L71" s="6"/>
      <c r="M71" s="6"/>
      <c r="N71" s="6"/>
      <c r="O71" s="6"/>
      <c r="P71" s="6"/>
      <c r="Q71" s="6"/>
      <c r="R71" s="6"/>
      <c r="S71" s="6"/>
      <c r="T71" s="6"/>
      <c r="U71" s="6"/>
      <c r="V71" s="6"/>
      <c r="W71" s="6"/>
      <c r="X71" s="6"/>
      <c r="Y71" s="6"/>
      <c r="Z71" s="6"/>
    </row>
    <row r="72" ht="60.0" customHeight="1">
      <c r="A72" s="6"/>
      <c r="B72" s="31">
        <v>67.0</v>
      </c>
      <c r="C72" s="31" t="s">
        <v>481</v>
      </c>
      <c r="D72" s="31" t="s">
        <v>482</v>
      </c>
      <c r="E72" s="33" t="s">
        <v>101</v>
      </c>
      <c r="F72" s="31" t="s">
        <v>483</v>
      </c>
      <c r="G72" s="31" t="s">
        <v>484</v>
      </c>
      <c r="H72" s="36" t="s">
        <v>105</v>
      </c>
      <c r="I72" s="6"/>
      <c r="J72" s="6"/>
      <c r="K72" s="6"/>
      <c r="L72" s="6"/>
      <c r="M72" s="6"/>
      <c r="N72" s="6"/>
      <c r="O72" s="6"/>
      <c r="P72" s="6"/>
      <c r="Q72" s="6"/>
      <c r="R72" s="6"/>
      <c r="S72" s="6"/>
      <c r="T72" s="6"/>
      <c r="U72" s="6"/>
      <c r="V72" s="6"/>
      <c r="W72" s="6"/>
      <c r="X72" s="6"/>
      <c r="Y72" s="6"/>
      <c r="Z72" s="6"/>
    </row>
    <row r="73" ht="60.0" customHeight="1">
      <c r="A73" s="6"/>
      <c r="B73" s="31">
        <v>68.0</v>
      </c>
      <c r="C73" s="31" t="s">
        <v>485</v>
      </c>
      <c r="D73" s="31" t="s">
        <v>486</v>
      </c>
      <c r="E73" s="33" t="s">
        <v>101</v>
      </c>
      <c r="F73" s="31" t="s">
        <v>487</v>
      </c>
      <c r="G73" s="31" t="s">
        <v>488</v>
      </c>
      <c r="H73" s="36" t="s">
        <v>105</v>
      </c>
      <c r="I73" s="6"/>
      <c r="J73" s="6"/>
      <c r="K73" s="6"/>
      <c r="L73" s="6"/>
      <c r="M73" s="6"/>
      <c r="N73" s="6"/>
      <c r="O73" s="6"/>
      <c r="P73" s="6"/>
      <c r="Q73" s="6"/>
      <c r="R73" s="6"/>
      <c r="S73" s="6"/>
      <c r="T73" s="6"/>
      <c r="U73" s="6"/>
      <c r="V73" s="6"/>
      <c r="W73" s="6"/>
      <c r="X73" s="6"/>
      <c r="Y73" s="6"/>
      <c r="Z73" s="6"/>
    </row>
    <row r="74" ht="60.0" customHeight="1">
      <c r="A74" s="6"/>
      <c r="B74" s="31">
        <v>69.0</v>
      </c>
      <c r="C74" s="31" t="s">
        <v>489</v>
      </c>
      <c r="D74" s="31" t="s">
        <v>490</v>
      </c>
      <c r="E74" s="33" t="s">
        <v>205</v>
      </c>
      <c r="F74" s="31" t="s">
        <v>491</v>
      </c>
      <c r="G74" s="31" t="s">
        <v>492</v>
      </c>
      <c r="H74" s="36" t="s">
        <v>105</v>
      </c>
      <c r="I74" s="6"/>
      <c r="J74" s="6"/>
      <c r="K74" s="6"/>
      <c r="L74" s="6"/>
      <c r="M74" s="6"/>
      <c r="N74" s="6"/>
      <c r="O74" s="6"/>
      <c r="P74" s="6"/>
      <c r="Q74" s="6"/>
      <c r="R74" s="6"/>
      <c r="S74" s="6"/>
      <c r="T74" s="6"/>
      <c r="U74" s="6"/>
      <c r="V74" s="6"/>
      <c r="W74" s="6"/>
      <c r="X74" s="6"/>
      <c r="Y74" s="6"/>
      <c r="Z74" s="6"/>
    </row>
    <row r="75" ht="60.0" customHeight="1">
      <c r="A75" s="6"/>
      <c r="B75" s="31">
        <v>70.0</v>
      </c>
      <c r="C75" s="31" t="s">
        <v>493</v>
      </c>
      <c r="D75" s="31" t="s">
        <v>494</v>
      </c>
      <c r="E75" s="33" t="s">
        <v>205</v>
      </c>
      <c r="F75" s="31" t="s">
        <v>495</v>
      </c>
      <c r="G75" s="31" t="s">
        <v>496</v>
      </c>
      <c r="H75" s="36" t="s">
        <v>105</v>
      </c>
      <c r="I75" s="6"/>
      <c r="J75" s="6"/>
      <c r="K75" s="6"/>
      <c r="L75" s="6"/>
      <c r="M75" s="6"/>
      <c r="N75" s="6"/>
      <c r="O75" s="6"/>
      <c r="P75" s="6"/>
      <c r="Q75" s="6"/>
      <c r="R75" s="6"/>
      <c r="S75" s="6"/>
      <c r="T75" s="6"/>
      <c r="U75" s="6"/>
      <c r="V75" s="6"/>
      <c r="W75" s="6"/>
      <c r="X75" s="6"/>
      <c r="Y75" s="6"/>
      <c r="Z75" s="6"/>
    </row>
    <row r="76" ht="60.0" customHeight="1">
      <c r="A76" s="6"/>
      <c r="B76" s="31">
        <v>71.0</v>
      </c>
      <c r="C76" s="31" t="s">
        <v>497</v>
      </c>
      <c r="D76" s="31" t="s">
        <v>498</v>
      </c>
      <c r="E76" s="33" t="s">
        <v>205</v>
      </c>
      <c r="F76" s="31" t="s">
        <v>499</v>
      </c>
      <c r="G76" s="31" t="s">
        <v>500</v>
      </c>
      <c r="H76" s="36" t="s">
        <v>105</v>
      </c>
      <c r="I76" s="6"/>
      <c r="J76" s="6"/>
      <c r="K76" s="6"/>
      <c r="L76" s="6"/>
      <c r="M76" s="6"/>
      <c r="N76" s="6"/>
      <c r="O76" s="6"/>
      <c r="P76" s="6"/>
      <c r="Q76" s="6"/>
      <c r="R76" s="6"/>
      <c r="S76" s="6"/>
      <c r="T76" s="6"/>
      <c r="U76" s="6"/>
      <c r="V76" s="6"/>
      <c r="W76" s="6"/>
      <c r="X76" s="6"/>
      <c r="Y76" s="6"/>
      <c r="Z76" s="6"/>
    </row>
    <row r="77" ht="60.0" customHeight="1">
      <c r="A77" s="6"/>
      <c r="B77" s="31">
        <v>72.0</v>
      </c>
      <c r="C77" s="31" t="s">
        <v>501</v>
      </c>
      <c r="D77" s="31" t="s">
        <v>502</v>
      </c>
      <c r="E77" s="33" t="s">
        <v>205</v>
      </c>
      <c r="F77" s="31" t="s">
        <v>503</v>
      </c>
      <c r="G77" s="31" t="s">
        <v>504</v>
      </c>
      <c r="H77" s="36" t="s">
        <v>105</v>
      </c>
      <c r="I77" s="6"/>
      <c r="J77" s="6"/>
      <c r="K77" s="6"/>
      <c r="L77" s="6"/>
      <c r="M77" s="6"/>
      <c r="N77" s="6"/>
      <c r="O77" s="6"/>
      <c r="P77" s="6"/>
      <c r="Q77" s="6"/>
      <c r="R77" s="6"/>
      <c r="S77" s="6"/>
      <c r="T77" s="6"/>
      <c r="U77" s="6"/>
      <c r="V77" s="6"/>
      <c r="W77" s="6"/>
      <c r="X77" s="6"/>
      <c r="Y77" s="6"/>
      <c r="Z77" s="6"/>
    </row>
    <row r="78" ht="60.0" customHeight="1">
      <c r="A78" s="6"/>
      <c r="B78" s="31">
        <v>73.0</v>
      </c>
      <c r="C78" s="31" t="s">
        <v>505</v>
      </c>
      <c r="D78" s="31" t="s">
        <v>506</v>
      </c>
      <c r="E78" s="33" t="s">
        <v>205</v>
      </c>
      <c r="F78" s="31" t="s">
        <v>507</v>
      </c>
      <c r="G78" s="31" t="s">
        <v>508</v>
      </c>
      <c r="H78" s="36" t="s">
        <v>105</v>
      </c>
      <c r="I78" s="6"/>
      <c r="J78" s="6"/>
      <c r="K78" s="6"/>
      <c r="L78" s="6"/>
      <c r="M78" s="6"/>
      <c r="N78" s="6"/>
      <c r="O78" s="6"/>
      <c r="P78" s="6"/>
      <c r="Q78" s="6"/>
      <c r="R78" s="6"/>
      <c r="S78" s="6"/>
      <c r="T78" s="6"/>
      <c r="U78" s="6"/>
      <c r="V78" s="6"/>
      <c r="W78" s="6"/>
      <c r="X78" s="6"/>
      <c r="Y78" s="6"/>
      <c r="Z78" s="6"/>
    </row>
    <row r="79" ht="60.0" customHeight="1">
      <c r="A79" s="6"/>
      <c r="B79" s="31">
        <v>74.0</v>
      </c>
      <c r="C79" s="31" t="s">
        <v>509</v>
      </c>
      <c r="D79" s="31" t="s">
        <v>510</v>
      </c>
      <c r="E79" s="33" t="s">
        <v>205</v>
      </c>
      <c r="F79" s="31" t="s">
        <v>511</v>
      </c>
      <c r="G79" s="31" t="s">
        <v>512</v>
      </c>
      <c r="H79" s="36" t="s">
        <v>105</v>
      </c>
      <c r="I79" s="6"/>
      <c r="J79" s="6"/>
      <c r="K79" s="6"/>
      <c r="L79" s="6"/>
      <c r="M79" s="6"/>
      <c r="N79" s="6"/>
      <c r="O79" s="6"/>
      <c r="P79" s="6"/>
      <c r="Q79" s="6"/>
      <c r="R79" s="6"/>
      <c r="S79" s="6"/>
      <c r="T79" s="6"/>
      <c r="U79" s="6"/>
      <c r="V79" s="6"/>
      <c r="W79" s="6"/>
      <c r="X79" s="6"/>
      <c r="Y79" s="6"/>
      <c r="Z79" s="6"/>
    </row>
    <row r="80" ht="60.0" customHeight="1">
      <c r="A80" s="6"/>
      <c r="B80" s="31">
        <v>75.0</v>
      </c>
      <c r="C80" s="31" t="s">
        <v>513</v>
      </c>
      <c r="D80" s="31" t="s">
        <v>514</v>
      </c>
      <c r="E80" s="33" t="s">
        <v>205</v>
      </c>
      <c r="F80" s="31" t="s">
        <v>515</v>
      </c>
      <c r="G80" s="31" t="s">
        <v>516</v>
      </c>
      <c r="H80" s="36" t="s">
        <v>105</v>
      </c>
      <c r="I80" s="6"/>
      <c r="J80" s="6"/>
      <c r="K80" s="6"/>
      <c r="L80" s="6"/>
      <c r="M80" s="6"/>
      <c r="N80" s="6"/>
      <c r="O80" s="6"/>
      <c r="P80" s="6"/>
      <c r="Q80" s="6"/>
      <c r="R80" s="6"/>
      <c r="S80" s="6"/>
      <c r="T80" s="6"/>
      <c r="U80" s="6"/>
      <c r="V80" s="6"/>
      <c r="W80" s="6"/>
      <c r="X80" s="6"/>
      <c r="Y80" s="6"/>
      <c r="Z80" s="6"/>
    </row>
    <row r="81" ht="60.0" customHeight="1">
      <c r="A81" s="6"/>
      <c r="B81" s="31">
        <v>76.0</v>
      </c>
      <c r="C81" s="31" t="s">
        <v>517</v>
      </c>
      <c r="D81" s="31" t="s">
        <v>518</v>
      </c>
      <c r="E81" s="33" t="s">
        <v>205</v>
      </c>
      <c r="F81" s="31" t="s">
        <v>519</v>
      </c>
      <c r="G81" s="31" t="s">
        <v>520</v>
      </c>
      <c r="H81" s="36" t="s">
        <v>105</v>
      </c>
      <c r="I81" s="6"/>
      <c r="J81" s="6"/>
      <c r="K81" s="6"/>
      <c r="L81" s="6"/>
      <c r="M81" s="6"/>
      <c r="N81" s="6"/>
      <c r="O81" s="6"/>
      <c r="P81" s="6"/>
      <c r="Q81" s="6"/>
      <c r="R81" s="6"/>
      <c r="S81" s="6"/>
      <c r="T81" s="6"/>
      <c r="U81" s="6"/>
      <c r="V81" s="6"/>
      <c r="W81" s="6"/>
      <c r="X81" s="6"/>
      <c r="Y81" s="6"/>
      <c r="Z81" s="6"/>
    </row>
    <row r="82" ht="60.0" customHeight="1">
      <c r="A82" s="6"/>
      <c r="B82" s="31">
        <v>77.0</v>
      </c>
      <c r="C82" s="31" t="s">
        <v>521</v>
      </c>
      <c r="D82" s="31" t="s">
        <v>522</v>
      </c>
      <c r="E82" s="33" t="s">
        <v>205</v>
      </c>
      <c r="F82" s="31" t="s">
        <v>523</v>
      </c>
      <c r="G82" s="31" t="s">
        <v>524</v>
      </c>
      <c r="H82" s="36" t="s">
        <v>105</v>
      </c>
      <c r="I82" s="6"/>
      <c r="J82" s="6"/>
      <c r="K82" s="6"/>
      <c r="L82" s="6"/>
      <c r="M82" s="6"/>
      <c r="N82" s="6"/>
      <c r="O82" s="6"/>
      <c r="P82" s="6"/>
      <c r="Q82" s="6"/>
      <c r="R82" s="6"/>
      <c r="S82" s="6"/>
      <c r="T82" s="6"/>
      <c r="U82" s="6"/>
      <c r="V82" s="6"/>
      <c r="W82" s="6"/>
      <c r="X82" s="6"/>
      <c r="Y82" s="6"/>
      <c r="Z82" s="6"/>
    </row>
    <row r="83" ht="60.0" customHeight="1">
      <c r="A83" s="6"/>
      <c r="B83" s="31">
        <v>78.0</v>
      </c>
      <c r="C83" s="31" t="s">
        <v>525</v>
      </c>
      <c r="D83" s="31" t="s">
        <v>526</v>
      </c>
      <c r="E83" s="33" t="s">
        <v>205</v>
      </c>
      <c r="F83" s="31" t="s">
        <v>527</v>
      </c>
      <c r="G83" s="31" t="s">
        <v>528</v>
      </c>
      <c r="H83" s="36" t="s">
        <v>105</v>
      </c>
      <c r="I83" s="6"/>
      <c r="J83" s="6"/>
      <c r="K83" s="6"/>
      <c r="L83" s="6"/>
      <c r="M83" s="6"/>
      <c r="N83" s="6"/>
      <c r="O83" s="6"/>
      <c r="P83" s="6"/>
      <c r="Q83" s="6"/>
      <c r="R83" s="6"/>
      <c r="S83" s="6"/>
      <c r="T83" s="6"/>
      <c r="U83" s="6"/>
      <c r="V83" s="6"/>
      <c r="W83" s="6"/>
      <c r="X83" s="6"/>
      <c r="Y83" s="6"/>
      <c r="Z83" s="6"/>
    </row>
    <row r="84" ht="60.0" customHeight="1">
      <c r="A84" s="6"/>
      <c r="B84" s="31">
        <v>79.0</v>
      </c>
      <c r="C84" s="31" t="s">
        <v>529</v>
      </c>
      <c r="D84" s="31" t="s">
        <v>530</v>
      </c>
      <c r="E84" s="33" t="s">
        <v>205</v>
      </c>
      <c r="F84" s="31" t="s">
        <v>531</v>
      </c>
      <c r="G84" s="31" t="s">
        <v>532</v>
      </c>
      <c r="H84" s="36" t="s">
        <v>105</v>
      </c>
      <c r="I84" s="6"/>
      <c r="J84" s="6"/>
      <c r="K84" s="6"/>
      <c r="L84" s="6"/>
      <c r="M84" s="6"/>
      <c r="N84" s="6"/>
      <c r="O84" s="6"/>
      <c r="P84" s="6"/>
      <c r="Q84" s="6"/>
      <c r="R84" s="6"/>
      <c r="S84" s="6"/>
      <c r="T84" s="6"/>
      <c r="U84" s="6"/>
      <c r="V84" s="6"/>
      <c r="W84" s="6"/>
      <c r="X84" s="6"/>
      <c r="Y84" s="6"/>
      <c r="Z84" s="6"/>
    </row>
    <row r="85" ht="60.0" customHeight="1">
      <c r="A85" s="6"/>
      <c r="B85" s="31">
        <v>80.0</v>
      </c>
      <c r="C85" s="31" t="s">
        <v>533</v>
      </c>
      <c r="D85" s="31" t="s">
        <v>534</v>
      </c>
      <c r="E85" s="33" t="s">
        <v>205</v>
      </c>
      <c r="F85" s="31" t="s">
        <v>535</v>
      </c>
      <c r="G85" s="31" t="s">
        <v>536</v>
      </c>
      <c r="H85" s="36" t="s">
        <v>105</v>
      </c>
      <c r="I85" s="6"/>
      <c r="J85" s="6"/>
      <c r="K85" s="6"/>
      <c r="L85" s="6"/>
      <c r="M85" s="6"/>
      <c r="N85" s="6"/>
      <c r="O85" s="6"/>
      <c r="P85" s="6"/>
      <c r="Q85" s="6"/>
      <c r="R85" s="6"/>
      <c r="S85" s="6"/>
      <c r="T85" s="6"/>
      <c r="U85" s="6"/>
      <c r="V85" s="6"/>
      <c r="W85" s="6"/>
      <c r="X85" s="6"/>
      <c r="Y85" s="6"/>
      <c r="Z85" s="6"/>
    </row>
    <row r="86" ht="60.0" customHeight="1">
      <c r="A86" s="6"/>
      <c r="B86" s="31">
        <v>81.0</v>
      </c>
      <c r="C86" s="31" t="s">
        <v>537</v>
      </c>
      <c r="D86" s="31" t="s">
        <v>538</v>
      </c>
      <c r="E86" s="33" t="s">
        <v>205</v>
      </c>
      <c r="F86" s="31" t="s">
        <v>539</v>
      </c>
      <c r="G86" s="31" t="s">
        <v>540</v>
      </c>
      <c r="H86" s="36" t="s">
        <v>105</v>
      </c>
      <c r="I86" s="6"/>
      <c r="J86" s="6"/>
      <c r="K86" s="6"/>
      <c r="L86" s="6"/>
      <c r="M86" s="6"/>
      <c r="N86" s="6"/>
      <c r="O86" s="6"/>
      <c r="P86" s="6"/>
      <c r="Q86" s="6"/>
      <c r="R86" s="6"/>
      <c r="S86" s="6"/>
      <c r="T86" s="6"/>
      <c r="U86" s="6"/>
      <c r="V86" s="6"/>
      <c r="W86" s="6"/>
      <c r="X86" s="6"/>
      <c r="Y86" s="6"/>
      <c r="Z86" s="6"/>
    </row>
    <row r="87" ht="60.0" customHeight="1">
      <c r="A87" s="6"/>
      <c r="B87" s="31">
        <v>82.0</v>
      </c>
      <c r="C87" s="31" t="s">
        <v>541</v>
      </c>
      <c r="D87" s="31" t="s">
        <v>542</v>
      </c>
      <c r="E87" s="33" t="s">
        <v>205</v>
      </c>
      <c r="F87" s="31" t="s">
        <v>543</v>
      </c>
      <c r="G87" s="31" t="s">
        <v>544</v>
      </c>
      <c r="H87" s="36" t="s">
        <v>105</v>
      </c>
      <c r="I87" s="6"/>
      <c r="J87" s="6"/>
      <c r="K87" s="6"/>
      <c r="L87" s="6"/>
      <c r="M87" s="6"/>
      <c r="N87" s="6"/>
      <c r="O87" s="6"/>
      <c r="P87" s="6"/>
      <c r="Q87" s="6"/>
      <c r="R87" s="6"/>
      <c r="S87" s="6"/>
      <c r="T87" s="6"/>
      <c r="U87" s="6"/>
      <c r="V87" s="6"/>
      <c r="W87" s="6"/>
      <c r="X87" s="6"/>
      <c r="Y87" s="6"/>
      <c r="Z87" s="6"/>
    </row>
    <row r="88" ht="60.0" customHeight="1">
      <c r="A88" s="6"/>
      <c r="B88" s="31">
        <v>83.0</v>
      </c>
      <c r="C88" s="31" t="s">
        <v>545</v>
      </c>
      <c r="D88" s="31" t="s">
        <v>546</v>
      </c>
      <c r="E88" s="33" t="s">
        <v>205</v>
      </c>
      <c r="F88" s="31" t="s">
        <v>547</v>
      </c>
      <c r="G88" s="31" t="s">
        <v>548</v>
      </c>
      <c r="H88" s="36" t="s">
        <v>105</v>
      </c>
      <c r="I88" s="6"/>
      <c r="J88" s="6"/>
      <c r="K88" s="6"/>
      <c r="L88" s="6"/>
      <c r="M88" s="6"/>
      <c r="N88" s="6"/>
      <c r="O88" s="6"/>
      <c r="P88" s="6"/>
      <c r="Q88" s="6"/>
      <c r="R88" s="6"/>
      <c r="S88" s="6"/>
      <c r="T88" s="6"/>
      <c r="U88" s="6"/>
      <c r="V88" s="6"/>
      <c r="W88" s="6"/>
      <c r="X88" s="6"/>
      <c r="Y88" s="6"/>
      <c r="Z88" s="6"/>
    </row>
    <row r="89" ht="60.0" customHeight="1">
      <c r="A89" s="6"/>
      <c r="B89" s="31">
        <v>84.0</v>
      </c>
      <c r="C89" s="31" t="s">
        <v>549</v>
      </c>
      <c r="D89" s="31" t="s">
        <v>550</v>
      </c>
      <c r="E89" s="33" t="s">
        <v>205</v>
      </c>
      <c r="F89" s="31" t="s">
        <v>551</v>
      </c>
      <c r="G89" s="31" t="s">
        <v>552</v>
      </c>
      <c r="H89" s="36" t="s">
        <v>105</v>
      </c>
      <c r="I89" s="6"/>
      <c r="J89" s="6"/>
      <c r="K89" s="6"/>
      <c r="L89" s="6"/>
      <c r="M89" s="6"/>
      <c r="N89" s="6"/>
      <c r="O89" s="6"/>
      <c r="P89" s="6"/>
      <c r="Q89" s="6"/>
      <c r="R89" s="6"/>
      <c r="S89" s="6"/>
      <c r="T89" s="6"/>
      <c r="U89" s="6"/>
      <c r="V89" s="6"/>
      <c r="W89" s="6"/>
      <c r="X89" s="6"/>
      <c r="Y89" s="6"/>
      <c r="Z89" s="6"/>
    </row>
    <row r="90" ht="60.0" customHeight="1">
      <c r="A90" s="6"/>
      <c r="B90" s="31">
        <v>85.0</v>
      </c>
      <c r="C90" s="31" t="s">
        <v>553</v>
      </c>
      <c r="D90" s="31" t="s">
        <v>554</v>
      </c>
      <c r="E90" s="33" t="s">
        <v>205</v>
      </c>
      <c r="F90" s="31" t="s">
        <v>555</v>
      </c>
      <c r="G90" s="31" t="s">
        <v>556</v>
      </c>
      <c r="H90" s="36" t="s">
        <v>105</v>
      </c>
      <c r="I90" s="6"/>
      <c r="J90" s="6"/>
      <c r="K90" s="6"/>
      <c r="L90" s="6"/>
      <c r="M90" s="6"/>
      <c r="N90" s="6"/>
      <c r="O90" s="6"/>
      <c r="P90" s="6"/>
      <c r="Q90" s="6"/>
      <c r="R90" s="6"/>
      <c r="S90" s="6"/>
      <c r="T90" s="6"/>
      <c r="U90" s="6"/>
      <c r="V90" s="6"/>
      <c r="W90" s="6"/>
      <c r="X90" s="6"/>
      <c r="Y90" s="6"/>
      <c r="Z90" s="6"/>
    </row>
    <row r="91" ht="60.0" customHeight="1">
      <c r="A91" s="6"/>
      <c r="B91" s="31">
        <v>86.0</v>
      </c>
      <c r="C91" s="31" t="s">
        <v>557</v>
      </c>
      <c r="D91" s="31" t="s">
        <v>558</v>
      </c>
      <c r="E91" s="33" t="s">
        <v>205</v>
      </c>
      <c r="F91" s="31" t="s">
        <v>559</v>
      </c>
      <c r="G91" s="31" t="s">
        <v>560</v>
      </c>
      <c r="H91" s="36" t="s">
        <v>105</v>
      </c>
      <c r="I91" s="6"/>
      <c r="J91" s="6"/>
      <c r="K91" s="6"/>
      <c r="L91" s="6"/>
      <c r="M91" s="6"/>
      <c r="N91" s="6"/>
      <c r="O91" s="6"/>
      <c r="P91" s="6"/>
      <c r="Q91" s="6"/>
      <c r="R91" s="6"/>
      <c r="S91" s="6"/>
      <c r="T91" s="6"/>
      <c r="U91" s="6"/>
      <c r="V91" s="6"/>
      <c r="W91" s="6"/>
      <c r="X91" s="6"/>
      <c r="Y91" s="6"/>
      <c r="Z91" s="6"/>
    </row>
    <row r="92" ht="60.0" customHeight="1">
      <c r="A92" s="6"/>
      <c r="B92" s="31">
        <v>87.0</v>
      </c>
      <c r="C92" s="31" t="s">
        <v>561</v>
      </c>
      <c r="D92" s="31" t="s">
        <v>562</v>
      </c>
      <c r="E92" s="33" t="s">
        <v>205</v>
      </c>
      <c r="F92" s="31" t="s">
        <v>563</v>
      </c>
      <c r="G92" s="31" t="s">
        <v>564</v>
      </c>
      <c r="H92" s="36" t="s">
        <v>105</v>
      </c>
      <c r="I92" s="6"/>
      <c r="J92" s="6"/>
      <c r="K92" s="6"/>
      <c r="L92" s="6"/>
      <c r="M92" s="6"/>
      <c r="N92" s="6"/>
      <c r="O92" s="6"/>
      <c r="P92" s="6"/>
      <c r="Q92" s="6"/>
      <c r="R92" s="6"/>
      <c r="S92" s="6"/>
      <c r="T92" s="6"/>
      <c r="U92" s="6"/>
      <c r="V92" s="6"/>
      <c r="W92" s="6"/>
      <c r="X92" s="6"/>
      <c r="Y92" s="6"/>
      <c r="Z92" s="6"/>
    </row>
    <row r="93" ht="60.0" customHeight="1">
      <c r="A93" s="6"/>
      <c r="B93" s="31">
        <v>88.0</v>
      </c>
      <c r="C93" s="31" t="s">
        <v>565</v>
      </c>
      <c r="D93" s="31" t="s">
        <v>566</v>
      </c>
      <c r="E93" s="33" t="s">
        <v>205</v>
      </c>
      <c r="F93" s="31" t="s">
        <v>567</v>
      </c>
      <c r="G93" s="31" t="s">
        <v>568</v>
      </c>
      <c r="H93" s="36" t="s">
        <v>105</v>
      </c>
      <c r="I93" s="6"/>
      <c r="J93" s="6"/>
      <c r="K93" s="6"/>
      <c r="L93" s="6"/>
      <c r="M93" s="6"/>
      <c r="N93" s="6"/>
      <c r="O93" s="6"/>
      <c r="P93" s="6"/>
      <c r="Q93" s="6"/>
      <c r="R93" s="6"/>
      <c r="S93" s="6"/>
      <c r="T93" s="6"/>
      <c r="U93" s="6"/>
      <c r="V93" s="6"/>
      <c r="W93" s="6"/>
      <c r="X93" s="6"/>
      <c r="Y93" s="6"/>
      <c r="Z93" s="6"/>
    </row>
    <row r="94" ht="60.0" customHeight="1">
      <c r="A94" s="6"/>
      <c r="B94" s="31">
        <v>89.0</v>
      </c>
      <c r="C94" s="31" t="s">
        <v>569</v>
      </c>
      <c r="D94" s="31" t="s">
        <v>570</v>
      </c>
      <c r="E94" s="33" t="s">
        <v>205</v>
      </c>
      <c r="F94" s="31" t="s">
        <v>571</v>
      </c>
      <c r="G94" s="31" t="s">
        <v>564</v>
      </c>
      <c r="H94" s="36" t="s">
        <v>105</v>
      </c>
      <c r="I94" s="6"/>
      <c r="J94" s="6"/>
      <c r="K94" s="6"/>
      <c r="L94" s="6"/>
      <c r="M94" s="6"/>
      <c r="N94" s="6"/>
      <c r="O94" s="6"/>
      <c r="P94" s="6"/>
      <c r="Q94" s="6"/>
      <c r="R94" s="6"/>
      <c r="S94" s="6"/>
      <c r="T94" s="6"/>
      <c r="U94" s="6"/>
      <c r="V94" s="6"/>
      <c r="W94" s="6"/>
      <c r="X94" s="6"/>
      <c r="Y94" s="6"/>
      <c r="Z94" s="6"/>
    </row>
    <row r="95" ht="60.0" customHeight="1">
      <c r="A95" s="6"/>
      <c r="B95" s="31">
        <v>90.0</v>
      </c>
      <c r="C95" s="31" t="s">
        <v>572</v>
      </c>
      <c r="D95" s="31" t="s">
        <v>573</v>
      </c>
      <c r="E95" s="33" t="s">
        <v>205</v>
      </c>
      <c r="F95" s="31" t="s">
        <v>574</v>
      </c>
      <c r="G95" s="31" t="s">
        <v>575</v>
      </c>
      <c r="H95" s="36" t="s">
        <v>105</v>
      </c>
      <c r="I95" s="6"/>
      <c r="J95" s="6"/>
      <c r="K95" s="6"/>
      <c r="L95" s="6"/>
      <c r="M95" s="6"/>
      <c r="N95" s="6"/>
      <c r="O95" s="6"/>
      <c r="P95" s="6"/>
      <c r="Q95" s="6"/>
      <c r="R95" s="6"/>
      <c r="S95" s="6"/>
      <c r="T95" s="6"/>
      <c r="U95" s="6"/>
      <c r="V95" s="6"/>
      <c r="W95" s="6"/>
      <c r="X95" s="6"/>
      <c r="Y95" s="6"/>
      <c r="Z95" s="6"/>
    </row>
    <row r="96" ht="60.0" customHeight="1">
      <c r="A96" s="6"/>
      <c r="B96" s="31">
        <v>91.0</v>
      </c>
      <c r="C96" s="31" t="s">
        <v>576</v>
      </c>
      <c r="D96" s="31" t="s">
        <v>577</v>
      </c>
      <c r="E96" s="33" t="s">
        <v>205</v>
      </c>
      <c r="F96" s="31" t="s">
        <v>578</v>
      </c>
      <c r="G96" s="31" t="s">
        <v>579</v>
      </c>
      <c r="H96" s="36" t="s">
        <v>105</v>
      </c>
      <c r="I96" s="6"/>
      <c r="J96" s="6"/>
      <c r="K96" s="6"/>
      <c r="L96" s="6"/>
      <c r="M96" s="6"/>
      <c r="N96" s="6"/>
      <c r="O96" s="6"/>
      <c r="P96" s="6"/>
      <c r="Q96" s="6"/>
      <c r="R96" s="6"/>
      <c r="S96" s="6"/>
      <c r="T96" s="6"/>
      <c r="U96" s="6"/>
      <c r="V96" s="6"/>
      <c r="W96" s="6"/>
      <c r="X96" s="6"/>
      <c r="Y96" s="6"/>
      <c r="Z96" s="6"/>
    </row>
    <row r="97" ht="60.0" customHeight="1">
      <c r="A97" s="6"/>
      <c r="B97" s="31">
        <v>92.0</v>
      </c>
      <c r="C97" s="31" t="s">
        <v>580</v>
      </c>
      <c r="D97" s="31" t="s">
        <v>581</v>
      </c>
      <c r="E97" s="33" t="s">
        <v>205</v>
      </c>
      <c r="F97" s="31" t="s">
        <v>582</v>
      </c>
      <c r="G97" s="31" t="s">
        <v>579</v>
      </c>
      <c r="H97" s="36" t="s">
        <v>105</v>
      </c>
      <c r="I97" s="6"/>
      <c r="J97" s="6"/>
      <c r="K97" s="6"/>
      <c r="L97" s="6"/>
      <c r="M97" s="6"/>
      <c r="N97" s="6"/>
      <c r="O97" s="6"/>
      <c r="P97" s="6"/>
      <c r="Q97" s="6"/>
      <c r="R97" s="6"/>
      <c r="S97" s="6"/>
      <c r="T97" s="6"/>
      <c r="U97" s="6"/>
      <c r="V97" s="6"/>
      <c r="W97" s="6"/>
      <c r="X97" s="6"/>
      <c r="Y97" s="6"/>
      <c r="Z97" s="6"/>
    </row>
    <row r="98" ht="60.0" customHeight="1">
      <c r="A98" s="6"/>
      <c r="B98" s="31">
        <v>93.0</v>
      </c>
      <c r="C98" s="31" t="s">
        <v>583</v>
      </c>
      <c r="D98" s="31" t="s">
        <v>584</v>
      </c>
      <c r="E98" s="33" t="s">
        <v>205</v>
      </c>
      <c r="F98" s="31" t="s">
        <v>585</v>
      </c>
      <c r="G98" s="31" t="s">
        <v>586</v>
      </c>
      <c r="H98" s="36" t="s">
        <v>105</v>
      </c>
      <c r="I98" s="6"/>
      <c r="J98" s="6"/>
      <c r="K98" s="6"/>
      <c r="L98" s="6"/>
      <c r="M98" s="6"/>
      <c r="N98" s="6"/>
      <c r="O98" s="6"/>
      <c r="P98" s="6"/>
      <c r="Q98" s="6"/>
      <c r="R98" s="6"/>
      <c r="S98" s="6"/>
      <c r="T98" s="6"/>
      <c r="U98" s="6"/>
      <c r="V98" s="6"/>
      <c r="W98" s="6"/>
      <c r="X98" s="6"/>
      <c r="Y98" s="6"/>
      <c r="Z98" s="6"/>
    </row>
    <row r="99" ht="60.0" customHeight="1">
      <c r="A99" s="6"/>
      <c r="B99" s="31">
        <v>94.0</v>
      </c>
      <c r="C99" s="31" t="s">
        <v>587</v>
      </c>
      <c r="D99" s="31" t="s">
        <v>588</v>
      </c>
      <c r="E99" s="33" t="s">
        <v>205</v>
      </c>
      <c r="F99" s="31" t="s">
        <v>589</v>
      </c>
      <c r="G99" s="31" t="s">
        <v>590</v>
      </c>
      <c r="H99" s="36" t="s">
        <v>105</v>
      </c>
      <c r="I99" s="6"/>
      <c r="J99" s="6"/>
      <c r="K99" s="6"/>
      <c r="L99" s="6"/>
      <c r="M99" s="6"/>
      <c r="N99" s="6"/>
      <c r="O99" s="6"/>
      <c r="P99" s="6"/>
      <c r="Q99" s="6"/>
      <c r="R99" s="6"/>
      <c r="S99" s="6"/>
      <c r="T99" s="6"/>
      <c r="U99" s="6"/>
      <c r="V99" s="6"/>
      <c r="W99" s="6"/>
      <c r="X99" s="6"/>
      <c r="Y99" s="6"/>
      <c r="Z99" s="6"/>
    </row>
    <row r="100" ht="60.0" customHeight="1">
      <c r="A100" s="6"/>
      <c r="B100" s="31">
        <v>95.0</v>
      </c>
      <c r="C100" s="31" t="s">
        <v>591</v>
      </c>
      <c r="D100" s="31" t="s">
        <v>592</v>
      </c>
      <c r="E100" s="33" t="s">
        <v>205</v>
      </c>
      <c r="F100" s="31" t="s">
        <v>593</v>
      </c>
      <c r="G100" s="31" t="s">
        <v>594</v>
      </c>
      <c r="H100" s="36" t="s">
        <v>105</v>
      </c>
      <c r="I100" s="6"/>
      <c r="J100" s="6"/>
      <c r="K100" s="6"/>
      <c r="L100" s="6"/>
      <c r="M100" s="6"/>
      <c r="N100" s="6"/>
      <c r="O100" s="6"/>
      <c r="P100" s="6"/>
      <c r="Q100" s="6"/>
      <c r="R100" s="6"/>
      <c r="S100" s="6"/>
      <c r="T100" s="6"/>
      <c r="U100" s="6"/>
      <c r="V100" s="6"/>
      <c r="W100" s="6"/>
      <c r="X100" s="6"/>
      <c r="Y100" s="6"/>
      <c r="Z100" s="6"/>
    </row>
    <row r="101" ht="60.0" customHeight="1">
      <c r="A101" s="6"/>
      <c r="B101" s="31">
        <v>96.0</v>
      </c>
      <c r="C101" s="31" t="s">
        <v>595</v>
      </c>
      <c r="D101" s="31" t="s">
        <v>596</v>
      </c>
      <c r="E101" s="33" t="s">
        <v>205</v>
      </c>
      <c r="F101" s="31" t="s">
        <v>597</v>
      </c>
      <c r="G101" s="31" t="s">
        <v>598</v>
      </c>
      <c r="H101" s="36" t="s">
        <v>105</v>
      </c>
      <c r="I101" s="6"/>
      <c r="J101" s="6"/>
      <c r="K101" s="6"/>
      <c r="L101" s="6"/>
      <c r="M101" s="6"/>
      <c r="N101" s="6"/>
      <c r="O101" s="6"/>
      <c r="P101" s="6"/>
      <c r="Q101" s="6"/>
      <c r="R101" s="6"/>
      <c r="S101" s="6"/>
      <c r="T101" s="6"/>
      <c r="U101" s="6"/>
      <c r="V101" s="6"/>
      <c r="W101" s="6"/>
      <c r="X101" s="6"/>
      <c r="Y101" s="6"/>
      <c r="Z101" s="6"/>
    </row>
    <row r="102" ht="60.0" customHeight="1">
      <c r="A102" s="6"/>
      <c r="B102" s="31">
        <v>97.0</v>
      </c>
      <c r="C102" s="31" t="s">
        <v>599</v>
      </c>
      <c r="D102" s="31" t="s">
        <v>600</v>
      </c>
      <c r="E102" s="33" t="s">
        <v>205</v>
      </c>
      <c r="F102" s="31" t="s">
        <v>601</v>
      </c>
      <c r="G102" s="31" t="s">
        <v>602</v>
      </c>
      <c r="H102" s="36" t="s">
        <v>105</v>
      </c>
      <c r="I102" s="6"/>
      <c r="J102" s="6"/>
      <c r="K102" s="6"/>
      <c r="L102" s="6"/>
      <c r="M102" s="6"/>
      <c r="N102" s="6"/>
      <c r="O102" s="6"/>
      <c r="P102" s="6"/>
      <c r="Q102" s="6"/>
      <c r="R102" s="6"/>
      <c r="S102" s="6"/>
      <c r="T102" s="6"/>
      <c r="U102" s="6"/>
      <c r="V102" s="6"/>
      <c r="W102" s="6"/>
      <c r="X102" s="6"/>
      <c r="Y102" s="6"/>
      <c r="Z102" s="6"/>
    </row>
    <row r="103" ht="60.0" customHeight="1">
      <c r="A103" s="6"/>
      <c r="B103" s="31">
        <v>98.0</v>
      </c>
      <c r="C103" s="31" t="s">
        <v>603</v>
      </c>
      <c r="D103" s="31" t="s">
        <v>604</v>
      </c>
      <c r="E103" s="33" t="s">
        <v>205</v>
      </c>
      <c r="F103" s="31" t="s">
        <v>605</v>
      </c>
      <c r="G103" s="31" t="s">
        <v>606</v>
      </c>
      <c r="H103" s="36" t="s">
        <v>105</v>
      </c>
      <c r="I103" s="6"/>
      <c r="J103" s="6"/>
      <c r="K103" s="6"/>
      <c r="L103" s="6"/>
      <c r="M103" s="6"/>
      <c r="N103" s="6"/>
      <c r="O103" s="6"/>
      <c r="P103" s="6"/>
      <c r="Q103" s="6"/>
      <c r="R103" s="6"/>
      <c r="S103" s="6"/>
      <c r="T103" s="6"/>
      <c r="U103" s="6"/>
      <c r="V103" s="6"/>
      <c r="W103" s="6"/>
      <c r="X103" s="6"/>
      <c r="Y103" s="6"/>
      <c r="Z103" s="6"/>
    </row>
    <row r="104" ht="60.0" customHeight="1">
      <c r="A104" s="6"/>
      <c r="B104" s="31">
        <v>99.0</v>
      </c>
      <c r="C104" s="31" t="s">
        <v>607</v>
      </c>
      <c r="D104" s="31" t="s">
        <v>608</v>
      </c>
      <c r="E104" s="33" t="s">
        <v>205</v>
      </c>
      <c r="F104" s="31" t="s">
        <v>609</v>
      </c>
      <c r="G104" s="31" t="s">
        <v>610</v>
      </c>
      <c r="H104" s="36" t="s">
        <v>105</v>
      </c>
      <c r="I104" s="6"/>
      <c r="J104" s="6"/>
      <c r="K104" s="6"/>
      <c r="L104" s="6"/>
      <c r="M104" s="6"/>
      <c r="N104" s="6"/>
      <c r="O104" s="6"/>
      <c r="P104" s="6"/>
      <c r="Q104" s="6"/>
      <c r="R104" s="6"/>
      <c r="S104" s="6"/>
      <c r="T104" s="6"/>
      <c r="U104" s="6"/>
      <c r="V104" s="6"/>
      <c r="W104" s="6"/>
      <c r="X104" s="6"/>
      <c r="Y104" s="6"/>
      <c r="Z104" s="6"/>
    </row>
    <row r="105" ht="60.0" customHeight="1">
      <c r="A105" s="6"/>
      <c r="B105" s="31">
        <v>100.0</v>
      </c>
      <c r="C105" s="31" t="s">
        <v>611</v>
      </c>
      <c r="D105" s="31" t="s">
        <v>612</v>
      </c>
      <c r="E105" s="33" t="s">
        <v>205</v>
      </c>
      <c r="F105" s="31" t="s">
        <v>613</v>
      </c>
      <c r="G105" s="31" t="s">
        <v>614</v>
      </c>
      <c r="H105" s="36" t="s">
        <v>105</v>
      </c>
      <c r="I105" s="6"/>
      <c r="J105" s="6"/>
      <c r="K105" s="6"/>
      <c r="L105" s="6"/>
      <c r="M105" s="6"/>
      <c r="N105" s="6"/>
      <c r="O105" s="6"/>
      <c r="P105" s="6"/>
      <c r="Q105" s="6"/>
      <c r="R105" s="6"/>
      <c r="S105" s="6"/>
      <c r="T105" s="6"/>
      <c r="U105" s="6"/>
      <c r="V105" s="6"/>
      <c r="W105" s="6"/>
      <c r="X105" s="6"/>
      <c r="Y105" s="6"/>
      <c r="Z105" s="6"/>
    </row>
    <row r="106" ht="60.0" customHeight="1">
      <c r="A106" s="6"/>
      <c r="B106" s="31">
        <v>101.0</v>
      </c>
      <c r="C106" s="31" t="s">
        <v>615</v>
      </c>
      <c r="D106" s="31" t="s">
        <v>616</v>
      </c>
      <c r="E106" s="33" t="s">
        <v>205</v>
      </c>
      <c r="F106" s="31" t="s">
        <v>617</v>
      </c>
      <c r="G106" s="31" t="s">
        <v>618</v>
      </c>
      <c r="H106" s="36" t="s">
        <v>105</v>
      </c>
      <c r="I106" s="6"/>
      <c r="J106" s="6"/>
      <c r="K106" s="6"/>
      <c r="L106" s="6"/>
      <c r="M106" s="6"/>
      <c r="N106" s="6"/>
      <c r="O106" s="6"/>
      <c r="P106" s="6"/>
      <c r="Q106" s="6"/>
      <c r="R106" s="6"/>
      <c r="S106" s="6"/>
      <c r="T106" s="6"/>
      <c r="U106" s="6"/>
      <c r="V106" s="6"/>
      <c r="W106" s="6"/>
      <c r="X106" s="6"/>
      <c r="Y106" s="6"/>
      <c r="Z106" s="6"/>
    </row>
    <row r="107" ht="60.0" customHeight="1">
      <c r="A107" s="6"/>
      <c r="B107" s="31">
        <v>102.0</v>
      </c>
      <c r="C107" s="31" t="s">
        <v>619</v>
      </c>
      <c r="D107" s="31" t="s">
        <v>620</v>
      </c>
      <c r="E107" s="33" t="s">
        <v>205</v>
      </c>
      <c r="F107" s="31" t="s">
        <v>621</v>
      </c>
      <c r="G107" s="31" t="s">
        <v>622</v>
      </c>
      <c r="H107" s="36" t="s">
        <v>105</v>
      </c>
      <c r="I107" s="6"/>
      <c r="J107" s="6"/>
      <c r="K107" s="6"/>
      <c r="L107" s="6"/>
      <c r="M107" s="6"/>
      <c r="N107" s="6"/>
      <c r="O107" s="6"/>
      <c r="P107" s="6"/>
      <c r="Q107" s="6"/>
      <c r="R107" s="6"/>
      <c r="S107" s="6"/>
      <c r="T107" s="6"/>
      <c r="U107" s="6"/>
      <c r="V107" s="6"/>
      <c r="W107" s="6"/>
      <c r="X107" s="6"/>
      <c r="Y107" s="6"/>
      <c r="Z107" s="6"/>
    </row>
    <row r="108" ht="60.0" customHeight="1">
      <c r="A108" s="6"/>
      <c r="B108" s="31">
        <v>103.0</v>
      </c>
      <c r="C108" s="31" t="s">
        <v>623</v>
      </c>
      <c r="D108" s="31" t="s">
        <v>624</v>
      </c>
      <c r="E108" s="33" t="s">
        <v>205</v>
      </c>
      <c r="F108" s="31" t="s">
        <v>625</v>
      </c>
      <c r="G108" s="31" t="s">
        <v>622</v>
      </c>
      <c r="H108" s="36" t="s">
        <v>105</v>
      </c>
      <c r="I108" s="6"/>
      <c r="J108" s="6"/>
      <c r="K108" s="6"/>
      <c r="L108" s="6"/>
      <c r="M108" s="6"/>
      <c r="N108" s="6"/>
      <c r="O108" s="6"/>
      <c r="P108" s="6"/>
      <c r="Q108" s="6"/>
      <c r="R108" s="6"/>
      <c r="S108" s="6"/>
      <c r="T108" s="6"/>
      <c r="U108" s="6"/>
      <c r="V108" s="6"/>
      <c r="W108" s="6"/>
      <c r="X108" s="6"/>
      <c r="Y108" s="6"/>
      <c r="Z108" s="6"/>
    </row>
    <row r="109" ht="60.0" customHeight="1">
      <c r="A109" s="6"/>
      <c r="B109" s="31">
        <v>104.0</v>
      </c>
      <c r="C109" s="31" t="s">
        <v>626</v>
      </c>
      <c r="D109" s="31" t="s">
        <v>627</v>
      </c>
      <c r="E109" s="33" t="s">
        <v>205</v>
      </c>
      <c r="F109" s="31" t="s">
        <v>628</v>
      </c>
      <c r="G109" s="31" t="s">
        <v>622</v>
      </c>
      <c r="H109" s="36" t="s">
        <v>105</v>
      </c>
      <c r="I109" s="6"/>
      <c r="J109" s="6"/>
      <c r="K109" s="6"/>
      <c r="L109" s="6"/>
      <c r="M109" s="6"/>
      <c r="N109" s="6"/>
      <c r="O109" s="6"/>
      <c r="P109" s="6"/>
      <c r="Q109" s="6"/>
      <c r="R109" s="6"/>
      <c r="S109" s="6"/>
      <c r="T109" s="6"/>
      <c r="U109" s="6"/>
      <c r="V109" s="6"/>
      <c r="W109" s="6"/>
      <c r="X109" s="6"/>
      <c r="Y109" s="6"/>
      <c r="Z109" s="6"/>
    </row>
    <row r="110" ht="60.0" customHeight="1">
      <c r="A110" s="6"/>
      <c r="B110" s="31">
        <v>105.0</v>
      </c>
      <c r="C110" s="31" t="s">
        <v>629</v>
      </c>
      <c r="D110" s="31" t="s">
        <v>630</v>
      </c>
      <c r="E110" s="33" t="s">
        <v>205</v>
      </c>
      <c r="F110" s="31" t="s">
        <v>631</v>
      </c>
      <c r="G110" s="31" t="s">
        <v>632</v>
      </c>
      <c r="H110" s="36" t="s">
        <v>105</v>
      </c>
      <c r="I110" s="6"/>
      <c r="J110" s="6"/>
      <c r="K110" s="6"/>
      <c r="L110" s="6"/>
      <c r="M110" s="6"/>
      <c r="N110" s="6"/>
      <c r="O110" s="6"/>
      <c r="P110" s="6"/>
      <c r="Q110" s="6"/>
      <c r="R110" s="6"/>
      <c r="S110" s="6"/>
      <c r="T110" s="6"/>
      <c r="U110" s="6"/>
      <c r="V110" s="6"/>
      <c r="W110" s="6"/>
      <c r="X110" s="6"/>
      <c r="Y110" s="6"/>
      <c r="Z110" s="6"/>
    </row>
    <row r="111" ht="60.0" customHeight="1">
      <c r="A111" s="6"/>
      <c r="B111" s="31">
        <v>106.0</v>
      </c>
      <c r="C111" s="31" t="s">
        <v>633</v>
      </c>
      <c r="D111" s="31" t="s">
        <v>634</v>
      </c>
      <c r="E111" s="33" t="s">
        <v>205</v>
      </c>
      <c r="F111" s="31" t="s">
        <v>635</v>
      </c>
      <c r="G111" s="31" t="s">
        <v>632</v>
      </c>
      <c r="H111" s="36" t="s">
        <v>105</v>
      </c>
      <c r="I111" s="6"/>
      <c r="J111" s="6"/>
      <c r="K111" s="6"/>
      <c r="L111" s="6"/>
      <c r="M111" s="6"/>
      <c r="N111" s="6"/>
      <c r="O111" s="6"/>
      <c r="P111" s="6"/>
      <c r="Q111" s="6"/>
      <c r="R111" s="6"/>
      <c r="S111" s="6"/>
      <c r="T111" s="6"/>
      <c r="U111" s="6"/>
      <c r="V111" s="6"/>
      <c r="W111" s="6"/>
      <c r="X111" s="6"/>
      <c r="Y111" s="6"/>
      <c r="Z111" s="6"/>
    </row>
    <row r="112" ht="60.0" customHeight="1">
      <c r="A112" s="6"/>
      <c r="B112" s="31">
        <v>107.0</v>
      </c>
      <c r="C112" s="31" t="s">
        <v>636</v>
      </c>
      <c r="D112" s="31" t="s">
        <v>637</v>
      </c>
      <c r="E112" s="33" t="s">
        <v>205</v>
      </c>
      <c r="F112" s="31" t="s">
        <v>638</v>
      </c>
      <c r="G112" s="31" t="s">
        <v>632</v>
      </c>
      <c r="H112" s="36" t="s">
        <v>105</v>
      </c>
      <c r="I112" s="6"/>
      <c r="J112" s="6"/>
      <c r="K112" s="6"/>
      <c r="L112" s="6"/>
      <c r="M112" s="6"/>
      <c r="N112" s="6"/>
      <c r="O112" s="6"/>
      <c r="P112" s="6"/>
      <c r="Q112" s="6"/>
      <c r="R112" s="6"/>
      <c r="S112" s="6"/>
      <c r="T112" s="6"/>
      <c r="U112" s="6"/>
      <c r="V112" s="6"/>
      <c r="W112" s="6"/>
      <c r="X112" s="6"/>
      <c r="Y112" s="6"/>
      <c r="Z112" s="6"/>
    </row>
    <row r="113" ht="60.0" customHeight="1">
      <c r="A113" s="6"/>
      <c r="B113" s="31">
        <v>108.0</v>
      </c>
      <c r="C113" s="31" t="s">
        <v>639</v>
      </c>
      <c r="D113" s="31" t="s">
        <v>640</v>
      </c>
      <c r="E113" s="33" t="s">
        <v>205</v>
      </c>
      <c r="F113" s="31" t="s">
        <v>641</v>
      </c>
      <c r="G113" s="31" t="s">
        <v>642</v>
      </c>
      <c r="H113" s="36" t="s">
        <v>105</v>
      </c>
      <c r="I113" s="6"/>
      <c r="J113" s="6"/>
      <c r="K113" s="6"/>
      <c r="L113" s="6"/>
      <c r="M113" s="6"/>
      <c r="N113" s="6"/>
      <c r="O113" s="6"/>
      <c r="P113" s="6"/>
      <c r="Q113" s="6"/>
      <c r="R113" s="6"/>
      <c r="S113" s="6"/>
      <c r="T113" s="6"/>
      <c r="U113" s="6"/>
      <c r="V113" s="6"/>
      <c r="W113" s="6"/>
      <c r="X113" s="6"/>
      <c r="Y113" s="6"/>
      <c r="Z113" s="6"/>
    </row>
    <row r="114" ht="60.0" customHeight="1">
      <c r="A114" s="6"/>
      <c r="B114" s="31">
        <v>109.0</v>
      </c>
      <c r="C114" s="31" t="s">
        <v>643</v>
      </c>
      <c r="D114" s="31" t="s">
        <v>644</v>
      </c>
      <c r="E114" s="33" t="s">
        <v>205</v>
      </c>
      <c r="F114" s="31" t="s">
        <v>645</v>
      </c>
      <c r="G114" s="31" t="s">
        <v>632</v>
      </c>
      <c r="H114" s="36" t="s">
        <v>105</v>
      </c>
      <c r="I114" s="6"/>
      <c r="J114" s="6"/>
      <c r="K114" s="6"/>
      <c r="L114" s="6"/>
      <c r="M114" s="6"/>
      <c r="N114" s="6"/>
      <c r="O114" s="6"/>
      <c r="P114" s="6"/>
      <c r="Q114" s="6"/>
      <c r="R114" s="6"/>
      <c r="S114" s="6"/>
      <c r="T114" s="6"/>
      <c r="U114" s="6"/>
      <c r="V114" s="6"/>
      <c r="W114" s="6"/>
      <c r="X114" s="6"/>
      <c r="Y114" s="6"/>
      <c r="Z114" s="6"/>
    </row>
    <row r="115" ht="60.0" customHeight="1">
      <c r="A115" s="6"/>
      <c r="B115" s="31">
        <v>110.0</v>
      </c>
      <c r="C115" s="31" t="s">
        <v>646</v>
      </c>
      <c r="D115" s="31" t="s">
        <v>647</v>
      </c>
      <c r="E115" s="33" t="s">
        <v>205</v>
      </c>
      <c r="F115" s="31" t="s">
        <v>648</v>
      </c>
      <c r="G115" s="31" t="s">
        <v>649</v>
      </c>
      <c r="H115" s="36" t="s">
        <v>105</v>
      </c>
      <c r="I115" s="6"/>
      <c r="J115" s="6"/>
      <c r="K115" s="6"/>
      <c r="L115" s="6"/>
      <c r="M115" s="6"/>
      <c r="N115" s="6"/>
      <c r="O115" s="6"/>
      <c r="P115" s="6"/>
      <c r="Q115" s="6"/>
      <c r="R115" s="6"/>
      <c r="S115" s="6"/>
      <c r="T115" s="6"/>
      <c r="U115" s="6"/>
      <c r="V115" s="6"/>
      <c r="W115" s="6"/>
      <c r="X115" s="6"/>
      <c r="Y115" s="6"/>
      <c r="Z115" s="6"/>
    </row>
    <row r="116" ht="60.0" customHeight="1">
      <c r="A116" s="6"/>
      <c r="B116" s="31">
        <v>111.0</v>
      </c>
      <c r="C116" s="31" t="s">
        <v>650</v>
      </c>
      <c r="D116" s="31" t="s">
        <v>651</v>
      </c>
      <c r="E116" s="33" t="s">
        <v>205</v>
      </c>
      <c r="F116" s="31" t="s">
        <v>652</v>
      </c>
      <c r="G116" s="31" t="s">
        <v>653</v>
      </c>
      <c r="H116" s="36" t="s">
        <v>105</v>
      </c>
      <c r="I116" s="6"/>
      <c r="J116" s="6"/>
      <c r="K116" s="6"/>
      <c r="L116" s="6"/>
      <c r="M116" s="6"/>
      <c r="N116" s="6"/>
      <c r="O116" s="6"/>
      <c r="P116" s="6"/>
      <c r="Q116" s="6"/>
      <c r="R116" s="6"/>
      <c r="S116" s="6"/>
      <c r="T116" s="6"/>
      <c r="U116" s="6"/>
      <c r="V116" s="6"/>
      <c r="W116" s="6"/>
      <c r="X116" s="6"/>
      <c r="Y116" s="6"/>
      <c r="Z116" s="6"/>
    </row>
    <row r="117" ht="60.0" customHeight="1">
      <c r="A117" s="6"/>
      <c r="B117" s="31">
        <v>112.0</v>
      </c>
      <c r="C117" s="31" t="s">
        <v>654</v>
      </c>
      <c r="D117" s="31" t="s">
        <v>655</v>
      </c>
      <c r="E117" s="33" t="s">
        <v>205</v>
      </c>
      <c r="F117" s="31" t="s">
        <v>656</v>
      </c>
      <c r="G117" s="31" t="s">
        <v>657</v>
      </c>
      <c r="H117" s="36" t="s">
        <v>105</v>
      </c>
      <c r="I117" s="6"/>
      <c r="J117" s="6"/>
      <c r="K117" s="6"/>
      <c r="L117" s="6"/>
      <c r="M117" s="6"/>
      <c r="N117" s="6"/>
      <c r="O117" s="6"/>
      <c r="P117" s="6"/>
      <c r="Q117" s="6"/>
      <c r="R117" s="6"/>
      <c r="S117" s="6"/>
      <c r="T117" s="6"/>
      <c r="U117" s="6"/>
      <c r="V117" s="6"/>
      <c r="W117" s="6"/>
      <c r="X117" s="6"/>
      <c r="Y117" s="6"/>
      <c r="Z117" s="6"/>
    </row>
    <row r="118" ht="60.0" customHeight="1">
      <c r="A118" s="6"/>
      <c r="B118" s="31">
        <v>113.0</v>
      </c>
      <c r="C118" s="31" t="s">
        <v>658</v>
      </c>
      <c r="D118" s="31" t="s">
        <v>659</v>
      </c>
      <c r="E118" s="33" t="s">
        <v>205</v>
      </c>
      <c r="F118" s="31" t="s">
        <v>660</v>
      </c>
      <c r="G118" s="31" t="s">
        <v>661</v>
      </c>
      <c r="H118" s="36" t="s">
        <v>105</v>
      </c>
      <c r="I118" s="6"/>
      <c r="J118" s="6"/>
      <c r="K118" s="6"/>
      <c r="L118" s="6"/>
      <c r="M118" s="6"/>
      <c r="N118" s="6"/>
      <c r="O118" s="6"/>
      <c r="P118" s="6"/>
      <c r="Q118" s="6"/>
      <c r="R118" s="6"/>
      <c r="S118" s="6"/>
      <c r="T118" s="6"/>
      <c r="U118" s="6"/>
      <c r="V118" s="6"/>
      <c r="W118" s="6"/>
      <c r="X118" s="6"/>
      <c r="Y118" s="6"/>
      <c r="Z118" s="6"/>
    </row>
    <row r="119" ht="60.0" customHeight="1">
      <c r="A119" s="6"/>
      <c r="B119" s="31">
        <v>114.0</v>
      </c>
      <c r="C119" s="31" t="s">
        <v>662</v>
      </c>
      <c r="D119" s="31" t="s">
        <v>663</v>
      </c>
      <c r="E119" s="33" t="s">
        <v>205</v>
      </c>
      <c r="F119" s="31" t="s">
        <v>664</v>
      </c>
      <c r="G119" s="31" t="s">
        <v>665</v>
      </c>
      <c r="H119" s="36" t="s">
        <v>105</v>
      </c>
      <c r="I119" s="6"/>
      <c r="J119" s="6"/>
      <c r="K119" s="6"/>
      <c r="L119" s="6"/>
      <c r="M119" s="6"/>
      <c r="N119" s="6"/>
      <c r="O119" s="6"/>
      <c r="P119" s="6"/>
      <c r="Q119" s="6"/>
      <c r="R119" s="6"/>
      <c r="S119" s="6"/>
      <c r="T119" s="6"/>
      <c r="U119" s="6"/>
      <c r="V119" s="6"/>
      <c r="W119" s="6"/>
      <c r="X119" s="6"/>
      <c r="Y119" s="6"/>
      <c r="Z119" s="6"/>
    </row>
    <row r="120" ht="60.0" customHeight="1">
      <c r="A120" s="6"/>
      <c r="B120" s="31">
        <v>115.0</v>
      </c>
      <c r="C120" s="31" t="s">
        <v>666</v>
      </c>
      <c r="D120" s="31" t="s">
        <v>667</v>
      </c>
      <c r="E120" s="33" t="s">
        <v>205</v>
      </c>
      <c r="F120" s="31" t="s">
        <v>668</v>
      </c>
      <c r="G120" s="31" t="s">
        <v>669</v>
      </c>
      <c r="H120" s="36" t="s">
        <v>105</v>
      </c>
      <c r="I120" s="6"/>
      <c r="J120" s="6"/>
      <c r="K120" s="6"/>
      <c r="L120" s="6"/>
      <c r="M120" s="6"/>
      <c r="N120" s="6"/>
      <c r="O120" s="6"/>
      <c r="P120" s="6"/>
      <c r="Q120" s="6"/>
      <c r="R120" s="6"/>
      <c r="S120" s="6"/>
      <c r="T120" s="6"/>
      <c r="U120" s="6"/>
      <c r="V120" s="6"/>
      <c r="W120" s="6"/>
      <c r="X120" s="6"/>
      <c r="Y120" s="6"/>
      <c r="Z120" s="6"/>
    </row>
    <row r="121" ht="60.0" customHeight="1">
      <c r="A121" s="6"/>
      <c r="B121" s="31">
        <v>116.0</v>
      </c>
      <c r="C121" s="31" t="s">
        <v>670</v>
      </c>
      <c r="D121" s="31" t="s">
        <v>671</v>
      </c>
      <c r="E121" s="33" t="s">
        <v>205</v>
      </c>
      <c r="F121" s="31" t="s">
        <v>672</v>
      </c>
      <c r="G121" s="31" t="s">
        <v>673</v>
      </c>
      <c r="H121" s="36" t="s">
        <v>105</v>
      </c>
      <c r="I121" s="6"/>
      <c r="J121" s="6"/>
      <c r="K121" s="6"/>
      <c r="L121" s="6"/>
      <c r="M121" s="6"/>
      <c r="N121" s="6"/>
      <c r="O121" s="6"/>
      <c r="P121" s="6"/>
      <c r="Q121" s="6"/>
      <c r="R121" s="6"/>
      <c r="S121" s="6"/>
      <c r="T121" s="6"/>
      <c r="U121" s="6"/>
      <c r="V121" s="6"/>
      <c r="W121" s="6"/>
      <c r="X121" s="6"/>
      <c r="Y121" s="6"/>
      <c r="Z121" s="6"/>
    </row>
    <row r="122" ht="60.0" customHeight="1">
      <c r="A122" s="6"/>
      <c r="B122" s="31">
        <v>117.0</v>
      </c>
      <c r="C122" s="31" t="s">
        <v>674</v>
      </c>
      <c r="D122" s="31" t="s">
        <v>675</v>
      </c>
      <c r="E122" s="33" t="s">
        <v>205</v>
      </c>
      <c r="F122" s="31" t="s">
        <v>676</v>
      </c>
      <c r="G122" s="31" t="s">
        <v>677</v>
      </c>
      <c r="H122" s="36" t="s">
        <v>105</v>
      </c>
      <c r="I122" s="6"/>
      <c r="J122" s="6"/>
      <c r="K122" s="6"/>
      <c r="L122" s="6"/>
      <c r="M122" s="6"/>
      <c r="N122" s="6"/>
      <c r="O122" s="6"/>
      <c r="P122" s="6"/>
      <c r="Q122" s="6"/>
      <c r="R122" s="6"/>
      <c r="S122" s="6"/>
      <c r="T122" s="6"/>
      <c r="U122" s="6"/>
      <c r="V122" s="6"/>
      <c r="W122" s="6"/>
      <c r="X122" s="6"/>
      <c r="Y122" s="6"/>
      <c r="Z122" s="6"/>
    </row>
    <row r="123" ht="60.0" customHeight="1">
      <c r="A123" s="6"/>
      <c r="B123" s="31">
        <v>118.0</v>
      </c>
      <c r="C123" s="31" t="s">
        <v>678</v>
      </c>
      <c r="D123" s="31" t="s">
        <v>679</v>
      </c>
      <c r="E123" s="33" t="s">
        <v>205</v>
      </c>
      <c r="F123" s="31" t="s">
        <v>680</v>
      </c>
      <c r="G123" s="31" t="s">
        <v>681</v>
      </c>
      <c r="H123" s="36" t="s">
        <v>105</v>
      </c>
      <c r="I123" s="6"/>
      <c r="J123" s="6"/>
      <c r="K123" s="6"/>
      <c r="L123" s="6"/>
      <c r="M123" s="6"/>
      <c r="N123" s="6"/>
      <c r="O123" s="6"/>
      <c r="P123" s="6"/>
      <c r="Q123" s="6"/>
      <c r="R123" s="6"/>
      <c r="S123" s="6"/>
      <c r="T123" s="6"/>
      <c r="U123" s="6"/>
      <c r="V123" s="6"/>
      <c r="W123" s="6"/>
      <c r="X123" s="6"/>
      <c r="Y123" s="6"/>
      <c r="Z123" s="6"/>
    </row>
    <row r="124" ht="60.0" customHeight="1">
      <c r="A124" s="6"/>
      <c r="B124" s="31">
        <v>119.0</v>
      </c>
      <c r="C124" s="31" t="s">
        <v>682</v>
      </c>
      <c r="D124" s="31" t="s">
        <v>683</v>
      </c>
      <c r="E124" s="33" t="s">
        <v>205</v>
      </c>
      <c r="F124" s="31" t="s">
        <v>684</v>
      </c>
      <c r="G124" s="31" t="s">
        <v>685</v>
      </c>
      <c r="H124" s="36" t="s">
        <v>105</v>
      </c>
      <c r="I124" s="6"/>
      <c r="J124" s="6"/>
      <c r="K124" s="6"/>
      <c r="L124" s="6"/>
      <c r="M124" s="6"/>
      <c r="N124" s="6"/>
      <c r="O124" s="6"/>
      <c r="P124" s="6"/>
      <c r="Q124" s="6"/>
      <c r="R124" s="6"/>
      <c r="S124" s="6"/>
      <c r="T124" s="6"/>
      <c r="U124" s="6"/>
      <c r="V124" s="6"/>
      <c r="W124" s="6"/>
      <c r="X124" s="6"/>
      <c r="Y124" s="6"/>
      <c r="Z124" s="6"/>
    </row>
    <row r="125" ht="60.0" customHeight="1">
      <c r="A125" s="6"/>
      <c r="B125" s="31">
        <v>120.0</v>
      </c>
      <c r="C125" s="31" t="s">
        <v>686</v>
      </c>
      <c r="D125" s="31" t="s">
        <v>687</v>
      </c>
      <c r="E125" s="33" t="s">
        <v>205</v>
      </c>
      <c r="F125" s="31" t="s">
        <v>688</v>
      </c>
      <c r="G125" s="31" t="s">
        <v>689</v>
      </c>
      <c r="H125" s="36" t="s">
        <v>105</v>
      </c>
      <c r="I125" s="6"/>
      <c r="J125" s="6"/>
      <c r="K125" s="6"/>
      <c r="L125" s="6"/>
      <c r="M125" s="6"/>
      <c r="N125" s="6"/>
      <c r="O125" s="6"/>
      <c r="P125" s="6"/>
      <c r="Q125" s="6"/>
      <c r="R125" s="6"/>
      <c r="S125" s="6"/>
      <c r="T125" s="6"/>
      <c r="U125" s="6"/>
      <c r="V125" s="6"/>
      <c r="W125" s="6"/>
      <c r="X125" s="6"/>
      <c r="Y125" s="6"/>
      <c r="Z125" s="6"/>
    </row>
    <row r="126" ht="60.0" customHeight="1">
      <c r="A126" s="6"/>
      <c r="B126" s="31">
        <v>121.0</v>
      </c>
      <c r="C126" s="31" t="s">
        <v>690</v>
      </c>
      <c r="D126" s="31" t="s">
        <v>691</v>
      </c>
      <c r="E126" s="33" t="s">
        <v>205</v>
      </c>
      <c r="F126" s="31" t="s">
        <v>692</v>
      </c>
      <c r="G126" s="31" t="s">
        <v>693</v>
      </c>
      <c r="H126" s="36" t="s">
        <v>105</v>
      </c>
      <c r="I126" s="6"/>
      <c r="J126" s="6"/>
      <c r="K126" s="6"/>
      <c r="L126" s="6"/>
      <c r="M126" s="6"/>
      <c r="N126" s="6"/>
      <c r="O126" s="6"/>
      <c r="P126" s="6"/>
      <c r="Q126" s="6"/>
      <c r="R126" s="6"/>
      <c r="S126" s="6"/>
      <c r="T126" s="6"/>
      <c r="U126" s="6"/>
      <c r="V126" s="6"/>
      <c r="W126" s="6"/>
      <c r="X126" s="6"/>
      <c r="Y126" s="6"/>
      <c r="Z126" s="6"/>
    </row>
    <row r="127" ht="60.0" customHeight="1">
      <c r="A127" s="6"/>
      <c r="B127" s="31">
        <v>122.0</v>
      </c>
      <c r="C127" s="31" t="s">
        <v>694</v>
      </c>
      <c r="D127" s="31" t="s">
        <v>695</v>
      </c>
      <c r="E127" s="33" t="s">
        <v>205</v>
      </c>
      <c r="F127" s="31" t="s">
        <v>696</v>
      </c>
      <c r="G127" s="31" t="s">
        <v>697</v>
      </c>
      <c r="H127" s="36" t="s">
        <v>105</v>
      </c>
      <c r="I127" s="6"/>
      <c r="J127" s="6"/>
      <c r="K127" s="6"/>
      <c r="L127" s="6"/>
      <c r="M127" s="6"/>
      <c r="N127" s="6"/>
      <c r="O127" s="6"/>
      <c r="P127" s="6"/>
      <c r="Q127" s="6"/>
      <c r="R127" s="6"/>
      <c r="S127" s="6"/>
      <c r="T127" s="6"/>
      <c r="U127" s="6"/>
      <c r="V127" s="6"/>
      <c r="W127" s="6"/>
      <c r="X127" s="6"/>
      <c r="Y127" s="6"/>
      <c r="Z127" s="6"/>
    </row>
    <row r="128" ht="60.0" customHeight="1">
      <c r="A128" s="6"/>
      <c r="B128" s="31">
        <v>123.0</v>
      </c>
      <c r="C128" s="31" t="s">
        <v>698</v>
      </c>
      <c r="D128" s="31" t="s">
        <v>699</v>
      </c>
      <c r="E128" s="33" t="s">
        <v>205</v>
      </c>
      <c r="F128" s="31" t="s">
        <v>700</v>
      </c>
      <c r="G128" s="31" t="s">
        <v>701</v>
      </c>
      <c r="H128" s="36" t="s">
        <v>105</v>
      </c>
      <c r="I128" s="6"/>
      <c r="J128" s="6"/>
      <c r="K128" s="6"/>
      <c r="L128" s="6"/>
      <c r="M128" s="6"/>
      <c r="N128" s="6"/>
      <c r="O128" s="6"/>
      <c r="P128" s="6"/>
      <c r="Q128" s="6"/>
      <c r="R128" s="6"/>
      <c r="S128" s="6"/>
      <c r="T128" s="6"/>
      <c r="U128" s="6"/>
      <c r="V128" s="6"/>
      <c r="W128" s="6"/>
      <c r="X128" s="6"/>
      <c r="Y128" s="6"/>
      <c r="Z128" s="6"/>
    </row>
    <row r="129" ht="60.0" customHeight="1">
      <c r="A129" s="6"/>
      <c r="B129" s="31">
        <v>124.0</v>
      </c>
      <c r="C129" s="31" t="s">
        <v>702</v>
      </c>
      <c r="D129" s="31" t="s">
        <v>703</v>
      </c>
      <c r="E129" s="33" t="s">
        <v>205</v>
      </c>
      <c r="F129" s="31" t="s">
        <v>704</v>
      </c>
      <c r="G129" s="31" t="s">
        <v>705</v>
      </c>
      <c r="H129" s="36" t="s">
        <v>105</v>
      </c>
      <c r="I129" s="6"/>
      <c r="J129" s="6"/>
      <c r="K129" s="6"/>
      <c r="L129" s="6"/>
      <c r="M129" s="6"/>
      <c r="N129" s="6"/>
      <c r="O129" s="6"/>
      <c r="P129" s="6"/>
      <c r="Q129" s="6"/>
      <c r="R129" s="6"/>
      <c r="S129" s="6"/>
      <c r="T129" s="6"/>
      <c r="U129" s="6"/>
      <c r="V129" s="6"/>
      <c r="W129" s="6"/>
      <c r="X129" s="6"/>
      <c r="Y129" s="6"/>
      <c r="Z129" s="6"/>
    </row>
    <row r="130" ht="60.0" customHeight="1">
      <c r="A130" s="6"/>
      <c r="B130" s="31">
        <v>125.0</v>
      </c>
      <c r="C130" s="31" t="s">
        <v>706</v>
      </c>
      <c r="D130" s="31" t="s">
        <v>707</v>
      </c>
      <c r="E130" s="33" t="s">
        <v>205</v>
      </c>
      <c r="F130" s="31" t="s">
        <v>708</v>
      </c>
      <c r="G130" s="31" t="s">
        <v>709</v>
      </c>
      <c r="H130" s="36" t="s">
        <v>105</v>
      </c>
      <c r="I130" s="6"/>
      <c r="J130" s="6"/>
      <c r="K130" s="6"/>
      <c r="L130" s="6"/>
      <c r="M130" s="6"/>
      <c r="N130" s="6"/>
      <c r="O130" s="6"/>
      <c r="P130" s="6"/>
      <c r="Q130" s="6"/>
      <c r="R130" s="6"/>
      <c r="S130" s="6"/>
      <c r="T130" s="6"/>
      <c r="U130" s="6"/>
      <c r="V130" s="6"/>
      <c r="W130" s="6"/>
      <c r="X130" s="6"/>
      <c r="Y130" s="6"/>
      <c r="Z130" s="6"/>
    </row>
    <row r="131" ht="60.0" customHeight="1">
      <c r="A131" s="6"/>
      <c r="B131" s="31">
        <v>126.0</v>
      </c>
      <c r="C131" s="31" t="s">
        <v>710</v>
      </c>
      <c r="D131" s="31" t="s">
        <v>711</v>
      </c>
      <c r="E131" s="33" t="s">
        <v>205</v>
      </c>
      <c r="F131" s="31" t="s">
        <v>712</v>
      </c>
      <c r="G131" s="31" t="s">
        <v>713</v>
      </c>
      <c r="H131" s="36" t="s">
        <v>105</v>
      </c>
      <c r="I131" s="6"/>
      <c r="J131" s="6"/>
      <c r="K131" s="6"/>
      <c r="L131" s="6"/>
      <c r="M131" s="6"/>
      <c r="N131" s="6"/>
      <c r="O131" s="6"/>
      <c r="P131" s="6"/>
      <c r="Q131" s="6"/>
      <c r="R131" s="6"/>
      <c r="S131" s="6"/>
      <c r="T131" s="6"/>
      <c r="U131" s="6"/>
      <c r="V131" s="6"/>
      <c r="W131" s="6"/>
      <c r="X131" s="6"/>
      <c r="Y131" s="6"/>
      <c r="Z131" s="6"/>
    </row>
    <row r="132" ht="60.0" customHeight="1">
      <c r="A132" s="6"/>
      <c r="B132" s="31">
        <v>127.0</v>
      </c>
      <c r="C132" s="31" t="s">
        <v>714</v>
      </c>
      <c r="D132" s="31" t="s">
        <v>715</v>
      </c>
      <c r="E132" s="33" t="s">
        <v>205</v>
      </c>
      <c r="F132" s="31" t="s">
        <v>716</v>
      </c>
      <c r="G132" s="31" t="s">
        <v>717</v>
      </c>
      <c r="H132" s="36" t="s">
        <v>105</v>
      </c>
      <c r="I132" s="6"/>
      <c r="J132" s="6"/>
      <c r="K132" s="6"/>
      <c r="L132" s="6"/>
      <c r="M132" s="6"/>
      <c r="N132" s="6"/>
      <c r="O132" s="6"/>
      <c r="P132" s="6"/>
      <c r="Q132" s="6"/>
      <c r="R132" s="6"/>
      <c r="S132" s="6"/>
      <c r="T132" s="6"/>
      <c r="U132" s="6"/>
      <c r="V132" s="6"/>
      <c r="W132" s="6"/>
      <c r="X132" s="6"/>
      <c r="Y132" s="6"/>
      <c r="Z132" s="6"/>
    </row>
    <row r="133" ht="60.0" customHeight="1">
      <c r="A133" s="6"/>
      <c r="B133" s="31">
        <v>128.0</v>
      </c>
      <c r="C133" s="31" t="s">
        <v>718</v>
      </c>
      <c r="D133" s="31" t="s">
        <v>719</v>
      </c>
      <c r="E133" s="33" t="s">
        <v>205</v>
      </c>
      <c r="F133" s="31" t="s">
        <v>720</v>
      </c>
      <c r="G133" s="31" t="s">
        <v>721</v>
      </c>
      <c r="H133" s="36" t="s">
        <v>105</v>
      </c>
      <c r="I133" s="6"/>
      <c r="J133" s="6"/>
      <c r="K133" s="6"/>
      <c r="L133" s="6"/>
      <c r="M133" s="6"/>
      <c r="N133" s="6"/>
      <c r="O133" s="6"/>
      <c r="P133" s="6"/>
      <c r="Q133" s="6"/>
      <c r="R133" s="6"/>
      <c r="S133" s="6"/>
      <c r="T133" s="6"/>
      <c r="U133" s="6"/>
      <c r="V133" s="6"/>
      <c r="W133" s="6"/>
      <c r="X133" s="6"/>
      <c r="Y133" s="6"/>
      <c r="Z133" s="6"/>
    </row>
    <row r="134" ht="60.0" customHeight="1">
      <c r="A134" s="6"/>
      <c r="B134" s="31">
        <v>129.0</v>
      </c>
      <c r="C134" s="31" t="s">
        <v>722</v>
      </c>
      <c r="D134" s="31" t="s">
        <v>723</v>
      </c>
      <c r="E134" s="33" t="s">
        <v>205</v>
      </c>
      <c r="F134" s="31" t="s">
        <v>724</v>
      </c>
      <c r="G134" s="31" t="s">
        <v>725</v>
      </c>
      <c r="H134" s="36" t="s">
        <v>105</v>
      </c>
      <c r="I134" s="6"/>
      <c r="J134" s="6"/>
      <c r="K134" s="6"/>
      <c r="L134" s="6"/>
      <c r="M134" s="6"/>
      <c r="N134" s="6"/>
      <c r="O134" s="6"/>
      <c r="P134" s="6"/>
      <c r="Q134" s="6"/>
      <c r="R134" s="6"/>
      <c r="S134" s="6"/>
      <c r="T134" s="6"/>
      <c r="U134" s="6"/>
      <c r="V134" s="6"/>
      <c r="W134" s="6"/>
      <c r="X134" s="6"/>
      <c r="Y134" s="6"/>
      <c r="Z134" s="6"/>
    </row>
    <row r="135" ht="60.0" customHeight="1">
      <c r="A135" s="6"/>
      <c r="B135" s="31">
        <v>130.0</v>
      </c>
      <c r="C135" s="31" t="s">
        <v>726</v>
      </c>
      <c r="D135" s="31" t="s">
        <v>727</v>
      </c>
      <c r="E135" s="33" t="s">
        <v>205</v>
      </c>
      <c r="F135" s="31" t="s">
        <v>728</v>
      </c>
      <c r="G135" s="31" t="s">
        <v>729</v>
      </c>
      <c r="H135" s="36" t="s">
        <v>105</v>
      </c>
      <c r="I135" s="6"/>
      <c r="J135" s="6"/>
      <c r="K135" s="6"/>
      <c r="L135" s="6"/>
      <c r="M135" s="6"/>
      <c r="N135" s="6"/>
      <c r="O135" s="6"/>
      <c r="P135" s="6"/>
      <c r="Q135" s="6"/>
      <c r="R135" s="6"/>
      <c r="S135" s="6"/>
      <c r="T135" s="6"/>
      <c r="U135" s="6"/>
      <c r="V135" s="6"/>
      <c r="W135" s="6"/>
      <c r="X135" s="6"/>
      <c r="Y135" s="6"/>
      <c r="Z135" s="6"/>
    </row>
    <row r="136" ht="60.0" customHeight="1">
      <c r="A136" s="6"/>
      <c r="B136" s="31">
        <v>131.0</v>
      </c>
      <c r="C136" s="31" t="s">
        <v>730</v>
      </c>
      <c r="D136" s="31" t="s">
        <v>731</v>
      </c>
      <c r="E136" s="33" t="s">
        <v>205</v>
      </c>
      <c r="F136" s="31" t="s">
        <v>732</v>
      </c>
      <c r="G136" s="31" t="s">
        <v>733</v>
      </c>
      <c r="H136" s="36" t="s">
        <v>105</v>
      </c>
      <c r="I136" s="6"/>
      <c r="J136" s="6"/>
      <c r="K136" s="6"/>
      <c r="L136" s="6"/>
      <c r="M136" s="6"/>
      <c r="N136" s="6"/>
      <c r="O136" s="6"/>
      <c r="P136" s="6"/>
      <c r="Q136" s="6"/>
      <c r="R136" s="6"/>
      <c r="S136" s="6"/>
      <c r="T136" s="6"/>
      <c r="U136" s="6"/>
      <c r="V136" s="6"/>
      <c r="W136" s="6"/>
      <c r="X136" s="6"/>
      <c r="Y136" s="6"/>
      <c r="Z136" s="6"/>
    </row>
    <row r="137" ht="60.0" customHeight="1">
      <c r="A137" s="6"/>
      <c r="B137" s="31">
        <v>132.0</v>
      </c>
      <c r="C137" s="31" t="s">
        <v>734</v>
      </c>
      <c r="D137" s="31" t="s">
        <v>735</v>
      </c>
      <c r="E137" s="33" t="s">
        <v>205</v>
      </c>
      <c r="F137" s="31" t="s">
        <v>736</v>
      </c>
      <c r="G137" s="31" t="s">
        <v>737</v>
      </c>
      <c r="H137" s="36" t="s">
        <v>105</v>
      </c>
      <c r="I137" s="6"/>
      <c r="J137" s="6"/>
      <c r="K137" s="6"/>
      <c r="L137" s="6"/>
      <c r="M137" s="6"/>
      <c r="N137" s="6"/>
      <c r="O137" s="6"/>
      <c r="P137" s="6"/>
      <c r="Q137" s="6"/>
      <c r="R137" s="6"/>
      <c r="S137" s="6"/>
      <c r="T137" s="6"/>
      <c r="U137" s="6"/>
      <c r="V137" s="6"/>
      <c r="W137" s="6"/>
      <c r="X137" s="6"/>
      <c r="Y137" s="6"/>
      <c r="Z137" s="6"/>
    </row>
    <row r="138" ht="60.0" customHeight="1">
      <c r="A138" s="6"/>
      <c r="B138" s="31">
        <v>133.0</v>
      </c>
      <c r="C138" s="31" t="s">
        <v>738</v>
      </c>
      <c r="D138" s="31" t="s">
        <v>739</v>
      </c>
      <c r="E138" s="33" t="s">
        <v>205</v>
      </c>
      <c r="F138" s="31" t="s">
        <v>740</v>
      </c>
      <c r="G138" s="31" t="s">
        <v>741</v>
      </c>
      <c r="H138" s="36" t="s">
        <v>105</v>
      </c>
      <c r="I138" s="6"/>
      <c r="J138" s="6"/>
      <c r="K138" s="6"/>
      <c r="L138" s="6"/>
      <c r="M138" s="6"/>
      <c r="N138" s="6"/>
      <c r="O138" s="6"/>
      <c r="P138" s="6"/>
      <c r="Q138" s="6"/>
      <c r="R138" s="6"/>
      <c r="S138" s="6"/>
      <c r="T138" s="6"/>
      <c r="U138" s="6"/>
      <c r="V138" s="6"/>
      <c r="W138" s="6"/>
      <c r="X138" s="6"/>
      <c r="Y138" s="6"/>
      <c r="Z138" s="6"/>
    </row>
    <row r="139" ht="60.0" customHeight="1">
      <c r="A139" s="6"/>
      <c r="B139" s="31">
        <v>134.0</v>
      </c>
      <c r="C139" s="31" t="s">
        <v>742</v>
      </c>
      <c r="D139" s="31" t="s">
        <v>743</v>
      </c>
      <c r="E139" s="33" t="s">
        <v>205</v>
      </c>
      <c r="F139" s="31" t="s">
        <v>744</v>
      </c>
      <c r="G139" s="31" t="s">
        <v>745</v>
      </c>
      <c r="H139" s="36" t="s">
        <v>105</v>
      </c>
      <c r="I139" s="6"/>
      <c r="J139" s="6"/>
      <c r="K139" s="6"/>
      <c r="L139" s="6"/>
      <c r="M139" s="6"/>
      <c r="N139" s="6"/>
      <c r="O139" s="6"/>
      <c r="P139" s="6"/>
      <c r="Q139" s="6"/>
      <c r="R139" s="6"/>
      <c r="S139" s="6"/>
      <c r="T139" s="6"/>
      <c r="U139" s="6"/>
      <c r="V139" s="6"/>
      <c r="W139" s="6"/>
      <c r="X139" s="6"/>
      <c r="Y139" s="6"/>
      <c r="Z139" s="6"/>
    </row>
    <row r="140" ht="60.0" customHeight="1">
      <c r="A140" s="6"/>
      <c r="B140" s="31">
        <v>135.0</v>
      </c>
      <c r="C140" s="31" t="s">
        <v>746</v>
      </c>
      <c r="D140" s="31" t="s">
        <v>747</v>
      </c>
      <c r="E140" s="33" t="s">
        <v>205</v>
      </c>
      <c r="F140" s="31" t="s">
        <v>748</v>
      </c>
      <c r="G140" s="31" t="s">
        <v>749</v>
      </c>
      <c r="H140" s="36" t="s">
        <v>105</v>
      </c>
      <c r="I140" s="6"/>
      <c r="J140" s="6"/>
      <c r="K140" s="6"/>
      <c r="L140" s="6"/>
      <c r="M140" s="6"/>
      <c r="N140" s="6"/>
      <c r="O140" s="6"/>
      <c r="P140" s="6"/>
      <c r="Q140" s="6"/>
      <c r="R140" s="6"/>
      <c r="S140" s="6"/>
      <c r="T140" s="6"/>
      <c r="U140" s="6"/>
      <c r="V140" s="6"/>
      <c r="W140" s="6"/>
      <c r="X140" s="6"/>
      <c r="Y140" s="6"/>
      <c r="Z140" s="6"/>
    </row>
    <row r="141" ht="60.0" customHeight="1">
      <c r="A141" s="6"/>
      <c r="B141" s="31">
        <v>136.0</v>
      </c>
      <c r="C141" s="31" t="s">
        <v>750</v>
      </c>
      <c r="D141" s="31" t="s">
        <v>751</v>
      </c>
      <c r="E141" s="33" t="s">
        <v>205</v>
      </c>
      <c r="F141" s="31" t="s">
        <v>752</v>
      </c>
      <c r="G141" s="31" t="s">
        <v>753</v>
      </c>
      <c r="H141" s="36" t="s">
        <v>105</v>
      </c>
      <c r="I141" s="6"/>
      <c r="J141" s="6"/>
      <c r="K141" s="6"/>
      <c r="L141" s="6"/>
      <c r="M141" s="6"/>
      <c r="N141" s="6"/>
      <c r="O141" s="6"/>
      <c r="P141" s="6"/>
      <c r="Q141" s="6"/>
      <c r="R141" s="6"/>
      <c r="S141" s="6"/>
      <c r="T141" s="6"/>
      <c r="U141" s="6"/>
      <c r="V141" s="6"/>
      <c r="W141" s="6"/>
      <c r="X141" s="6"/>
      <c r="Y141" s="6"/>
      <c r="Z141" s="6"/>
    </row>
    <row r="142" ht="60.0" customHeight="1">
      <c r="A142" s="6"/>
      <c r="B142" s="31">
        <v>137.0</v>
      </c>
      <c r="C142" s="31" t="s">
        <v>754</v>
      </c>
      <c r="D142" s="31" t="s">
        <v>755</v>
      </c>
      <c r="E142" s="33" t="s">
        <v>205</v>
      </c>
      <c r="F142" s="31" t="s">
        <v>756</v>
      </c>
      <c r="G142" s="31" t="s">
        <v>757</v>
      </c>
      <c r="H142" s="36" t="s">
        <v>105</v>
      </c>
      <c r="I142" s="6"/>
      <c r="J142" s="6"/>
      <c r="K142" s="6"/>
      <c r="L142" s="6"/>
      <c r="M142" s="6"/>
      <c r="N142" s="6"/>
      <c r="O142" s="6"/>
      <c r="P142" s="6"/>
      <c r="Q142" s="6"/>
      <c r="R142" s="6"/>
      <c r="S142" s="6"/>
      <c r="T142" s="6"/>
      <c r="U142" s="6"/>
      <c r="V142" s="6"/>
      <c r="W142" s="6"/>
      <c r="X142" s="6"/>
      <c r="Y142" s="6"/>
      <c r="Z142" s="6"/>
    </row>
    <row r="143" ht="60.0" customHeight="1">
      <c r="A143" s="6"/>
      <c r="B143" s="31">
        <v>138.0</v>
      </c>
      <c r="C143" s="31" t="s">
        <v>758</v>
      </c>
      <c r="D143" s="31" t="s">
        <v>759</v>
      </c>
      <c r="E143" s="33" t="s">
        <v>205</v>
      </c>
      <c r="F143" s="31" t="s">
        <v>760</v>
      </c>
      <c r="G143" s="31" t="s">
        <v>761</v>
      </c>
      <c r="H143" s="36" t="s">
        <v>105</v>
      </c>
      <c r="I143" s="6"/>
      <c r="J143" s="6"/>
      <c r="K143" s="6"/>
      <c r="L143" s="6"/>
      <c r="M143" s="6"/>
      <c r="N143" s="6"/>
      <c r="O143" s="6"/>
      <c r="P143" s="6"/>
      <c r="Q143" s="6"/>
      <c r="R143" s="6"/>
      <c r="S143" s="6"/>
      <c r="T143" s="6"/>
      <c r="U143" s="6"/>
      <c r="V143" s="6"/>
      <c r="W143" s="6"/>
      <c r="X143" s="6"/>
      <c r="Y143" s="6"/>
      <c r="Z143" s="6"/>
    </row>
    <row r="144" ht="60.0" customHeight="1">
      <c r="A144" s="6"/>
      <c r="B144" s="31">
        <v>139.0</v>
      </c>
      <c r="C144" s="31" t="s">
        <v>762</v>
      </c>
      <c r="D144" s="31" t="s">
        <v>763</v>
      </c>
      <c r="E144" s="33" t="s">
        <v>205</v>
      </c>
      <c r="F144" s="31" t="s">
        <v>764</v>
      </c>
      <c r="G144" s="31" t="s">
        <v>765</v>
      </c>
      <c r="H144" s="36" t="s">
        <v>105</v>
      </c>
      <c r="I144" s="6"/>
      <c r="J144" s="6"/>
      <c r="K144" s="6"/>
      <c r="L144" s="6"/>
      <c r="M144" s="6"/>
      <c r="N144" s="6"/>
      <c r="O144" s="6"/>
      <c r="P144" s="6"/>
      <c r="Q144" s="6"/>
      <c r="R144" s="6"/>
      <c r="S144" s="6"/>
      <c r="T144" s="6"/>
      <c r="U144" s="6"/>
      <c r="V144" s="6"/>
      <c r="W144" s="6"/>
      <c r="X144" s="6"/>
      <c r="Y144" s="6"/>
      <c r="Z144" s="6"/>
    </row>
    <row r="145" ht="60.0" customHeight="1">
      <c r="A145" s="6"/>
      <c r="B145" s="31">
        <v>140.0</v>
      </c>
      <c r="C145" s="31" t="s">
        <v>766</v>
      </c>
      <c r="D145" s="31" t="s">
        <v>767</v>
      </c>
      <c r="E145" s="33" t="s">
        <v>205</v>
      </c>
      <c r="F145" s="31" t="s">
        <v>768</v>
      </c>
      <c r="G145" s="31" t="s">
        <v>769</v>
      </c>
      <c r="H145" s="36" t="s">
        <v>105</v>
      </c>
      <c r="I145" s="6"/>
      <c r="J145" s="6"/>
      <c r="K145" s="6"/>
      <c r="L145" s="6"/>
      <c r="M145" s="6"/>
      <c r="N145" s="6"/>
      <c r="O145" s="6"/>
      <c r="P145" s="6"/>
      <c r="Q145" s="6"/>
      <c r="R145" s="6"/>
      <c r="S145" s="6"/>
      <c r="T145" s="6"/>
      <c r="U145" s="6"/>
      <c r="V145" s="6"/>
      <c r="W145" s="6"/>
      <c r="X145" s="6"/>
      <c r="Y145" s="6"/>
      <c r="Z145" s="6"/>
    </row>
    <row r="146" ht="60.0" customHeight="1">
      <c r="A146" s="6"/>
      <c r="B146" s="31">
        <v>141.0</v>
      </c>
      <c r="C146" s="31" t="s">
        <v>770</v>
      </c>
      <c r="D146" s="31" t="s">
        <v>771</v>
      </c>
      <c r="E146" s="33" t="s">
        <v>205</v>
      </c>
      <c r="F146" s="31" t="s">
        <v>772</v>
      </c>
      <c r="G146" s="31" t="s">
        <v>773</v>
      </c>
      <c r="H146" s="36" t="s">
        <v>105</v>
      </c>
      <c r="I146" s="6"/>
      <c r="J146" s="6"/>
      <c r="K146" s="6"/>
      <c r="L146" s="6"/>
      <c r="M146" s="6"/>
      <c r="N146" s="6"/>
      <c r="O146" s="6"/>
      <c r="P146" s="6"/>
      <c r="Q146" s="6"/>
      <c r="R146" s="6"/>
      <c r="S146" s="6"/>
      <c r="T146" s="6"/>
      <c r="U146" s="6"/>
      <c r="V146" s="6"/>
      <c r="W146" s="6"/>
      <c r="X146" s="6"/>
      <c r="Y146" s="6"/>
      <c r="Z146" s="6"/>
    </row>
    <row r="147" ht="60.0" customHeight="1">
      <c r="A147" s="6"/>
      <c r="B147" s="31">
        <v>142.0</v>
      </c>
      <c r="C147" s="31" t="s">
        <v>774</v>
      </c>
      <c r="D147" s="31" t="s">
        <v>775</v>
      </c>
      <c r="E147" s="33" t="s">
        <v>205</v>
      </c>
      <c r="F147" s="31" t="s">
        <v>776</v>
      </c>
      <c r="G147" s="31" t="s">
        <v>777</v>
      </c>
      <c r="H147" s="36" t="s">
        <v>105</v>
      </c>
      <c r="I147" s="6"/>
      <c r="J147" s="6"/>
      <c r="K147" s="6"/>
      <c r="L147" s="6"/>
      <c r="M147" s="6"/>
      <c r="N147" s="6"/>
      <c r="O147" s="6"/>
      <c r="P147" s="6"/>
      <c r="Q147" s="6"/>
      <c r="R147" s="6"/>
      <c r="S147" s="6"/>
      <c r="T147" s="6"/>
      <c r="U147" s="6"/>
      <c r="V147" s="6"/>
      <c r="W147" s="6"/>
      <c r="X147" s="6"/>
      <c r="Y147" s="6"/>
      <c r="Z147" s="6"/>
    </row>
    <row r="148" ht="60.0" customHeight="1">
      <c r="A148" s="6"/>
      <c r="B148" s="31">
        <v>143.0</v>
      </c>
      <c r="C148" s="31" t="s">
        <v>778</v>
      </c>
      <c r="D148" s="31" t="s">
        <v>779</v>
      </c>
      <c r="E148" s="33" t="s">
        <v>205</v>
      </c>
      <c r="F148" s="31" t="s">
        <v>780</v>
      </c>
      <c r="G148" s="31" t="s">
        <v>781</v>
      </c>
      <c r="H148" s="36" t="s">
        <v>105</v>
      </c>
      <c r="I148" s="6"/>
      <c r="J148" s="6"/>
      <c r="K148" s="6"/>
      <c r="L148" s="6"/>
      <c r="M148" s="6"/>
      <c r="N148" s="6"/>
      <c r="O148" s="6"/>
      <c r="P148" s="6"/>
      <c r="Q148" s="6"/>
      <c r="R148" s="6"/>
      <c r="S148" s="6"/>
      <c r="T148" s="6"/>
      <c r="U148" s="6"/>
      <c r="V148" s="6"/>
      <c r="W148" s="6"/>
      <c r="X148" s="6"/>
      <c r="Y148" s="6"/>
      <c r="Z148" s="6"/>
    </row>
    <row r="149" ht="60.0" customHeight="1">
      <c r="A149" s="6"/>
      <c r="B149" s="31">
        <v>144.0</v>
      </c>
      <c r="C149" s="31" t="s">
        <v>782</v>
      </c>
      <c r="D149" s="31" t="s">
        <v>783</v>
      </c>
      <c r="E149" s="33" t="s">
        <v>205</v>
      </c>
      <c r="F149" s="31" t="s">
        <v>784</v>
      </c>
      <c r="G149" s="31" t="s">
        <v>785</v>
      </c>
      <c r="H149" s="36" t="s">
        <v>105</v>
      </c>
      <c r="I149" s="6"/>
      <c r="J149" s="6"/>
      <c r="K149" s="6"/>
      <c r="L149" s="6"/>
      <c r="M149" s="6"/>
      <c r="N149" s="6"/>
      <c r="O149" s="6"/>
      <c r="P149" s="6"/>
      <c r="Q149" s="6"/>
      <c r="R149" s="6"/>
      <c r="S149" s="6"/>
      <c r="T149" s="6"/>
      <c r="U149" s="6"/>
      <c r="V149" s="6"/>
      <c r="W149" s="6"/>
      <c r="X149" s="6"/>
      <c r="Y149" s="6"/>
      <c r="Z149" s="6"/>
    </row>
    <row r="150" ht="60.0" customHeight="1">
      <c r="A150" s="6"/>
      <c r="B150" s="31">
        <v>145.0</v>
      </c>
      <c r="C150" s="31" t="s">
        <v>786</v>
      </c>
      <c r="D150" s="31" t="s">
        <v>787</v>
      </c>
      <c r="E150" s="33" t="s">
        <v>205</v>
      </c>
      <c r="F150" s="31" t="s">
        <v>788</v>
      </c>
      <c r="G150" s="31" t="s">
        <v>789</v>
      </c>
      <c r="H150" s="36" t="s">
        <v>105</v>
      </c>
      <c r="I150" s="6"/>
      <c r="J150" s="6"/>
      <c r="K150" s="6"/>
      <c r="L150" s="6"/>
      <c r="M150" s="6"/>
      <c r="N150" s="6"/>
      <c r="O150" s="6"/>
      <c r="P150" s="6"/>
      <c r="Q150" s="6"/>
      <c r="R150" s="6"/>
      <c r="S150" s="6"/>
      <c r="T150" s="6"/>
      <c r="U150" s="6"/>
      <c r="V150" s="6"/>
      <c r="W150" s="6"/>
      <c r="X150" s="6"/>
      <c r="Y150" s="6"/>
      <c r="Z150" s="6"/>
    </row>
    <row r="151" ht="60.0" customHeight="1">
      <c r="A151" s="6"/>
      <c r="B151" s="31">
        <v>146.0</v>
      </c>
      <c r="C151" s="31" t="s">
        <v>790</v>
      </c>
      <c r="D151" s="31" t="s">
        <v>791</v>
      </c>
      <c r="E151" s="33" t="s">
        <v>205</v>
      </c>
      <c r="F151" s="31" t="s">
        <v>792</v>
      </c>
      <c r="G151" s="31" t="s">
        <v>793</v>
      </c>
      <c r="H151" s="36" t="s">
        <v>105</v>
      </c>
      <c r="I151" s="6"/>
      <c r="J151" s="6"/>
      <c r="K151" s="6"/>
      <c r="L151" s="6"/>
      <c r="M151" s="6"/>
      <c r="N151" s="6"/>
      <c r="O151" s="6"/>
      <c r="P151" s="6"/>
      <c r="Q151" s="6"/>
      <c r="R151" s="6"/>
      <c r="S151" s="6"/>
      <c r="T151" s="6"/>
      <c r="U151" s="6"/>
      <c r="V151" s="6"/>
      <c r="W151" s="6"/>
      <c r="X151" s="6"/>
      <c r="Y151" s="6"/>
      <c r="Z151" s="6"/>
    </row>
    <row r="152" ht="60.0" customHeight="1">
      <c r="A152" s="6"/>
      <c r="B152" s="31">
        <v>147.0</v>
      </c>
      <c r="C152" s="31" t="s">
        <v>159</v>
      </c>
      <c r="D152" s="31" t="s">
        <v>794</v>
      </c>
      <c r="E152" s="33" t="s">
        <v>205</v>
      </c>
      <c r="F152" s="31" t="s">
        <v>795</v>
      </c>
      <c r="G152" s="31" t="s">
        <v>796</v>
      </c>
      <c r="H152" s="36" t="s">
        <v>105</v>
      </c>
      <c r="I152" s="6"/>
      <c r="J152" s="6"/>
      <c r="K152" s="6"/>
      <c r="L152" s="6"/>
      <c r="M152" s="6"/>
      <c r="N152" s="6"/>
      <c r="O152" s="6"/>
      <c r="P152" s="6"/>
      <c r="Q152" s="6"/>
      <c r="R152" s="6"/>
      <c r="S152" s="6"/>
      <c r="T152" s="6"/>
      <c r="U152" s="6"/>
      <c r="V152" s="6"/>
      <c r="W152" s="6"/>
      <c r="X152" s="6"/>
      <c r="Y152" s="6"/>
      <c r="Z152" s="6"/>
    </row>
    <row r="153" ht="60.0" customHeight="1">
      <c r="A153" s="6"/>
      <c r="B153" s="31">
        <v>148.0</v>
      </c>
      <c r="C153" s="31" t="s">
        <v>797</v>
      </c>
      <c r="D153" s="31" t="s">
        <v>798</v>
      </c>
      <c r="E153" s="33" t="s">
        <v>205</v>
      </c>
      <c r="F153" s="31" t="s">
        <v>799</v>
      </c>
      <c r="G153" s="31" t="s">
        <v>800</v>
      </c>
      <c r="H153" s="36" t="s">
        <v>105</v>
      </c>
      <c r="I153" s="6"/>
      <c r="J153" s="6"/>
      <c r="K153" s="6"/>
      <c r="L153" s="6"/>
      <c r="M153" s="6"/>
      <c r="N153" s="6"/>
      <c r="O153" s="6"/>
      <c r="P153" s="6"/>
      <c r="Q153" s="6"/>
      <c r="R153" s="6"/>
      <c r="S153" s="6"/>
      <c r="T153" s="6"/>
      <c r="U153" s="6"/>
      <c r="V153" s="6"/>
      <c r="W153" s="6"/>
      <c r="X153" s="6"/>
      <c r="Y153" s="6"/>
      <c r="Z153" s="6"/>
    </row>
    <row r="154" ht="60.0" customHeight="1">
      <c r="A154" s="6"/>
      <c r="B154" s="31">
        <v>149.0</v>
      </c>
      <c r="C154" s="31" t="s">
        <v>801</v>
      </c>
      <c r="D154" s="31" t="s">
        <v>802</v>
      </c>
      <c r="E154" s="33" t="s">
        <v>205</v>
      </c>
      <c r="F154" s="31" t="s">
        <v>803</v>
      </c>
      <c r="G154" s="31" t="s">
        <v>804</v>
      </c>
      <c r="H154" s="36" t="s">
        <v>105</v>
      </c>
      <c r="I154" s="6"/>
      <c r="J154" s="6"/>
      <c r="K154" s="6"/>
      <c r="L154" s="6"/>
      <c r="M154" s="6"/>
      <c r="N154" s="6"/>
      <c r="O154" s="6"/>
      <c r="P154" s="6"/>
      <c r="Q154" s="6"/>
      <c r="R154" s="6"/>
      <c r="S154" s="6"/>
      <c r="T154" s="6"/>
      <c r="U154" s="6"/>
      <c r="V154" s="6"/>
      <c r="W154" s="6"/>
      <c r="X154" s="6"/>
      <c r="Y154" s="6"/>
      <c r="Z154" s="6"/>
    </row>
    <row r="155" ht="60.0" customHeight="1">
      <c r="A155" s="6"/>
      <c r="B155" s="31">
        <v>150.0</v>
      </c>
      <c r="C155" s="31" t="s">
        <v>805</v>
      </c>
      <c r="D155" s="31" t="s">
        <v>806</v>
      </c>
      <c r="E155" s="33" t="s">
        <v>205</v>
      </c>
      <c r="F155" s="31" t="s">
        <v>807</v>
      </c>
      <c r="G155" s="31" t="s">
        <v>808</v>
      </c>
      <c r="H155" s="36" t="s">
        <v>105</v>
      </c>
      <c r="I155" s="6"/>
      <c r="J155" s="6"/>
      <c r="K155" s="6"/>
      <c r="L155" s="6"/>
      <c r="M155" s="6"/>
      <c r="N155" s="6"/>
      <c r="O155" s="6"/>
      <c r="P155" s="6"/>
      <c r="Q155" s="6"/>
      <c r="R155" s="6"/>
      <c r="S155" s="6"/>
      <c r="T155" s="6"/>
      <c r="U155" s="6"/>
      <c r="V155" s="6"/>
      <c r="W155" s="6"/>
      <c r="X155" s="6"/>
      <c r="Y155" s="6"/>
      <c r="Z155" s="6"/>
    </row>
    <row r="156" ht="60.0" customHeight="1">
      <c r="A156" s="6"/>
      <c r="B156" s="31">
        <v>151.0</v>
      </c>
      <c r="C156" s="31" t="s">
        <v>189</v>
      </c>
      <c r="D156" s="31" t="s">
        <v>809</v>
      </c>
      <c r="E156" s="33" t="s">
        <v>205</v>
      </c>
      <c r="F156" s="31" t="s">
        <v>810</v>
      </c>
      <c r="G156" s="31" t="s">
        <v>811</v>
      </c>
      <c r="H156" s="36" t="s">
        <v>105</v>
      </c>
      <c r="I156" s="6"/>
      <c r="J156" s="6"/>
      <c r="K156" s="6"/>
      <c r="L156" s="6"/>
      <c r="M156" s="6"/>
      <c r="N156" s="6"/>
      <c r="O156" s="6"/>
      <c r="P156" s="6"/>
      <c r="Q156" s="6"/>
      <c r="R156" s="6"/>
      <c r="S156" s="6"/>
      <c r="T156" s="6"/>
      <c r="U156" s="6"/>
      <c r="V156" s="6"/>
      <c r="W156" s="6"/>
      <c r="X156" s="6"/>
      <c r="Y156" s="6"/>
      <c r="Z156" s="6"/>
    </row>
    <row r="157" ht="60.0" customHeight="1">
      <c r="A157" s="6"/>
      <c r="B157" s="31">
        <v>152.0</v>
      </c>
      <c r="C157" s="31" t="s">
        <v>812</v>
      </c>
      <c r="D157" s="31" t="s">
        <v>813</v>
      </c>
      <c r="E157" s="33" t="s">
        <v>205</v>
      </c>
      <c r="F157" s="31" t="s">
        <v>814</v>
      </c>
      <c r="G157" s="31" t="s">
        <v>815</v>
      </c>
      <c r="H157" s="36" t="s">
        <v>105</v>
      </c>
      <c r="I157" s="6"/>
      <c r="J157" s="6"/>
      <c r="K157" s="6"/>
      <c r="L157" s="6"/>
      <c r="M157" s="6"/>
      <c r="N157" s="6"/>
      <c r="O157" s="6"/>
      <c r="P157" s="6"/>
      <c r="Q157" s="6"/>
      <c r="R157" s="6"/>
      <c r="S157" s="6"/>
      <c r="T157" s="6"/>
      <c r="U157" s="6"/>
      <c r="V157" s="6"/>
      <c r="W157" s="6"/>
      <c r="X157" s="6"/>
      <c r="Y157" s="6"/>
      <c r="Z157" s="6"/>
    </row>
    <row r="158" ht="60.0" customHeight="1">
      <c r="A158" s="6"/>
      <c r="B158" s="31">
        <v>153.0</v>
      </c>
      <c r="C158" s="31" t="s">
        <v>816</v>
      </c>
      <c r="D158" s="31" t="s">
        <v>817</v>
      </c>
      <c r="E158" s="33" t="s">
        <v>205</v>
      </c>
      <c r="F158" s="31" t="s">
        <v>818</v>
      </c>
      <c r="G158" s="31" t="s">
        <v>819</v>
      </c>
      <c r="H158" s="36" t="s">
        <v>105</v>
      </c>
      <c r="I158" s="6"/>
      <c r="J158" s="6"/>
      <c r="K158" s="6"/>
      <c r="L158" s="6"/>
      <c r="M158" s="6"/>
      <c r="N158" s="6"/>
      <c r="O158" s="6"/>
      <c r="P158" s="6"/>
      <c r="Q158" s="6"/>
      <c r="R158" s="6"/>
      <c r="S158" s="6"/>
      <c r="T158" s="6"/>
      <c r="U158" s="6"/>
      <c r="V158" s="6"/>
      <c r="W158" s="6"/>
      <c r="X158" s="6"/>
      <c r="Y158" s="6"/>
      <c r="Z158" s="6"/>
    </row>
    <row r="159" ht="60.0" customHeight="1">
      <c r="A159" s="6"/>
      <c r="B159" s="31">
        <v>154.0</v>
      </c>
      <c r="C159" s="31" t="s">
        <v>820</v>
      </c>
      <c r="D159" s="31" t="s">
        <v>821</v>
      </c>
      <c r="E159" s="33" t="s">
        <v>205</v>
      </c>
      <c r="F159" s="31" t="s">
        <v>822</v>
      </c>
      <c r="G159" s="31" t="s">
        <v>823</v>
      </c>
      <c r="H159" s="36" t="s">
        <v>105</v>
      </c>
      <c r="I159" s="6"/>
      <c r="J159" s="6"/>
      <c r="K159" s="6"/>
      <c r="L159" s="6"/>
      <c r="M159" s="6"/>
      <c r="N159" s="6"/>
      <c r="O159" s="6"/>
      <c r="P159" s="6"/>
      <c r="Q159" s="6"/>
      <c r="R159" s="6"/>
      <c r="S159" s="6"/>
      <c r="T159" s="6"/>
      <c r="U159" s="6"/>
      <c r="V159" s="6"/>
      <c r="W159" s="6"/>
      <c r="X159" s="6"/>
      <c r="Y159" s="6"/>
      <c r="Z159" s="6"/>
    </row>
    <row r="160" ht="60.0" customHeight="1">
      <c r="A160" s="6"/>
      <c r="B160" s="31">
        <v>155.0</v>
      </c>
      <c r="C160" s="31" t="s">
        <v>219</v>
      </c>
      <c r="D160" s="31" t="s">
        <v>824</v>
      </c>
      <c r="E160" s="33" t="s">
        <v>205</v>
      </c>
      <c r="F160" s="31" t="s">
        <v>825</v>
      </c>
      <c r="G160" s="31" t="s">
        <v>826</v>
      </c>
      <c r="H160" s="36" t="s">
        <v>105</v>
      </c>
      <c r="I160" s="6"/>
      <c r="J160" s="6"/>
      <c r="K160" s="6"/>
      <c r="L160" s="6"/>
      <c r="M160" s="6"/>
      <c r="N160" s="6"/>
      <c r="O160" s="6"/>
      <c r="P160" s="6"/>
      <c r="Q160" s="6"/>
      <c r="R160" s="6"/>
      <c r="S160" s="6"/>
      <c r="T160" s="6"/>
      <c r="U160" s="6"/>
      <c r="V160" s="6"/>
      <c r="W160" s="6"/>
      <c r="X160" s="6"/>
      <c r="Y160" s="6"/>
      <c r="Z160" s="6"/>
    </row>
    <row r="161" ht="60.0" customHeight="1">
      <c r="A161" s="6"/>
      <c r="B161" s="31">
        <v>156.0</v>
      </c>
      <c r="C161" s="31" t="s">
        <v>827</v>
      </c>
      <c r="D161" s="31" t="s">
        <v>828</v>
      </c>
      <c r="E161" s="33" t="s">
        <v>205</v>
      </c>
      <c r="F161" s="31" t="s">
        <v>829</v>
      </c>
      <c r="G161" s="31" t="s">
        <v>830</v>
      </c>
      <c r="H161" s="36" t="s">
        <v>105</v>
      </c>
      <c r="I161" s="6"/>
      <c r="J161" s="6"/>
      <c r="K161" s="6"/>
      <c r="L161" s="6"/>
      <c r="M161" s="6"/>
      <c r="N161" s="6"/>
      <c r="O161" s="6"/>
      <c r="P161" s="6"/>
      <c r="Q161" s="6"/>
      <c r="R161" s="6"/>
      <c r="S161" s="6"/>
      <c r="T161" s="6"/>
      <c r="U161" s="6"/>
      <c r="V161" s="6"/>
      <c r="W161" s="6"/>
      <c r="X161" s="6"/>
      <c r="Y161" s="6"/>
      <c r="Z161" s="6"/>
    </row>
    <row r="162" ht="60.0" customHeight="1">
      <c r="A162" s="6"/>
      <c r="B162" s="31">
        <v>157.0</v>
      </c>
      <c r="C162" s="31" t="s">
        <v>831</v>
      </c>
      <c r="D162" s="31" t="s">
        <v>832</v>
      </c>
      <c r="E162" s="33" t="s">
        <v>205</v>
      </c>
      <c r="F162" s="31" t="s">
        <v>833</v>
      </c>
      <c r="G162" s="31" t="s">
        <v>834</v>
      </c>
      <c r="H162" s="36" t="s">
        <v>105</v>
      </c>
      <c r="I162" s="6"/>
      <c r="J162" s="6"/>
      <c r="K162" s="6"/>
      <c r="L162" s="6"/>
      <c r="M162" s="6"/>
      <c r="N162" s="6"/>
      <c r="O162" s="6"/>
      <c r="P162" s="6"/>
      <c r="Q162" s="6"/>
      <c r="R162" s="6"/>
      <c r="S162" s="6"/>
      <c r="T162" s="6"/>
      <c r="U162" s="6"/>
      <c r="V162" s="6"/>
      <c r="W162" s="6"/>
      <c r="X162" s="6"/>
      <c r="Y162" s="6"/>
      <c r="Z162" s="6"/>
    </row>
    <row r="163" ht="60.0" customHeight="1">
      <c r="A163" s="6"/>
      <c r="B163" s="31">
        <v>158.0</v>
      </c>
      <c r="C163" s="31" t="s">
        <v>835</v>
      </c>
      <c r="D163" s="31" t="s">
        <v>836</v>
      </c>
      <c r="E163" s="33" t="s">
        <v>205</v>
      </c>
      <c r="F163" s="31" t="s">
        <v>837</v>
      </c>
      <c r="G163" s="31" t="s">
        <v>838</v>
      </c>
      <c r="H163" s="36" t="s">
        <v>105</v>
      </c>
      <c r="I163" s="6"/>
      <c r="J163" s="6"/>
      <c r="K163" s="6"/>
      <c r="L163" s="6"/>
      <c r="M163" s="6"/>
      <c r="N163" s="6"/>
      <c r="O163" s="6"/>
      <c r="P163" s="6"/>
      <c r="Q163" s="6"/>
      <c r="R163" s="6"/>
      <c r="S163" s="6"/>
      <c r="T163" s="6"/>
      <c r="U163" s="6"/>
      <c r="V163" s="6"/>
      <c r="W163" s="6"/>
      <c r="X163" s="6"/>
      <c r="Y163" s="6"/>
      <c r="Z163" s="6"/>
    </row>
    <row r="164" ht="60.0" customHeight="1">
      <c r="A164" s="6"/>
      <c r="B164" s="31">
        <v>159.0</v>
      </c>
      <c r="C164" s="31" t="s">
        <v>839</v>
      </c>
      <c r="D164" s="31" t="s">
        <v>840</v>
      </c>
      <c r="E164" s="33" t="s">
        <v>205</v>
      </c>
      <c r="F164" s="31" t="s">
        <v>841</v>
      </c>
      <c r="G164" s="31" t="s">
        <v>842</v>
      </c>
      <c r="H164" s="36" t="s">
        <v>105</v>
      </c>
      <c r="I164" s="6"/>
      <c r="J164" s="6"/>
      <c r="K164" s="6"/>
      <c r="L164" s="6"/>
      <c r="M164" s="6"/>
      <c r="N164" s="6"/>
      <c r="O164" s="6"/>
      <c r="P164" s="6"/>
      <c r="Q164" s="6"/>
      <c r="R164" s="6"/>
      <c r="S164" s="6"/>
      <c r="T164" s="6"/>
      <c r="U164" s="6"/>
      <c r="V164" s="6"/>
      <c r="W164" s="6"/>
      <c r="X164" s="6"/>
      <c r="Y164" s="6"/>
      <c r="Z164" s="6"/>
    </row>
    <row r="165" ht="60.0" customHeight="1">
      <c r="A165" s="6"/>
      <c r="B165" s="31">
        <v>160.0</v>
      </c>
      <c r="C165" s="31" t="s">
        <v>843</v>
      </c>
      <c r="D165" s="31" t="s">
        <v>844</v>
      </c>
      <c r="E165" s="33" t="s">
        <v>236</v>
      </c>
      <c r="F165" s="31" t="s">
        <v>845</v>
      </c>
      <c r="G165" s="31" t="s">
        <v>846</v>
      </c>
      <c r="H165" s="36" t="s">
        <v>105</v>
      </c>
      <c r="I165" s="6"/>
      <c r="J165" s="6"/>
      <c r="K165" s="6"/>
      <c r="L165" s="6"/>
      <c r="M165" s="6"/>
      <c r="N165" s="6"/>
      <c r="O165" s="6"/>
      <c r="P165" s="6"/>
      <c r="Q165" s="6"/>
      <c r="R165" s="6"/>
      <c r="S165" s="6"/>
      <c r="T165" s="6"/>
      <c r="U165" s="6"/>
      <c r="V165" s="6"/>
      <c r="W165" s="6"/>
      <c r="X165" s="6"/>
      <c r="Y165" s="6"/>
      <c r="Z165" s="6"/>
    </row>
    <row r="166" ht="60.0" customHeight="1">
      <c r="A166" s="6"/>
      <c r="B166" s="31">
        <v>161.0</v>
      </c>
      <c r="C166" s="31" t="s">
        <v>847</v>
      </c>
      <c r="D166" s="31" t="s">
        <v>848</v>
      </c>
      <c r="E166" s="33" t="s">
        <v>236</v>
      </c>
      <c r="F166" s="31" t="s">
        <v>849</v>
      </c>
      <c r="G166" s="31" t="s">
        <v>850</v>
      </c>
      <c r="H166" s="36" t="s">
        <v>105</v>
      </c>
      <c r="I166" s="6"/>
      <c r="J166" s="6"/>
      <c r="K166" s="6"/>
      <c r="L166" s="6"/>
      <c r="M166" s="6"/>
      <c r="N166" s="6"/>
      <c r="O166" s="6"/>
      <c r="P166" s="6"/>
      <c r="Q166" s="6"/>
      <c r="R166" s="6"/>
      <c r="S166" s="6"/>
      <c r="T166" s="6"/>
      <c r="U166" s="6"/>
      <c r="V166" s="6"/>
      <c r="W166" s="6"/>
      <c r="X166" s="6"/>
      <c r="Y166" s="6"/>
      <c r="Z166" s="6"/>
    </row>
    <row r="167" ht="60.0" customHeight="1">
      <c r="A167" s="6"/>
      <c r="B167" s="31">
        <v>162.0</v>
      </c>
      <c r="C167" s="31" t="s">
        <v>851</v>
      </c>
      <c r="D167" s="31" t="s">
        <v>852</v>
      </c>
      <c r="E167" s="33" t="s">
        <v>236</v>
      </c>
      <c r="F167" s="31" t="s">
        <v>853</v>
      </c>
      <c r="G167" s="31" t="s">
        <v>854</v>
      </c>
      <c r="H167" s="36" t="s">
        <v>105</v>
      </c>
      <c r="I167" s="6"/>
      <c r="J167" s="6"/>
      <c r="K167" s="6"/>
      <c r="L167" s="6"/>
      <c r="M167" s="6"/>
      <c r="N167" s="6"/>
      <c r="O167" s="6"/>
      <c r="P167" s="6"/>
      <c r="Q167" s="6"/>
      <c r="R167" s="6"/>
      <c r="S167" s="6"/>
      <c r="T167" s="6"/>
      <c r="U167" s="6"/>
      <c r="V167" s="6"/>
      <c r="W167" s="6"/>
      <c r="X167" s="6"/>
      <c r="Y167" s="6"/>
      <c r="Z167" s="6"/>
    </row>
    <row r="168" ht="60.0" customHeight="1">
      <c r="A168" s="6"/>
      <c r="B168" s="31">
        <v>163.0</v>
      </c>
      <c r="C168" s="31" t="s">
        <v>855</v>
      </c>
      <c r="D168" s="31" t="s">
        <v>856</v>
      </c>
      <c r="E168" s="33" t="s">
        <v>236</v>
      </c>
      <c r="F168" s="31" t="s">
        <v>857</v>
      </c>
      <c r="G168" s="31" t="s">
        <v>858</v>
      </c>
      <c r="H168" s="36" t="s">
        <v>105</v>
      </c>
      <c r="I168" s="6"/>
      <c r="J168" s="6"/>
      <c r="K168" s="6"/>
      <c r="L168" s="6"/>
      <c r="M168" s="6"/>
      <c r="N168" s="6"/>
      <c r="O168" s="6"/>
      <c r="P168" s="6"/>
      <c r="Q168" s="6"/>
      <c r="R168" s="6"/>
      <c r="S168" s="6"/>
      <c r="T168" s="6"/>
      <c r="U168" s="6"/>
      <c r="V168" s="6"/>
      <c r="W168" s="6"/>
      <c r="X168" s="6"/>
      <c r="Y168" s="6"/>
      <c r="Z168" s="6"/>
    </row>
    <row r="169" ht="60.0" customHeight="1">
      <c r="A169" s="6"/>
      <c r="B169" s="31">
        <v>164.0</v>
      </c>
      <c r="C169" s="31" t="s">
        <v>859</v>
      </c>
      <c r="D169" s="31" t="s">
        <v>860</v>
      </c>
      <c r="E169" s="33" t="s">
        <v>236</v>
      </c>
      <c r="F169" s="31" t="s">
        <v>861</v>
      </c>
      <c r="G169" s="31" t="s">
        <v>862</v>
      </c>
      <c r="H169" s="36" t="s">
        <v>105</v>
      </c>
      <c r="I169" s="6"/>
      <c r="J169" s="6"/>
      <c r="K169" s="6"/>
      <c r="L169" s="6"/>
      <c r="M169" s="6"/>
      <c r="N169" s="6"/>
      <c r="O169" s="6"/>
      <c r="P169" s="6"/>
      <c r="Q169" s="6"/>
      <c r="R169" s="6"/>
      <c r="S169" s="6"/>
      <c r="T169" s="6"/>
      <c r="U169" s="6"/>
      <c r="V169" s="6"/>
      <c r="W169" s="6"/>
      <c r="X169" s="6"/>
      <c r="Y169" s="6"/>
      <c r="Z169" s="6"/>
    </row>
    <row r="170" ht="60.0" customHeight="1">
      <c r="A170" s="6"/>
      <c r="B170" s="31">
        <v>165.0</v>
      </c>
      <c r="C170" s="31" t="s">
        <v>863</v>
      </c>
      <c r="D170" s="31" t="s">
        <v>864</v>
      </c>
      <c r="E170" s="33" t="s">
        <v>236</v>
      </c>
      <c r="F170" s="31" t="s">
        <v>865</v>
      </c>
      <c r="G170" s="31" t="s">
        <v>866</v>
      </c>
      <c r="H170" s="36" t="s">
        <v>105</v>
      </c>
      <c r="I170" s="6"/>
      <c r="J170" s="6"/>
      <c r="K170" s="6"/>
      <c r="L170" s="6"/>
      <c r="M170" s="6"/>
      <c r="N170" s="6"/>
      <c r="O170" s="6"/>
      <c r="P170" s="6"/>
      <c r="Q170" s="6"/>
      <c r="R170" s="6"/>
      <c r="S170" s="6"/>
      <c r="T170" s="6"/>
      <c r="U170" s="6"/>
      <c r="V170" s="6"/>
      <c r="W170" s="6"/>
      <c r="X170" s="6"/>
      <c r="Y170" s="6"/>
      <c r="Z170" s="6"/>
    </row>
    <row r="171" ht="60.0" customHeight="1">
      <c r="A171" s="6"/>
      <c r="B171" s="31">
        <v>166.0</v>
      </c>
      <c r="C171" s="31" t="s">
        <v>867</v>
      </c>
      <c r="D171" s="31" t="s">
        <v>868</v>
      </c>
      <c r="E171" s="33" t="s">
        <v>236</v>
      </c>
      <c r="F171" s="31" t="s">
        <v>869</v>
      </c>
      <c r="G171" s="31" t="s">
        <v>870</v>
      </c>
      <c r="H171" s="36" t="s">
        <v>105</v>
      </c>
      <c r="I171" s="6"/>
      <c r="J171" s="6"/>
      <c r="K171" s="6"/>
      <c r="L171" s="6"/>
      <c r="M171" s="6"/>
      <c r="N171" s="6"/>
      <c r="O171" s="6"/>
      <c r="P171" s="6"/>
      <c r="Q171" s="6"/>
      <c r="R171" s="6"/>
      <c r="S171" s="6"/>
      <c r="T171" s="6"/>
      <c r="U171" s="6"/>
      <c r="V171" s="6"/>
      <c r="W171" s="6"/>
      <c r="X171" s="6"/>
      <c r="Y171" s="6"/>
      <c r="Z171" s="6"/>
    </row>
    <row r="172" ht="60.0" customHeight="1">
      <c r="A172" s="6"/>
      <c r="B172" s="31">
        <v>167.0</v>
      </c>
      <c r="C172" s="31" t="s">
        <v>871</v>
      </c>
      <c r="D172" s="31" t="s">
        <v>872</v>
      </c>
      <c r="E172" s="33" t="s">
        <v>236</v>
      </c>
      <c r="F172" s="31" t="s">
        <v>873</v>
      </c>
      <c r="G172" s="31" t="s">
        <v>874</v>
      </c>
      <c r="H172" s="36" t="s">
        <v>105</v>
      </c>
      <c r="I172" s="6"/>
      <c r="J172" s="6"/>
      <c r="K172" s="6"/>
      <c r="L172" s="6"/>
      <c r="M172" s="6"/>
      <c r="N172" s="6"/>
      <c r="O172" s="6"/>
      <c r="P172" s="6"/>
      <c r="Q172" s="6"/>
      <c r="R172" s="6"/>
      <c r="S172" s="6"/>
      <c r="T172" s="6"/>
      <c r="U172" s="6"/>
      <c r="V172" s="6"/>
      <c r="W172" s="6"/>
      <c r="X172" s="6"/>
      <c r="Y172" s="6"/>
      <c r="Z172" s="6"/>
    </row>
    <row r="173" ht="60.0" customHeight="1">
      <c r="A173" s="6"/>
      <c r="B173" s="31">
        <v>168.0</v>
      </c>
      <c r="C173" s="31" t="s">
        <v>875</v>
      </c>
      <c r="D173" s="31" t="s">
        <v>876</v>
      </c>
      <c r="E173" s="33" t="s">
        <v>236</v>
      </c>
      <c r="F173" s="31" t="s">
        <v>877</v>
      </c>
      <c r="G173" s="31" t="s">
        <v>878</v>
      </c>
      <c r="H173" s="36" t="s">
        <v>105</v>
      </c>
      <c r="I173" s="6"/>
      <c r="J173" s="6"/>
      <c r="K173" s="6"/>
      <c r="L173" s="6"/>
      <c r="M173" s="6"/>
      <c r="N173" s="6"/>
      <c r="O173" s="6"/>
      <c r="P173" s="6"/>
      <c r="Q173" s="6"/>
      <c r="R173" s="6"/>
      <c r="S173" s="6"/>
      <c r="T173" s="6"/>
      <c r="U173" s="6"/>
      <c r="V173" s="6"/>
      <c r="W173" s="6"/>
      <c r="X173" s="6"/>
      <c r="Y173" s="6"/>
      <c r="Z173" s="6"/>
    </row>
    <row r="174" ht="60.0" customHeight="1">
      <c r="A174" s="6"/>
      <c r="B174" s="31">
        <v>169.0</v>
      </c>
      <c r="C174" s="31" t="s">
        <v>879</v>
      </c>
      <c r="D174" s="31" t="s">
        <v>880</v>
      </c>
      <c r="E174" s="33" t="s">
        <v>236</v>
      </c>
      <c r="F174" s="31" t="s">
        <v>881</v>
      </c>
      <c r="G174" s="31" t="s">
        <v>882</v>
      </c>
      <c r="H174" s="36" t="s">
        <v>105</v>
      </c>
      <c r="I174" s="6"/>
      <c r="J174" s="6"/>
      <c r="K174" s="6"/>
      <c r="L174" s="6"/>
      <c r="M174" s="6"/>
      <c r="N174" s="6"/>
      <c r="O174" s="6"/>
      <c r="P174" s="6"/>
      <c r="Q174" s="6"/>
      <c r="R174" s="6"/>
      <c r="S174" s="6"/>
      <c r="T174" s="6"/>
      <c r="U174" s="6"/>
      <c r="V174" s="6"/>
      <c r="W174" s="6"/>
      <c r="X174" s="6"/>
      <c r="Y174" s="6"/>
      <c r="Z174" s="6"/>
    </row>
    <row r="175" ht="60.0" customHeight="1">
      <c r="A175" s="6"/>
      <c r="B175" s="31">
        <v>170.0</v>
      </c>
      <c r="C175" s="31" t="s">
        <v>805</v>
      </c>
      <c r="D175" s="31" t="s">
        <v>883</v>
      </c>
      <c r="E175" s="33" t="s">
        <v>236</v>
      </c>
      <c r="F175" s="31" t="s">
        <v>884</v>
      </c>
      <c r="G175" s="31" t="s">
        <v>885</v>
      </c>
      <c r="H175" s="36" t="s">
        <v>105</v>
      </c>
      <c r="I175" s="6"/>
      <c r="J175" s="6"/>
      <c r="K175" s="6"/>
      <c r="L175" s="6"/>
      <c r="M175" s="6"/>
      <c r="N175" s="6"/>
      <c r="O175" s="6"/>
      <c r="P175" s="6"/>
      <c r="Q175" s="6"/>
      <c r="R175" s="6"/>
      <c r="S175" s="6"/>
      <c r="T175" s="6"/>
      <c r="U175" s="6"/>
      <c r="V175" s="6"/>
      <c r="W175" s="6"/>
      <c r="X175" s="6"/>
      <c r="Y175" s="6"/>
      <c r="Z175" s="6"/>
    </row>
    <row r="176" ht="60.0" customHeight="1">
      <c r="A176" s="6"/>
      <c r="B176" s="31">
        <v>171.0</v>
      </c>
      <c r="C176" s="31" t="s">
        <v>886</v>
      </c>
      <c r="D176" s="31" t="s">
        <v>887</v>
      </c>
      <c r="E176" s="33" t="s">
        <v>236</v>
      </c>
      <c r="F176" s="31" t="s">
        <v>888</v>
      </c>
      <c r="G176" s="31" t="s">
        <v>889</v>
      </c>
      <c r="H176" s="36" t="s">
        <v>105</v>
      </c>
      <c r="I176" s="6"/>
      <c r="J176" s="6"/>
      <c r="K176" s="6"/>
      <c r="L176" s="6"/>
      <c r="M176" s="6"/>
      <c r="N176" s="6"/>
      <c r="O176" s="6"/>
      <c r="P176" s="6"/>
      <c r="Q176" s="6"/>
      <c r="R176" s="6"/>
      <c r="S176" s="6"/>
      <c r="T176" s="6"/>
      <c r="U176" s="6"/>
      <c r="V176" s="6"/>
      <c r="W176" s="6"/>
      <c r="X176" s="6"/>
      <c r="Y176" s="6"/>
      <c r="Z176" s="6"/>
    </row>
    <row r="177" ht="60.0" customHeight="1">
      <c r="A177" s="6"/>
      <c r="B177" s="31">
        <v>172.0</v>
      </c>
      <c r="C177" s="31" t="s">
        <v>890</v>
      </c>
      <c r="D177" s="31" t="s">
        <v>891</v>
      </c>
      <c r="E177" s="33" t="s">
        <v>236</v>
      </c>
      <c r="F177" s="31" t="s">
        <v>892</v>
      </c>
      <c r="G177" s="31" t="s">
        <v>893</v>
      </c>
      <c r="H177" s="36" t="s">
        <v>105</v>
      </c>
      <c r="I177" s="6"/>
      <c r="J177" s="6"/>
      <c r="K177" s="6"/>
      <c r="L177" s="6"/>
      <c r="M177" s="6"/>
      <c r="N177" s="6"/>
      <c r="O177" s="6"/>
      <c r="P177" s="6"/>
      <c r="Q177" s="6"/>
      <c r="R177" s="6"/>
      <c r="S177" s="6"/>
      <c r="T177" s="6"/>
      <c r="U177" s="6"/>
      <c r="V177" s="6"/>
      <c r="W177" s="6"/>
      <c r="X177" s="6"/>
      <c r="Y177" s="6"/>
      <c r="Z177" s="6"/>
    </row>
    <row r="178" ht="60.0" customHeight="1">
      <c r="A178" s="6"/>
      <c r="B178" s="31">
        <v>173.0</v>
      </c>
      <c r="C178" s="31" t="s">
        <v>894</v>
      </c>
      <c r="D178" s="31" t="s">
        <v>895</v>
      </c>
      <c r="E178" s="33" t="s">
        <v>236</v>
      </c>
      <c r="F178" s="31" t="s">
        <v>896</v>
      </c>
      <c r="G178" s="31" t="s">
        <v>897</v>
      </c>
      <c r="H178" s="36" t="s">
        <v>105</v>
      </c>
      <c r="I178" s="6"/>
      <c r="J178" s="6"/>
      <c r="K178" s="6"/>
      <c r="L178" s="6"/>
      <c r="M178" s="6"/>
      <c r="N178" s="6"/>
      <c r="O178" s="6"/>
      <c r="P178" s="6"/>
      <c r="Q178" s="6"/>
      <c r="R178" s="6"/>
      <c r="S178" s="6"/>
      <c r="T178" s="6"/>
      <c r="U178" s="6"/>
      <c r="V178" s="6"/>
      <c r="W178" s="6"/>
      <c r="X178" s="6"/>
      <c r="Y178" s="6"/>
      <c r="Z178" s="6"/>
    </row>
    <row r="179" ht="60.0" customHeight="1">
      <c r="A179" s="6"/>
      <c r="B179" s="31">
        <v>174.0</v>
      </c>
      <c r="C179" s="31" t="s">
        <v>898</v>
      </c>
      <c r="D179" s="31" t="s">
        <v>899</v>
      </c>
      <c r="E179" s="33" t="s">
        <v>236</v>
      </c>
      <c r="F179" s="31" t="s">
        <v>900</v>
      </c>
      <c r="G179" s="31" t="s">
        <v>901</v>
      </c>
      <c r="H179" s="36" t="s">
        <v>105</v>
      </c>
      <c r="I179" s="6"/>
      <c r="J179" s="6"/>
      <c r="K179" s="6"/>
      <c r="L179" s="6"/>
      <c r="M179" s="6"/>
      <c r="N179" s="6"/>
      <c r="O179" s="6"/>
      <c r="P179" s="6"/>
      <c r="Q179" s="6"/>
      <c r="R179" s="6"/>
      <c r="S179" s="6"/>
      <c r="T179" s="6"/>
      <c r="U179" s="6"/>
      <c r="V179" s="6"/>
      <c r="W179" s="6"/>
      <c r="X179" s="6"/>
      <c r="Y179" s="6"/>
      <c r="Z179" s="6"/>
    </row>
    <row r="180" ht="60.0" customHeight="1">
      <c r="A180" s="6"/>
      <c r="B180" s="31">
        <v>175.0</v>
      </c>
      <c r="C180" s="31" t="s">
        <v>902</v>
      </c>
      <c r="D180" s="31" t="s">
        <v>903</v>
      </c>
      <c r="E180" s="33" t="s">
        <v>236</v>
      </c>
      <c r="F180" s="31" t="s">
        <v>904</v>
      </c>
      <c r="G180" s="31" t="s">
        <v>905</v>
      </c>
      <c r="H180" s="36" t="s">
        <v>105</v>
      </c>
      <c r="I180" s="6"/>
      <c r="J180" s="6"/>
      <c r="K180" s="6"/>
      <c r="L180" s="6"/>
      <c r="M180" s="6"/>
      <c r="N180" s="6"/>
      <c r="O180" s="6"/>
      <c r="P180" s="6"/>
      <c r="Q180" s="6"/>
      <c r="R180" s="6"/>
      <c r="S180" s="6"/>
      <c r="T180" s="6"/>
      <c r="U180" s="6"/>
      <c r="V180" s="6"/>
      <c r="W180" s="6"/>
      <c r="X180" s="6"/>
      <c r="Y180" s="6"/>
      <c r="Z180" s="6"/>
    </row>
    <row r="181" ht="60.0" customHeight="1">
      <c r="A181" s="6"/>
      <c r="B181" s="31">
        <v>176.0</v>
      </c>
      <c r="C181" s="31" t="s">
        <v>906</v>
      </c>
      <c r="D181" s="31" t="s">
        <v>907</v>
      </c>
      <c r="E181" s="33" t="s">
        <v>236</v>
      </c>
      <c r="F181" s="31" t="s">
        <v>908</v>
      </c>
      <c r="G181" s="31" t="s">
        <v>909</v>
      </c>
      <c r="H181" s="36" t="s">
        <v>105</v>
      </c>
      <c r="I181" s="6"/>
      <c r="J181" s="6"/>
      <c r="K181" s="6"/>
      <c r="L181" s="6"/>
      <c r="M181" s="6"/>
      <c r="N181" s="6"/>
      <c r="O181" s="6"/>
      <c r="P181" s="6"/>
      <c r="Q181" s="6"/>
      <c r="R181" s="6"/>
      <c r="S181" s="6"/>
      <c r="T181" s="6"/>
      <c r="U181" s="6"/>
      <c r="V181" s="6"/>
      <c r="W181" s="6"/>
      <c r="X181" s="6"/>
      <c r="Y181" s="6"/>
      <c r="Z181" s="6"/>
    </row>
    <row r="182" ht="60.0" customHeight="1">
      <c r="A182" s="6"/>
      <c r="B182" s="31">
        <v>177.0</v>
      </c>
      <c r="C182" s="31" t="s">
        <v>910</v>
      </c>
      <c r="D182" s="31" t="s">
        <v>911</v>
      </c>
      <c r="E182" s="33" t="s">
        <v>236</v>
      </c>
      <c r="F182" s="31" t="s">
        <v>912</v>
      </c>
      <c r="G182" s="31" t="s">
        <v>913</v>
      </c>
      <c r="H182" s="36" t="s">
        <v>105</v>
      </c>
      <c r="I182" s="6"/>
      <c r="J182" s="6"/>
      <c r="K182" s="6"/>
      <c r="L182" s="6"/>
      <c r="M182" s="6"/>
      <c r="N182" s="6"/>
      <c r="O182" s="6"/>
      <c r="P182" s="6"/>
      <c r="Q182" s="6"/>
      <c r="R182" s="6"/>
      <c r="S182" s="6"/>
      <c r="T182" s="6"/>
      <c r="U182" s="6"/>
      <c r="V182" s="6"/>
      <c r="W182" s="6"/>
      <c r="X182" s="6"/>
      <c r="Y182" s="6"/>
      <c r="Z182" s="6"/>
    </row>
    <row r="183" ht="60.0" customHeight="1">
      <c r="A183" s="6"/>
      <c r="B183" s="31">
        <v>178.0</v>
      </c>
      <c r="C183" s="31" t="s">
        <v>914</v>
      </c>
      <c r="D183" s="31" t="s">
        <v>915</v>
      </c>
      <c r="E183" s="33" t="s">
        <v>236</v>
      </c>
      <c r="F183" s="31" t="s">
        <v>916</v>
      </c>
      <c r="G183" s="31" t="s">
        <v>917</v>
      </c>
      <c r="H183" s="36" t="s">
        <v>105</v>
      </c>
      <c r="I183" s="6"/>
      <c r="J183" s="6"/>
      <c r="K183" s="6"/>
      <c r="L183" s="6"/>
      <c r="M183" s="6"/>
      <c r="N183" s="6"/>
      <c r="O183" s="6"/>
      <c r="P183" s="6"/>
      <c r="Q183" s="6"/>
      <c r="R183" s="6"/>
      <c r="S183" s="6"/>
      <c r="T183" s="6"/>
      <c r="U183" s="6"/>
      <c r="V183" s="6"/>
      <c r="W183" s="6"/>
      <c r="X183" s="6"/>
      <c r="Y183" s="6"/>
      <c r="Z183" s="6"/>
    </row>
    <row r="184" ht="60.0" customHeight="1">
      <c r="A184" s="6"/>
      <c r="B184" s="31">
        <v>179.0</v>
      </c>
      <c r="C184" s="31" t="s">
        <v>918</v>
      </c>
      <c r="D184" s="31" t="s">
        <v>919</v>
      </c>
      <c r="E184" s="33" t="s">
        <v>236</v>
      </c>
      <c r="F184" s="31" t="s">
        <v>920</v>
      </c>
      <c r="G184" s="31" t="s">
        <v>921</v>
      </c>
      <c r="H184" s="36" t="s">
        <v>105</v>
      </c>
      <c r="I184" s="6"/>
      <c r="J184" s="6"/>
      <c r="K184" s="6"/>
      <c r="L184" s="6"/>
      <c r="M184" s="6"/>
      <c r="N184" s="6"/>
      <c r="O184" s="6"/>
      <c r="P184" s="6"/>
      <c r="Q184" s="6"/>
      <c r="R184" s="6"/>
      <c r="S184" s="6"/>
      <c r="T184" s="6"/>
      <c r="U184" s="6"/>
      <c r="V184" s="6"/>
      <c r="W184" s="6"/>
      <c r="X184" s="6"/>
      <c r="Y184" s="6"/>
      <c r="Z184" s="6"/>
    </row>
    <row r="185" ht="60.0" customHeight="1">
      <c r="A185" s="6"/>
      <c r="B185" s="31">
        <v>180.0</v>
      </c>
      <c r="C185" s="31" t="s">
        <v>922</v>
      </c>
      <c r="D185" s="31" t="s">
        <v>923</v>
      </c>
      <c r="E185" s="33" t="s">
        <v>236</v>
      </c>
      <c r="F185" s="31" t="s">
        <v>924</v>
      </c>
      <c r="G185" s="31" t="s">
        <v>925</v>
      </c>
      <c r="H185" s="36" t="s">
        <v>105</v>
      </c>
      <c r="I185" s="6"/>
      <c r="J185" s="6"/>
      <c r="K185" s="6"/>
      <c r="L185" s="6"/>
      <c r="M185" s="6"/>
      <c r="N185" s="6"/>
      <c r="O185" s="6"/>
      <c r="P185" s="6"/>
      <c r="Q185" s="6"/>
      <c r="R185" s="6"/>
      <c r="S185" s="6"/>
      <c r="T185" s="6"/>
      <c r="U185" s="6"/>
      <c r="V185" s="6"/>
      <c r="W185" s="6"/>
      <c r="X185" s="6"/>
      <c r="Y185" s="6"/>
      <c r="Z185" s="6"/>
    </row>
    <row r="186" ht="60.0" customHeight="1">
      <c r="A186" s="6"/>
      <c r="B186" s="31">
        <v>181.0</v>
      </c>
      <c r="C186" s="31" t="s">
        <v>926</v>
      </c>
      <c r="D186" s="31" t="s">
        <v>927</v>
      </c>
      <c r="E186" s="33" t="s">
        <v>236</v>
      </c>
      <c r="F186" s="31" t="s">
        <v>928</v>
      </c>
      <c r="G186" s="31" t="s">
        <v>929</v>
      </c>
      <c r="H186" s="36" t="s">
        <v>105</v>
      </c>
      <c r="I186" s="6"/>
      <c r="J186" s="6"/>
      <c r="K186" s="6"/>
      <c r="L186" s="6"/>
      <c r="M186" s="6"/>
      <c r="N186" s="6"/>
      <c r="O186" s="6"/>
      <c r="P186" s="6"/>
      <c r="Q186" s="6"/>
      <c r="R186" s="6"/>
      <c r="S186" s="6"/>
      <c r="T186" s="6"/>
      <c r="U186" s="6"/>
      <c r="V186" s="6"/>
      <c r="W186" s="6"/>
      <c r="X186" s="6"/>
      <c r="Y186" s="6"/>
      <c r="Z186" s="6"/>
    </row>
    <row r="187" ht="60.0" customHeight="1">
      <c r="A187" s="6"/>
      <c r="B187" s="31">
        <v>182.0</v>
      </c>
      <c r="C187" s="31" t="s">
        <v>930</v>
      </c>
      <c r="D187" s="31" t="s">
        <v>931</v>
      </c>
      <c r="E187" s="33" t="s">
        <v>236</v>
      </c>
      <c r="F187" s="31" t="s">
        <v>932</v>
      </c>
      <c r="G187" s="31" t="s">
        <v>933</v>
      </c>
      <c r="H187" s="36" t="s">
        <v>105</v>
      </c>
      <c r="I187" s="6"/>
      <c r="J187" s="6"/>
      <c r="K187" s="6"/>
      <c r="L187" s="6"/>
      <c r="M187" s="6"/>
      <c r="N187" s="6"/>
      <c r="O187" s="6"/>
      <c r="P187" s="6"/>
      <c r="Q187" s="6"/>
      <c r="R187" s="6"/>
      <c r="S187" s="6"/>
      <c r="T187" s="6"/>
      <c r="U187" s="6"/>
      <c r="V187" s="6"/>
      <c r="W187" s="6"/>
      <c r="X187" s="6"/>
      <c r="Y187" s="6"/>
      <c r="Z187" s="6"/>
    </row>
    <row r="188" ht="60.0" customHeight="1">
      <c r="A188" s="6"/>
      <c r="B188" s="31">
        <v>183.0</v>
      </c>
      <c r="C188" s="31" t="s">
        <v>934</v>
      </c>
      <c r="D188" s="31" t="s">
        <v>935</v>
      </c>
      <c r="E188" s="33" t="s">
        <v>236</v>
      </c>
      <c r="F188" s="31" t="s">
        <v>936</v>
      </c>
      <c r="G188" s="31" t="s">
        <v>937</v>
      </c>
      <c r="H188" s="36" t="s">
        <v>105</v>
      </c>
      <c r="I188" s="6"/>
      <c r="J188" s="6"/>
      <c r="K188" s="6"/>
      <c r="L188" s="6"/>
      <c r="M188" s="6"/>
      <c r="N188" s="6"/>
      <c r="O188" s="6"/>
      <c r="P188" s="6"/>
      <c r="Q188" s="6"/>
      <c r="R188" s="6"/>
      <c r="S188" s="6"/>
      <c r="T188" s="6"/>
      <c r="U188" s="6"/>
      <c r="V188" s="6"/>
      <c r="W188" s="6"/>
      <c r="X188" s="6"/>
      <c r="Y188" s="6"/>
      <c r="Z188" s="6"/>
    </row>
    <row r="189" ht="60.0" customHeight="1">
      <c r="A189" s="6"/>
      <c r="B189" s="31">
        <v>184.0</v>
      </c>
      <c r="C189" s="31" t="s">
        <v>938</v>
      </c>
      <c r="D189" s="31" t="s">
        <v>939</v>
      </c>
      <c r="E189" s="33" t="s">
        <v>236</v>
      </c>
      <c r="F189" s="31" t="s">
        <v>940</v>
      </c>
      <c r="G189" s="31" t="s">
        <v>941</v>
      </c>
      <c r="H189" s="36" t="s">
        <v>105</v>
      </c>
      <c r="I189" s="6"/>
      <c r="J189" s="6"/>
      <c r="K189" s="6"/>
      <c r="L189" s="6"/>
      <c r="M189" s="6"/>
      <c r="N189" s="6"/>
      <c r="O189" s="6"/>
      <c r="P189" s="6"/>
      <c r="Q189" s="6"/>
      <c r="R189" s="6"/>
      <c r="S189" s="6"/>
      <c r="T189" s="6"/>
      <c r="U189" s="6"/>
      <c r="V189" s="6"/>
      <c r="W189" s="6"/>
      <c r="X189" s="6"/>
      <c r="Y189" s="6"/>
      <c r="Z189" s="6"/>
    </row>
    <row r="190" ht="60.0" customHeight="1">
      <c r="A190" s="6"/>
      <c r="B190" s="31">
        <v>185.0</v>
      </c>
      <c r="C190" s="31" t="s">
        <v>942</v>
      </c>
      <c r="D190" s="31" t="s">
        <v>943</v>
      </c>
      <c r="E190" s="33" t="s">
        <v>236</v>
      </c>
      <c r="F190" s="31" t="s">
        <v>944</v>
      </c>
      <c r="G190" s="31" t="s">
        <v>945</v>
      </c>
      <c r="H190" s="36" t="s">
        <v>105</v>
      </c>
      <c r="I190" s="6"/>
      <c r="J190" s="6"/>
      <c r="K190" s="6"/>
      <c r="L190" s="6"/>
      <c r="M190" s="6"/>
      <c r="N190" s="6"/>
      <c r="O190" s="6"/>
      <c r="P190" s="6"/>
      <c r="Q190" s="6"/>
      <c r="R190" s="6"/>
      <c r="S190" s="6"/>
      <c r="T190" s="6"/>
      <c r="U190" s="6"/>
      <c r="V190" s="6"/>
      <c r="W190" s="6"/>
      <c r="X190" s="6"/>
      <c r="Y190" s="6"/>
      <c r="Z190" s="6"/>
    </row>
    <row r="191" ht="60.0" customHeight="1">
      <c r="A191" s="6"/>
      <c r="B191" s="31">
        <v>186.0</v>
      </c>
      <c r="C191" s="31" t="s">
        <v>946</v>
      </c>
      <c r="D191" s="31" t="s">
        <v>947</v>
      </c>
      <c r="E191" s="33" t="s">
        <v>236</v>
      </c>
      <c r="F191" s="31" t="s">
        <v>948</v>
      </c>
      <c r="G191" s="31" t="s">
        <v>949</v>
      </c>
      <c r="H191" s="36" t="s">
        <v>105</v>
      </c>
      <c r="I191" s="6"/>
      <c r="J191" s="6"/>
      <c r="K191" s="6"/>
      <c r="L191" s="6"/>
      <c r="M191" s="6"/>
      <c r="N191" s="6"/>
      <c r="O191" s="6"/>
      <c r="P191" s="6"/>
      <c r="Q191" s="6"/>
      <c r="R191" s="6"/>
      <c r="S191" s="6"/>
      <c r="T191" s="6"/>
      <c r="U191" s="6"/>
      <c r="V191" s="6"/>
      <c r="W191" s="6"/>
      <c r="X191" s="6"/>
      <c r="Y191" s="6"/>
      <c r="Z191" s="6"/>
    </row>
    <row r="192" ht="60.0" customHeight="1">
      <c r="A192" s="6"/>
      <c r="B192" s="31">
        <v>187.0</v>
      </c>
      <c r="C192" s="31" t="s">
        <v>950</v>
      </c>
      <c r="D192" s="31" t="s">
        <v>951</v>
      </c>
      <c r="E192" s="33" t="s">
        <v>236</v>
      </c>
      <c r="F192" s="31" t="s">
        <v>952</v>
      </c>
      <c r="G192" s="31" t="s">
        <v>953</v>
      </c>
      <c r="H192" s="36" t="s">
        <v>105</v>
      </c>
      <c r="I192" s="6"/>
      <c r="J192" s="6"/>
      <c r="K192" s="6"/>
      <c r="L192" s="6"/>
      <c r="M192" s="6"/>
      <c r="N192" s="6"/>
      <c r="O192" s="6"/>
      <c r="P192" s="6"/>
      <c r="Q192" s="6"/>
      <c r="R192" s="6"/>
      <c r="S192" s="6"/>
      <c r="T192" s="6"/>
      <c r="U192" s="6"/>
      <c r="V192" s="6"/>
      <c r="W192" s="6"/>
      <c r="X192" s="6"/>
      <c r="Y192" s="6"/>
      <c r="Z192" s="6"/>
    </row>
    <row r="193" ht="60.0" customHeight="1">
      <c r="A193" s="6"/>
      <c r="B193" s="31">
        <v>188.0</v>
      </c>
      <c r="C193" s="31" t="s">
        <v>954</v>
      </c>
      <c r="D193" s="31" t="s">
        <v>955</v>
      </c>
      <c r="E193" s="33" t="s">
        <v>236</v>
      </c>
      <c r="F193" s="31" t="s">
        <v>956</v>
      </c>
      <c r="G193" s="31" t="s">
        <v>957</v>
      </c>
      <c r="H193" s="36" t="s">
        <v>105</v>
      </c>
      <c r="I193" s="6"/>
      <c r="J193" s="6"/>
      <c r="K193" s="6"/>
      <c r="L193" s="6"/>
      <c r="M193" s="6"/>
      <c r="N193" s="6"/>
      <c r="O193" s="6"/>
      <c r="P193" s="6"/>
      <c r="Q193" s="6"/>
      <c r="R193" s="6"/>
      <c r="S193" s="6"/>
      <c r="T193" s="6"/>
      <c r="U193" s="6"/>
      <c r="V193" s="6"/>
      <c r="W193" s="6"/>
      <c r="X193" s="6"/>
      <c r="Y193" s="6"/>
      <c r="Z193" s="6"/>
    </row>
    <row r="194" ht="60.0" customHeight="1">
      <c r="A194" s="6"/>
      <c r="B194" s="31">
        <v>189.0</v>
      </c>
      <c r="C194" s="31" t="s">
        <v>958</v>
      </c>
      <c r="D194" s="31" t="s">
        <v>959</v>
      </c>
      <c r="E194" s="33" t="s">
        <v>236</v>
      </c>
      <c r="F194" s="31" t="s">
        <v>960</v>
      </c>
      <c r="G194" s="31" t="s">
        <v>961</v>
      </c>
      <c r="H194" s="36" t="s">
        <v>105</v>
      </c>
      <c r="I194" s="6"/>
      <c r="J194" s="6"/>
      <c r="K194" s="6"/>
      <c r="L194" s="6"/>
      <c r="M194" s="6"/>
      <c r="N194" s="6"/>
      <c r="O194" s="6"/>
      <c r="P194" s="6"/>
      <c r="Q194" s="6"/>
      <c r="R194" s="6"/>
      <c r="S194" s="6"/>
      <c r="T194" s="6"/>
      <c r="U194" s="6"/>
      <c r="V194" s="6"/>
      <c r="W194" s="6"/>
      <c r="X194" s="6"/>
      <c r="Y194" s="6"/>
      <c r="Z194" s="6"/>
    </row>
    <row r="195" ht="60.0" customHeight="1">
      <c r="A195" s="6"/>
      <c r="B195" s="31">
        <v>190.0</v>
      </c>
      <c r="C195" s="31" t="s">
        <v>962</v>
      </c>
      <c r="D195" s="31" t="s">
        <v>963</v>
      </c>
      <c r="E195" s="33" t="s">
        <v>236</v>
      </c>
      <c r="F195" s="31" t="s">
        <v>964</v>
      </c>
      <c r="G195" s="31" t="s">
        <v>965</v>
      </c>
      <c r="H195" s="36" t="s">
        <v>105</v>
      </c>
      <c r="I195" s="6"/>
      <c r="J195" s="6"/>
      <c r="K195" s="6"/>
      <c r="L195" s="6"/>
      <c r="M195" s="6"/>
      <c r="N195" s="6"/>
      <c r="O195" s="6"/>
      <c r="P195" s="6"/>
      <c r="Q195" s="6"/>
      <c r="R195" s="6"/>
      <c r="S195" s="6"/>
      <c r="T195" s="6"/>
      <c r="U195" s="6"/>
      <c r="V195" s="6"/>
      <c r="W195" s="6"/>
      <c r="X195" s="6"/>
      <c r="Y195" s="6"/>
      <c r="Z195" s="6"/>
    </row>
    <row r="196" ht="60.0" customHeight="1">
      <c r="A196" s="6"/>
      <c r="B196" s="31">
        <v>191.0</v>
      </c>
      <c r="C196" s="31" t="s">
        <v>966</v>
      </c>
      <c r="D196" s="31" t="s">
        <v>967</v>
      </c>
      <c r="E196" s="33" t="s">
        <v>236</v>
      </c>
      <c r="F196" s="31" t="s">
        <v>968</v>
      </c>
      <c r="G196" s="31" t="s">
        <v>969</v>
      </c>
      <c r="H196" s="36" t="s">
        <v>105</v>
      </c>
      <c r="I196" s="6"/>
      <c r="J196" s="6"/>
      <c r="K196" s="6"/>
      <c r="L196" s="6"/>
      <c r="M196" s="6"/>
      <c r="N196" s="6"/>
      <c r="O196" s="6"/>
      <c r="P196" s="6"/>
      <c r="Q196" s="6"/>
      <c r="R196" s="6"/>
      <c r="S196" s="6"/>
      <c r="T196" s="6"/>
      <c r="U196" s="6"/>
      <c r="V196" s="6"/>
      <c r="W196" s="6"/>
      <c r="X196" s="6"/>
      <c r="Y196" s="6"/>
      <c r="Z196" s="6"/>
    </row>
    <row r="197" ht="60.0" customHeight="1">
      <c r="A197" s="6"/>
      <c r="B197" s="31">
        <v>192.0</v>
      </c>
      <c r="C197" s="31" t="s">
        <v>970</v>
      </c>
      <c r="D197" s="31" t="s">
        <v>971</v>
      </c>
      <c r="E197" s="33" t="s">
        <v>236</v>
      </c>
      <c r="F197" s="31" t="s">
        <v>972</v>
      </c>
      <c r="G197" s="31" t="s">
        <v>973</v>
      </c>
      <c r="H197" s="36" t="s">
        <v>105</v>
      </c>
      <c r="I197" s="6"/>
      <c r="J197" s="6"/>
      <c r="K197" s="6"/>
      <c r="L197" s="6"/>
      <c r="M197" s="6"/>
      <c r="N197" s="6"/>
      <c r="O197" s="6"/>
      <c r="P197" s="6"/>
      <c r="Q197" s="6"/>
      <c r="R197" s="6"/>
      <c r="S197" s="6"/>
      <c r="T197" s="6"/>
      <c r="U197" s="6"/>
      <c r="V197" s="6"/>
      <c r="W197" s="6"/>
      <c r="X197" s="6"/>
      <c r="Y197" s="6"/>
      <c r="Z197" s="6"/>
    </row>
    <row r="198" ht="60.0" customHeight="1">
      <c r="A198" s="6"/>
      <c r="B198" s="31">
        <v>193.0</v>
      </c>
      <c r="C198" s="31" t="s">
        <v>974</v>
      </c>
      <c r="D198" s="31" t="s">
        <v>975</v>
      </c>
      <c r="E198" s="33" t="s">
        <v>236</v>
      </c>
      <c r="F198" s="31" t="s">
        <v>976</v>
      </c>
      <c r="G198" s="31" t="s">
        <v>977</v>
      </c>
      <c r="H198" s="36" t="s">
        <v>105</v>
      </c>
      <c r="I198" s="6"/>
      <c r="J198" s="6"/>
      <c r="K198" s="6"/>
      <c r="L198" s="6"/>
      <c r="M198" s="6"/>
      <c r="N198" s="6"/>
      <c r="O198" s="6"/>
      <c r="P198" s="6"/>
      <c r="Q198" s="6"/>
      <c r="R198" s="6"/>
      <c r="S198" s="6"/>
      <c r="T198" s="6"/>
      <c r="U198" s="6"/>
      <c r="V198" s="6"/>
      <c r="W198" s="6"/>
      <c r="X198" s="6"/>
      <c r="Y198" s="6"/>
      <c r="Z198" s="6"/>
    </row>
    <row r="199" ht="60.0" customHeight="1">
      <c r="A199" s="6"/>
      <c r="B199" s="31">
        <v>194.0</v>
      </c>
      <c r="C199" s="31" t="s">
        <v>978</v>
      </c>
      <c r="D199" s="31" t="s">
        <v>979</v>
      </c>
      <c r="E199" s="33" t="s">
        <v>236</v>
      </c>
      <c r="F199" s="31" t="s">
        <v>980</v>
      </c>
      <c r="G199" s="31" t="s">
        <v>981</v>
      </c>
      <c r="H199" s="36" t="s">
        <v>105</v>
      </c>
      <c r="I199" s="6"/>
      <c r="J199" s="6"/>
      <c r="K199" s="6"/>
      <c r="L199" s="6"/>
      <c r="M199" s="6"/>
      <c r="N199" s="6"/>
      <c r="O199" s="6"/>
      <c r="P199" s="6"/>
      <c r="Q199" s="6"/>
      <c r="R199" s="6"/>
      <c r="S199" s="6"/>
      <c r="T199" s="6"/>
      <c r="U199" s="6"/>
      <c r="V199" s="6"/>
      <c r="W199" s="6"/>
      <c r="X199" s="6"/>
      <c r="Y199" s="6"/>
      <c r="Z199" s="6"/>
    </row>
    <row r="200" ht="60.0" customHeight="1">
      <c r="A200" s="6"/>
      <c r="B200" s="31">
        <v>195.0</v>
      </c>
      <c r="C200" s="31" t="s">
        <v>982</v>
      </c>
      <c r="D200" s="31" t="s">
        <v>983</v>
      </c>
      <c r="E200" s="33" t="s">
        <v>236</v>
      </c>
      <c r="F200" s="31" t="s">
        <v>984</v>
      </c>
      <c r="G200" s="31" t="s">
        <v>985</v>
      </c>
      <c r="H200" s="36" t="s">
        <v>105</v>
      </c>
      <c r="I200" s="6"/>
      <c r="J200" s="6"/>
      <c r="K200" s="6"/>
      <c r="L200" s="6"/>
      <c r="M200" s="6"/>
      <c r="N200" s="6"/>
      <c r="O200" s="6"/>
      <c r="P200" s="6"/>
      <c r="Q200" s="6"/>
      <c r="R200" s="6"/>
      <c r="S200" s="6"/>
      <c r="T200" s="6"/>
      <c r="U200" s="6"/>
      <c r="V200" s="6"/>
      <c r="W200" s="6"/>
      <c r="X200" s="6"/>
      <c r="Y200" s="6"/>
      <c r="Z200" s="6"/>
    </row>
    <row r="201" ht="60.0" customHeight="1">
      <c r="A201" s="6"/>
      <c r="B201" s="31">
        <v>196.0</v>
      </c>
      <c r="C201" s="31" t="s">
        <v>986</v>
      </c>
      <c r="D201" s="31" t="s">
        <v>987</v>
      </c>
      <c r="E201" s="33" t="s">
        <v>236</v>
      </c>
      <c r="F201" s="31" t="s">
        <v>988</v>
      </c>
      <c r="G201" s="31" t="s">
        <v>989</v>
      </c>
      <c r="H201" s="36" t="s">
        <v>105</v>
      </c>
      <c r="I201" s="6"/>
      <c r="J201" s="6"/>
      <c r="K201" s="6"/>
      <c r="L201" s="6"/>
      <c r="M201" s="6"/>
      <c r="N201" s="6"/>
      <c r="O201" s="6"/>
      <c r="P201" s="6"/>
      <c r="Q201" s="6"/>
      <c r="R201" s="6"/>
      <c r="S201" s="6"/>
      <c r="T201" s="6"/>
      <c r="U201" s="6"/>
      <c r="V201" s="6"/>
      <c r="W201" s="6"/>
      <c r="X201" s="6"/>
      <c r="Y201" s="6"/>
      <c r="Z201" s="6"/>
    </row>
    <row r="202" ht="60.0" customHeight="1">
      <c r="A202" s="6"/>
      <c r="B202" s="31">
        <v>197.0</v>
      </c>
      <c r="C202" s="31" t="s">
        <v>990</v>
      </c>
      <c r="D202" s="31" t="s">
        <v>991</v>
      </c>
      <c r="E202" s="33" t="s">
        <v>236</v>
      </c>
      <c r="F202" s="31" t="s">
        <v>992</v>
      </c>
      <c r="G202" s="31" t="s">
        <v>993</v>
      </c>
      <c r="H202" s="36" t="s">
        <v>105</v>
      </c>
      <c r="I202" s="6"/>
      <c r="J202" s="6"/>
      <c r="K202" s="6"/>
      <c r="L202" s="6"/>
      <c r="M202" s="6"/>
      <c r="N202" s="6"/>
      <c r="O202" s="6"/>
      <c r="P202" s="6"/>
      <c r="Q202" s="6"/>
      <c r="R202" s="6"/>
      <c r="S202" s="6"/>
      <c r="T202" s="6"/>
      <c r="U202" s="6"/>
      <c r="V202" s="6"/>
      <c r="W202" s="6"/>
      <c r="X202" s="6"/>
      <c r="Y202" s="6"/>
      <c r="Z202" s="6"/>
    </row>
    <row r="203" ht="60.0" customHeight="1">
      <c r="A203" s="6"/>
      <c r="B203" s="31">
        <v>198.0</v>
      </c>
      <c r="C203" s="31" t="s">
        <v>994</v>
      </c>
      <c r="D203" s="31" t="s">
        <v>995</v>
      </c>
      <c r="E203" s="33" t="s">
        <v>236</v>
      </c>
      <c r="F203" s="31" t="s">
        <v>996</v>
      </c>
      <c r="G203" s="31" t="s">
        <v>997</v>
      </c>
      <c r="H203" s="36" t="s">
        <v>105</v>
      </c>
      <c r="I203" s="6"/>
      <c r="J203" s="6"/>
      <c r="K203" s="6"/>
      <c r="L203" s="6"/>
      <c r="M203" s="6"/>
      <c r="N203" s="6"/>
      <c r="O203" s="6"/>
      <c r="P203" s="6"/>
      <c r="Q203" s="6"/>
      <c r="R203" s="6"/>
      <c r="S203" s="6"/>
      <c r="T203" s="6"/>
      <c r="U203" s="6"/>
      <c r="V203" s="6"/>
      <c r="W203" s="6"/>
      <c r="X203" s="6"/>
      <c r="Y203" s="6"/>
      <c r="Z203" s="6"/>
    </row>
    <row r="204" ht="60.0" customHeight="1">
      <c r="A204" s="6"/>
      <c r="B204" s="31">
        <v>199.0</v>
      </c>
      <c r="C204" s="31" t="s">
        <v>998</v>
      </c>
      <c r="D204" s="31" t="s">
        <v>999</v>
      </c>
      <c r="E204" s="33" t="s">
        <v>236</v>
      </c>
      <c r="F204" s="31" t="s">
        <v>1000</v>
      </c>
      <c r="G204" s="31" t="s">
        <v>1001</v>
      </c>
      <c r="H204" s="36" t="s">
        <v>105</v>
      </c>
      <c r="I204" s="6"/>
      <c r="J204" s="6"/>
      <c r="K204" s="6"/>
      <c r="L204" s="6"/>
      <c r="M204" s="6"/>
      <c r="N204" s="6"/>
      <c r="O204" s="6"/>
      <c r="P204" s="6"/>
      <c r="Q204" s="6"/>
      <c r="R204" s="6"/>
      <c r="S204" s="6"/>
      <c r="T204" s="6"/>
      <c r="U204" s="6"/>
      <c r="V204" s="6"/>
      <c r="W204" s="6"/>
      <c r="X204" s="6"/>
      <c r="Y204" s="6"/>
      <c r="Z204" s="6"/>
    </row>
    <row r="205" ht="60.0" customHeight="1">
      <c r="A205" s="6"/>
      <c r="B205" s="31">
        <v>200.0</v>
      </c>
      <c r="C205" s="31" t="s">
        <v>1002</v>
      </c>
      <c r="D205" s="31" t="s">
        <v>1003</v>
      </c>
      <c r="E205" s="33" t="s">
        <v>236</v>
      </c>
      <c r="F205" s="31" t="s">
        <v>1004</v>
      </c>
      <c r="G205" s="31" t="s">
        <v>1005</v>
      </c>
      <c r="H205" s="36" t="s">
        <v>105</v>
      </c>
      <c r="I205" s="6"/>
      <c r="J205" s="6"/>
      <c r="K205" s="6"/>
      <c r="L205" s="6"/>
      <c r="M205" s="6"/>
      <c r="N205" s="6"/>
      <c r="O205" s="6"/>
      <c r="P205" s="6"/>
      <c r="Q205" s="6"/>
      <c r="R205" s="6"/>
      <c r="S205" s="6"/>
      <c r="T205" s="6"/>
      <c r="U205" s="6"/>
      <c r="V205" s="6"/>
      <c r="W205" s="6"/>
      <c r="X205" s="6"/>
      <c r="Y205" s="6"/>
      <c r="Z205" s="6"/>
    </row>
    <row r="206" ht="60.0" customHeight="1">
      <c r="A206" s="6"/>
      <c r="B206" s="31">
        <v>201.0</v>
      </c>
      <c r="C206" s="31" t="s">
        <v>1006</v>
      </c>
      <c r="D206" s="31" t="s">
        <v>1007</v>
      </c>
      <c r="E206" s="33" t="s">
        <v>236</v>
      </c>
      <c r="F206" s="31" t="s">
        <v>1008</v>
      </c>
      <c r="G206" s="31" t="s">
        <v>1009</v>
      </c>
      <c r="H206" s="36" t="s">
        <v>105</v>
      </c>
      <c r="I206" s="6"/>
      <c r="J206" s="6"/>
      <c r="K206" s="6"/>
      <c r="L206" s="6"/>
      <c r="M206" s="6"/>
      <c r="N206" s="6"/>
      <c r="O206" s="6"/>
      <c r="P206" s="6"/>
      <c r="Q206" s="6"/>
      <c r="R206" s="6"/>
      <c r="S206" s="6"/>
      <c r="T206" s="6"/>
      <c r="U206" s="6"/>
      <c r="V206" s="6"/>
      <c r="W206" s="6"/>
      <c r="X206" s="6"/>
      <c r="Y206" s="6"/>
      <c r="Z206" s="6"/>
    </row>
    <row r="207" ht="60.0" customHeight="1">
      <c r="A207" s="6"/>
      <c r="B207" s="31">
        <v>202.0</v>
      </c>
      <c r="C207" s="31" t="s">
        <v>1010</v>
      </c>
      <c r="D207" s="31" t="s">
        <v>1011</v>
      </c>
      <c r="E207" s="33" t="s">
        <v>236</v>
      </c>
      <c r="F207" s="31" t="s">
        <v>1012</v>
      </c>
      <c r="G207" s="31" t="s">
        <v>1013</v>
      </c>
      <c r="H207" s="36" t="s">
        <v>105</v>
      </c>
      <c r="I207" s="6"/>
      <c r="J207" s="6"/>
      <c r="K207" s="6"/>
      <c r="L207" s="6"/>
      <c r="M207" s="6"/>
      <c r="N207" s="6"/>
      <c r="O207" s="6"/>
      <c r="P207" s="6"/>
      <c r="Q207" s="6"/>
      <c r="R207" s="6"/>
      <c r="S207" s="6"/>
      <c r="T207" s="6"/>
      <c r="U207" s="6"/>
      <c r="V207" s="6"/>
      <c r="W207" s="6"/>
      <c r="X207" s="6"/>
      <c r="Y207" s="6"/>
      <c r="Z207" s="6"/>
    </row>
    <row r="208" ht="60.0" customHeight="1">
      <c r="A208" s="6"/>
      <c r="B208" s="31">
        <v>203.0</v>
      </c>
      <c r="C208" s="31" t="s">
        <v>1014</v>
      </c>
      <c r="D208" s="31" t="s">
        <v>1015</v>
      </c>
      <c r="E208" s="33" t="s">
        <v>236</v>
      </c>
      <c r="F208" s="31" t="s">
        <v>1016</v>
      </c>
      <c r="G208" s="31" t="s">
        <v>1017</v>
      </c>
      <c r="H208" s="36" t="s">
        <v>105</v>
      </c>
      <c r="I208" s="6"/>
      <c r="J208" s="6"/>
      <c r="K208" s="6"/>
      <c r="L208" s="6"/>
      <c r="M208" s="6"/>
      <c r="N208" s="6"/>
      <c r="O208" s="6"/>
      <c r="P208" s="6"/>
      <c r="Q208" s="6"/>
      <c r="R208" s="6"/>
      <c r="S208" s="6"/>
      <c r="T208" s="6"/>
      <c r="U208" s="6"/>
      <c r="V208" s="6"/>
      <c r="W208" s="6"/>
      <c r="X208" s="6"/>
      <c r="Y208" s="6"/>
      <c r="Z208" s="6"/>
    </row>
    <row r="209" ht="60.0" customHeight="1">
      <c r="A209" s="6"/>
      <c r="B209" s="31">
        <v>204.0</v>
      </c>
      <c r="C209" s="31" t="s">
        <v>1018</v>
      </c>
      <c r="D209" s="31" t="s">
        <v>1019</v>
      </c>
      <c r="E209" s="33" t="s">
        <v>236</v>
      </c>
      <c r="F209" s="31" t="s">
        <v>1020</v>
      </c>
      <c r="G209" s="31" t="s">
        <v>1021</v>
      </c>
      <c r="H209" s="36" t="s">
        <v>105</v>
      </c>
      <c r="I209" s="6"/>
      <c r="J209" s="6"/>
      <c r="K209" s="6"/>
      <c r="L209" s="6"/>
      <c r="M209" s="6"/>
      <c r="N209" s="6"/>
      <c r="O209" s="6"/>
      <c r="P209" s="6"/>
      <c r="Q209" s="6"/>
      <c r="R209" s="6"/>
      <c r="S209" s="6"/>
      <c r="T209" s="6"/>
      <c r="U209" s="6"/>
      <c r="V209" s="6"/>
      <c r="W209" s="6"/>
      <c r="X209" s="6"/>
      <c r="Y209" s="6"/>
      <c r="Z209" s="6"/>
    </row>
    <row r="210" ht="60.0" customHeight="1">
      <c r="A210" s="6"/>
      <c r="B210" s="31">
        <v>205.0</v>
      </c>
      <c r="C210" s="31" t="s">
        <v>1022</v>
      </c>
      <c r="D210" s="31" t="s">
        <v>1023</v>
      </c>
      <c r="E210" s="33" t="s">
        <v>236</v>
      </c>
      <c r="F210" s="31" t="s">
        <v>1024</v>
      </c>
      <c r="G210" s="31" t="s">
        <v>1025</v>
      </c>
      <c r="H210" s="36" t="s">
        <v>105</v>
      </c>
      <c r="I210" s="6"/>
      <c r="J210" s="6"/>
      <c r="K210" s="6"/>
      <c r="L210" s="6"/>
      <c r="M210" s="6"/>
      <c r="N210" s="6"/>
      <c r="O210" s="6"/>
      <c r="P210" s="6"/>
      <c r="Q210" s="6"/>
      <c r="R210" s="6"/>
      <c r="S210" s="6"/>
      <c r="T210" s="6"/>
      <c r="U210" s="6"/>
      <c r="V210" s="6"/>
      <c r="W210" s="6"/>
      <c r="X210" s="6"/>
      <c r="Y210" s="6"/>
      <c r="Z210" s="6"/>
    </row>
    <row r="211" ht="60.0" customHeight="1">
      <c r="A211" s="6"/>
      <c r="B211" s="31">
        <v>206.0</v>
      </c>
      <c r="C211" s="31" t="s">
        <v>1026</v>
      </c>
      <c r="D211" s="31" t="s">
        <v>1027</v>
      </c>
      <c r="E211" s="33" t="s">
        <v>236</v>
      </c>
      <c r="F211" s="31" t="s">
        <v>1028</v>
      </c>
      <c r="G211" s="31" t="s">
        <v>1029</v>
      </c>
      <c r="H211" s="36" t="s">
        <v>105</v>
      </c>
      <c r="I211" s="6"/>
      <c r="J211" s="6"/>
      <c r="K211" s="6"/>
      <c r="L211" s="6"/>
      <c r="M211" s="6"/>
      <c r="N211" s="6"/>
      <c r="O211" s="6"/>
      <c r="P211" s="6"/>
      <c r="Q211" s="6"/>
      <c r="R211" s="6"/>
      <c r="S211" s="6"/>
      <c r="T211" s="6"/>
      <c r="U211" s="6"/>
      <c r="V211" s="6"/>
      <c r="W211" s="6"/>
      <c r="X211" s="6"/>
      <c r="Y211" s="6"/>
      <c r="Z211" s="6"/>
    </row>
    <row r="212" ht="60.0" customHeight="1">
      <c r="A212" s="6"/>
      <c r="B212" s="31">
        <v>207.0</v>
      </c>
      <c r="C212" s="31" t="s">
        <v>1030</v>
      </c>
      <c r="D212" s="31" t="s">
        <v>1031</v>
      </c>
      <c r="E212" s="33" t="s">
        <v>236</v>
      </c>
      <c r="F212" s="31" t="s">
        <v>1032</v>
      </c>
      <c r="G212" s="31" t="s">
        <v>1033</v>
      </c>
      <c r="H212" s="36" t="s">
        <v>105</v>
      </c>
      <c r="I212" s="6"/>
      <c r="J212" s="6"/>
      <c r="K212" s="6"/>
      <c r="L212" s="6"/>
      <c r="M212" s="6"/>
      <c r="N212" s="6"/>
      <c r="O212" s="6"/>
      <c r="P212" s="6"/>
      <c r="Q212" s="6"/>
      <c r="R212" s="6"/>
      <c r="S212" s="6"/>
      <c r="T212" s="6"/>
      <c r="U212" s="6"/>
      <c r="V212" s="6"/>
      <c r="W212" s="6"/>
      <c r="X212" s="6"/>
      <c r="Y212" s="6"/>
      <c r="Z212" s="6"/>
    </row>
    <row r="213" ht="60.0" customHeight="1">
      <c r="A213" s="6"/>
      <c r="B213" s="31">
        <v>208.0</v>
      </c>
      <c r="C213" s="31" t="s">
        <v>1034</v>
      </c>
      <c r="D213" s="31" t="s">
        <v>1035</v>
      </c>
      <c r="E213" s="33" t="s">
        <v>236</v>
      </c>
      <c r="F213" s="31" t="s">
        <v>1036</v>
      </c>
      <c r="G213" s="31" t="s">
        <v>1037</v>
      </c>
      <c r="H213" s="36" t="s">
        <v>105</v>
      </c>
      <c r="I213" s="6"/>
      <c r="J213" s="6"/>
      <c r="K213" s="6"/>
      <c r="L213" s="6"/>
      <c r="M213" s="6"/>
      <c r="N213" s="6"/>
      <c r="O213" s="6"/>
      <c r="P213" s="6"/>
      <c r="Q213" s="6"/>
      <c r="R213" s="6"/>
      <c r="S213" s="6"/>
      <c r="T213" s="6"/>
      <c r="U213" s="6"/>
      <c r="V213" s="6"/>
      <c r="W213" s="6"/>
      <c r="X213" s="6"/>
      <c r="Y213" s="6"/>
      <c r="Z213" s="6"/>
    </row>
    <row r="214" ht="60.0" customHeight="1">
      <c r="A214" s="6"/>
      <c r="B214" s="31">
        <v>209.0</v>
      </c>
      <c r="C214" s="58" t="s">
        <v>1038</v>
      </c>
      <c r="D214" s="58" t="s">
        <v>1039</v>
      </c>
      <c r="E214" s="59" t="s">
        <v>236</v>
      </c>
      <c r="F214" s="58" t="s">
        <v>1040</v>
      </c>
      <c r="G214" s="58" t="s">
        <v>1041</v>
      </c>
      <c r="H214" s="36" t="s">
        <v>105</v>
      </c>
      <c r="I214" s="6"/>
      <c r="J214" s="6"/>
      <c r="K214" s="6"/>
      <c r="L214" s="6"/>
      <c r="M214" s="6"/>
      <c r="N214" s="6"/>
      <c r="O214" s="6"/>
      <c r="P214" s="6"/>
      <c r="Q214" s="6"/>
      <c r="R214" s="6"/>
      <c r="S214" s="6"/>
      <c r="T214" s="6"/>
      <c r="U214" s="6"/>
      <c r="V214" s="6"/>
      <c r="W214" s="6"/>
      <c r="X214" s="6"/>
      <c r="Y214" s="6"/>
      <c r="Z214" s="6"/>
    </row>
    <row r="215" ht="60.0" customHeight="1">
      <c r="A215" s="6"/>
      <c r="B215" s="31">
        <v>210.0</v>
      </c>
      <c r="C215" s="58" t="s">
        <v>1042</v>
      </c>
      <c r="D215" s="58" t="s">
        <v>1043</v>
      </c>
      <c r="E215" s="59" t="s">
        <v>236</v>
      </c>
      <c r="F215" s="58" t="s">
        <v>1044</v>
      </c>
      <c r="G215" s="58" t="s">
        <v>1045</v>
      </c>
      <c r="H215" s="36" t="s">
        <v>105</v>
      </c>
      <c r="I215" s="6"/>
      <c r="J215" s="6"/>
      <c r="K215" s="6"/>
      <c r="L215" s="6"/>
      <c r="M215" s="6"/>
      <c r="N215" s="6"/>
      <c r="O215" s="6"/>
      <c r="P215" s="6"/>
      <c r="Q215" s="6"/>
      <c r="R215" s="6"/>
      <c r="S215" s="6"/>
      <c r="T215" s="6"/>
      <c r="U215" s="6"/>
      <c r="V215" s="6"/>
      <c r="W215" s="6"/>
      <c r="X215" s="6"/>
      <c r="Y215" s="6"/>
      <c r="Z215" s="6"/>
    </row>
    <row r="216" ht="60.0" customHeight="1">
      <c r="A216" s="6"/>
      <c r="B216" s="31">
        <v>211.0</v>
      </c>
      <c r="C216" s="58" t="s">
        <v>1046</v>
      </c>
      <c r="D216" s="58" t="s">
        <v>1047</v>
      </c>
      <c r="E216" s="59" t="s">
        <v>236</v>
      </c>
      <c r="F216" s="58" t="s">
        <v>1048</v>
      </c>
      <c r="G216" s="58" t="s">
        <v>1049</v>
      </c>
      <c r="H216" s="36" t="s">
        <v>105</v>
      </c>
      <c r="I216" s="6"/>
      <c r="J216" s="6"/>
      <c r="K216" s="6"/>
      <c r="L216" s="6"/>
      <c r="M216" s="6"/>
      <c r="N216" s="6"/>
      <c r="O216" s="6"/>
      <c r="P216" s="6"/>
      <c r="Q216" s="6"/>
      <c r="R216" s="6"/>
      <c r="S216" s="6"/>
      <c r="T216" s="6"/>
      <c r="U216" s="6"/>
      <c r="V216" s="6"/>
      <c r="W216" s="6"/>
      <c r="X216" s="6"/>
      <c r="Y216" s="6"/>
      <c r="Z216" s="6"/>
    </row>
    <row r="217" ht="60.0" customHeight="1">
      <c r="A217" s="6"/>
      <c r="B217" s="31">
        <v>212.0</v>
      </c>
      <c r="C217" s="58" t="s">
        <v>1050</v>
      </c>
      <c r="D217" s="58" t="s">
        <v>1051</v>
      </c>
      <c r="E217" s="59" t="s">
        <v>236</v>
      </c>
      <c r="F217" s="58" t="s">
        <v>1052</v>
      </c>
      <c r="G217" s="58" t="s">
        <v>1053</v>
      </c>
      <c r="H217" s="36" t="s">
        <v>105</v>
      </c>
      <c r="I217" s="6"/>
      <c r="J217" s="6"/>
      <c r="K217" s="6"/>
      <c r="L217" s="6"/>
      <c r="M217" s="6"/>
      <c r="N217" s="6"/>
      <c r="O217" s="6"/>
      <c r="P217" s="6"/>
      <c r="Q217" s="6"/>
      <c r="R217" s="6"/>
      <c r="S217" s="6"/>
      <c r="T217" s="6"/>
      <c r="U217" s="6"/>
      <c r="V217" s="6"/>
      <c r="W217" s="6"/>
      <c r="X217" s="6"/>
      <c r="Y217" s="6"/>
      <c r="Z217" s="6"/>
    </row>
    <row r="218" ht="60.0" customHeight="1">
      <c r="A218" s="6"/>
      <c r="B218" s="31">
        <v>213.0</v>
      </c>
      <c r="C218" s="58" t="s">
        <v>1054</v>
      </c>
      <c r="D218" s="58" t="s">
        <v>1055</v>
      </c>
      <c r="E218" s="59" t="s">
        <v>236</v>
      </c>
      <c r="F218" s="58" t="s">
        <v>1056</v>
      </c>
      <c r="G218" s="58" t="s">
        <v>1057</v>
      </c>
      <c r="H218" s="36" t="s">
        <v>105</v>
      </c>
      <c r="I218" s="6"/>
      <c r="J218" s="6"/>
      <c r="K218" s="6"/>
      <c r="L218" s="6"/>
      <c r="M218" s="6"/>
      <c r="N218" s="6"/>
      <c r="O218" s="6"/>
      <c r="P218" s="6"/>
      <c r="Q218" s="6"/>
      <c r="R218" s="6"/>
      <c r="S218" s="6"/>
      <c r="T218" s="6"/>
      <c r="U218" s="6"/>
      <c r="V218" s="6"/>
      <c r="W218" s="6"/>
      <c r="X218" s="6"/>
      <c r="Y218" s="6"/>
      <c r="Z218" s="6"/>
    </row>
    <row r="219" ht="60.0" customHeight="1">
      <c r="A219" s="6"/>
      <c r="B219" s="31">
        <v>214.0</v>
      </c>
      <c r="C219" s="58" t="s">
        <v>1058</v>
      </c>
      <c r="D219" s="58" t="s">
        <v>1059</v>
      </c>
      <c r="E219" s="59" t="s">
        <v>236</v>
      </c>
      <c r="F219" s="58" t="s">
        <v>1060</v>
      </c>
      <c r="G219" s="58" t="s">
        <v>1061</v>
      </c>
      <c r="H219" s="36" t="s">
        <v>105</v>
      </c>
      <c r="I219" s="6"/>
      <c r="J219" s="6"/>
      <c r="K219" s="6"/>
      <c r="L219" s="6"/>
      <c r="M219" s="6"/>
      <c r="N219" s="6"/>
      <c r="O219" s="6"/>
      <c r="P219" s="6"/>
      <c r="Q219" s="6"/>
      <c r="R219" s="6"/>
      <c r="S219" s="6"/>
      <c r="T219" s="6"/>
      <c r="U219" s="6"/>
      <c r="V219" s="6"/>
      <c r="W219" s="6"/>
      <c r="X219" s="6"/>
      <c r="Y219" s="6"/>
      <c r="Z219" s="6"/>
    </row>
    <row r="220" ht="60.0" customHeight="1">
      <c r="A220" s="6"/>
      <c r="B220" s="31">
        <v>215.0</v>
      </c>
      <c r="C220" s="58" t="s">
        <v>1062</v>
      </c>
      <c r="D220" s="58" t="s">
        <v>1063</v>
      </c>
      <c r="E220" s="59" t="s">
        <v>236</v>
      </c>
      <c r="F220" s="58" t="s">
        <v>1064</v>
      </c>
      <c r="G220" s="58" t="s">
        <v>1065</v>
      </c>
      <c r="H220" s="36" t="s">
        <v>105</v>
      </c>
      <c r="I220" s="6"/>
      <c r="J220" s="6"/>
      <c r="K220" s="6"/>
      <c r="L220" s="6"/>
      <c r="M220" s="6"/>
      <c r="N220" s="6"/>
      <c r="O220" s="6"/>
      <c r="P220" s="6"/>
      <c r="Q220" s="6"/>
      <c r="R220" s="6"/>
      <c r="S220" s="6"/>
      <c r="T220" s="6"/>
      <c r="U220" s="6"/>
      <c r="V220" s="6"/>
      <c r="W220" s="6"/>
      <c r="X220" s="6"/>
      <c r="Y220" s="6"/>
      <c r="Z220" s="6"/>
    </row>
    <row r="221" ht="60.0" customHeight="1">
      <c r="A221" s="6"/>
      <c r="B221" s="31">
        <v>216.0</v>
      </c>
      <c r="C221" s="58" t="s">
        <v>1066</v>
      </c>
      <c r="D221" s="58" t="s">
        <v>1067</v>
      </c>
      <c r="E221" s="59" t="s">
        <v>236</v>
      </c>
      <c r="F221" s="58" t="s">
        <v>1068</v>
      </c>
      <c r="G221" s="58" t="s">
        <v>1069</v>
      </c>
      <c r="H221" s="36" t="s">
        <v>105</v>
      </c>
      <c r="I221" s="6"/>
      <c r="J221" s="6"/>
      <c r="K221" s="6"/>
      <c r="L221" s="6"/>
      <c r="M221" s="6"/>
      <c r="N221" s="6"/>
      <c r="O221" s="6"/>
      <c r="P221" s="6"/>
      <c r="Q221" s="6"/>
      <c r="R221" s="6"/>
      <c r="S221" s="6"/>
      <c r="T221" s="6"/>
      <c r="U221" s="6"/>
      <c r="V221" s="6"/>
      <c r="W221" s="6"/>
      <c r="X221" s="6"/>
      <c r="Y221" s="6"/>
      <c r="Z221" s="6"/>
    </row>
    <row r="222" ht="60.0" customHeight="1">
      <c r="A222" s="6"/>
      <c r="B222" s="31">
        <v>217.0</v>
      </c>
      <c r="C222" s="58" t="s">
        <v>1070</v>
      </c>
      <c r="D222" s="58" t="s">
        <v>1071</v>
      </c>
      <c r="E222" s="59" t="s">
        <v>236</v>
      </c>
      <c r="F222" s="58" t="s">
        <v>1072</v>
      </c>
      <c r="G222" s="58" t="s">
        <v>1073</v>
      </c>
      <c r="H222" s="36" t="s">
        <v>105</v>
      </c>
      <c r="I222" s="6"/>
      <c r="J222" s="6"/>
      <c r="K222" s="6"/>
      <c r="L222" s="6"/>
      <c r="M222" s="6"/>
      <c r="N222" s="6"/>
      <c r="O222" s="6"/>
      <c r="P222" s="6"/>
      <c r="Q222" s="6"/>
      <c r="R222" s="6"/>
      <c r="S222" s="6"/>
      <c r="T222" s="6"/>
      <c r="U222" s="6"/>
      <c r="V222" s="6"/>
      <c r="W222" s="6"/>
      <c r="X222" s="6"/>
      <c r="Y222" s="6"/>
      <c r="Z222" s="6"/>
    </row>
    <row r="223" ht="60.0" customHeight="1">
      <c r="A223" s="6"/>
      <c r="B223" s="31">
        <v>218.0</v>
      </c>
      <c r="C223" s="58" t="s">
        <v>1074</v>
      </c>
      <c r="D223" s="58" t="s">
        <v>1075</v>
      </c>
      <c r="E223" s="59" t="s">
        <v>236</v>
      </c>
      <c r="F223" s="58" t="s">
        <v>1076</v>
      </c>
      <c r="G223" s="58" t="s">
        <v>1077</v>
      </c>
      <c r="H223" s="36" t="s">
        <v>105</v>
      </c>
      <c r="I223" s="6"/>
      <c r="J223" s="6"/>
      <c r="K223" s="6"/>
      <c r="L223" s="6"/>
      <c r="M223" s="6"/>
      <c r="N223" s="6"/>
      <c r="O223" s="6"/>
      <c r="P223" s="6"/>
      <c r="Q223" s="6"/>
      <c r="R223" s="6"/>
      <c r="S223" s="6"/>
      <c r="T223" s="6"/>
      <c r="U223" s="6"/>
      <c r="V223" s="6"/>
      <c r="W223" s="6"/>
      <c r="X223" s="6"/>
      <c r="Y223" s="6"/>
      <c r="Z223" s="6"/>
    </row>
    <row r="224" ht="60.0" customHeight="1">
      <c r="A224" s="6"/>
      <c r="B224" s="31">
        <v>219.0</v>
      </c>
      <c r="C224" s="58" t="s">
        <v>1078</v>
      </c>
      <c r="D224" s="58" t="s">
        <v>1079</v>
      </c>
      <c r="E224" s="59" t="s">
        <v>236</v>
      </c>
      <c r="F224" s="58" t="s">
        <v>1080</v>
      </c>
      <c r="G224" s="58" t="s">
        <v>1081</v>
      </c>
      <c r="H224" s="36" t="s">
        <v>105</v>
      </c>
      <c r="I224" s="6"/>
      <c r="J224" s="6"/>
      <c r="K224" s="6"/>
      <c r="L224" s="6"/>
      <c r="M224" s="6"/>
      <c r="N224" s="6"/>
      <c r="O224" s="6"/>
      <c r="P224" s="6"/>
      <c r="Q224" s="6"/>
      <c r="R224" s="6"/>
      <c r="S224" s="6"/>
      <c r="T224" s="6"/>
      <c r="U224" s="6"/>
      <c r="V224" s="6"/>
      <c r="W224" s="6"/>
      <c r="X224" s="6"/>
      <c r="Y224" s="6"/>
      <c r="Z224" s="6"/>
    </row>
    <row r="225" ht="60.0" customHeight="1">
      <c r="A225" s="6"/>
      <c r="B225" s="31">
        <v>220.0</v>
      </c>
      <c r="C225" s="58" t="s">
        <v>1082</v>
      </c>
      <c r="D225" s="58" t="s">
        <v>1083</v>
      </c>
      <c r="E225" s="59" t="s">
        <v>236</v>
      </c>
      <c r="F225" s="58" t="s">
        <v>1084</v>
      </c>
      <c r="G225" s="58" t="s">
        <v>1085</v>
      </c>
      <c r="H225" s="36" t="s">
        <v>105</v>
      </c>
      <c r="I225" s="6"/>
      <c r="J225" s="6"/>
      <c r="K225" s="6"/>
      <c r="L225" s="6"/>
      <c r="M225" s="6"/>
      <c r="N225" s="6"/>
      <c r="O225" s="6"/>
      <c r="P225" s="6"/>
      <c r="Q225" s="6"/>
      <c r="R225" s="6"/>
      <c r="S225" s="6"/>
      <c r="T225" s="6"/>
      <c r="U225" s="6"/>
      <c r="V225" s="6"/>
      <c r="W225" s="6"/>
      <c r="X225" s="6"/>
      <c r="Y225" s="6"/>
      <c r="Z225" s="6"/>
    </row>
    <row r="226" ht="60.0" customHeight="1">
      <c r="A226" s="6"/>
      <c r="B226" s="31">
        <v>221.0</v>
      </c>
      <c r="C226" s="58" t="s">
        <v>1086</v>
      </c>
      <c r="D226" s="58" t="s">
        <v>1087</v>
      </c>
      <c r="E226" s="59" t="s">
        <v>236</v>
      </c>
      <c r="F226" s="58" t="s">
        <v>1088</v>
      </c>
      <c r="G226" s="58" t="s">
        <v>1089</v>
      </c>
      <c r="H226" s="36" t="s">
        <v>105</v>
      </c>
      <c r="I226" s="6"/>
      <c r="J226" s="6"/>
      <c r="K226" s="6"/>
      <c r="L226" s="6"/>
      <c r="M226" s="6"/>
      <c r="N226" s="6"/>
      <c r="O226" s="6"/>
      <c r="P226" s="6"/>
      <c r="Q226" s="6"/>
      <c r="R226" s="6"/>
      <c r="S226" s="6"/>
      <c r="T226" s="6"/>
      <c r="U226" s="6"/>
      <c r="V226" s="6"/>
      <c r="W226" s="6"/>
      <c r="X226" s="6"/>
      <c r="Y226" s="6"/>
      <c r="Z226" s="6"/>
    </row>
    <row r="227" ht="60.0" customHeight="1">
      <c r="A227" s="6"/>
      <c r="B227" s="31">
        <v>222.0</v>
      </c>
      <c r="C227" s="58" t="s">
        <v>1090</v>
      </c>
      <c r="D227" s="58" t="s">
        <v>1091</v>
      </c>
      <c r="E227" s="59" t="s">
        <v>236</v>
      </c>
      <c r="F227" s="58" t="s">
        <v>1092</v>
      </c>
      <c r="G227" s="58" t="s">
        <v>1093</v>
      </c>
      <c r="H227" s="36" t="s">
        <v>105</v>
      </c>
      <c r="I227" s="6"/>
      <c r="J227" s="6"/>
      <c r="K227" s="6"/>
      <c r="L227" s="6"/>
      <c r="M227" s="6"/>
      <c r="N227" s="6"/>
      <c r="O227" s="6"/>
      <c r="P227" s="6"/>
      <c r="Q227" s="6"/>
      <c r="R227" s="6"/>
      <c r="S227" s="6"/>
      <c r="T227" s="6"/>
      <c r="U227" s="6"/>
      <c r="V227" s="6"/>
      <c r="W227" s="6"/>
      <c r="X227" s="6"/>
      <c r="Y227" s="6"/>
      <c r="Z227" s="6"/>
    </row>
    <row r="228" ht="60.0" customHeight="1">
      <c r="A228" s="6"/>
      <c r="B228" s="31">
        <v>223.0</v>
      </c>
      <c r="C228" s="58" t="s">
        <v>1094</v>
      </c>
      <c r="D228" s="58" t="s">
        <v>1095</v>
      </c>
      <c r="E228" s="59" t="s">
        <v>236</v>
      </c>
      <c r="F228" s="58" t="s">
        <v>1096</v>
      </c>
      <c r="G228" s="58" t="s">
        <v>1097</v>
      </c>
      <c r="H228" s="36" t="s">
        <v>105</v>
      </c>
      <c r="I228" s="6"/>
      <c r="J228" s="6"/>
      <c r="K228" s="6"/>
      <c r="L228" s="6"/>
      <c r="M228" s="6"/>
      <c r="N228" s="6"/>
      <c r="O228" s="6"/>
      <c r="P228" s="6"/>
      <c r="Q228" s="6"/>
      <c r="R228" s="6"/>
      <c r="S228" s="6"/>
      <c r="T228" s="6"/>
      <c r="U228" s="6"/>
      <c r="V228" s="6"/>
      <c r="W228" s="6"/>
      <c r="X228" s="6"/>
      <c r="Y228" s="6"/>
      <c r="Z228" s="6"/>
    </row>
    <row r="229" ht="60.0" customHeight="1">
      <c r="A229" s="6"/>
      <c r="B229" s="31">
        <v>224.0</v>
      </c>
      <c r="C229" s="58" t="s">
        <v>1098</v>
      </c>
      <c r="D229" s="58" t="s">
        <v>1099</v>
      </c>
      <c r="E229" s="59" t="s">
        <v>236</v>
      </c>
      <c r="F229" s="58" t="s">
        <v>1100</v>
      </c>
      <c r="G229" s="58" t="s">
        <v>1101</v>
      </c>
      <c r="H229" s="36" t="s">
        <v>105</v>
      </c>
      <c r="I229" s="6"/>
      <c r="J229" s="6"/>
      <c r="K229" s="6"/>
      <c r="L229" s="6"/>
      <c r="M229" s="6"/>
      <c r="N229" s="6"/>
      <c r="O229" s="6"/>
      <c r="P229" s="6"/>
      <c r="Q229" s="6"/>
      <c r="R229" s="6"/>
      <c r="S229" s="6"/>
      <c r="T229" s="6"/>
      <c r="U229" s="6"/>
      <c r="V229" s="6"/>
      <c r="W229" s="6"/>
      <c r="X229" s="6"/>
      <c r="Y229" s="6"/>
      <c r="Z229" s="6"/>
    </row>
    <row r="230" ht="60.0" customHeight="1">
      <c r="A230" s="6"/>
      <c r="B230" s="31">
        <v>225.0</v>
      </c>
      <c r="C230" s="58" t="s">
        <v>1102</v>
      </c>
      <c r="D230" s="58" t="s">
        <v>1103</v>
      </c>
      <c r="E230" s="59" t="s">
        <v>236</v>
      </c>
      <c r="F230" s="58" t="s">
        <v>1104</v>
      </c>
      <c r="G230" s="58" t="s">
        <v>1105</v>
      </c>
      <c r="H230" s="36" t="s">
        <v>105</v>
      </c>
      <c r="I230" s="6"/>
      <c r="J230" s="6"/>
      <c r="K230" s="6"/>
      <c r="L230" s="6"/>
      <c r="M230" s="6"/>
      <c r="N230" s="6"/>
      <c r="O230" s="6"/>
      <c r="P230" s="6"/>
      <c r="Q230" s="6"/>
      <c r="R230" s="6"/>
      <c r="S230" s="6"/>
      <c r="T230" s="6"/>
      <c r="U230" s="6"/>
      <c r="V230" s="6"/>
      <c r="W230" s="6"/>
      <c r="X230" s="6"/>
      <c r="Y230" s="6"/>
      <c r="Z230" s="6"/>
    </row>
    <row r="231" ht="60.0" customHeight="1">
      <c r="A231" s="6"/>
      <c r="B231" s="31">
        <v>226.0</v>
      </c>
      <c r="C231" s="58" t="s">
        <v>1106</v>
      </c>
      <c r="D231" s="58" t="s">
        <v>1107</v>
      </c>
      <c r="E231" s="59" t="s">
        <v>236</v>
      </c>
      <c r="F231" s="58" t="s">
        <v>1104</v>
      </c>
      <c r="G231" s="58" t="s">
        <v>1108</v>
      </c>
      <c r="H231" s="36" t="s">
        <v>105</v>
      </c>
      <c r="I231" s="6"/>
      <c r="J231" s="6"/>
      <c r="K231" s="6"/>
      <c r="L231" s="6"/>
      <c r="M231" s="6"/>
      <c r="N231" s="6"/>
      <c r="O231" s="6"/>
      <c r="P231" s="6"/>
      <c r="Q231" s="6"/>
      <c r="R231" s="6"/>
      <c r="S231" s="6"/>
      <c r="T231" s="6"/>
      <c r="U231" s="6"/>
      <c r="V231" s="6"/>
      <c r="W231" s="6"/>
      <c r="X231" s="6"/>
      <c r="Y231" s="6"/>
      <c r="Z231" s="6"/>
    </row>
    <row r="232" ht="60.0" customHeight="1">
      <c r="A232" s="6"/>
      <c r="B232" s="31">
        <v>227.0</v>
      </c>
      <c r="C232" s="58" t="s">
        <v>1109</v>
      </c>
      <c r="D232" s="58" t="s">
        <v>1110</v>
      </c>
      <c r="E232" s="59" t="s">
        <v>236</v>
      </c>
      <c r="F232" s="58" t="s">
        <v>1111</v>
      </c>
      <c r="G232" s="58" t="s">
        <v>1112</v>
      </c>
      <c r="H232" s="36" t="s">
        <v>105</v>
      </c>
      <c r="I232" s="6"/>
      <c r="J232" s="6"/>
      <c r="K232" s="6"/>
      <c r="L232" s="6"/>
      <c r="M232" s="6"/>
      <c r="N232" s="6"/>
      <c r="O232" s="6"/>
      <c r="P232" s="6"/>
      <c r="Q232" s="6"/>
      <c r="R232" s="6"/>
      <c r="S232" s="6"/>
      <c r="T232" s="6"/>
      <c r="U232" s="6"/>
      <c r="V232" s="6"/>
      <c r="W232" s="6"/>
      <c r="X232" s="6"/>
      <c r="Y232" s="6"/>
      <c r="Z232" s="6"/>
    </row>
    <row r="233" ht="60.0" customHeight="1">
      <c r="A233" s="6"/>
      <c r="B233" s="31">
        <v>228.0</v>
      </c>
      <c r="C233" s="58" t="s">
        <v>1113</v>
      </c>
      <c r="D233" s="58" t="s">
        <v>1114</v>
      </c>
      <c r="E233" s="59" t="s">
        <v>236</v>
      </c>
      <c r="F233" s="58" t="s">
        <v>1115</v>
      </c>
      <c r="G233" s="58" t="s">
        <v>1116</v>
      </c>
      <c r="H233" s="36" t="s">
        <v>105</v>
      </c>
      <c r="I233" s="6"/>
      <c r="J233" s="6"/>
      <c r="K233" s="6"/>
      <c r="L233" s="6"/>
      <c r="M233" s="6"/>
      <c r="N233" s="6"/>
      <c r="O233" s="6"/>
      <c r="P233" s="6"/>
      <c r="Q233" s="6"/>
      <c r="R233" s="6"/>
      <c r="S233" s="6"/>
      <c r="T233" s="6"/>
      <c r="U233" s="6"/>
      <c r="V233" s="6"/>
      <c r="W233" s="6"/>
      <c r="X233" s="6"/>
      <c r="Y233" s="6"/>
      <c r="Z233" s="6"/>
    </row>
    <row r="234" ht="60.0" customHeight="1">
      <c r="A234" s="6"/>
      <c r="B234" s="31">
        <v>229.0</v>
      </c>
      <c r="C234" s="58" t="s">
        <v>1117</v>
      </c>
      <c r="D234" s="58" t="s">
        <v>1118</v>
      </c>
      <c r="E234" s="59" t="s">
        <v>236</v>
      </c>
      <c r="F234" s="58" t="s">
        <v>1115</v>
      </c>
      <c r="G234" s="58" t="s">
        <v>1119</v>
      </c>
      <c r="H234" s="36" t="s">
        <v>105</v>
      </c>
      <c r="I234" s="6"/>
      <c r="J234" s="6"/>
      <c r="K234" s="6"/>
      <c r="L234" s="6"/>
      <c r="M234" s="6"/>
      <c r="N234" s="6"/>
      <c r="O234" s="6"/>
      <c r="P234" s="6"/>
      <c r="Q234" s="6"/>
      <c r="R234" s="6"/>
      <c r="S234" s="6"/>
      <c r="T234" s="6"/>
      <c r="U234" s="6"/>
      <c r="V234" s="6"/>
      <c r="W234" s="6"/>
      <c r="X234" s="6"/>
      <c r="Y234" s="6"/>
      <c r="Z234" s="6"/>
    </row>
    <row r="235" ht="60.0" customHeight="1">
      <c r="A235" s="6"/>
      <c r="B235" s="31">
        <v>230.0</v>
      </c>
      <c r="C235" s="58" t="s">
        <v>1120</v>
      </c>
      <c r="D235" s="58" t="s">
        <v>1121</v>
      </c>
      <c r="E235" s="59" t="s">
        <v>236</v>
      </c>
      <c r="F235" s="58" t="s">
        <v>1122</v>
      </c>
      <c r="G235" s="58" t="s">
        <v>1123</v>
      </c>
      <c r="H235" s="36" t="s">
        <v>105</v>
      </c>
      <c r="I235" s="6"/>
      <c r="J235" s="6"/>
      <c r="K235" s="6"/>
      <c r="L235" s="6"/>
      <c r="M235" s="6"/>
      <c r="N235" s="6"/>
      <c r="O235" s="6"/>
      <c r="P235" s="6"/>
      <c r="Q235" s="6"/>
      <c r="R235" s="6"/>
      <c r="S235" s="6"/>
      <c r="T235" s="6"/>
      <c r="U235" s="6"/>
      <c r="V235" s="6"/>
      <c r="W235" s="6"/>
      <c r="X235" s="6"/>
      <c r="Y235" s="6"/>
      <c r="Z235" s="6"/>
    </row>
    <row r="236" ht="60.0" customHeight="1">
      <c r="A236" s="6"/>
      <c r="B236" s="31">
        <v>231.0</v>
      </c>
      <c r="C236" s="58" t="s">
        <v>1124</v>
      </c>
      <c r="D236" s="58" t="s">
        <v>1125</v>
      </c>
      <c r="E236" s="59" t="s">
        <v>236</v>
      </c>
      <c r="F236" s="58" t="s">
        <v>1126</v>
      </c>
      <c r="G236" s="58" t="s">
        <v>1127</v>
      </c>
      <c r="H236" s="36" t="s">
        <v>105</v>
      </c>
      <c r="I236" s="6"/>
      <c r="J236" s="6"/>
      <c r="K236" s="6"/>
      <c r="L236" s="6"/>
      <c r="M236" s="6"/>
      <c r="N236" s="6"/>
      <c r="O236" s="6"/>
      <c r="P236" s="6"/>
      <c r="Q236" s="6"/>
      <c r="R236" s="6"/>
      <c r="S236" s="6"/>
      <c r="T236" s="6"/>
      <c r="U236" s="6"/>
      <c r="V236" s="6"/>
      <c r="W236" s="6"/>
      <c r="X236" s="6"/>
      <c r="Y236" s="6"/>
      <c r="Z236" s="6"/>
    </row>
    <row r="237" ht="60.0" customHeight="1">
      <c r="A237" s="6"/>
      <c r="B237" s="31">
        <v>232.0</v>
      </c>
      <c r="C237" s="58" t="s">
        <v>1128</v>
      </c>
      <c r="D237" s="58" t="s">
        <v>1129</v>
      </c>
      <c r="E237" s="59" t="s">
        <v>236</v>
      </c>
      <c r="F237" s="58" t="s">
        <v>1130</v>
      </c>
      <c r="G237" s="58" t="s">
        <v>1131</v>
      </c>
      <c r="H237" s="36" t="s">
        <v>105</v>
      </c>
      <c r="I237" s="6"/>
      <c r="J237" s="6"/>
      <c r="K237" s="6"/>
      <c r="L237" s="6"/>
      <c r="M237" s="6"/>
      <c r="N237" s="6"/>
      <c r="O237" s="6"/>
      <c r="P237" s="6"/>
      <c r="Q237" s="6"/>
      <c r="R237" s="6"/>
      <c r="S237" s="6"/>
      <c r="T237" s="6"/>
      <c r="U237" s="6"/>
      <c r="V237" s="6"/>
      <c r="W237" s="6"/>
      <c r="X237" s="6"/>
      <c r="Y237" s="6"/>
      <c r="Z237" s="6"/>
    </row>
    <row r="238" ht="60.0" customHeight="1">
      <c r="A238" s="6"/>
      <c r="B238" s="31">
        <v>233.0</v>
      </c>
      <c r="C238" s="58" t="s">
        <v>1132</v>
      </c>
      <c r="D238" s="58" t="s">
        <v>1133</v>
      </c>
      <c r="E238" s="59" t="s">
        <v>236</v>
      </c>
      <c r="F238" s="58" t="s">
        <v>1134</v>
      </c>
      <c r="G238" s="58" t="s">
        <v>1135</v>
      </c>
      <c r="H238" s="36" t="s">
        <v>105</v>
      </c>
      <c r="I238" s="6"/>
      <c r="J238" s="6"/>
      <c r="K238" s="6"/>
      <c r="L238" s="6"/>
      <c r="M238" s="6"/>
      <c r="N238" s="6"/>
      <c r="O238" s="6"/>
      <c r="P238" s="6"/>
      <c r="Q238" s="6"/>
      <c r="R238" s="6"/>
      <c r="S238" s="6"/>
      <c r="T238" s="6"/>
      <c r="U238" s="6"/>
      <c r="V238" s="6"/>
      <c r="W238" s="6"/>
      <c r="X238" s="6"/>
      <c r="Y238" s="6"/>
      <c r="Z238" s="6"/>
    </row>
    <row r="239" ht="60.0" customHeight="1">
      <c r="A239" s="6"/>
      <c r="B239" s="31">
        <v>234.0</v>
      </c>
      <c r="C239" s="58" t="s">
        <v>1136</v>
      </c>
      <c r="D239" s="58" t="s">
        <v>1137</v>
      </c>
      <c r="E239" s="59" t="s">
        <v>236</v>
      </c>
      <c r="F239" s="58" t="s">
        <v>1138</v>
      </c>
      <c r="G239" s="58" t="s">
        <v>1139</v>
      </c>
      <c r="H239" s="36" t="s">
        <v>105</v>
      </c>
      <c r="I239" s="6"/>
      <c r="J239" s="6"/>
      <c r="K239" s="6"/>
      <c r="L239" s="6"/>
      <c r="M239" s="6"/>
      <c r="N239" s="6"/>
      <c r="O239" s="6"/>
      <c r="P239" s="6"/>
      <c r="Q239" s="6"/>
      <c r="R239" s="6"/>
      <c r="S239" s="6"/>
      <c r="T239" s="6"/>
      <c r="U239" s="6"/>
      <c r="V239" s="6"/>
      <c r="W239" s="6"/>
      <c r="X239" s="6"/>
      <c r="Y239" s="6"/>
      <c r="Z239" s="6"/>
    </row>
    <row r="240" ht="60.0" customHeight="1">
      <c r="A240" s="6"/>
      <c r="B240" s="31">
        <v>235.0</v>
      </c>
      <c r="C240" s="58" t="s">
        <v>1140</v>
      </c>
      <c r="D240" s="58" t="s">
        <v>1141</v>
      </c>
      <c r="E240" s="59" t="s">
        <v>236</v>
      </c>
      <c r="F240" s="58" t="s">
        <v>1142</v>
      </c>
      <c r="G240" s="58" t="s">
        <v>1143</v>
      </c>
      <c r="H240" s="36" t="s">
        <v>105</v>
      </c>
      <c r="I240" s="6"/>
      <c r="J240" s="6"/>
      <c r="K240" s="6"/>
      <c r="L240" s="6"/>
      <c r="M240" s="6"/>
      <c r="N240" s="6"/>
      <c r="O240" s="6"/>
      <c r="P240" s="6"/>
      <c r="Q240" s="6"/>
      <c r="R240" s="6"/>
      <c r="S240" s="6"/>
      <c r="T240" s="6"/>
      <c r="U240" s="6"/>
      <c r="V240" s="6"/>
      <c r="W240" s="6"/>
      <c r="X240" s="6"/>
      <c r="Y240" s="6"/>
      <c r="Z240" s="6"/>
    </row>
    <row r="241" ht="60.0" customHeight="1">
      <c r="A241" s="6"/>
      <c r="B241" s="31">
        <v>236.0</v>
      </c>
      <c r="C241" s="58" t="s">
        <v>1144</v>
      </c>
      <c r="D241" s="58" t="s">
        <v>1145</v>
      </c>
      <c r="E241" s="59" t="s">
        <v>236</v>
      </c>
      <c r="F241" s="58" t="s">
        <v>1146</v>
      </c>
      <c r="G241" s="58" t="s">
        <v>1147</v>
      </c>
      <c r="H241" s="36" t="s">
        <v>105</v>
      </c>
      <c r="I241" s="6"/>
      <c r="J241" s="6"/>
      <c r="K241" s="6"/>
      <c r="L241" s="6"/>
      <c r="M241" s="6"/>
      <c r="N241" s="6"/>
      <c r="O241" s="6"/>
      <c r="P241" s="6"/>
      <c r="Q241" s="6"/>
      <c r="R241" s="6"/>
      <c r="S241" s="6"/>
      <c r="T241" s="6"/>
      <c r="U241" s="6"/>
      <c r="V241" s="6"/>
      <c r="W241" s="6"/>
      <c r="X241" s="6"/>
      <c r="Y241" s="6"/>
      <c r="Z241" s="6"/>
    </row>
    <row r="242" ht="60.0" customHeight="1">
      <c r="A242" s="6"/>
      <c r="B242" s="31">
        <v>237.0</v>
      </c>
      <c r="C242" s="58" t="s">
        <v>1148</v>
      </c>
      <c r="D242" s="58" t="s">
        <v>1149</v>
      </c>
      <c r="E242" s="59" t="s">
        <v>236</v>
      </c>
      <c r="F242" s="58" t="s">
        <v>1150</v>
      </c>
      <c r="G242" s="58" t="s">
        <v>1151</v>
      </c>
      <c r="H242" s="36" t="s">
        <v>105</v>
      </c>
      <c r="I242" s="6"/>
      <c r="J242" s="6"/>
      <c r="K242" s="6"/>
      <c r="L242" s="6"/>
      <c r="M242" s="6"/>
      <c r="N242" s="6"/>
      <c r="O242" s="6"/>
      <c r="P242" s="6"/>
      <c r="Q242" s="6"/>
      <c r="R242" s="6"/>
      <c r="S242" s="6"/>
      <c r="T242" s="6"/>
      <c r="U242" s="6"/>
      <c r="V242" s="6"/>
      <c r="W242" s="6"/>
      <c r="X242" s="6"/>
      <c r="Y242" s="6"/>
      <c r="Z242" s="6"/>
    </row>
    <row r="243" ht="60.0" customHeight="1">
      <c r="A243" s="6"/>
      <c r="B243" s="31">
        <v>238.0</v>
      </c>
      <c r="C243" s="58" t="s">
        <v>1152</v>
      </c>
      <c r="D243" s="58" t="s">
        <v>1153</v>
      </c>
      <c r="E243" s="59" t="s">
        <v>236</v>
      </c>
      <c r="F243" s="58" t="s">
        <v>1154</v>
      </c>
      <c r="G243" s="58" t="s">
        <v>1155</v>
      </c>
      <c r="H243" s="36" t="s">
        <v>105</v>
      </c>
      <c r="I243" s="6"/>
      <c r="J243" s="6"/>
      <c r="K243" s="6"/>
      <c r="L243" s="6"/>
      <c r="M243" s="6"/>
      <c r="N243" s="6"/>
      <c r="O243" s="6"/>
      <c r="P243" s="6"/>
      <c r="Q243" s="6"/>
      <c r="R243" s="6"/>
      <c r="S243" s="6"/>
      <c r="T243" s="6"/>
      <c r="U243" s="6"/>
      <c r="V243" s="6"/>
      <c r="W243" s="6"/>
      <c r="X243" s="6"/>
      <c r="Y243" s="6"/>
      <c r="Z243" s="6"/>
    </row>
    <row r="244" ht="60.0" customHeight="1">
      <c r="A244" s="6"/>
      <c r="B244" s="31">
        <v>239.0</v>
      </c>
      <c r="C244" s="58" t="s">
        <v>1156</v>
      </c>
      <c r="D244" s="58" t="s">
        <v>1157</v>
      </c>
      <c r="E244" s="59" t="s">
        <v>236</v>
      </c>
      <c r="F244" s="58" t="s">
        <v>1158</v>
      </c>
      <c r="G244" s="58" t="s">
        <v>1159</v>
      </c>
      <c r="H244" s="36" t="s">
        <v>105</v>
      </c>
      <c r="I244" s="6"/>
      <c r="J244" s="6"/>
      <c r="K244" s="6"/>
      <c r="L244" s="6"/>
      <c r="M244" s="6"/>
      <c r="N244" s="6"/>
      <c r="O244" s="6"/>
      <c r="P244" s="6"/>
      <c r="Q244" s="6"/>
      <c r="R244" s="6"/>
      <c r="S244" s="6"/>
      <c r="T244" s="6"/>
      <c r="U244" s="6"/>
      <c r="V244" s="6"/>
      <c r="W244" s="6"/>
      <c r="X244" s="6"/>
      <c r="Y244" s="6"/>
      <c r="Z244" s="6"/>
    </row>
    <row r="245" ht="60.0" customHeight="1">
      <c r="A245" s="6"/>
      <c r="B245" s="31">
        <v>240.0</v>
      </c>
      <c r="C245" s="58" t="s">
        <v>1160</v>
      </c>
      <c r="D245" s="58" t="s">
        <v>1161</v>
      </c>
      <c r="E245" s="59" t="s">
        <v>236</v>
      </c>
      <c r="F245" s="58" t="s">
        <v>1162</v>
      </c>
      <c r="G245" s="58" t="s">
        <v>1163</v>
      </c>
      <c r="H245" s="36" t="s">
        <v>105</v>
      </c>
      <c r="I245" s="6"/>
      <c r="J245" s="6"/>
      <c r="K245" s="6"/>
      <c r="L245" s="6"/>
      <c r="M245" s="6"/>
      <c r="N245" s="6"/>
      <c r="O245" s="6"/>
      <c r="P245" s="6"/>
      <c r="Q245" s="6"/>
      <c r="R245" s="6"/>
      <c r="S245" s="6"/>
      <c r="T245" s="6"/>
      <c r="U245" s="6"/>
      <c r="V245" s="6"/>
      <c r="W245" s="6"/>
      <c r="X245" s="6"/>
      <c r="Y245" s="6"/>
      <c r="Z245" s="6"/>
    </row>
    <row r="246" ht="60.0" customHeight="1">
      <c r="A246" s="6"/>
      <c r="B246" s="31">
        <v>241.0</v>
      </c>
      <c r="C246" s="58" t="s">
        <v>1164</v>
      </c>
      <c r="D246" s="58" t="s">
        <v>1165</v>
      </c>
      <c r="E246" s="59" t="s">
        <v>236</v>
      </c>
      <c r="F246" s="58" t="s">
        <v>1166</v>
      </c>
      <c r="G246" s="58" t="s">
        <v>1167</v>
      </c>
      <c r="H246" s="36" t="s">
        <v>105</v>
      </c>
      <c r="I246" s="6"/>
      <c r="J246" s="6"/>
      <c r="K246" s="6"/>
      <c r="L246" s="6"/>
      <c r="M246" s="6"/>
      <c r="N246" s="6"/>
      <c r="O246" s="6"/>
      <c r="P246" s="6"/>
      <c r="Q246" s="6"/>
      <c r="R246" s="6"/>
      <c r="S246" s="6"/>
      <c r="T246" s="6"/>
      <c r="U246" s="6"/>
      <c r="V246" s="6"/>
      <c r="W246" s="6"/>
      <c r="X246" s="6"/>
      <c r="Y246" s="6"/>
      <c r="Z246" s="6"/>
    </row>
    <row r="247" ht="60.0" customHeight="1">
      <c r="A247" s="6"/>
      <c r="B247" s="31">
        <v>242.0</v>
      </c>
      <c r="C247" s="58" t="s">
        <v>1168</v>
      </c>
      <c r="D247" s="58" t="s">
        <v>1169</v>
      </c>
      <c r="E247" s="59" t="s">
        <v>236</v>
      </c>
      <c r="F247" s="58" t="s">
        <v>1170</v>
      </c>
      <c r="G247" s="58" t="s">
        <v>1171</v>
      </c>
      <c r="H247" s="36" t="s">
        <v>105</v>
      </c>
      <c r="I247" s="6"/>
      <c r="J247" s="6"/>
      <c r="K247" s="6"/>
      <c r="L247" s="6"/>
      <c r="M247" s="6"/>
      <c r="N247" s="6"/>
      <c r="O247" s="6"/>
      <c r="P247" s="6"/>
      <c r="Q247" s="6"/>
      <c r="R247" s="6"/>
      <c r="S247" s="6"/>
      <c r="T247" s="6"/>
      <c r="U247" s="6"/>
      <c r="V247" s="6"/>
      <c r="W247" s="6"/>
      <c r="X247" s="6"/>
      <c r="Y247" s="6"/>
      <c r="Z247" s="6"/>
    </row>
    <row r="248" ht="60.0" customHeight="1">
      <c r="A248" s="6"/>
      <c r="B248" s="31">
        <v>243.0</v>
      </c>
      <c r="C248" s="58" t="s">
        <v>1172</v>
      </c>
      <c r="D248" s="58" t="s">
        <v>1173</v>
      </c>
      <c r="E248" s="59" t="s">
        <v>236</v>
      </c>
      <c r="F248" s="58" t="s">
        <v>1174</v>
      </c>
      <c r="G248" s="58" t="s">
        <v>1175</v>
      </c>
      <c r="H248" s="36" t="s">
        <v>105</v>
      </c>
      <c r="I248" s="6"/>
      <c r="J248" s="6"/>
      <c r="K248" s="6"/>
      <c r="L248" s="6"/>
      <c r="M248" s="6"/>
      <c r="N248" s="6"/>
      <c r="O248" s="6"/>
      <c r="P248" s="6"/>
      <c r="Q248" s="6"/>
      <c r="R248" s="6"/>
      <c r="S248" s="6"/>
      <c r="T248" s="6"/>
      <c r="U248" s="6"/>
      <c r="V248" s="6"/>
      <c r="W248" s="6"/>
      <c r="X248" s="6"/>
      <c r="Y248" s="6"/>
      <c r="Z248" s="6"/>
    </row>
    <row r="249" ht="60.0" customHeight="1">
      <c r="A249" s="6"/>
      <c r="B249" s="31">
        <v>244.0</v>
      </c>
      <c r="C249" s="58" t="s">
        <v>1176</v>
      </c>
      <c r="D249" s="58" t="s">
        <v>1177</v>
      </c>
      <c r="E249" s="59" t="s">
        <v>236</v>
      </c>
      <c r="F249" s="58" t="s">
        <v>1178</v>
      </c>
      <c r="G249" s="58" t="s">
        <v>1179</v>
      </c>
      <c r="H249" s="36" t="s">
        <v>105</v>
      </c>
      <c r="I249" s="6"/>
      <c r="J249" s="6"/>
      <c r="K249" s="6"/>
      <c r="L249" s="6"/>
      <c r="M249" s="6"/>
      <c r="N249" s="6"/>
      <c r="O249" s="6"/>
      <c r="P249" s="6"/>
      <c r="Q249" s="6"/>
      <c r="R249" s="6"/>
      <c r="S249" s="6"/>
      <c r="T249" s="6"/>
      <c r="U249" s="6"/>
      <c r="V249" s="6"/>
      <c r="W249" s="6"/>
      <c r="X249" s="6"/>
      <c r="Y249" s="6"/>
      <c r="Z249" s="6"/>
    </row>
    <row r="250" ht="60.0" customHeight="1">
      <c r="A250" s="6"/>
      <c r="B250" s="31">
        <v>245.0</v>
      </c>
      <c r="C250" s="58" t="s">
        <v>1180</v>
      </c>
      <c r="D250" s="58" t="s">
        <v>1181</v>
      </c>
      <c r="E250" s="59" t="s">
        <v>236</v>
      </c>
      <c r="F250" s="58" t="s">
        <v>1182</v>
      </c>
      <c r="G250" s="58" t="s">
        <v>1183</v>
      </c>
      <c r="H250" s="36" t="s">
        <v>105</v>
      </c>
      <c r="I250" s="6"/>
      <c r="J250" s="6"/>
      <c r="K250" s="6"/>
      <c r="L250" s="6"/>
      <c r="M250" s="6"/>
      <c r="N250" s="6"/>
      <c r="O250" s="6"/>
      <c r="P250" s="6"/>
      <c r="Q250" s="6"/>
      <c r="R250" s="6"/>
      <c r="S250" s="6"/>
      <c r="T250" s="6"/>
      <c r="U250" s="6"/>
      <c r="V250" s="6"/>
      <c r="W250" s="6"/>
      <c r="X250" s="6"/>
      <c r="Y250" s="6"/>
      <c r="Z250" s="6"/>
    </row>
    <row r="251" ht="60.0" customHeight="1">
      <c r="A251" s="6"/>
      <c r="B251" s="31">
        <v>246.0</v>
      </c>
      <c r="C251" s="58" t="s">
        <v>1184</v>
      </c>
      <c r="D251" s="58" t="s">
        <v>1185</v>
      </c>
      <c r="E251" s="59" t="s">
        <v>236</v>
      </c>
      <c r="F251" s="58" t="s">
        <v>1186</v>
      </c>
      <c r="G251" s="58" t="s">
        <v>1187</v>
      </c>
      <c r="H251" s="36" t="s">
        <v>105</v>
      </c>
      <c r="I251" s="6"/>
      <c r="J251" s="6"/>
      <c r="K251" s="6"/>
      <c r="L251" s="6"/>
      <c r="M251" s="6"/>
      <c r="N251" s="6"/>
      <c r="O251" s="6"/>
      <c r="P251" s="6"/>
      <c r="Q251" s="6"/>
      <c r="R251" s="6"/>
      <c r="S251" s="6"/>
      <c r="T251" s="6"/>
      <c r="U251" s="6"/>
      <c r="V251" s="6"/>
      <c r="W251" s="6"/>
      <c r="X251" s="6"/>
      <c r="Y251" s="6"/>
      <c r="Z251" s="6"/>
    </row>
    <row r="252" ht="60.0" customHeight="1">
      <c r="A252" s="6"/>
      <c r="B252" s="31">
        <v>247.0</v>
      </c>
      <c r="C252" s="58" t="s">
        <v>1188</v>
      </c>
      <c r="D252" s="58" t="s">
        <v>1189</v>
      </c>
      <c r="E252" s="59" t="s">
        <v>236</v>
      </c>
      <c r="F252" s="58" t="s">
        <v>1190</v>
      </c>
      <c r="G252" s="58" t="s">
        <v>1191</v>
      </c>
      <c r="H252" s="36" t="s">
        <v>105</v>
      </c>
      <c r="I252" s="6"/>
      <c r="J252" s="6"/>
      <c r="K252" s="6"/>
      <c r="L252" s="6"/>
      <c r="M252" s="6"/>
      <c r="N252" s="6"/>
      <c r="O252" s="6"/>
      <c r="P252" s="6"/>
      <c r="Q252" s="6"/>
      <c r="R252" s="6"/>
      <c r="S252" s="6"/>
      <c r="T252" s="6"/>
      <c r="U252" s="6"/>
      <c r="V252" s="6"/>
      <c r="W252" s="6"/>
      <c r="X252" s="6"/>
      <c r="Y252" s="6"/>
      <c r="Z252" s="6"/>
    </row>
    <row r="253" ht="60.0" customHeight="1">
      <c r="A253" s="6"/>
      <c r="B253" s="31">
        <v>248.0</v>
      </c>
      <c r="C253" s="58" t="s">
        <v>1192</v>
      </c>
      <c r="D253" s="58" t="s">
        <v>1193</v>
      </c>
      <c r="E253" s="59" t="s">
        <v>236</v>
      </c>
      <c r="F253" s="58" t="s">
        <v>1194</v>
      </c>
      <c r="G253" s="58" t="s">
        <v>1195</v>
      </c>
      <c r="H253" s="36" t="s">
        <v>105</v>
      </c>
      <c r="I253" s="6"/>
      <c r="J253" s="6"/>
      <c r="K253" s="6"/>
      <c r="L253" s="6"/>
      <c r="M253" s="6"/>
      <c r="N253" s="6"/>
      <c r="O253" s="6"/>
      <c r="P253" s="6"/>
      <c r="Q253" s="6"/>
      <c r="R253" s="6"/>
      <c r="S253" s="6"/>
      <c r="T253" s="6"/>
      <c r="U253" s="6"/>
      <c r="V253" s="6"/>
      <c r="W253" s="6"/>
      <c r="X253" s="6"/>
      <c r="Y253" s="6"/>
      <c r="Z253" s="6"/>
    </row>
    <row r="254" ht="60.0" customHeight="1">
      <c r="A254" s="6"/>
      <c r="B254" s="31">
        <v>249.0</v>
      </c>
      <c r="C254" s="58" t="s">
        <v>1196</v>
      </c>
      <c r="D254" s="58" t="s">
        <v>1197</v>
      </c>
      <c r="E254" s="59" t="s">
        <v>236</v>
      </c>
      <c r="F254" s="58" t="s">
        <v>1198</v>
      </c>
      <c r="G254" s="58" t="s">
        <v>1199</v>
      </c>
      <c r="H254" s="36" t="s">
        <v>105</v>
      </c>
      <c r="I254" s="6"/>
      <c r="J254" s="6"/>
      <c r="K254" s="6"/>
      <c r="L254" s="6"/>
      <c r="M254" s="6"/>
      <c r="N254" s="6"/>
      <c r="O254" s="6"/>
      <c r="P254" s="6"/>
      <c r="Q254" s="6"/>
      <c r="R254" s="6"/>
      <c r="S254" s="6"/>
      <c r="T254" s="6"/>
      <c r="U254" s="6"/>
      <c r="V254" s="6"/>
      <c r="W254" s="6"/>
      <c r="X254" s="6"/>
      <c r="Y254" s="6"/>
      <c r="Z254" s="6"/>
    </row>
    <row r="255" ht="60.0" customHeight="1">
      <c r="A255" s="6"/>
      <c r="B255" s="31">
        <v>250.0</v>
      </c>
      <c r="C255" s="58" t="s">
        <v>1200</v>
      </c>
      <c r="D255" s="58" t="s">
        <v>1201</v>
      </c>
      <c r="E255" s="59" t="s">
        <v>236</v>
      </c>
      <c r="F255" s="58" t="s">
        <v>1202</v>
      </c>
      <c r="G255" s="58" t="s">
        <v>1203</v>
      </c>
      <c r="H255" s="36" t="s">
        <v>105</v>
      </c>
      <c r="I255" s="6"/>
      <c r="J255" s="6"/>
      <c r="K255" s="6"/>
      <c r="L255" s="6"/>
      <c r="M255" s="6"/>
      <c r="N255" s="6"/>
      <c r="O255" s="6"/>
      <c r="P255" s="6"/>
      <c r="Q255" s="6"/>
      <c r="R255" s="6"/>
      <c r="S255" s="6"/>
      <c r="T255" s="6"/>
      <c r="U255" s="6"/>
      <c r="V255" s="6"/>
      <c r="W255" s="6"/>
      <c r="X255" s="6"/>
      <c r="Y255" s="6"/>
      <c r="Z255" s="6"/>
    </row>
    <row r="256" ht="60.0" customHeight="1">
      <c r="A256" s="6"/>
      <c r="B256" s="31">
        <v>251.0</v>
      </c>
      <c r="C256" s="58" t="s">
        <v>1204</v>
      </c>
      <c r="D256" s="58" t="s">
        <v>1205</v>
      </c>
      <c r="E256" s="59" t="s">
        <v>236</v>
      </c>
      <c r="F256" s="58" t="s">
        <v>1206</v>
      </c>
      <c r="G256" s="58" t="s">
        <v>1207</v>
      </c>
      <c r="H256" s="36" t="s">
        <v>105</v>
      </c>
      <c r="I256" s="6"/>
      <c r="J256" s="6"/>
      <c r="K256" s="6"/>
      <c r="L256" s="6"/>
      <c r="M256" s="6"/>
      <c r="N256" s="6"/>
      <c r="O256" s="6"/>
      <c r="P256" s="6"/>
      <c r="Q256" s="6"/>
      <c r="R256" s="6"/>
      <c r="S256" s="6"/>
      <c r="T256" s="6"/>
      <c r="U256" s="6"/>
      <c r="V256" s="6"/>
      <c r="W256" s="6"/>
      <c r="X256" s="6"/>
      <c r="Y256" s="6"/>
      <c r="Z256" s="6"/>
    </row>
    <row r="257" ht="60.0" customHeight="1">
      <c r="A257" s="6"/>
      <c r="B257" s="31">
        <v>252.0</v>
      </c>
      <c r="C257" s="58" t="s">
        <v>1208</v>
      </c>
      <c r="D257" s="58" t="s">
        <v>1209</v>
      </c>
      <c r="E257" s="59" t="s">
        <v>236</v>
      </c>
      <c r="F257" s="58" t="s">
        <v>1210</v>
      </c>
      <c r="G257" s="58" t="s">
        <v>1211</v>
      </c>
      <c r="H257" s="36" t="s">
        <v>105</v>
      </c>
      <c r="I257" s="6"/>
      <c r="J257" s="6"/>
      <c r="K257" s="6"/>
      <c r="L257" s="6"/>
      <c r="M257" s="6"/>
      <c r="N257" s="6"/>
      <c r="O257" s="6"/>
      <c r="P257" s="6"/>
      <c r="Q257" s="6"/>
      <c r="R257" s="6"/>
      <c r="S257" s="6"/>
      <c r="T257" s="6"/>
      <c r="U257" s="6"/>
      <c r="V257" s="6"/>
      <c r="W257" s="6"/>
      <c r="X257" s="6"/>
      <c r="Y257" s="6"/>
      <c r="Z257" s="6"/>
    </row>
    <row r="258" ht="60.0" customHeight="1">
      <c r="A258" s="6"/>
      <c r="B258" s="31">
        <v>253.0</v>
      </c>
      <c r="C258" s="58" t="s">
        <v>1212</v>
      </c>
      <c r="D258" s="58" t="s">
        <v>1213</v>
      </c>
      <c r="E258" s="59" t="s">
        <v>93</v>
      </c>
      <c r="F258" s="58" t="s">
        <v>1214</v>
      </c>
      <c r="G258" s="58" t="s">
        <v>1215</v>
      </c>
      <c r="H258" s="36" t="s">
        <v>105</v>
      </c>
      <c r="I258" s="6"/>
      <c r="J258" s="6"/>
      <c r="K258" s="6"/>
      <c r="L258" s="6"/>
      <c r="M258" s="6"/>
      <c r="N258" s="6"/>
      <c r="O258" s="6"/>
      <c r="P258" s="6"/>
      <c r="Q258" s="6"/>
      <c r="R258" s="6"/>
      <c r="S258" s="6"/>
      <c r="T258" s="6"/>
      <c r="U258" s="6"/>
      <c r="V258" s="6"/>
      <c r="W258" s="6"/>
      <c r="X258" s="6"/>
      <c r="Y258" s="6"/>
      <c r="Z258" s="6"/>
    </row>
    <row r="259" ht="60.0" customHeight="1">
      <c r="A259" s="6"/>
      <c r="B259" s="31">
        <v>254.0</v>
      </c>
      <c r="C259" s="58" t="s">
        <v>1216</v>
      </c>
      <c r="D259" s="58" t="s">
        <v>1217</v>
      </c>
      <c r="E259" s="59" t="s">
        <v>93</v>
      </c>
      <c r="F259" s="58" t="s">
        <v>1218</v>
      </c>
      <c r="G259" s="58" t="s">
        <v>1219</v>
      </c>
      <c r="H259" s="36" t="s">
        <v>105</v>
      </c>
      <c r="I259" s="6"/>
      <c r="J259" s="6"/>
      <c r="K259" s="6"/>
      <c r="L259" s="6"/>
      <c r="M259" s="6"/>
      <c r="N259" s="6"/>
      <c r="O259" s="6"/>
      <c r="P259" s="6"/>
      <c r="Q259" s="6"/>
      <c r="R259" s="6"/>
      <c r="S259" s="6"/>
      <c r="T259" s="6"/>
      <c r="U259" s="6"/>
      <c r="V259" s="6"/>
      <c r="W259" s="6"/>
      <c r="X259" s="6"/>
      <c r="Y259" s="6"/>
      <c r="Z259" s="6"/>
    </row>
    <row r="260" ht="60.0" customHeight="1">
      <c r="A260" s="6"/>
      <c r="B260" s="31">
        <v>255.0</v>
      </c>
      <c r="C260" s="58" t="s">
        <v>1220</v>
      </c>
      <c r="D260" s="58" t="s">
        <v>1221</v>
      </c>
      <c r="E260" s="59" t="s">
        <v>93</v>
      </c>
      <c r="F260" s="58" t="s">
        <v>1222</v>
      </c>
      <c r="G260" s="58" t="s">
        <v>1223</v>
      </c>
      <c r="H260" s="36" t="s">
        <v>105</v>
      </c>
      <c r="I260" s="6"/>
      <c r="J260" s="6"/>
      <c r="K260" s="6"/>
      <c r="L260" s="6"/>
      <c r="M260" s="6"/>
      <c r="N260" s="6"/>
      <c r="O260" s="6"/>
      <c r="P260" s="6"/>
      <c r="Q260" s="6"/>
      <c r="R260" s="6"/>
      <c r="S260" s="6"/>
      <c r="T260" s="6"/>
      <c r="U260" s="6"/>
      <c r="V260" s="6"/>
      <c r="W260" s="6"/>
      <c r="X260" s="6"/>
      <c r="Y260" s="6"/>
      <c r="Z260" s="6"/>
    </row>
    <row r="261" ht="60.0" customHeight="1">
      <c r="A261" s="6"/>
      <c r="B261" s="31">
        <v>256.0</v>
      </c>
      <c r="C261" s="58" t="s">
        <v>1224</v>
      </c>
      <c r="D261" s="58" t="s">
        <v>1225</v>
      </c>
      <c r="E261" s="59" t="s">
        <v>93</v>
      </c>
      <c r="F261" s="58" t="s">
        <v>1226</v>
      </c>
      <c r="G261" s="58" t="s">
        <v>1227</v>
      </c>
      <c r="H261" s="36" t="s">
        <v>105</v>
      </c>
      <c r="I261" s="6"/>
      <c r="J261" s="6"/>
      <c r="K261" s="6"/>
      <c r="L261" s="6"/>
      <c r="M261" s="6"/>
      <c r="N261" s="6"/>
      <c r="O261" s="6"/>
      <c r="P261" s="6"/>
      <c r="Q261" s="6"/>
      <c r="R261" s="6"/>
      <c r="S261" s="6"/>
      <c r="T261" s="6"/>
      <c r="U261" s="6"/>
      <c r="V261" s="6"/>
      <c r="W261" s="6"/>
      <c r="X261" s="6"/>
      <c r="Y261" s="6"/>
      <c r="Z261" s="6"/>
    </row>
    <row r="262" ht="60.0" customHeight="1">
      <c r="A262" s="6"/>
      <c r="B262" s="31">
        <v>257.0</v>
      </c>
      <c r="C262" s="58" t="s">
        <v>1228</v>
      </c>
      <c r="D262" s="58" t="s">
        <v>1229</v>
      </c>
      <c r="E262" s="59" t="s">
        <v>93</v>
      </c>
      <c r="F262" s="58" t="s">
        <v>1230</v>
      </c>
      <c r="G262" s="58" t="s">
        <v>1231</v>
      </c>
      <c r="H262" s="36" t="s">
        <v>105</v>
      </c>
      <c r="I262" s="6"/>
      <c r="J262" s="6"/>
      <c r="K262" s="6"/>
      <c r="L262" s="6"/>
      <c r="M262" s="6"/>
      <c r="N262" s="6"/>
      <c r="O262" s="6"/>
      <c r="P262" s="6"/>
      <c r="Q262" s="6"/>
      <c r="R262" s="6"/>
      <c r="S262" s="6"/>
      <c r="T262" s="6"/>
      <c r="U262" s="6"/>
      <c r="V262" s="6"/>
      <c r="W262" s="6"/>
      <c r="X262" s="6"/>
      <c r="Y262" s="6"/>
      <c r="Z262" s="6"/>
    </row>
    <row r="263" ht="60.0" customHeight="1">
      <c r="A263" s="6"/>
      <c r="B263" s="31">
        <v>258.0</v>
      </c>
      <c r="C263" s="58" t="s">
        <v>1232</v>
      </c>
      <c r="D263" s="58" t="s">
        <v>1233</v>
      </c>
      <c r="E263" s="59" t="s">
        <v>93</v>
      </c>
      <c r="F263" s="58" t="s">
        <v>1234</v>
      </c>
      <c r="G263" s="58" t="s">
        <v>1235</v>
      </c>
      <c r="H263" s="36" t="s">
        <v>105</v>
      </c>
      <c r="I263" s="6"/>
      <c r="J263" s="6"/>
      <c r="K263" s="6"/>
      <c r="L263" s="6"/>
      <c r="M263" s="6"/>
      <c r="N263" s="6"/>
      <c r="O263" s="6"/>
      <c r="P263" s="6"/>
      <c r="Q263" s="6"/>
      <c r="R263" s="6"/>
      <c r="S263" s="6"/>
      <c r="T263" s="6"/>
      <c r="U263" s="6"/>
      <c r="V263" s="6"/>
      <c r="W263" s="6"/>
      <c r="X263" s="6"/>
      <c r="Y263" s="6"/>
      <c r="Z263" s="6"/>
    </row>
    <row r="264" ht="60.0" customHeight="1">
      <c r="A264" s="6"/>
      <c r="B264" s="31">
        <v>259.0</v>
      </c>
      <c r="C264" s="58" t="s">
        <v>1236</v>
      </c>
      <c r="D264" s="58" t="s">
        <v>1237</v>
      </c>
      <c r="E264" s="59" t="s">
        <v>93</v>
      </c>
      <c r="F264" s="58" t="s">
        <v>1238</v>
      </c>
      <c r="G264" s="58" t="s">
        <v>1239</v>
      </c>
      <c r="H264" s="36" t="s">
        <v>105</v>
      </c>
      <c r="I264" s="6"/>
      <c r="J264" s="6"/>
      <c r="K264" s="6"/>
      <c r="L264" s="6"/>
      <c r="M264" s="6"/>
      <c r="N264" s="6"/>
      <c r="O264" s="6"/>
      <c r="P264" s="6"/>
      <c r="Q264" s="6"/>
      <c r="R264" s="6"/>
      <c r="S264" s="6"/>
      <c r="T264" s="6"/>
      <c r="U264" s="6"/>
      <c r="V264" s="6"/>
      <c r="W264" s="6"/>
      <c r="X264" s="6"/>
      <c r="Y264" s="6"/>
      <c r="Z264" s="6"/>
    </row>
    <row r="265" ht="60.0" customHeight="1">
      <c r="A265" s="6"/>
      <c r="B265" s="31">
        <v>260.0</v>
      </c>
      <c r="C265" s="58" t="s">
        <v>1240</v>
      </c>
      <c r="D265" s="58" t="s">
        <v>1241</v>
      </c>
      <c r="E265" s="59" t="s">
        <v>93</v>
      </c>
      <c r="F265" s="58" t="s">
        <v>1242</v>
      </c>
      <c r="G265" s="58" t="s">
        <v>1243</v>
      </c>
      <c r="H265" s="36" t="s">
        <v>105</v>
      </c>
      <c r="I265" s="6"/>
      <c r="J265" s="6"/>
      <c r="K265" s="6"/>
      <c r="L265" s="6"/>
      <c r="M265" s="6"/>
      <c r="N265" s="6"/>
      <c r="O265" s="6"/>
      <c r="P265" s="6"/>
      <c r="Q265" s="6"/>
      <c r="R265" s="6"/>
      <c r="S265" s="6"/>
      <c r="T265" s="6"/>
      <c r="U265" s="6"/>
      <c r="V265" s="6"/>
      <c r="W265" s="6"/>
      <c r="X265" s="6"/>
      <c r="Y265" s="6"/>
      <c r="Z265" s="6"/>
    </row>
    <row r="266" ht="60.0" customHeight="1">
      <c r="A266" s="6"/>
      <c r="B266" s="31">
        <v>261.0</v>
      </c>
      <c r="C266" s="58" t="s">
        <v>1244</v>
      </c>
      <c r="D266" s="58" t="s">
        <v>1245</v>
      </c>
      <c r="E266" s="59" t="s">
        <v>93</v>
      </c>
      <c r="F266" s="58" t="s">
        <v>1246</v>
      </c>
      <c r="G266" s="58" t="s">
        <v>1247</v>
      </c>
      <c r="H266" s="36" t="s">
        <v>105</v>
      </c>
      <c r="I266" s="6"/>
      <c r="J266" s="6"/>
      <c r="K266" s="6"/>
      <c r="L266" s="6"/>
      <c r="M266" s="6"/>
      <c r="N266" s="6"/>
      <c r="O266" s="6"/>
      <c r="P266" s="6"/>
      <c r="Q266" s="6"/>
      <c r="R266" s="6"/>
      <c r="S266" s="6"/>
      <c r="T266" s="6"/>
      <c r="U266" s="6"/>
      <c r="V266" s="6"/>
      <c r="W266" s="6"/>
      <c r="X266" s="6"/>
      <c r="Y266" s="6"/>
      <c r="Z266" s="6"/>
    </row>
    <row r="267" ht="60.0" customHeight="1">
      <c r="A267" s="6"/>
      <c r="B267" s="31">
        <v>262.0</v>
      </c>
      <c r="C267" s="58" t="s">
        <v>1248</v>
      </c>
      <c r="D267" s="58" t="s">
        <v>1249</v>
      </c>
      <c r="E267" s="59" t="s">
        <v>93</v>
      </c>
      <c r="F267" s="58" t="s">
        <v>1250</v>
      </c>
      <c r="G267" s="58" t="s">
        <v>1251</v>
      </c>
      <c r="H267" s="36" t="s">
        <v>105</v>
      </c>
      <c r="I267" s="6"/>
      <c r="J267" s="6"/>
      <c r="K267" s="6"/>
      <c r="L267" s="6"/>
      <c r="M267" s="6"/>
      <c r="N267" s="6"/>
      <c r="O267" s="6"/>
      <c r="P267" s="6"/>
      <c r="Q267" s="6"/>
      <c r="R267" s="6"/>
      <c r="S267" s="6"/>
      <c r="T267" s="6"/>
      <c r="U267" s="6"/>
      <c r="V267" s="6"/>
      <c r="W267" s="6"/>
      <c r="X267" s="6"/>
      <c r="Y267" s="6"/>
      <c r="Z267" s="6"/>
    </row>
    <row r="268" ht="60.0" customHeight="1">
      <c r="A268" s="6"/>
      <c r="B268" s="31">
        <v>263.0</v>
      </c>
      <c r="C268" s="58" t="s">
        <v>1252</v>
      </c>
      <c r="D268" s="58" t="s">
        <v>1253</v>
      </c>
      <c r="E268" s="59" t="s">
        <v>93</v>
      </c>
      <c r="F268" s="58" t="s">
        <v>1254</v>
      </c>
      <c r="G268" s="58" t="s">
        <v>1255</v>
      </c>
      <c r="H268" s="36" t="s">
        <v>105</v>
      </c>
      <c r="I268" s="6"/>
      <c r="J268" s="6"/>
      <c r="K268" s="6"/>
      <c r="L268" s="6"/>
      <c r="M268" s="6"/>
      <c r="N268" s="6"/>
      <c r="O268" s="6"/>
      <c r="P268" s="6"/>
      <c r="Q268" s="6"/>
      <c r="R268" s="6"/>
      <c r="S268" s="6"/>
      <c r="T268" s="6"/>
      <c r="U268" s="6"/>
      <c r="V268" s="6"/>
      <c r="W268" s="6"/>
      <c r="X268" s="6"/>
      <c r="Y268" s="6"/>
      <c r="Z268" s="6"/>
    </row>
    <row r="269" ht="60.0" customHeight="1">
      <c r="A269" s="6"/>
      <c r="B269" s="31">
        <v>264.0</v>
      </c>
      <c r="C269" s="58" t="s">
        <v>1256</v>
      </c>
      <c r="D269" s="58" t="s">
        <v>1257</v>
      </c>
      <c r="E269" s="59" t="s">
        <v>93</v>
      </c>
      <c r="F269" s="58" t="s">
        <v>1258</v>
      </c>
      <c r="G269" s="58" t="s">
        <v>1259</v>
      </c>
      <c r="H269" s="36" t="s">
        <v>105</v>
      </c>
      <c r="I269" s="6"/>
      <c r="J269" s="6"/>
      <c r="K269" s="6"/>
      <c r="L269" s="6"/>
      <c r="M269" s="6"/>
      <c r="N269" s="6"/>
      <c r="O269" s="6"/>
      <c r="P269" s="6"/>
      <c r="Q269" s="6"/>
      <c r="R269" s="6"/>
      <c r="S269" s="6"/>
      <c r="T269" s="6"/>
      <c r="U269" s="6"/>
      <c r="V269" s="6"/>
      <c r="W269" s="6"/>
      <c r="X269" s="6"/>
      <c r="Y269" s="6"/>
      <c r="Z269" s="6"/>
    </row>
    <row r="270" ht="60.0" customHeight="1">
      <c r="A270" s="6"/>
      <c r="B270" s="31">
        <v>265.0</v>
      </c>
      <c r="C270" s="58" t="s">
        <v>1260</v>
      </c>
      <c r="D270" s="58" t="s">
        <v>1261</v>
      </c>
      <c r="E270" s="59" t="s">
        <v>93</v>
      </c>
      <c r="F270" s="58" t="s">
        <v>1262</v>
      </c>
      <c r="G270" s="58" t="s">
        <v>1263</v>
      </c>
      <c r="H270" s="36" t="s">
        <v>105</v>
      </c>
      <c r="I270" s="6"/>
      <c r="J270" s="6"/>
      <c r="K270" s="6"/>
      <c r="L270" s="6"/>
      <c r="M270" s="6"/>
      <c r="N270" s="6"/>
      <c r="O270" s="6"/>
      <c r="P270" s="6"/>
      <c r="Q270" s="6"/>
      <c r="R270" s="6"/>
      <c r="S270" s="6"/>
      <c r="T270" s="6"/>
      <c r="U270" s="6"/>
      <c r="V270" s="6"/>
      <c r="W270" s="6"/>
      <c r="X270" s="6"/>
      <c r="Y270" s="6"/>
      <c r="Z270" s="6"/>
    </row>
    <row r="271" ht="60.0" customHeight="1">
      <c r="A271" s="6"/>
      <c r="B271" s="31">
        <v>266.0</v>
      </c>
      <c r="C271" s="58" t="s">
        <v>1264</v>
      </c>
      <c r="D271" s="58" t="s">
        <v>1265</v>
      </c>
      <c r="E271" s="59" t="s">
        <v>93</v>
      </c>
      <c r="F271" s="58" t="s">
        <v>1266</v>
      </c>
      <c r="G271" s="58" t="s">
        <v>1267</v>
      </c>
      <c r="H271" s="36" t="s">
        <v>105</v>
      </c>
      <c r="I271" s="6"/>
      <c r="J271" s="6"/>
      <c r="K271" s="6"/>
      <c r="L271" s="6"/>
      <c r="M271" s="6"/>
      <c r="N271" s="6"/>
      <c r="O271" s="6"/>
      <c r="P271" s="6"/>
      <c r="Q271" s="6"/>
      <c r="R271" s="6"/>
      <c r="S271" s="6"/>
      <c r="T271" s="6"/>
      <c r="U271" s="6"/>
      <c r="V271" s="6"/>
      <c r="W271" s="6"/>
      <c r="X271" s="6"/>
      <c r="Y271" s="6"/>
      <c r="Z271" s="6"/>
    </row>
    <row r="272" ht="60.0" customHeight="1">
      <c r="A272" s="6"/>
      <c r="B272" s="31">
        <v>267.0</v>
      </c>
      <c r="C272" s="58" t="s">
        <v>1268</v>
      </c>
      <c r="D272" s="58" t="s">
        <v>1269</v>
      </c>
      <c r="E272" s="59" t="s">
        <v>93</v>
      </c>
      <c r="F272" s="58" t="s">
        <v>1270</v>
      </c>
      <c r="G272" s="58" t="s">
        <v>1271</v>
      </c>
      <c r="H272" s="36" t="s">
        <v>105</v>
      </c>
      <c r="I272" s="6"/>
      <c r="J272" s="6"/>
      <c r="K272" s="6"/>
      <c r="L272" s="6"/>
      <c r="M272" s="6"/>
      <c r="N272" s="6"/>
      <c r="O272" s="6"/>
      <c r="P272" s="6"/>
      <c r="Q272" s="6"/>
      <c r="R272" s="6"/>
      <c r="S272" s="6"/>
      <c r="T272" s="6"/>
      <c r="U272" s="6"/>
      <c r="V272" s="6"/>
      <c r="W272" s="6"/>
      <c r="X272" s="6"/>
      <c r="Y272" s="6"/>
      <c r="Z272" s="6"/>
    </row>
    <row r="273" ht="60.0" customHeight="1">
      <c r="A273" s="6"/>
      <c r="B273" s="31">
        <v>268.0</v>
      </c>
      <c r="C273" s="58" t="s">
        <v>1272</v>
      </c>
      <c r="D273" s="58" t="s">
        <v>1273</v>
      </c>
      <c r="E273" s="59" t="s">
        <v>93</v>
      </c>
      <c r="F273" s="58" t="s">
        <v>1274</v>
      </c>
      <c r="G273" s="58" t="s">
        <v>1275</v>
      </c>
      <c r="H273" s="36" t="s">
        <v>105</v>
      </c>
      <c r="I273" s="6"/>
      <c r="J273" s="6"/>
      <c r="K273" s="6"/>
      <c r="L273" s="6"/>
      <c r="M273" s="6"/>
      <c r="N273" s="6"/>
      <c r="O273" s="6"/>
      <c r="P273" s="6"/>
      <c r="Q273" s="6"/>
      <c r="R273" s="6"/>
      <c r="S273" s="6"/>
      <c r="T273" s="6"/>
      <c r="U273" s="6"/>
      <c r="V273" s="6"/>
      <c r="W273" s="6"/>
      <c r="X273" s="6"/>
      <c r="Y273" s="6"/>
      <c r="Z273" s="6"/>
    </row>
    <row r="274" ht="60.0" customHeight="1">
      <c r="A274" s="6"/>
      <c r="B274" s="31">
        <v>269.0</v>
      </c>
      <c r="C274" s="58" t="s">
        <v>1276</v>
      </c>
      <c r="D274" s="58" t="s">
        <v>1277</v>
      </c>
      <c r="E274" s="59" t="s">
        <v>93</v>
      </c>
      <c r="F274" s="58" t="s">
        <v>1278</v>
      </c>
      <c r="G274" s="58" t="s">
        <v>1279</v>
      </c>
      <c r="H274" s="36" t="s">
        <v>105</v>
      </c>
      <c r="I274" s="6"/>
      <c r="J274" s="6"/>
      <c r="K274" s="6"/>
      <c r="L274" s="6"/>
      <c r="M274" s="6"/>
      <c r="N274" s="6"/>
      <c r="O274" s="6"/>
      <c r="P274" s="6"/>
      <c r="Q274" s="6"/>
      <c r="R274" s="6"/>
      <c r="S274" s="6"/>
      <c r="T274" s="6"/>
      <c r="U274" s="6"/>
      <c r="V274" s="6"/>
      <c r="W274" s="6"/>
      <c r="X274" s="6"/>
      <c r="Y274" s="6"/>
      <c r="Z274" s="6"/>
    </row>
    <row r="275" ht="60.0" customHeight="1">
      <c r="A275" s="6"/>
      <c r="B275" s="31">
        <v>270.0</v>
      </c>
      <c r="C275" s="58" t="s">
        <v>1280</v>
      </c>
      <c r="D275" s="58" t="s">
        <v>1281</v>
      </c>
      <c r="E275" s="59" t="s">
        <v>93</v>
      </c>
      <c r="F275" s="58" t="s">
        <v>1282</v>
      </c>
      <c r="G275" s="58" t="s">
        <v>1283</v>
      </c>
      <c r="H275" s="36" t="s">
        <v>105</v>
      </c>
      <c r="I275" s="6"/>
      <c r="J275" s="6"/>
      <c r="K275" s="6"/>
      <c r="L275" s="6"/>
      <c r="M275" s="6"/>
      <c r="N275" s="6"/>
      <c r="O275" s="6"/>
      <c r="P275" s="6"/>
      <c r="Q275" s="6"/>
      <c r="R275" s="6"/>
      <c r="S275" s="6"/>
      <c r="T275" s="6"/>
      <c r="U275" s="6"/>
      <c r="V275" s="6"/>
      <c r="W275" s="6"/>
      <c r="X275" s="6"/>
      <c r="Y275" s="6"/>
      <c r="Z275" s="6"/>
    </row>
    <row r="276" ht="60.0" customHeight="1">
      <c r="A276" s="6"/>
      <c r="B276" s="31">
        <v>271.0</v>
      </c>
      <c r="C276" s="58" t="s">
        <v>1284</v>
      </c>
      <c r="D276" s="58" t="s">
        <v>1285</v>
      </c>
      <c r="E276" s="59" t="s">
        <v>93</v>
      </c>
      <c r="F276" s="58" t="s">
        <v>1286</v>
      </c>
      <c r="G276" s="58" t="s">
        <v>1287</v>
      </c>
      <c r="H276" s="36" t="s">
        <v>105</v>
      </c>
      <c r="I276" s="6"/>
      <c r="J276" s="6"/>
      <c r="K276" s="6"/>
      <c r="L276" s="6"/>
      <c r="M276" s="6"/>
      <c r="N276" s="6"/>
      <c r="O276" s="6"/>
      <c r="P276" s="6"/>
      <c r="Q276" s="6"/>
      <c r="R276" s="6"/>
      <c r="S276" s="6"/>
      <c r="T276" s="6"/>
      <c r="U276" s="6"/>
      <c r="V276" s="6"/>
      <c r="W276" s="6"/>
      <c r="X276" s="6"/>
      <c r="Y276" s="6"/>
      <c r="Z276" s="6"/>
    </row>
    <row r="277" ht="60.0" customHeight="1">
      <c r="A277" s="6"/>
      <c r="B277" s="31">
        <v>272.0</v>
      </c>
      <c r="C277" s="58" t="s">
        <v>1288</v>
      </c>
      <c r="D277" s="58" t="s">
        <v>1289</v>
      </c>
      <c r="E277" s="59" t="s">
        <v>93</v>
      </c>
      <c r="F277" s="58" t="s">
        <v>1290</v>
      </c>
      <c r="G277" s="58" t="s">
        <v>1291</v>
      </c>
      <c r="H277" s="36" t="s">
        <v>105</v>
      </c>
      <c r="I277" s="6"/>
      <c r="J277" s="6"/>
      <c r="K277" s="6"/>
      <c r="L277" s="6"/>
      <c r="M277" s="6"/>
      <c r="N277" s="6"/>
      <c r="O277" s="6"/>
      <c r="P277" s="6"/>
      <c r="Q277" s="6"/>
      <c r="R277" s="6"/>
      <c r="S277" s="6"/>
      <c r="T277" s="6"/>
      <c r="U277" s="6"/>
      <c r="V277" s="6"/>
      <c r="W277" s="6"/>
      <c r="X277" s="6"/>
      <c r="Y277" s="6"/>
      <c r="Z277" s="6"/>
    </row>
    <row r="278" ht="60.0" customHeight="1">
      <c r="A278" s="6"/>
      <c r="B278" s="31">
        <v>273.0</v>
      </c>
      <c r="C278" s="58" t="s">
        <v>1292</v>
      </c>
      <c r="D278" s="58" t="s">
        <v>1293</v>
      </c>
      <c r="E278" s="59" t="s">
        <v>93</v>
      </c>
      <c r="F278" s="58" t="s">
        <v>1294</v>
      </c>
      <c r="G278" s="58" t="s">
        <v>1295</v>
      </c>
      <c r="H278" s="36" t="s">
        <v>105</v>
      </c>
      <c r="I278" s="6"/>
      <c r="J278" s="6"/>
      <c r="K278" s="6"/>
      <c r="L278" s="6"/>
      <c r="M278" s="6"/>
      <c r="N278" s="6"/>
      <c r="O278" s="6"/>
      <c r="P278" s="6"/>
      <c r="Q278" s="6"/>
      <c r="R278" s="6"/>
      <c r="S278" s="6"/>
      <c r="T278" s="6"/>
      <c r="U278" s="6"/>
      <c r="V278" s="6"/>
      <c r="W278" s="6"/>
      <c r="X278" s="6"/>
      <c r="Y278" s="6"/>
      <c r="Z278" s="6"/>
    </row>
    <row r="279" ht="60.0" customHeight="1">
      <c r="A279" s="6"/>
      <c r="B279" s="31">
        <v>274.0</v>
      </c>
      <c r="C279" s="58" t="s">
        <v>1296</v>
      </c>
      <c r="D279" s="58" t="s">
        <v>1297</v>
      </c>
      <c r="E279" s="59" t="s">
        <v>93</v>
      </c>
      <c r="F279" s="58" t="s">
        <v>1298</v>
      </c>
      <c r="G279" s="58" t="s">
        <v>1299</v>
      </c>
      <c r="H279" s="36" t="s">
        <v>105</v>
      </c>
      <c r="I279" s="6"/>
      <c r="J279" s="6"/>
      <c r="K279" s="6"/>
      <c r="L279" s="6"/>
      <c r="M279" s="6"/>
      <c r="N279" s="6"/>
      <c r="O279" s="6"/>
      <c r="P279" s="6"/>
      <c r="Q279" s="6"/>
      <c r="R279" s="6"/>
      <c r="S279" s="6"/>
      <c r="T279" s="6"/>
      <c r="U279" s="6"/>
      <c r="V279" s="6"/>
      <c r="W279" s="6"/>
      <c r="X279" s="6"/>
      <c r="Y279" s="6"/>
      <c r="Z279" s="6"/>
    </row>
    <row r="280" ht="60.0" customHeight="1">
      <c r="A280" s="6"/>
      <c r="B280" s="31">
        <v>275.0</v>
      </c>
      <c r="C280" s="58" t="s">
        <v>1300</v>
      </c>
      <c r="D280" s="58" t="s">
        <v>1301</v>
      </c>
      <c r="E280" s="59" t="s">
        <v>93</v>
      </c>
      <c r="F280" s="58" t="s">
        <v>1302</v>
      </c>
      <c r="G280" s="58" t="s">
        <v>1303</v>
      </c>
      <c r="H280" s="36" t="s">
        <v>105</v>
      </c>
      <c r="I280" s="6"/>
      <c r="J280" s="6"/>
      <c r="K280" s="6"/>
      <c r="L280" s="6"/>
      <c r="M280" s="6"/>
      <c r="N280" s="6"/>
      <c r="O280" s="6"/>
      <c r="P280" s="6"/>
      <c r="Q280" s="6"/>
      <c r="R280" s="6"/>
      <c r="S280" s="6"/>
      <c r="T280" s="6"/>
      <c r="U280" s="6"/>
      <c r="V280" s="6"/>
      <c r="W280" s="6"/>
      <c r="X280" s="6"/>
      <c r="Y280" s="6"/>
      <c r="Z280" s="6"/>
    </row>
    <row r="281" ht="60.0" customHeight="1">
      <c r="A281" s="6"/>
      <c r="B281" s="31">
        <v>276.0</v>
      </c>
      <c r="C281" s="58" t="s">
        <v>1304</v>
      </c>
      <c r="D281" s="58" t="s">
        <v>1305</v>
      </c>
      <c r="E281" s="59" t="s">
        <v>93</v>
      </c>
      <c r="F281" s="58" t="s">
        <v>1306</v>
      </c>
      <c r="G281" s="58" t="s">
        <v>1307</v>
      </c>
      <c r="H281" s="36" t="s">
        <v>105</v>
      </c>
      <c r="I281" s="6"/>
      <c r="J281" s="6"/>
      <c r="K281" s="6"/>
      <c r="L281" s="6"/>
      <c r="M281" s="6"/>
      <c r="N281" s="6"/>
      <c r="O281" s="6"/>
      <c r="P281" s="6"/>
      <c r="Q281" s="6"/>
      <c r="R281" s="6"/>
      <c r="S281" s="6"/>
      <c r="T281" s="6"/>
      <c r="U281" s="6"/>
      <c r="V281" s="6"/>
      <c r="W281" s="6"/>
      <c r="X281" s="6"/>
      <c r="Y281" s="6"/>
      <c r="Z281" s="6"/>
    </row>
    <row r="282" ht="60.0" customHeight="1">
      <c r="A282" s="6"/>
      <c r="B282" s="31">
        <v>277.0</v>
      </c>
      <c r="C282" s="58" t="s">
        <v>1308</v>
      </c>
      <c r="D282" s="58" t="s">
        <v>1309</v>
      </c>
      <c r="E282" s="59" t="s">
        <v>93</v>
      </c>
      <c r="F282" s="58" t="s">
        <v>1310</v>
      </c>
      <c r="G282" s="58" t="s">
        <v>1311</v>
      </c>
      <c r="H282" s="36" t="s">
        <v>105</v>
      </c>
      <c r="I282" s="6"/>
      <c r="J282" s="6"/>
      <c r="K282" s="6"/>
      <c r="L282" s="6"/>
      <c r="M282" s="6"/>
      <c r="N282" s="6"/>
      <c r="O282" s="6"/>
      <c r="P282" s="6"/>
      <c r="Q282" s="6"/>
      <c r="R282" s="6"/>
      <c r="S282" s="6"/>
      <c r="T282" s="6"/>
      <c r="U282" s="6"/>
      <c r="V282" s="6"/>
      <c r="W282" s="6"/>
      <c r="X282" s="6"/>
      <c r="Y282" s="6"/>
      <c r="Z282" s="6"/>
    </row>
    <row r="283" ht="60.0" customHeight="1">
      <c r="A283" s="6"/>
      <c r="B283" s="31">
        <v>278.0</v>
      </c>
      <c r="C283" s="58" t="s">
        <v>1312</v>
      </c>
      <c r="D283" s="58" t="s">
        <v>1313</v>
      </c>
      <c r="E283" s="59" t="s">
        <v>93</v>
      </c>
      <c r="F283" s="58" t="s">
        <v>1314</v>
      </c>
      <c r="G283" s="58" t="s">
        <v>1315</v>
      </c>
      <c r="H283" s="36" t="s">
        <v>105</v>
      </c>
      <c r="I283" s="6"/>
      <c r="J283" s="6"/>
      <c r="K283" s="6"/>
      <c r="L283" s="6"/>
      <c r="M283" s="6"/>
      <c r="N283" s="6"/>
      <c r="O283" s="6"/>
      <c r="P283" s="6"/>
      <c r="Q283" s="6"/>
      <c r="R283" s="6"/>
      <c r="S283" s="6"/>
      <c r="T283" s="6"/>
      <c r="U283" s="6"/>
      <c r="V283" s="6"/>
      <c r="W283" s="6"/>
      <c r="X283" s="6"/>
      <c r="Y283" s="6"/>
      <c r="Z283" s="6"/>
    </row>
    <row r="284" ht="60.0" customHeight="1">
      <c r="A284" s="6"/>
      <c r="B284" s="31">
        <v>279.0</v>
      </c>
      <c r="C284" s="58" t="s">
        <v>1316</v>
      </c>
      <c r="D284" s="58" t="s">
        <v>1317</v>
      </c>
      <c r="E284" s="59" t="s">
        <v>93</v>
      </c>
      <c r="F284" s="58" t="s">
        <v>1318</v>
      </c>
      <c r="G284" s="58" t="s">
        <v>1319</v>
      </c>
      <c r="H284" s="36" t="s">
        <v>105</v>
      </c>
      <c r="I284" s="6"/>
      <c r="J284" s="6"/>
      <c r="K284" s="6"/>
      <c r="L284" s="6"/>
      <c r="M284" s="6"/>
      <c r="N284" s="6"/>
      <c r="O284" s="6"/>
      <c r="P284" s="6"/>
      <c r="Q284" s="6"/>
      <c r="R284" s="6"/>
      <c r="S284" s="6"/>
      <c r="T284" s="6"/>
      <c r="U284" s="6"/>
      <c r="V284" s="6"/>
      <c r="W284" s="6"/>
      <c r="X284" s="6"/>
      <c r="Y284" s="6"/>
      <c r="Z284" s="6"/>
    </row>
    <row r="285" ht="60.0" customHeight="1">
      <c r="A285" s="6"/>
      <c r="B285" s="31">
        <v>280.0</v>
      </c>
      <c r="C285" s="58" t="s">
        <v>1320</v>
      </c>
      <c r="D285" s="58" t="s">
        <v>1321</v>
      </c>
      <c r="E285" s="59" t="s">
        <v>93</v>
      </c>
      <c r="F285" s="58" t="s">
        <v>1322</v>
      </c>
      <c r="G285" s="58" t="s">
        <v>1323</v>
      </c>
      <c r="H285" s="36" t="s">
        <v>105</v>
      </c>
      <c r="I285" s="6"/>
      <c r="J285" s="6"/>
      <c r="K285" s="6"/>
      <c r="L285" s="6"/>
      <c r="M285" s="6"/>
      <c r="N285" s="6"/>
      <c r="O285" s="6"/>
      <c r="P285" s="6"/>
      <c r="Q285" s="6"/>
      <c r="R285" s="6"/>
      <c r="S285" s="6"/>
      <c r="T285" s="6"/>
      <c r="U285" s="6"/>
      <c r="V285" s="6"/>
      <c r="W285" s="6"/>
      <c r="X285" s="6"/>
      <c r="Y285" s="6"/>
      <c r="Z285" s="6"/>
    </row>
    <row r="286" ht="60.0" customHeight="1">
      <c r="A286" s="6"/>
      <c r="B286" s="31">
        <v>281.0</v>
      </c>
      <c r="C286" s="58" t="s">
        <v>1324</v>
      </c>
      <c r="D286" s="58" t="s">
        <v>1325</v>
      </c>
      <c r="E286" s="59" t="s">
        <v>93</v>
      </c>
      <c r="F286" s="58" t="s">
        <v>1326</v>
      </c>
      <c r="G286" s="58" t="s">
        <v>1327</v>
      </c>
      <c r="H286" s="36" t="s">
        <v>105</v>
      </c>
      <c r="I286" s="6"/>
      <c r="J286" s="6"/>
      <c r="K286" s="6"/>
      <c r="L286" s="6"/>
      <c r="M286" s="6"/>
      <c r="N286" s="6"/>
      <c r="O286" s="6"/>
      <c r="P286" s="6"/>
      <c r="Q286" s="6"/>
      <c r="R286" s="6"/>
      <c r="S286" s="6"/>
      <c r="T286" s="6"/>
      <c r="U286" s="6"/>
      <c r="V286" s="6"/>
      <c r="W286" s="6"/>
      <c r="X286" s="6"/>
      <c r="Y286" s="6"/>
      <c r="Z286" s="6"/>
    </row>
    <row r="287" ht="60.0" customHeight="1">
      <c r="A287" s="6"/>
      <c r="B287" s="31">
        <v>282.0</v>
      </c>
      <c r="C287" s="58" t="s">
        <v>1328</v>
      </c>
      <c r="D287" s="58" t="s">
        <v>1329</v>
      </c>
      <c r="E287" s="59" t="s">
        <v>93</v>
      </c>
      <c r="F287" s="58" t="s">
        <v>1330</v>
      </c>
      <c r="G287" s="58" t="s">
        <v>1331</v>
      </c>
      <c r="H287" s="36" t="s">
        <v>105</v>
      </c>
      <c r="I287" s="6"/>
      <c r="J287" s="6"/>
      <c r="K287" s="6"/>
      <c r="L287" s="6"/>
      <c r="M287" s="6"/>
      <c r="N287" s="6"/>
      <c r="O287" s="6"/>
      <c r="P287" s="6"/>
      <c r="Q287" s="6"/>
      <c r="R287" s="6"/>
      <c r="S287" s="6"/>
      <c r="T287" s="6"/>
      <c r="U287" s="6"/>
      <c r="V287" s="6"/>
      <c r="W287" s="6"/>
      <c r="X287" s="6"/>
      <c r="Y287" s="6"/>
      <c r="Z287" s="6"/>
    </row>
    <row r="288" ht="60.0" customHeight="1">
      <c r="A288" s="6"/>
      <c r="B288" s="31">
        <v>283.0</v>
      </c>
      <c r="C288" s="58" t="s">
        <v>1332</v>
      </c>
      <c r="D288" s="58" t="s">
        <v>1333</v>
      </c>
      <c r="E288" s="59" t="s">
        <v>93</v>
      </c>
      <c r="F288" s="58" t="s">
        <v>1334</v>
      </c>
      <c r="G288" s="58" t="s">
        <v>1335</v>
      </c>
      <c r="H288" s="36" t="s">
        <v>105</v>
      </c>
      <c r="I288" s="6"/>
      <c r="J288" s="6"/>
      <c r="K288" s="6"/>
      <c r="L288" s="6"/>
      <c r="M288" s="6"/>
      <c r="N288" s="6"/>
      <c r="O288" s="6"/>
      <c r="P288" s="6"/>
      <c r="Q288" s="6"/>
      <c r="R288" s="6"/>
      <c r="S288" s="6"/>
      <c r="T288" s="6"/>
      <c r="U288" s="6"/>
      <c r="V288" s="6"/>
      <c r="W288" s="6"/>
      <c r="X288" s="6"/>
      <c r="Y288" s="6"/>
      <c r="Z288" s="6"/>
    </row>
    <row r="289" ht="60.0" customHeight="1">
      <c r="A289" s="6"/>
      <c r="B289" s="31">
        <v>284.0</v>
      </c>
      <c r="C289" s="58" t="s">
        <v>1336</v>
      </c>
      <c r="D289" s="58" t="s">
        <v>1337</v>
      </c>
      <c r="E289" s="59" t="s">
        <v>93</v>
      </c>
      <c r="F289" s="58" t="s">
        <v>1338</v>
      </c>
      <c r="G289" s="58" t="s">
        <v>1339</v>
      </c>
      <c r="H289" s="36" t="s">
        <v>105</v>
      </c>
      <c r="I289" s="6"/>
      <c r="J289" s="6"/>
      <c r="K289" s="6"/>
      <c r="L289" s="6"/>
      <c r="M289" s="6"/>
      <c r="N289" s="6"/>
      <c r="O289" s="6"/>
      <c r="P289" s="6"/>
      <c r="Q289" s="6"/>
      <c r="R289" s="6"/>
      <c r="S289" s="6"/>
      <c r="T289" s="6"/>
      <c r="U289" s="6"/>
      <c r="V289" s="6"/>
      <c r="W289" s="6"/>
      <c r="X289" s="6"/>
      <c r="Y289" s="6"/>
      <c r="Z289" s="6"/>
    </row>
    <row r="290" ht="60.0" customHeight="1">
      <c r="A290" s="6"/>
      <c r="B290" s="31">
        <v>285.0</v>
      </c>
      <c r="C290" s="58" t="s">
        <v>1340</v>
      </c>
      <c r="D290" s="58" t="s">
        <v>1341</v>
      </c>
      <c r="E290" s="59" t="s">
        <v>93</v>
      </c>
      <c r="F290" s="58" t="s">
        <v>1342</v>
      </c>
      <c r="G290" s="58" t="s">
        <v>1343</v>
      </c>
      <c r="H290" s="36" t="s">
        <v>105</v>
      </c>
      <c r="I290" s="6"/>
      <c r="J290" s="6"/>
      <c r="K290" s="6"/>
      <c r="L290" s="6"/>
      <c r="M290" s="6"/>
      <c r="N290" s="6"/>
      <c r="O290" s="6"/>
      <c r="P290" s="6"/>
      <c r="Q290" s="6"/>
      <c r="R290" s="6"/>
      <c r="S290" s="6"/>
      <c r="T290" s="6"/>
      <c r="U290" s="6"/>
      <c r="V290" s="6"/>
      <c r="W290" s="6"/>
      <c r="X290" s="6"/>
      <c r="Y290" s="6"/>
      <c r="Z290" s="6"/>
    </row>
    <row r="291" ht="60.0" customHeight="1">
      <c r="A291" s="6"/>
      <c r="B291" s="31">
        <v>286.0</v>
      </c>
      <c r="C291" s="58" t="s">
        <v>1344</v>
      </c>
      <c r="D291" s="58" t="s">
        <v>1345</v>
      </c>
      <c r="E291" s="59" t="s">
        <v>93</v>
      </c>
      <c r="F291" s="58" t="s">
        <v>1346</v>
      </c>
      <c r="G291" s="58" t="s">
        <v>1347</v>
      </c>
      <c r="H291" s="36" t="s">
        <v>105</v>
      </c>
      <c r="I291" s="6"/>
      <c r="J291" s="6"/>
      <c r="K291" s="6"/>
      <c r="L291" s="6"/>
      <c r="M291" s="6"/>
      <c r="N291" s="6"/>
      <c r="O291" s="6"/>
      <c r="P291" s="6"/>
      <c r="Q291" s="6"/>
      <c r="R291" s="6"/>
      <c r="S291" s="6"/>
      <c r="T291" s="6"/>
      <c r="U291" s="6"/>
      <c r="V291" s="6"/>
      <c r="W291" s="6"/>
      <c r="X291" s="6"/>
      <c r="Y291" s="6"/>
      <c r="Z291" s="6"/>
    </row>
    <row r="292" ht="60.0" customHeight="1">
      <c r="A292" s="6"/>
      <c r="B292" s="31">
        <v>287.0</v>
      </c>
      <c r="C292" s="58" t="s">
        <v>1348</v>
      </c>
      <c r="D292" s="58" t="s">
        <v>1349</v>
      </c>
      <c r="E292" s="59" t="s">
        <v>93</v>
      </c>
      <c r="F292" s="58" t="s">
        <v>1350</v>
      </c>
      <c r="G292" s="58" t="s">
        <v>1351</v>
      </c>
      <c r="H292" s="36" t="s">
        <v>105</v>
      </c>
      <c r="I292" s="6"/>
      <c r="J292" s="6"/>
      <c r="K292" s="6"/>
      <c r="L292" s="6"/>
      <c r="M292" s="6"/>
      <c r="N292" s="6"/>
      <c r="O292" s="6"/>
      <c r="P292" s="6"/>
      <c r="Q292" s="6"/>
      <c r="R292" s="6"/>
      <c r="S292" s="6"/>
      <c r="T292" s="6"/>
      <c r="U292" s="6"/>
      <c r="V292" s="6"/>
      <c r="W292" s="6"/>
      <c r="X292" s="6"/>
      <c r="Y292" s="6"/>
      <c r="Z292" s="6"/>
    </row>
    <row r="293" ht="60.0" customHeight="1">
      <c r="A293" s="6"/>
      <c r="B293" s="31">
        <v>288.0</v>
      </c>
      <c r="C293" s="58" t="s">
        <v>1352</v>
      </c>
      <c r="D293" s="58" t="s">
        <v>1353</v>
      </c>
      <c r="E293" s="59" t="s">
        <v>93</v>
      </c>
      <c r="F293" s="58" t="s">
        <v>1354</v>
      </c>
      <c r="G293" s="58" t="s">
        <v>1355</v>
      </c>
      <c r="H293" s="36" t="s">
        <v>105</v>
      </c>
      <c r="I293" s="6"/>
      <c r="J293" s="6"/>
      <c r="K293" s="6"/>
      <c r="L293" s="6"/>
      <c r="M293" s="6"/>
      <c r="N293" s="6"/>
      <c r="O293" s="6"/>
      <c r="P293" s="6"/>
      <c r="Q293" s="6"/>
      <c r="R293" s="6"/>
      <c r="S293" s="6"/>
      <c r="T293" s="6"/>
      <c r="U293" s="6"/>
      <c r="V293" s="6"/>
      <c r="W293" s="6"/>
      <c r="X293" s="6"/>
      <c r="Y293" s="6"/>
      <c r="Z293" s="6"/>
    </row>
    <row r="294" ht="60.0" customHeight="1">
      <c r="A294" s="6"/>
      <c r="B294" s="31">
        <v>289.0</v>
      </c>
      <c r="C294" s="58" t="s">
        <v>1356</v>
      </c>
      <c r="D294" s="58" t="s">
        <v>1357</v>
      </c>
      <c r="E294" s="59" t="s">
        <v>93</v>
      </c>
      <c r="F294" s="58" t="s">
        <v>1358</v>
      </c>
      <c r="G294" s="58" t="s">
        <v>1359</v>
      </c>
      <c r="H294" s="36" t="s">
        <v>105</v>
      </c>
      <c r="I294" s="6"/>
      <c r="J294" s="6"/>
      <c r="K294" s="6"/>
      <c r="L294" s="6"/>
      <c r="M294" s="6"/>
      <c r="N294" s="6"/>
      <c r="O294" s="6"/>
      <c r="P294" s="6"/>
      <c r="Q294" s="6"/>
      <c r="R294" s="6"/>
      <c r="S294" s="6"/>
      <c r="T294" s="6"/>
      <c r="U294" s="6"/>
      <c r="V294" s="6"/>
      <c r="W294" s="6"/>
      <c r="X294" s="6"/>
      <c r="Y294" s="6"/>
      <c r="Z294" s="6"/>
    </row>
    <row r="295" ht="60.0" customHeight="1">
      <c r="A295" s="6"/>
      <c r="B295" s="31">
        <v>290.0</v>
      </c>
      <c r="C295" s="58" t="s">
        <v>1360</v>
      </c>
      <c r="D295" s="58" t="s">
        <v>1361</v>
      </c>
      <c r="E295" s="59" t="s">
        <v>93</v>
      </c>
      <c r="F295" s="58" t="s">
        <v>1362</v>
      </c>
      <c r="G295" s="58" t="s">
        <v>1363</v>
      </c>
      <c r="H295" s="36" t="s">
        <v>105</v>
      </c>
      <c r="I295" s="6"/>
      <c r="J295" s="6"/>
      <c r="K295" s="6"/>
      <c r="L295" s="6"/>
      <c r="M295" s="6"/>
      <c r="N295" s="6"/>
      <c r="O295" s="6"/>
      <c r="P295" s="6"/>
      <c r="Q295" s="6"/>
      <c r="R295" s="6"/>
      <c r="S295" s="6"/>
      <c r="T295" s="6"/>
      <c r="U295" s="6"/>
      <c r="V295" s="6"/>
      <c r="W295" s="6"/>
      <c r="X295" s="6"/>
      <c r="Y295" s="6"/>
      <c r="Z295" s="6"/>
    </row>
    <row r="296" ht="60.0" customHeight="1">
      <c r="A296" s="6"/>
      <c r="B296" s="31">
        <v>291.0</v>
      </c>
      <c r="C296" s="58" t="s">
        <v>1364</v>
      </c>
      <c r="D296" s="58" t="s">
        <v>1365</v>
      </c>
      <c r="E296" s="59" t="s">
        <v>93</v>
      </c>
      <c r="F296" s="58" t="s">
        <v>1366</v>
      </c>
      <c r="G296" s="58" t="s">
        <v>1367</v>
      </c>
      <c r="H296" s="36" t="s">
        <v>105</v>
      </c>
      <c r="I296" s="6"/>
      <c r="J296" s="6"/>
      <c r="K296" s="6"/>
      <c r="L296" s="6"/>
      <c r="M296" s="6"/>
      <c r="N296" s="6"/>
      <c r="O296" s="6"/>
      <c r="P296" s="6"/>
      <c r="Q296" s="6"/>
      <c r="R296" s="6"/>
      <c r="S296" s="6"/>
      <c r="T296" s="6"/>
      <c r="U296" s="6"/>
      <c r="V296" s="6"/>
      <c r="W296" s="6"/>
      <c r="X296" s="6"/>
      <c r="Y296" s="6"/>
      <c r="Z296" s="6"/>
    </row>
    <row r="297" ht="60.0" customHeight="1">
      <c r="A297" s="6"/>
      <c r="B297" s="31">
        <v>292.0</v>
      </c>
      <c r="C297" s="58" t="s">
        <v>1368</v>
      </c>
      <c r="D297" s="58" t="s">
        <v>1369</v>
      </c>
      <c r="E297" s="59" t="s">
        <v>93</v>
      </c>
      <c r="F297" s="58" t="s">
        <v>1370</v>
      </c>
      <c r="G297" s="58" t="s">
        <v>1371</v>
      </c>
      <c r="H297" s="36" t="s">
        <v>105</v>
      </c>
      <c r="I297" s="6"/>
      <c r="J297" s="6"/>
      <c r="K297" s="6"/>
      <c r="L297" s="6"/>
      <c r="M297" s="6"/>
      <c r="N297" s="6"/>
      <c r="O297" s="6"/>
      <c r="P297" s="6"/>
      <c r="Q297" s="6"/>
      <c r="R297" s="6"/>
      <c r="S297" s="6"/>
      <c r="T297" s="6"/>
      <c r="U297" s="6"/>
      <c r="V297" s="6"/>
      <c r="W297" s="6"/>
      <c r="X297" s="6"/>
      <c r="Y297" s="6"/>
      <c r="Z297" s="6"/>
    </row>
    <row r="298" ht="60.0" customHeight="1">
      <c r="A298" s="6"/>
      <c r="B298" s="31">
        <v>293.0</v>
      </c>
      <c r="C298" s="58" t="s">
        <v>1372</v>
      </c>
      <c r="D298" s="58" t="s">
        <v>1373</v>
      </c>
      <c r="E298" s="59" t="s">
        <v>93</v>
      </c>
      <c r="F298" s="58" t="s">
        <v>1374</v>
      </c>
      <c r="G298" s="58" t="s">
        <v>1375</v>
      </c>
      <c r="H298" s="36" t="s">
        <v>105</v>
      </c>
      <c r="I298" s="6"/>
      <c r="J298" s="6"/>
      <c r="K298" s="6"/>
      <c r="L298" s="6"/>
      <c r="M298" s="6"/>
      <c r="N298" s="6"/>
      <c r="O298" s="6"/>
      <c r="P298" s="6"/>
      <c r="Q298" s="6"/>
      <c r="R298" s="6"/>
      <c r="S298" s="6"/>
      <c r="T298" s="6"/>
      <c r="U298" s="6"/>
      <c r="V298" s="6"/>
      <c r="W298" s="6"/>
      <c r="X298" s="6"/>
      <c r="Y298" s="6"/>
      <c r="Z298" s="6"/>
    </row>
    <row r="299" ht="60.0" customHeight="1">
      <c r="A299" s="6"/>
      <c r="B299" s="31">
        <v>294.0</v>
      </c>
      <c r="C299" s="58" t="s">
        <v>1376</v>
      </c>
      <c r="D299" s="58" t="s">
        <v>1377</v>
      </c>
      <c r="E299" s="59" t="s">
        <v>93</v>
      </c>
      <c r="F299" s="58" t="s">
        <v>1378</v>
      </c>
      <c r="G299" s="58" t="s">
        <v>1379</v>
      </c>
      <c r="H299" s="36" t="s">
        <v>105</v>
      </c>
      <c r="I299" s="6"/>
      <c r="J299" s="6"/>
      <c r="K299" s="6"/>
      <c r="L299" s="6"/>
      <c r="M299" s="6"/>
      <c r="N299" s="6"/>
      <c r="O299" s="6"/>
      <c r="P299" s="6"/>
      <c r="Q299" s="6"/>
      <c r="R299" s="6"/>
      <c r="S299" s="6"/>
      <c r="T299" s="6"/>
      <c r="U299" s="6"/>
      <c r="V299" s="6"/>
      <c r="W299" s="6"/>
      <c r="X299" s="6"/>
      <c r="Y299" s="6"/>
      <c r="Z299" s="6"/>
    </row>
    <row r="300" ht="60.0" customHeight="1">
      <c r="A300" s="6"/>
      <c r="B300" s="31">
        <v>295.0</v>
      </c>
      <c r="C300" s="58" t="s">
        <v>1380</v>
      </c>
      <c r="D300" s="58" t="s">
        <v>1381</v>
      </c>
      <c r="E300" s="59" t="s">
        <v>93</v>
      </c>
      <c r="F300" s="58" t="s">
        <v>1382</v>
      </c>
      <c r="G300" s="58" t="s">
        <v>1383</v>
      </c>
      <c r="H300" s="36" t="s">
        <v>105</v>
      </c>
      <c r="I300" s="6"/>
      <c r="J300" s="6"/>
      <c r="K300" s="6"/>
      <c r="L300" s="6"/>
      <c r="M300" s="6"/>
      <c r="N300" s="6"/>
      <c r="O300" s="6"/>
      <c r="P300" s="6"/>
      <c r="Q300" s="6"/>
      <c r="R300" s="6"/>
      <c r="S300" s="6"/>
      <c r="T300" s="6"/>
      <c r="U300" s="6"/>
      <c r="V300" s="6"/>
      <c r="W300" s="6"/>
      <c r="X300" s="6"/>
      <c r="Y300" s="6"/>
      <c r="Z300" s="6"/>
    </row>
    <row r="301" ht="60.0" customHeight="1">
      <c r="A301" s="6"/>
      <c r="B301" s="31">
        <v>296.0</v>
      </c>
      <c r="C301" s="58" t="s">
        <v>1384</v>
      </c>
      <c r="D301" s="58" t="s">
        <v>1385</v>
      </c>
      <c r="E301" s="59" t="s">
        <v>93</v>
      </c>
      <c r="F301" s="58" t="s">
        <v>1386</v>
      </c>
      <c r="G301" s="58" t="s">
        <v>1387</v>
      </c>
      <c r="H301" s="36" t="s">
        <v>105</v>
      </c>
      <c r="I301" s="6"/>
      <c r="J301" s="6"/>
      <c r="K301" s="6"/>
      <c r="L301" s="6"/>
      <c r="M301" s="6"/>
      <c r="N301" s="6"/>
      <c r="O301" s="6"/>
      <c r="P301" s="6"/>
      <c r="Q301" s="6"/>
      <c r="R301" s="6"/>
      <c r="S301" s="6"/>
      <c r="T301" s="6"/>
      <c r="U301" s="6"/>
      <c r="V301" s="6"/>
      <c r="W301" s="6"/>
      <c r="X301" s="6"/>
      <c r="Y301" s="6"/>
      <c r="Z301" s="6"/>
    </row>
    <row r="302" ht="60.0" customHeight="1">
      <c r="A302" s="6"/>
      <c r="B302" s="31">
        <v>297.0</v>
      </c>
      <c r="C302" s="58" t="s">
        <v>1388</v>
      </c>
      <c r="D302" s="58" t="s">
        <v>1389</v>
      </c>
      <c r="E302" s="59" t="s">
        <v>93</v>
      </c>
      <c r="F302" s="58" t="s">
        <v>1390</v>
      </c>
      <c r="G302" s="58" t="s">
        <v>1391</v>
      </c>
      <c r="H302" s="36" t="s">
        <v>105</v>
      </c>
      <c r="I302" s="6"/>
      <c r="J302" s="6"/>
      <c r="K302" s="6"/>
      <c r="L302" s="6"/>
      <c r="M302" s="6"/>
      <c r="N302" s="6"/>
      <c r="O302" s="6"/>
      <c r="P302" s="6"/>
      <c r="Q302" s="6"/>
      <c r="R302" s="6"/>
      <c r="S302" s="6"/>
      <c r="T302" s="6"/>
      <c r="U302" s="6"/>
      <c r="V302" s="6"/>
      <c r="W302" s="6"/>
      <c r="X302" s="6"/>
      <c r="Y302" s="6"/>
      <c r="Z302" s="6"/>
    </row>
    <row r="303" ht="60.0" customHeight="1">
      <c r="A303" s="6"/>
      <c r="B303" s="31">
        <v>298.0</v>
      </c>
      <c r="C303" s="58" t="s">
        <v>1392</v>
      </c>
      <c r="D303" s="58" t="s">
        <v>1393</v>
      </c>
      <c r="E303" s="59" t="s">
        <v>93</v>
      </c>
      <c r="F303" s="58" t="s">
        <v>1394</v>
      </c>
      <c r="G303" s="58" t="s">
        <v>1395</v>
      </c>
      <c r="H303" s="36" t="s">
        <v>105</v>
      </c>
      <c r="I303" s="6"/>
      <c r="J303" s="6"/>
      <c r="K303" s="6"/>
      <c r="L303" s="6"/>
      <c r="M303" s="6"/>
      <c r="N303" s="6"/>
      <c r="O303" s="6"/>
      <c r="P303" s="6"/>
      <c r="Q303" s="6"/>
      <c r="R303" s="6"/>
      <c r="S303" s="6"/>
      <c r="T303" s="6"/>
      <c r="U303" s="6"/>
      <c r="V303" s="6"/>
      <c r="W303" s="6"/>
      <c r="X303" s="6"/>
      <c r="Y303" s="6"/>
      <c r="Z303" s="6"/>
    </row>
    <row r="304" ht="60.0" customHeight="1">
      <c r="A304" s="6"/>
      <c r="B304" s="31">
        <v>299.0</v>
      </c>
      <c r="C304" s="58" t="s">
        <v>1396</v>
      </c>
      <c r="D304" s="58" t="s">
        <v>1397</v>
      </c>
      <c r="E304" s="59" t="s">
        <v>93</v>
      </c>
      <c r="F304" s="58" t="s">
        <v>1398</v>
      </c>
      <c r="G304" s="58" t="s">
        <v>1399</v>
      </c>
      <c r="H304" s="36" t="s">
        <v>105</v>
      </c>
      <c r="I304" s="6"/>
      <c r="J304" s="6"/>
      <c r="K304" s="6"/>
      <c r="L304" s="6"/>
      <c r="M304" s="6"/>
      <c r="N304" s="6"/>
      <c r="O304" s="6"/>
      <c r="P304" s="6"/>
      <c r="Q304" s="6"/>
      <c r="R304" s="6"/>
      <c r="S304" s="6"/>
      <c r="T304" s="6"/>
      <c r="U304" s="6"/>
      <c r="V304" s="6"/>
      <c r="W304" s="6"/>
      <c r="X304" s="6"/>
      <c r="Y304" s="6"/>
      <c r="Z304" s="6"/>
    </row>
    <row r="305" ht="60.0" customHeight="1">
      <c r="A305" s="6"/>
      <c r="B305" s="31">
        <v>300.0</v>
      </c>
      <c r="C305" s="58" t="s">
        <v>1400</v>
      </c>
      <c r="D305" s="58" t="s">
        <v>1401</v>
      </c>
      <c r="E305" s="59" t="s">
        <v>93</v>
      </c>
      <c r="F305" s="58" t="s">
        <v>1402</v>
      </c>
      <c r="G305" s="58" t="s">
        <v>1403</v>
      </c>
      <c r="H305" s="36" t="s">
        <v>105</v>
      </c>
      <c r="I305" s="6"/>
      <c r="J305" s="6"/>
      <c r="K305" s="6"/>
      <c r="L305" s="6"/>
      <c r="M305" s="6"/>
      <c r="N305" s="6"/>
      <c r="O305" s="6"/>
      <c r="P305" s="6"/>
      <c r="Q305" s="6"/>
      <c r="R305" s="6"/>
      <c r="S305" s="6"/>
      <c r="T305" s="6"/>
      <c r="U305" s="6"/>
      <c r="V305" s="6"/>
      <c r="W305" s="6"/>
      <c r="X305" s="6"/>
      <c r="Y305" s="6"/>
      <c r="Z305" s="6"/>
    </row>
    <row r="306" ht="60.0" customHeight="1">
      <c r="A306" s="6"/>
      <c r="B306" s="31">
        <v>301.0</v>
      </c>
      <c r="C306" s="58" t="s">
        <v>1404</v>
      </c>
      <c r="D306" s="58" t="s">
        <v>1405</v>
      </c>
      <c r="E306" s="59" t="s">
        <v>93</v>
      </c>
      <c r="F306" s="58" t="s">
        <v>1406</v>
      </c>
      <c r="G306" s="58" t="s">
        <v>1407</v>
      </c>
      <c r="H306" s="36" t="s">
        <v>105</v>
      </c>
      <c r="I306" s="6"/>
      <c r="J306" s="6"/>
      <c r="K306" s="6"/>
      <c r="L306" s="6"/>
      <c r="M306" s="6"/>
      <c r="N306" s="6"/>
      <c r="O306" s="6"/>
      <c r="P306" s="6"/>
      <c r="Q306" s="6"/>
      <c r="R306" s="6"/>
      <c r="S306" s="6"/>
      <c r="T306" s="6"/>
      <c r="U306" s="6"/>
      <c r="V306" s="6"/>
      <c r="W306" s="6"/>
      <c r="X306" s="6"/>
      <c r="Y306" s="6"/>
      <c r="Z306" s="6"/>
    </row>
    <row r="307" ht="60.0" customHeight="1">
      <c r="A307" s="6"/>
      <c r="B307" s="31">
        <v>302.0</v>
      </c>
      <c r="C307" s="58" t="s">
        <v>1408</v>
      </c>
      <c r="D307" s="58" t="s">
        <v>1409</v>
      </c>
      <c r="E307" s="59" t="s">
        <v>93</v>
      </c>
      <c r="F307" s="58" t="s">
        <v>1410</v>
      </c>
      <c r="G307" s="58" t="s">
        <v>1411</v>
      </c>
      <c r="H307" s="36" t="s">
        <v>105</v>
      </c>
      <c r="I307" s="6"/>
      <c r="J307" s="6"/>
      <c r="K307" s="6"/>
      <c r="L307" s="6"/>
      <c r="M307" s="6"/>
      <c r="N307" s="6"/>
      <c r="O307" s="6"/>
      <c r="P307" s="6"/>
      <c r="Q307" s="6"/>
      <c r="R307" s="6"/>
      <c r="S307" s="6"/>
      <c r="T307" s="6"/>
      <c r="U307" s="6"/>
      <c r="V307" s="6"/>
      <c r="W307" s="6"/>
      <c r="X307" s="6"/>
      <c r="Y307" s="6"/>
      <c r="Z307" s="6"/>
    </row>
    <row r="308" ht="60.0" customHeight="1">
      <c r="A308" s="6"/>
      <c r="B308" s="31">
        <v>303.0</v>
      </c>
      <c r="C308" s="58" t="s">
        <v>1412</v>
      </c>
      <c r="D308" s="58" t="s">
        <v>1413</v>
      </c>
      <c r="E308" s="59" t="s">
        <v>93</v>
      </c>
      <c r="F308" s="58" t="s">
        <v>1414</v>
      </c>
      <c r="G308" s="58" t="s">
        <v>1415</v>
      </c>
      <c r="H308" s="36" t="s">
        <v>105</v>
      </c>
      <c r="I308" s="6"/>
      <c r="J308" s="6"/>
      <c r="K308" s="6"/>
      <c r="L308" s="6"/>
      <c r="M308" s="6"/>
      <c r="N308" s="6"/>
      <c r="O308" s="6"/>
      <c r="P308" s="6"/>
      <c r="Q308" s="6"/>
      <c r="R308" s="6"/>
      <c r="S308" s="6"/>
      <c r="T308" s="6"/>
      <c r="U308" s="6"/>
      <c r="V308" s="6"/>
      <c r="W308" s="6"/>
      <c r="X308" s="6"/>
      <c r="Y308" s="6"/>
      <c r="Z308" s="6"/>
    </row>
    <row r="309" ht="60.0" customHeight="1">
      <c r="A309" s="6"/>
      <c r="B309" s="31">
        <v>304.0</v>
      </c>
      <c r="C309" s="58" t="s">
        <v>1416</v>
      </c>
      <c r="D309" s="58" t="s">
        <v>1417</v>
      </c>
      <c r="E309" s="59" t="s">
        <v>93</v>
      </c>
      <c r="F309" s="58" t="s">
        <v>1418</v>
      </c>
      <c r="G309" s="58" t="s">
        <v>1419</v>
      </c>
      <c r="H309" s="36" t="s">
        <v>105</v>
      </c>
      <c r="I309" s="6"/>
      <c r="J309" s="6"/>
      <c r="K309" s="6"/>
      <c r="L309" s="6"/>
      <c r="M309" s="6"/>
      <c r="N309" s="6"/>
      <c r="O309" s="6"/>
      <c r="P309" s="6"/>
      <c r="Q309" s="6"/>
      <c r="R309" s="6"/>
      <c r="S309" s="6"/>
      <c r="T309" s="6"/>
      <c r="U309" s="6"/>
      <c r="V309" s="6"/>
      <c r="W309" s="6"/>
      <c r="X309" s="6"/>
      <c r="Y309" s="6"/>
      <c r="Z309" s="6"/>
    </row>
    <row r="310" ht="60.0" customHeight="1">
      <c r="A310" s="6"/>
      <c r="B310" s="31">
        <v>305.0</v>
      </c>
      <c r="C310" s="58" t="s">
        <v>1420</v>
      </c>
      <c r="D310" s="58" t="s">
        <v>1421</v>
      </c>
      <c r="E310" s="59" t="s">
        <v>93</v>
      </c>
      <c r="F310" s="58" t="s">
        <v>1422</v>
      </c>
      <c r="G310" s="58" t="s">
        <v>1423</v>
      </c>
      <c r="H310" s="36" t="s">
        <v>105</v>
      </c>
      <c r="I310" s="6"/>
      <c r="J310" s="6"/>
      <c r="K310" s="6"/>
      <c r="L310" s="6"/>
      <c r="M310" s="6"/>
      <c r="N310" s="6"/>
      <c r="O310" s="6"/>
      <c r="P310" s="6"/>
      <c r="Q310" s="6"/>
      <c r="R310" s="6"/>
      <c r="S310" s="6"/>
      <c r="T310" s="6"/>
      <c r="U310" s="6"/>
      <c r="V310" s="6"/>
      <c r="W310" s="6"/>
      <c r="X310" s="6"/>
      <c r="Y310" s="6"/>
      <c r="Z310" s="6"/>
    </row>
    <row r="311" ht="60.0" customHeight="1">
      <c r="A311" s="6"/>
      <c r="B311" s="31">
        <v>306.0</v>
      </c>
      <c r="C311" s="58" t="s">
        <v>1424</v>
      </c>
      <c r="D311" s="58" t="s">
        <v>1425</v>
      </c>
      <c r="E311" s="59" t="s">
        <v>93</v>
      </c>
      <c r="F311" s="58" t="s">
        <v>1426</v>
      </c>
      <c r="G311" s="58" t="s">
        <v>1427</v>
      </c>
      <c r="H311" s="36" t="s">
        <v>105</v>
      </c>
      <c r="I311" s="6"/>
      <c r="J311" s="6"/>
      <c r="K311" s="6"/>
      <c r="L311" s="6"/>
      <c r="M311" s="6"/>
      <c r="N311" s="6"/>
      <c r="O311" s="6"/>
      <c r="P311" s="6"/>
      <c r="Q311" s="6"/>
      <c r="R311" s="6"/>
      <c r="S311" s="6"/>
      <c r="T311" s="6"/>
      <c r="U311" s="6"/>
      <c r="V311" s="6"/>
      <c r="W311" s="6"/>
      <c r="X311" s="6"/>
      <c r="Y311" s="6"/>
      <c r="Z311" s="6"/>
    </row>
    <row r="312" ht="60.0" customHeight="1">
      <c r="A312" s="6"/>
      <c r="B312" s="31">
        <v>307.0</v>
      </c>
      <c r="C312" s="58" t="s">
        <v>1428</v>
      </c>
      <c r="D312" s="58" t="s">
        <v>1429</v>
      </c>
      <c r="E312" s="59" t="s">
        <v>93</v>
      </c>
      <c r="F312" s="58" t="s">
        <v>1430</v>
      </c>
      <c r="G312" s="58" t="s">
        <v>1431</v>
      </c>
      <c r="H312" s="36" t="s">
        <v>105</v>
      </c>
      <c r="I312" s="6"/>
      <c r="J312" s="6"/>
      <c r="K312" s="6"/>
      <c r="L312" s="6"/>
      <c r="M312" s="6"/>
      <c r="N312" s="6"/>
      <c r="O312" s="6"/>
      <c r="P312" s="6"/>
      <c r="Q312" s="6"/>
      <c r="R312" s="6"/>
      <c r="S312" s="6"/>
      <c r="T312" s="6"/>
      <c r="U312" s="6"/>
      <c r="V312" s="6"/>
      <c r="W312" s="6"/>
      <c r="X312" s="6"/>
      <c r="Y312" s="6"/>
      <c r="Z312" s="6"/>
    </row>
    <row r="313" ht="60.0" customHeight="1">
      <c r="A313" s="6"/>
      <c r="B313" s="31">
        <v>308.0</v>
      </c>
      <c r="C313" s="58" t="s">
        <v>1432</v>
      </c>
      <c r="D313" s="58" t="s">
        <v>1433</v>
      </c>
      <c r="E313" s="59" t="s">
        <v>93</v>
      </c>
      <c r="F313" s="58" t="s">
        <v>1434</v>
      </c>
      <c r="G313" s="58" t="s">
        <v>1435</v>
      </c>
      <c r="H313" s="36" t="s">
        <v>105</v>
      </c>
      <c r="I313" s="6"/>
      <c r="J313" s="6"/>
      <c r="K313" s="6"/>
      <c r="L313" s="6"/>
      <c r="M313" s="6"/>
      <c r="N313" s="6"/>
      <c r="O313" s="6"/>
      <c r="P313" s="6"/>
      <c r="Q313" s="6"/>
      <c r="R313" s="6"/>
      <c r="S313" s="6"/>
      <c r="T313" s="6"/>
      <c r="U313" s="6"/>
      <c r="V313" s="6"/>
      <c r="W313" s="6"/>
      <c r="X313" s="6"/>
      <c r="Y313" s="6"/>
      <c r="Z313" s="6"/>
    </row>
    <row r="314" ht="60.0" customHeight="1">
      <c r="A314" s="6"/>
      <c r="B314" s="31">
        <v>309.0</v>
      </c>
      <c r="C314" s="58" t="s">
        <v>1436</v>
      </c>
      <c r="D314" s="58" t="s">
        <v>1437</v>
      </c>
      <c r="E314" s="59" t="s">
        <v>93</v>
      </c>
      <c r="F314" s="58" t="s">
        <v>1438</v>
      </c>
      <c r="G314" s="58" t="s">
        <v>1439</v>
      </c>
      <c r="H314" s="36" t="s">
        <v>105</v>
      </c>
      <c r="I314" s="6"/>
      <c r="J314" s="6"/>
      <c r="K314" s="6"/>
      <c r="L314" s="6"/>
      <c r="M314" s="6"/>
      <c r="N314" s="6"/>
      <c r="O314" s="6"/>
      <c r="P314" s="6"/>
      <c r="Q314" s="6"/>
      <c r="R314" s="6"/>
      <c r="S314" s="6"/>
      <c r="T314" s="6"/>
      <c r="U314" s="6"/>
      <c r="V314" s="6"/>
      <c r="W314" s="6"/>
      <c r="X314" s="6"/>
      <c r="Y314" s="6"/>
      <c r="Z314" s="6"/>
    </row>
    <row r="315" ht="60.0" customHeight="1">
      <c r="A315" s="6"/>
      <c r="B315" s="31">
        <v>310.0</v>
      </c>
      <c r="C315" s="58" t="s">
        <v>1440</v>
      </c>
      <c r="D315" s="58" t="s">
        <v>1441</v>
      </c>
      <c r="E315" s="59" t="s">
        <v>93</v>
      </c>
      <c r="F315" s="58" t="s">
        <v>1442</v>
      </c>
      <c r="G315" s="58" t="s">
        <v>1443</v>
      </c>
      <c r="H315" s="36" t="s">
        <v>105</v>
      </c>
      <c r="I315" s="6"/>
      <c r="J315" s="6"/>
      <c r="K315" s="6"/>
      <c r="L315" s="6"/>
      <c r="M315" s="6"/>
      <c r="N315" s="6"/>
      <c r="O315" s="6"/>
      <c r="P315" s="6"/>
      <c r="Q315" s="6"/>
      <c r="R315" s="6"/>
      <c r="S315" s="6"/>
      <c r="T315" s="6"/>
      <c r="U315" s="6"/>
      <c r="V315" s="6"/>
      <c r="W315" s="6"/>
      <c r="X315" s="6"/>
      <c r="Y315" s="6"/>
      <c r="Z315" s="6"/>
    </row>
    <row r="316" ht="60.0" customHeight="1">
      <c r="A316" s="6"/>
      <c r="B316" s="31">
        <v>311.0</v>
      </c>
      <c r="C316" s="58" t="s">
        <v>1444</v>
      </c>
      <c r="D316" s="58" t="s">
        <v>1445</v>
      </c>
      <c r="E316" s="59" t="s">
        <v>93</v>
      </c>
      <c r="F316" s="58" t="s">
        <v>1446</v>
      </c>
      <c r="G316" s="58" t="s">
        <v>1447</v>
      </c>
      <c r="H316" s="36" t="s">
        <v>105</v>
      </c>
      <c r="I316" s="6"/>
      <c r="J316" s="6"/>
      <c r="K316" s="6"/>
      <c r="L316" s="6"/>
      <c r="M316" s="6"/>
      <c r="N316" s="6"/>
      <c r="O316" s="6"/>
      <c r="P316" s="6"/>
      <c r="Q316" s="6"/>
      <c r="R316" s="6"/>
      <c r="S316" s="6"/>
      <c r="T316" s="6"/>
      <c r="U316" s="6"/>
      <c r="V316" s="6"/>
      <c r="W316" s="6"/>
      <c r="X316" s="6"/>
      <c r="Y316" s="6"/>
      <c r="Z316" s="6"/>
    </row>
    <row r="317" ht="60.0" customHeight="1">
      <c r="A317" s="6"/>
      <c r="B317" s="31">
        <v>312.0</v>
      </c>
      <c r="C317" s="58" t="s">
        <v>1448</v>
      </c>
      <c r="D317" s="58" t="s">
        <v>1449</v>
      </c>
      <c r="E317" s="59" t="s">
        <v>93</v>
      </c>
      <c r="F317" s="58" t="s">
        <v>1450</v>
      </c>
      <c r="G317" s="58" t="s">
        <v>1451</v>
      </c>
      <c r="H317" s="36" t="s">
        <v>105</v>
      </c>
      <c r="I317" s="6"/>
      <c r="J317" s="6"/>
      <c r="K317" s="6"/>
      <c r="L317" s="6"/>
      <c r="M317" s="6"/>
      <c r="N317" s="6"/>
      <c r="O317" s="6"/>
      <c r="P317" s="6"/>
      <c r="Q317" s="6"/>
      <c r="R317" s="6"/>
      <c r="S317" s="6"/>
      <c r="T317" s="6"/>
      <c r="U317" s="6"/>
      <c r="V317" s="6"/>
      <c r="W317" s="6"/>
      <c r="X317" s="6"/>
      <c r="Y317" s="6"/>
      <c r="Z317" s="6"/>
    </row>
    <row r="318" ht="60.0" customHeight="1">
      <c r="A318" s="6"/>
      <c r="B318" s="31">
        <v>313.0</v>
      </c>
      <c r="C318" s="58" t="s">
        <v>1452</v>
      </c>
      <c r="D318" s="58" t="s">
        <v>1453</v>
      </c>
      <c r="E318" s="59" t="s">
        <v>93</v>
      </c>
      <c r="F318" s="58" t="s">
        <v>1454</v>
      </c>
      <c r="G318" s="58" t="s">
        <v>1455</v>
      </c>
      <c r="H318" s="36" t="s">
        <v>105</v>
      </c>
      <c r="I318" s="6"/>
      <c r="J318" s="6"/>
      <c r="K318" s="6"/>
      <c r="L318" s="6"/>
      <c r="M318" s="6"/>
      <c r="N318" s="6"/>
      <c r="O318" s="6"/>
      <c r="P318" s="6"/>
      <c r="Q318" s="6"/>
      <c r="R318" s="6"/>
      <c r="S318" s="6"/>
      <c r="T318" s="6"/>
      <c r="U318" s="6"/>
      <c r="V318" s="6"/>
      <c r="W318" s="6"/>
      <c r="X318" s="6"/>
      <c r="Y318" s="6"/>
      <c r="Z318" s="6"/>
    </row>
    <row r="319" ht="60.0" customHeight="1">
      <c r="A319" s="6"/>
      <c r="B319" s="31">
        <v>314.0</v>
      </c>
      <c r="C319" s="58" t="s">
        <v>1456</v>
      </c>
      <c r="D319" s="58" t="s">
        <v>1457</v>
      </c>
      <c r="E319" s="59" t="s">
        <v>93</v>
      </c>
      <c r="F319" s="58" t="s">
        <v>1458</v>
      </c>
      <c r="G319" s="58" t="s">
        <v>1459</v>
      </c>
      <c r="H319" s="36" t="s">
        <v>105</v>
      </c>
      <c r="I319" s="6"/>
      <c r="J319" s="6"/>
      <c r="K319" s="6"/>
      <c r="L319" s="6"/>
      <c r="M319" s="6"/>
      <c r="N319" s="6"/>
      <c r="O319" s="6"/>
      <c r="P319" s="6"/>
      <c r="Q319" s="6"/>
      <c r="R319" s="6"/>
      <c r="S319" s="6"/>
      <c r="T319" s="6"/>
      <c r="U319" s="6"/>
      <c r="V319" s="6"/>
      <c r="W319" s="6"/>
      <c r="X319" s="6"/>
      <c r="Y319" s="6"/>
      <c r="Z319" s="6"/>
    </row>
    <row r="320" ht="60.0" customHeight="1">
      <c r="A320" s="6"/>
      <c r="B320" s="31">
        <v>315.0</v>
      </c>
      <c r="C320" s="58" t="s">
        <v>1460</v>
      </c>
      <c r="D320" s="58" t="s">
        <v>1461</v>
      </c>
      <c r="E320" s="59" t="s">
        <v>93</v>
      </c>
      <c r="F320" s="58" t="s">
        <v>1462</v>
      </c>
      <c r="G320" s="58" t="s">
        <v>1463</v>
      </c>
      <c r="H320" s="36" t="s">
        <v>105</v>
      </c>
      <c r="I320" s="6"/>
      <c r="J320" s="6"/>
      <c r="K320" s="6"/>
      <c r="L320" s="6"/>
      <c r="M320" s="6"/>
      <c r="N320" s="6"/>
      <c r="O320" s="6"/>
      <c r="P320" s="6"/>
      <c r="Q320" s="6"/>
      <c r="R320" s="6"/>
      <c r="S320" s="6"/>
      <c r="T320" s="6"/>
      <c r="U320" s="6"/>
      <c r="V320" s="6"/>
      <c r="W320" s="6"/>
      <c r="X320" s="6"/>
      <c r="Y320" s="6"/>
      <c r="Z320" s="6"/>
    </row>
    <row r="321" ht="60.0" customHeight="1">
      <c r="A321" s="6"/>
      <c r="B321" s="31">
        <v>316.0</v>
      </c>
      <c r="C321" s="58" t="s">
        <v>1464</v>
      </c>
      <c r="D321" s="58" t="s">
        <v>1465</v>
      </c>
      <c r="E321" s="59" t="s">
        <v>93</v>
      </c>
      <c r="F321" s="58" t="s">
        <v>1466</v>
      </c>
      <c r="G321" s="58" t="s">
        <v>1467</v>
      </c>
      <c r="H321" s="36" t="s">
        <v>105</v>
      </c>
      <c r="I321" s="6"/>
      <c r="J321" s="6"/>
      <c r="K321" s="6"/>
      <c r="L321" s="6"/>
      <c r="M321" s="6"/>
      <c r="N321" s="6"/>
      <c r="O321" s="6"/>
      <c r="P321" s="6"/>
      <c r="Q321" s="6"/>
      <c r="R321" s="6"/>
      <c r="S321" s="6"/>
      <c r="T321" s="6"/>
      <c r="U321" s="6"/>
      <c r="V321" s="6"/>
      <c r="W321" s="6"/>
      <c r="X321" s="6"/>
      <c r="Y321" s="6"/>
      <c r="Z321" s="6"/>
    </row>
    <row r="322" ht="60.0" customHeight="1">
      <c r="A322" s="6"/>
      <c r="B322" s="31">
        <v>317.0</v>
      </c>
      <c r="C322" s="58" t="s">
        <v>1468</v>
      </c>
      <c r="D322" s="58" t="s">
        <v>1469</v>
      </c>
      <c r="E322" s="59" t="s">
        <v>93</v>
      </c>
      <c r="F322" s="58" t="s">
        <v>1470</v>
      </c>
      <c r="G322" s="58" t="s">
        <v>1471</v>
      </c>
      <c r="H322" s="36" t="s">
        <v>105</v>
      </c>
      <c r="I322" s="6"/>
      <c r="J322" s="6"/>
      <c r="K322" s="6"/>
      <c r="L322" s="6"/>
      <c r="M322" s="6"/>
      <c r="N322" s="6"/>
      <c r="O322" s="6"/>
      <c r="P322" s="6"/>
      <c r="Q322" s="6"/>
      <c r="R322" s="6"/>
      <c r="S322" s="6"/>
      <c r="T322" s="6"/>
      <c r="U322" s="6"/>
      <c r="V322" s="6"/>
      <c r="W322" s="6"/>
      <c r="X322" s="6"/>
      <c r="Y322" s="6"/>
      <c r="Z322" s="6"/>
    </row>
    <row r="323" ht="60.0" customHeight="1">
      <c r="A323" s="6"/>
      <c r="B323" s="31">
        <v>318.0</v>
      </c>
      <c r="C323" s="58" t="s">
        <v>1472</v>
      </c>
      <c r="D323" s="58" t="s">
        <v>1473</v>
      </c>
      <c r="E323" s="59" t="s">
        <v>93</v>
      </c>
      <c r="F323" s="58" t="s">
        <v>1474</v>
      </c>
      <c r="G323" s="58" t="s">
        <v>1475</v>
      </c>
      <c r="H323" s="36" t="s">
        <v>105</v>
      </c>
      <c r="I323" s="6"/>
      <c r="J323" s="6"/>
      <c r="K323" s="6"/>
      <c r="L323" s="6"/>
      <c r="M323" s="6"/>
      <c r="N323" s="6"/>
      <c r="O323" s="6"/>
      <c r="P323" s="6"/>
      <c r="Q323" s="6"/>
      <c r="R323" s="6"/>
      <c r="S323" s="6"/>
      <c r="T323" s="6"/>
      <c r="U323" s="6"/>
      <c r="V323" s="6"/>
      <c r="W323" s="6"/>
      <c r="X323" s="6"/>
      <c r="Y323" s="6"/>
      <c r="Z323" s="6"/>
    </row>
    <row r="324" ht="60.0" customHeight="1">
      <c r="A324" s="6"/>
      <c r="B324" s="31">
        <v>319.0</v>
      </c>
      <c r="C324" s="58" t="s">
        <v>1476</v>
      </c>
      <c r="D324" s="58" t="s">
        <v>1477</v>
      </c>
      <c r="E324" s="59" t="s">
        <v>93</v>
      </c>
      <c r="F324" s="58" t="s">
        <v>1478</v>
      </c>
      <c r="G324" s="58" t="s">
        <v>1479</v>
      </c>
      <c r="H324" s="36" t="s">
        <v>105</v>
      </c>
      <c r="I324" s="6"/>
      <c r="J324" s="6"/>
      <c r="K324" s="6"/>
      <c r="L324" s="6"/>
      <c r="M324" s="6"/>
      <c r="N324" s="6"/>
      <c r="O324" s="6"/>
      <c r="P324" s="6"/>
      <c r="Q324" s="6"/>
      <c r="R324" s="6"/>
      <c r="S324" s="6"/>
      <c r="T324" s="6"/>
      <c r="U324" s="6"/>
      <c r="V324" s="6"/>
      <c r="W324" s="6"/>
      <c r="X324" s="6"/>
      <c r="Y324" s="6"/>
      <c r="Z324" s="6"/>
    </row>
    <row r="325" ht="60.0" customHeight="1">
      <c r="A325" s="6"/>
      <c r="B325" s="31">
        <v>320.0</v>
      </c>
      <c r="C325" s="58" t="s">
        <v>1480</v>
      </c>
      <c r="D325" s="58" t="s">
        <v>1481</v>
      </c>
      <c r="E325" s="59" t="s">
        <v>93</v>
      </c>
      <c r="F325" s="58" t="s">
        <v>1482</v>
      </c>
      <c r="G325" s="58" t="s">
        <v>1483</v>
      </c>
      <c r="H325" s="36" t="s">
        <v>105</v>
      </c>
      <c r="I325" s="6"/>
      <c r="J325" s="6"/>
      <c r="K325" s="6"/>
      <c r="L325" s="6"/>
      <c r="M325" s="6"/>
      <c r="N325" s="6"/>
      <c r="O325" s="6"/>
      <c r="P325" s="6"/>
      <c r="Q325" s="6"/>
      <c r="R325" s="6"/>
      <c r="S325" s="6"/>
      <c r="T325" s="6"/>
      <c r="U325" s="6"/>
      <c r="V325" s="6"/>
      <c r="W325" s="6"/>
      <c r="X325" s="6"/>
      <c r="Y325" s="6"/>
      <c r="Z325" s="6"/>
    </row>
    <row r="326" ht="60.0" customHeight="1">
      <c r="A326" s="6"/>
      <c r="B326" s="31">
        <v>321.0</v>
      </c>
      <c r="C326" s="58" t="s">
        <v>1484</v>
      </c>
      <c r="D326" s="58" t="s">
        <v>1485</v>
      </c>
      <c r="E326" s="59" t="s">
        <v>93</v>
      </c>
      <c r="F326" s="58" t="s">
        <v>1486</v>
      </c>
      <c r="G326" s="58" t="s">
        <v>1487</v>
      </c>
      <c r="H326" s="36" t="s">
        <v>105</v>
      </c>
      <c r="I326" s="6"/>
      <c r="J326" s="6"/>
      <c r="K326" s="6"/>
      <c r="L326" s="6"/>
      <c r="M326" s="6"/>
      <c r="N326" s="6"/>
      <c r="O326" s="6"/>
      <c r="P326" s="6"/>
      <c r="Q326" s="6"/>
      <c r="R326" s="6"/>
      <c r="S326" s="6"/>
      <c r="T326" s="6"/>
      <c r="U326" s="6"/>
      <c r="V326" s="6"/>
      <c r="W326" s="6"/>
      <c r="X326" s="6"/>
      <c r="Y326" s="6"/>
      <c r="Z326" s="6"/>
    </row>
    <row r="327" ht="60.0" customHeight="1">
      <c r="A327" s="6"/>
      <c r="B327" s="31">
        <v>322.0</v>
      </c>
      <c r="C327" s="58" t="s">
        <v>1488</v>
      </c>
      <c r="D327" s="58" t="s">
        <v>1489</v>
      </c>
      <c r="E327" s="59" t="s">
        <v>93</v>
      </c>
      <c r="F327" s="58" t="s">
        <v>1490</v>
      </c>
      <c r="G327" s="58" t="s">
        <v>1491</v>
      </c>
      <c r="H327" s="36" t="s">
        <v>105</v>
      </c>
      <c r="I327" s="6"/>
      <c r="J327" s="6"/>
      <c r="K327" s="6"/>
      <c r="L327" s="6"/>
      <c r="M327" s="6"/>
      <c r="N327" s="6"/>
      <c r="O327" s="6"/>
      <c r="P327" s="6"/>
      <c r="Q327" s="6"/>
      <c r="R327" s="6"/>
      <c r="S327" s="6"/>
      <c r="T327" s="6"/>
      <c r="U327" s="6"/>
      <c r="V327" s="6"/>
      <c r="W327" s="6"/>
      <c r="X327" s="6"/>
      <c r="Y327" s="6"/>
      <c r="Z327" s="6"/>
    </row>
    <row r="328" ht="60.0" customHeight="1">
      <c r="A328" s="6"/>
      <c r="B328" s="31">
        <v>323.0</v>
      </c>
      <c r="C328" s="58" t="s">
        <v>1492</v>
      </c>
      <c r="D328" s="58" t="s">
        <v>1493</v>
      </c>
      <c r="E328" s="59" t="s">
        <v>93</v>
      </c>
      <c r="F328" s="58" t="s">
        <v>1494</v>
      </c>
      <c r="G328" s="58" t="s">
        <v>1495</v>
      </c>
      <c r="H328" s="36" t="s">
        <v>105</v>
      </c>
      <c r="I328" s="6"/>
      <c r="J328" s="6"/>
      <c r="K328" s="6"/>
      <c r="L328" s="6"/>
      <c r="M328" s="6"/>
      <c r="N328" s="6"/>
      <c r="O328" s="6"/>
      <c r="P328" s="6"/>
      <c r="Q328" s="6"/>
      <c r="R328" s="6"/>
      <c r="S328" s="6"/>
      <c r="T328" s="6"/>
      <c r="U328" s="6"/>
      <c r="V328" s="6"/>
      <c r="W328" s="6"/>
      <c r="X328" s="6"/>
      <c r="Y328" s="6"/>
      <c r="Z328" s="6"/>
    </row>
    <row r="329" ht="60.0" customHeight="1">
      <c r="A329" s="6"/>
      <c r="B329" s="31">
        <v>324.0</v>
      </c>
      <c r="C329" s="58" t="s">
        <v>1496</v>
      </c>
      <c r="D329" s="58" t="s">
        <v>1493</v>
      </c>
      <c r="E329" s="59" t="s">
        <v>93</v>
      </c>
      <c r="F329" s="58" t="s">
        <v>1497</v>
      </c>
      <c r="G329" s="58" t="s">
        <v>1498</v>
      </c>
      <c r="H329" s="36" t="s">
        <v>105</v>
      </c>
      <c r="I329" s="6"/>
      <c r="J329" s="6"/>
      <c r="K329" s="6"/>
      <c r="L329" s="6"/>
      <c r="M329" s="6"/>
      <c r="N329" s="6"/>
      <c r="O329" s="6"/>
      <c r="P329" s="6"/>
      <c r="Q329" s="6"/>
      <c r="R329" s="6"/>
      <c r="S329" s="6"/>
      <c r="T329" s="6"/>
      <c r="U329" s="6"/>
      <c r="V329" s="6"/>
      <c r="W329" s="6"/>
      <c r="X329" s="6"/>
      <c r="Y329" s="6"/>
      <c r="Z329" s="6"/>
    </row>
    <row r="330" ht="60.0" customHeight="1">
      <c r="A330" s="6"/>
      <c r="B330" s="31">
        <v>325.0</v>
      </c>
      <c r="C330" s="58" t="s">
        <v>1499</v>
      </c>
      <c r="D330" s="58" t="s">
        <v>1500</v>
      </c>
      <c r="E330" s="59" t="s">
        <v>93</v>
      </c>
      <c r="F330" s="58" t="s">
        <v>1501</v>
      </c>
      <c r="G330" s="58" t="s">
        <v>1502</v>
      </c>
      <c r="H330" s="36" t="s">
        <v>105</v>
      </c>
      <c r="I330" s="6"/>
      <c r="J330" s="6"/>
      <c r="K330" s="6"/>
      <c r="L330" s="6"/>
      <c r="M330" s="6"/>
      <c r="N330" s="6"/>
      <c r="O330" s="6"/>
      <c r="P330" s="6"/>
      <c r="Q330" s="6"/>
      <c r="R330" s="6"/>
      <c r="S330" s="6"/>
      <c r="T330" s="6"/>
      <c r="U330" s="6"/>
      <c r="V330" s="6"/>
      <c r="W330" s="6"/>
      <c r="X330" s="6"/>
      <c r="Y330" s="6"/>
      <c r="Z330" s="6"/>
    </row>
    <row r="331" ht="60.0" customHeight="1">
      <c r="A331" s="6"/>
      <c r="B331" s="31">
        <v>326.0</v>
      </c>
      <c r="C331" s="58" t="s">
        <v>1256</v>
      </c>
      <c r="D331" s="58" t="s">
        <v>1503</v>
      </c>
      <c r="E331" s="59" t="s">
        <v>93</v>
      </c>
      <c r="F331" s="58" t="s">
        <v>1504</v>
      </c>
      <c r="G331" s="58" t="s">
        <v>1505</v>
      </c>
      <c r="H331" s="36" t="s">
        <v>105</v>
      </c>
      <c r="I331" s="6"/>
      <c r="J331" s="6"/>
      <c r="K331" s="6"/>
      <c r="L331" s="6"/>
      <c r="M331" s="6"/>
      <c r="N331" s="6"/>
      <c r="O331" s="6"/>
      <c r="P331" s="6"/>
      <c r="Q331" s="6"/>
      <c r="R331" s="6"/>
      <c r="S331" s="6"/>
      <c r="T331" s="6"/>
      <c r="U331" s="6"/>
      <c r="V331" s="6"/>
      <c r="W331" s="6"/>
      <c r="X331" s="6"/>
      <c r="Y331" s="6"/>
      <c r="Z331" s="6"/>
    </row>
    <row r="332" ht="60.0" customHeight="1">
      <c r="A332" s="6"/>
      <c r="B332" s="31">
        <v>327.0</v>
      </c>
      <c r="C332" s="58" t="s">
        <v>1506</v>
      </c>
      <c r="D332" s="58" t="s">
        <v>1507</v>
      </c>
      <c r="E332" s="59" t="s">
        <v>93</v>
      </c>
      <c r="F332" s="58" t="s">
        <v>1508</v>
      </c>
      <c r="G332" s="58" t="s">
        <v>1509</v>
      </c>
      <c r="H332" s="36" t="s">
        <v>105</v>
      </c>
      <c r="I332" s="6"/>
      <c r="J332" s="6"/>
      <c r="K332" s="6"/>
      <c r="L332" s="6"/>
      <c r="M332" s="6"/>
      <c r="N332" s="6"/>
      <c r="O332" s="6"/>
      <c r="P332" s="6"/>
      <c r="Q332" s="6"/>
      <c r="R332" s="6"/>
      <c r="S332" s="6"/>
      <c r="T332" s="6"/>
      <c r="U332" s="6"/>
      <c r="V332" s="6"/>
      <c r="W332" s="6"/>
      <c r="X332" s="6"/>
      <c r="Y332" s="6"/>
      <c r="Z332" s="6"/>
    </row>
    <row r="333" ht="60.0" customHeight="1">
      <c r="A333" s="6"/>
      <c r="B333" s="31">
        <v>328.0</v>
      </c>
      <c r="C333" s="58" t="s">
        <v>1510</v>
      </c>
      <c r="D333" s="58" t="s">
        <v>1511</v>
      </c>
      <c r="E333" s="59" t="s">
        <v>93</v>
      </c>
      <c r="F333" s="58" t="s">
        <v>1512</v>
      </c>
      <c r="G333" s="58" t="s">
        <v>1513</v>
      </c>
      <c r="H333" s="36" t="s">
        <v>105</v>
      </c>
      <c r="I333" s="6"/>
      <c r="J333" s="6"/>
      <c r="K333" s="6"/>
      <c r="L333" s="6"/>
      <c r="M333" s="6"/>
      <c r="N333" s="6"/>
      <c r="O333" s="6"/>
      <c r="P333" s="6"/>
      <c r="Q333" s="6"/>
      <c r="R333" s="6"/>
      <c r="S333" s="6"/>
      <c r="T333" s="6"/>
      <c r="U333" s="6"/>
      <c r="V333" s="6"/>
      <c r="W333" s="6"/>
      <c r="X333" s="6"/>
      <c r="Y333" s="6"/>
      <c r="Z333" s="6"/>
    </row>
    <row r="334" ht="60.0" customHeight="1">
      <c r="A334" s="6"/>
      <c r="B334" s="31">
        <v>329.0</v>
      </c>
      <c r="C334" s="58" t="s">
        <v>1514</v>
      </c>
      <c r="D334" s="58" t="s">
        <v>1515</v>
      </c>
      <c r="E334" s="59" t="s">
        <v>93</v>
      </c>
      <c r="F334" s="58" t="s">
        <v>1516</v>
      </c>
      <c r="G334" s="58" t="s">
        <v>1517</v>
      </c>
      <c r="H334" s="36" t="s">
        <v>105</v>
      </c>
      <c r="I334" s="6"/>
      <c r="J334" s="6"/>
      <c r="K334" s="6"/>
      <c r="L334" s="6"/>
      <c r="M334" s="6"/>
      <c r="N334" s="6"/>
      <c r="O334" s="6"/>
      <c r="P334" s="6"/>
      <c r="Q334" s="6"/>
      <c r="R334" s="6"/>
      <c r="S334" s="6"/>
      <c r="T334" s="6"/>
      <c r="U334" s="6"/>
      <c r="V334" s="6"/>
      <c r="W334" s="6"/>
      <c r="X334" s="6"/>
      <c r="Y334" s="6"/>
      <c r="Z334" s="6"/>
    </row>
    <row r="335" ht="60.0" customHeight="1">
      <c r="A335" s="6"/>
      <c r="B335" s="31">
        <v>330.0</v>
      </c>
      <c r="C335" s="58" t="s">
        <v>1518</v>
      </c>
      <c r="D335" s="58" t="s">
        <v>1519</v>
      </c>
      <c r="E335" s="59" t="s">
        <v>93</v>
      </c>
      <c r="F335" s="58" t="s">
        <v>1520</v>
      </c>
      <c r="G335" s="58" t="s">
        <v>1521</v>
      </c>
      <c r="H335" s="36" t="s">
        <v>105</v>
      </c>
      <c r="I335" s="6"/>
      <c r="J335" s="6"/>
      <c r="K335" s="6"/>
      <c r="L335" s="6"/>
      <c r="M335" s="6"/>
      <c r="N335" s="6"/>
      <c r="O335" s="6"/>
      <c r="P335" s="6"/>
      <c r="Q335" s="6"/>
      <c r="R335" s="6"/>
      <c r="S335" s="6"/>
      <c r="T335" s="6"/>
      <c r="U335" s="6"/>
      <c r="V335" s="6"/>
      <c r="W335" s="6"/>
      <c r="X335" s="6"/>
      <c r="Y335" s="6"/>
      <c r="Z335" s="6"/>
    </row>
    <row r="336" ht="60.0" customHeight="1">
      <c r="A336" s="6"/>
      <c r="B336" s="31">
        <v>331.0</v>
      </c>
      <c r="C336" s="58" t="s">
        <v>1522</v>
      </c>
      <c r="D336" s="58" t="s">
        <v>1523</v>
      </c>
      <c r="E336" s="59" t="s">
        <v>93</v>
      </c>
      <c r="F336" s="58" t="s">
        <v>1524</v>
      </c>
      <c r="G336" s="58" t="s">
        <v>1525</v>
      </c>
      <c r="H336" s="36" t="s">
        <v>105</v>
      </c>
      <c r="I336" s="6"/>
      <c r="J336" s="6"/>
      <c r="K336" s="6"/>
      <c r="L336" s="6"/>
      <c r="M336" s="6"/>
      <c r="N336" s="6"/>
      <c r="O336" s="6"/>
      <c r="P336" s="6"/>
      <c r="Q336" s="6"/>
      <c r="R336" s="6"/>
      <c r="S336" s="6"/>
      <c r="T336" s="6"/>
      <c r="U336" s="6"/>
      <c r="V336" s="6"/>
      <c r="W336" s="6"/>
      <c r="X336" s="6"/>
      <c r="Y336" s="6"/>
      <c r="Z336" s="6"/>
    </row>
    <row r="337" ht="60.0" customHeight="1">
      <c r="A337" s="6"/>
      <c r="B337" s="31">
        <v>332.0</v>
      </c>
      <c r="C337" s="58" t="s">
        <v>1526</v>
      </c>
      <c r="D337" s="58" t="s">
        <v>1527</v>
      </c>
      <c r="E337" s="59" t="s">
        <v>93</v>
      </c>
      <c r="F337" s="58" t="s">
        <v>1528</v>
      </c>
      <c r="G337" s="58" t="s">
        <v>1529</v>
      </c>
      <c r="H337" s="36" t="s">
        <v>105</v>
      </c>
      <c r="I337" s="6"/>
      <c r="J337" s="6"/>
      <c r="K337" s="6"/>
      <c r="L337" s="6"/>
      <c r="M337" s="6"/>
      <c r="N337" s="6"/>
      <c r="O337" s="6"/>
      <c r="P337" s="6"/>
      <c r="Q337" s="6"/>
      <c r="R337" s="6"/>
      <c r="S337" s="6"/>
      <c r="T337" s="6"/>
      <c r="U337" s="6"/>
      <c r="V337" s="6"/>
      <c r="W337" s="6"/>
      <c r="X337" s="6"/>
      <c r="Y337" s="6"/>
      <c r="Z337" s="6"/>
    </row>
    <row r="338" ht="60.0" customHeight="1">
      <c r="A338" s="6"/>
      <c r="B338" s="31">
        <v>333.0</v>
      </c>
      <c r="C338" s="58" t="s">
        <v>1530</v>
      </c>
      <c r="D338" s="58" t="s">
        <v>1531</v>
      </c>
      <c r="E338" s="59" t="s">
        <v>93</v>
      </c>
      <c r="F338" s="58" t="s">
        <v>1532</v>
      </c>
      <c r="G338" s="58" t="s">
        <v>1533</v>
      </c>
      <c r="H338" s="36" t="s">
        <v>105</v>
      </c>
      <c r="I338" s="6"/>
      <c r="J338" s="6"/>
      <c r="K338" s="6"/>
      <c r="L338" s="6"/>
      <c r="M338" s="6"/>
      <c r="N338" s="6"/>
      <c r="O338" s="6"/>
      <c r="P338" s="6"/>
      <c r="Q338" s="6"/>
      <c r="R338" s="6"/>
      <c r="S338" s="6"/>
      <c r="T338" s="6"/>
      <c r="U338" s="6"/>
      <c r="V338" s="6"/>
      <c r="W338" s="6"/>
      <c r="X338" s="6"/>
      <c r="Y338" s="6"/>
      <c r="Z338" s="6"/>
    </row>
    <row r="339" ht="60.0" customHeight="1">
      <c r="A339" s="6"/>
      <c r="B339" s="31">
        <v>334.0</v>
      </c>
      <c r="C339" s="58" t="s">
        <v>1534</v>
      </c>
      <c r="D339" s="58" t="s">
        <v>1535</v>
      </c>
      <c r="E339" s="59" t="s">
        <v>93</v>
      </c>
      <c r="F339" s="58" t="s">
        <v>1536</v>
      </c>
      <c r="G339" s="58" t="s">
        <v>1537</v>
      </c>
      <c r="H339" s="36" t="s">
        <v>105</v>
      </c>
      <c r="I339" s="6"/>
      <c r="J339" s="6"/>
      <c r="K339" s="6"/>
      <c r="L339" s="6"/>
      <c r="M339" s="6"/>
      <c r="N339" s="6"/>
      <c r="O339" s="6"/>
      <c r="P339" s="6"/>
      <c r="Q339" s="6"/>
      <c r="R339" s="6"/>
      <c r="S339" s="6"/>
      <c r="T339" s="6"/>
      <c r="U339" s="6"/>
      <c r="V339" s="6"/>
      <c r="W339" s="6"/>
      <c r="X339" s="6"/>
      <c r="Y339" s="6"/>
      <c r="Z339" s="6"/>
    </row>
    <row r="340" ht="60.0" customHeight="1">
      <c r="A340" s="6"/>
      <c r="B340" s="31">
        <v>335.0</v>
      </c>
      <c r="C340" s="58" t="s">
        <v>1538</v>
      </c>
      <c r="D340" s="58" t="s">
        <v>1539</v>
      </c>
      <c r="E340" s="59" t="s">
        <v>93</v>
      </c>
      <c r="F340" s="58" t="s">
        <v>1540</v>
      </c>
      <c r="G340" s="58" t="s">
        <v>1541</v>
      </c>
      <c r="H340" s="36" t="s">
        <v>105</v>
      </c>
      <c r="I340" s="6"/>
      <c r="J340" s="6"/>
      <c r="K340" s="6"/>
      <c r="L340" s="6"/>
      <c r="M340" s="6"/>
      <c r="N340" s="6"/>
      <c r="O340" s="6"/>
      <c r="P340" s="6"/>
      <c r="Q340" s="6"/>
      <c r="R340" s="6"/>
      <c r="S340" s="6"/>
      <c r="T340" s="6"/>
      <c r="U340" s="6"/>
      <c r="V340" s="6"/>
      <c r="W340" s="6"/>
      <c r="X340" s="6"/>
      <c r="Y340" s="6"/>
      <c r="Z340" s="6"/>
    </row>
    <row r="341" ht="60.0" customHeight="1">
      <c r="A341" s="6"/>
      <c r="B341" s="31">
        <v>336.0</v>
      </c>
      <c r="C341" s="58" t="s">
        <v>1542</v>
      </c>
      <c r="D341" s="58" t="s">
        <v>1543</v>
      </c>
      <c r="E341" s="59" t="s">
        <v>93</v>
      </c>
      <c r="F341" s="58" t="s">
        <v>1544</v>
      </c>
      <c r="G341" s="58" t="s">
        <v>1545</v>
      </c>
      <c r="H341" s="36" t="s">
        <v>105</v>
      </c>
      <c r="I341" s="6"/>
      <c r="J341" s="6"/>
      <c r="K341" s="6"/>
      <c r="L341" s="6"/>
      <c r="M341" s="6"/>
      <c r="N341" s="6"/>
      <c r="O341" s="6"/>
      <c r="P341" s="6"/>
      <c r="Q341" s="6"/>
      <c r="R341" s="6"/>
      <c r="S341" s="6"/>
      <c r="T341" s="6"/>
      <c r="U341" s="6"/>
      <c r="V341" s="6"/>
      <c r="W341" s="6"/>
      <c r="X341" s="6"/>
      <c r="Y341" s="6"/>
      <c r="Z341" s="6"/>
    </row>
    <row r="342" ht="60.0" customHeight="1">
      <c r="A342" s="6"/>
      <c r="B342" s="31">
        <v>337.0</v>
      </c>
      <c r="C342" s="58" t="s">
        <v>1546</v>
      </c>
      <c r="D342" s="58" t="s">
        <v>1547</v>
      </c>
      <c r="E342" s="59" t="s">
        <v>93</v>
      </c>
      <c r="F342" s="58" t="s">
        <v>1548</v>
      </c>
      <c r="G342" s="58" t="s">
        <v>1549</v>
      </c>
      <c r="H342" s="36" t="s">
        <v>105</v>
      </c>
      <c r="I342" s="6"/>
      <c r="J342" s="6"/>
      <c r="K342" s="6"/>
      <c r="L342" s="6"/>
      <c r="M342" s="6"/>
      <c r="N342" s="6"/>
      <c r="O342" s="6"/>
      <c r="P342" s="6"/>
      <c r="Q342" s="6"/>
      <c r="R342" s="6"/>
      <c r="S342" s="6"/>
      <c r="T342" s="6"/>
      <c r="U342" s="6"/>
      <c r="V342" s="6"/>
      <c r="W342" s="6"/>
      <c r="X342" s="6"/>
      <c r="Y342" s="6"/>
      <c r="Z342" s="6"/>
    </row>
    <row r="343" ht="60.0" customHeight="1">
      <c r="A343" s="6"/>
      <c r="B343" s="31">
        <v>338.0</v>
      </c>
      <c r="C343" s="58" t="s">
        <v>1550</v>
      </c>
      <c r="D343" s="58" t="s">
        <v>1551</v>
      </c>
      <c r="E343" s="59" t="s">
        <v>93</v>
      </c>
      <c r="F343" s="58" t="s">
        <v>1552</v>
      </c>
      <c r="G343" s="58" t="s">
        <v>1553</v>
      </c>
      <c r="H343" s="36" t="s">
        <v>105</v>
      </c>
      <c r="I343" s="6"/>
      <c r="J343" s="6"/>
      <c r="K343" s="6"/>
      <c r="L343" s="6"/>
      <c r="M343" s="6"/>
      <c r="N343" s="6"/>
      <c r="O343" s="6"/>
      <c r="P343" s="6"/>
      <c r="Q343" s="6"/>
      <c r="R343" s="6"/>
      <c r="S343" s="6"/>
      <c r="T343" s="6"/>
      <c r="U343" s="6"/>
      <c r="V343" s="6"/>
      <c r="W343" s="6"/>
      <c r="X343" s="6"/>
      <c r="Y343" s="6"/>
      <c r="Z343" s="6"/>
    </row>
    <row r="344" ht="60.0" customHeight="1">
      <c r="A344" s="6"/>
      <c r="B344" s="31">
        <v>339.0</v>
      </c>
      <c r="C344" s="58" t="s">
        <v>1554</v>
      </c>
      <c r="D344" s="58" t="s">
        <v>1555</v>
      </c>
      <c r="E344" s="59" t="s">
        <v>93</v>
      </c>
      <c r="F344" s="58" t="s">
        <v>1556</v>
      </c>
      <c r="G344" s="58" t="s">
        <v>1557</v>
      </c>
      <c r="H344" s="36" t="s">
        <v>105</v>
      </c>
      <c r="I344" s="6"/>
      <c r="J344" s="6"/>
      <c r="K344" s="6"/>
      <c r="L344" s="6"/>
      <c r="M344" s="6"/>
      <c r="N344" s="6"/>
      <c r="O344" s="6"/>
      <c r="P344" s="6"/>
      <c r="Q344" s="6"/>
      <c r="R344" s="6"/>
      <c r="S344" s="6"/>
      <c r="T344" s="6"/>
      <c r="U344" s="6"/>
      <c r="V344" s="6"/>
      <c r="W344" s="6"/>
      <c r="X344" s="6"/>
      <c r="Y344" s="6"/>
      <c r="Z344" s="6"/>
    </row>
    <row r="345" ht="60.0" customHeight="1">
      <c r="A345" s="6"/>
      <c r="B345" s="31">
        <v>340.0</v>
      </c>
      <c r="C345" s="58" t="s">
        <v>1558</v>
      </c>
      <c r="D345" s="58" t="s">
        <v>1559</v>
      </c>
      <c r="E345" s="59" t="s">
        <v>93</v>
      </c>
      <c r="F345" s="58" t="s">
        <v>1560</v>
      </c>
      <c r="G345" s="58" t="s">
        <v>1561</v>
      </c>
      <c r="H345" s="36" t="s">
        <v>105</v>
      </c>
      <c r="I345" s="6"/>
      <c r="J345" s="6"/>
      <c r="K345" s="6"/>
      <c r="L345" s="6"/>
      <c r="M345" s="6"/>
      <c r="N345" s="6"/>
      <c r="O345" s="6"/>
      <c r="P345" s="6"/>
      <c r="Q345" s="6"/>
      <c r="R345" s="6"/>
      <c r="S345" s="6"/>
      <c r="T345" s="6"/>
      <c r="U345" s="6"/>
      <c r="V345" s="6"/>
      <c r="W345" s="6"/>
      <c r="X345" s="6"/>
      <c r="Y345" s="6"/>
      <c r="Z345" s="6"/>
    </row>
    <row r="346" ht="60.0" customHeight="1">
      <c r="A346" s="6"/>
      <c r="B346" s="31">
        <v>341.0</v>
      </c>
      <c r="C346" s="58" t="s">
        <v>1562</v>
      </c>
      <c r="D346" s="58" t="s">
        <v>1563</v>
      </c>
      <c r="E346" s="59" t="s">
        <v>93</v>
      </c>
      <c r="F346" s="58" t="s">
        <v>1564</v>
      </c>
      <c r="G346" s="58" t="s">
        <v>1565</v>
      </c>
      <c r="H346" s="36" t="s">
        <v>105</v>
      </c>
      <c r="I346" s="6"/>
      <c r="J346" s="6"/>
      <c r="K346" s="6"/>
      <c r="L346" s="6"/>
      <c r="M346" s="6"/>
      <c r="N346" s="6"/>
      <c r="O346" s="6"/>
      <c r="P346" s="6"/>
      <c r="Q346" s="6"/>
      <c r="R346" s="6"/>
      <c r="S346" s="6"/>
      <c r="T346" s="6"/>
      <c r="U346" s="6"/>
      <c r="V346" s="6"/>
      <c r="W346" s="6"/>
      <c r="X346" s="6"/>
      <c r="Y346" s="6"/>
      <c r="Z346" s="6"/>
    </row>
    <row r="347" ht="60.0" customHeight="1">
      <c r="A347" s="6"/>
      <c r="B347" s="31">
        <v>342.0</v>
      </c>
      <c r="C347" s="58" t="s">
        <v>1566</v>
      </c>
      <c r="D347" s="58" t="s">
        <v>1567</v>
      </c>
      <c r="E347" s="59" t="s">
        <v>93</v>
      </c>
      <c r="F347" s="58" t="s">
        <v>1568</v>
      </c>
      <c r="G347" s="58" t="s">
        <v>1569</v>
      </c>
      <c r="H347" s="36" t="s">
        <v>105</v>
      </c>
      <c r="I347" s="6"/>
      <c r="J347" s="6"/>
      <c r="K347" s="6"/>
      <c r="L347" s="6"/>
      <c r="M347" s="6"/>
      <c r="N347" s="6"/>
      <c r="O347" s="6"/>
      <c r="P347" s="6"/>
      <c r="Q347" s="6"/>
      <c r="R347" s="6"/>
      <c r="S347" s="6"/>
      <c r="T347" s="6"/>
      <c r="U347" s="6"/>
      <c r="V347" s="6"/>
      <c r="W347" s="6"/>
      <c r="X347" s="6"/>
      <c r="Y347" s="6"/>
      <c r="Z347" s="6"/>
    </row>
    <row r="348" ht="60.0" customHeight="1">
      <c r="A348" s="6"/>
      <c r="B348" s="31">
        <v>343.0</v>
      </c>
      <c r="C348" s="58" t="s">
        <v>1496</v>
      </c>
      <c r="D348" s="58" t="s">
        <v>1570</v>
      </c>
      <c r="E348" s="59" t="s">
        <v>93</v>
      </c>
      <c r="F348" s="58" t="s">
        <v>1571</v>
      </c>
      <c r="G348" s="58" t="s">
        <v>1572</v>
      </c>
      <c r="H348" s="36" t="s">
        <v>105</v>
      </c>
      <c r="I348" s="6"/>
      <c r="J348" s="6"/>
      <c r="K348" s="6"/>
      <c r="L348" s="6"/>
      <c r="M348" s="6"/>
      <c r="N348" s="6"/>
      <c r="O348" s="6"/>
      <c r="P348" s="6"/>
      <c r="Q348" s="6"/>
      <c r="R348" s="6"/>
      <c r="S348" s="6"/>
      <c r="T348" s="6"/>
      <c r="U348" s="6"/>
      <c r="V348" s="6"/>
      <c r="W348" s="6"/>
      <c r="X348" s="6"/>
      <c r="Y348" s="6"/>
      <c r="Z348" s="6"/>
    </row>
    <row r="349" ht="60.0" customHeight="1">
      <c r="A349" s="6"/>
      <c r="B349" s="31">
        <v>344.0</v>
      </c>
      <c r="C349" s="58" t="s">
        <v>1573</v>
      </c>
      <c r="D349" s="58" t="s">
        <v>1574</v>
      </c>
      <c r="E349" s="59" t="s">
        <v>93</v>
      </c>
      <c r="F349" s="58" t="s">
        <v>1575</v>
      </c>
      <c r="G349" s="58" t="s">
        <v>1576</v>
      </c>
      <c r="H349" s="36" t="s">
        <v>105</v>
      </c>
      <c r="I349" s="6"/>
      <c r="J349" s="6"/>
      <c r="K349" s="6"/>
      <c r="L349" s="6"/>
      <c r="M349" s="6"/>
      <c r="N349" s="6"/>
      <c r="O349" s="6"/>
      <c r="P349" s="6"/>
      <c r="Q349" s="6"/>
      <c r="R349" s="6"/>
      <c r="S349" s="6"/>
      <c r="T349" s="6"/>
      <c r="U349" s="6"/>
      <c r="V349" s="6"/>
      <c r="W349" s="6"/>
      <c r="X349" s="6"/>
      <c r="Y349" s="6"/>
      <c r="Z349" s="6"/>
    </row>
    <row r="350" ht="60.0" customHeight="1">
      <c r="A350" s="6"/>
      <c r="B350" s="31">
        <v>345.0</v>
      </c>
      <c r="C350" s="58" t="s">
        <v>1577</v>
      </c>
      <c r="D350" s="58" t="s">
        <v>1578</v>
      </c>
      <c r="E350" s="59" t="s">
        <v>93</v>
      </c>
      <c r="F350" s="58" t="s">
        <v>1579</v>
      </c>
      <c r="G350" s="58" t="s">
        <v>1580</v>
      </c>
      <c r="H350" s="36" t="s">
        <v>105</v>
      </c>
      <c r="I350" s="6"/>
      <c r="J350" s="6"/>
      <c r="K350" s="6"/>
      <c r="L350" s="6"/>
      <c r="M350" s="6"/>
      <c r="N350" s="6"/>
      <c r="O350" s="6"/>
      <c r="P350" s="6"/>
      <c r="Q350" s="6"/>
      <c r="R350" s="6"/>
      <c r="S350" s="6"/>
      <c r="T350" s="6"/>
      <c r="U350" s="6"/>
      <c r="V350" s="6"/>
      <c r="W350" s="6"/>
      <c r="X350" s="6"/>
      <c r="Y350" s="6"/>
      <c r="Z350" s="6"/>
    </row>
    <row r="351" ht="60.0" customHeight="1">
      <c r="A351" s="6"/>
      <c r="B351" s="31">
        <v>346.0</v>
      </c>
      <c r="C351" s="58" t="s">
        <v>1581</v>
      </c>
      <c r="D351" s="58" t="s">
        <v>1582</v>
      </c>
      <c r="E351" s="59" t="s">
        <v>93</v>
      </c>
      <c r="F351" s="58" t="s">
        <v>1583</v>
      </c>
      <c r="G351" s="58" t="s">
        <v>1584</v>
      </c>
      <c r="H351" s="36" t="s">
        <v>105</v>
      </c>
      <c r="I351" s="6"/>
      <c r="J351" s="6"/>
      <c r="K351" s="6"/>
      <c r="L351" s="6"/>
      <c r="M351" s="6"/>
      <c r="N351" s="6"/>
      <c r="O351" s="6"/>
      <c r="P351" s="6"/>
      <c r="Q351" s="6"/>
      <c r="R351" s="6"/>
      <c r="S351" s="6"/>
      <c r="T351" s="6"/>
      <c r="U351" s="6"/>
      <c r="V351" s="6"/>
      <c r="W351" s="6"/>
      <c r="X351" s="6"/>
      <c r="Y351" s="6"/>
      <c r="Z351" s="6"/>
    </row>
    <row r="352" ht="60.0" customHeight="1">
      <c r="A352" s="6"/>
      <c r="B352" s="31">
        <v>347.0</v>
      </c>
      <c r="C352" s="58" t="s">
        <v>1585</v>
      </c>
      <c r="D352" s="58" t="s">
        <v>1586</v>
      </c>
      <c r="E352" s="59" t="s">
        <v>93</v>
      </c>
      <c r="F352" s="58" t="s">
        <v>1587</v>
      </c>
      <c r="G352" s="58" t="s">
        <v>1588</v>
      </c>
      <c r="H352" s="36" t="s">
        <v>105</v>
      </c>
      <c r="I352" s="6"/>
      <c r="J352" s="6"/>
      <c r="K352" s="6"/>
      <c r="L352" s="6"/>
      <c r="M352" s="6"/>
      <c r="N352" s="6"/>
      <c r="O352" s="6"/>
      <c r="P352" s="6"/>
      <c r="Q352" s="6"/>
      <c r="R352" s="6"/>
      <c r="S352" s="6"/>
      <c r="T352" s="6"/>
      <c r="U352" s="6"/>
      <c r="V352" s="6"/>
      <c r="W352" s="6"/>
      <c r="X352" s="6"/>
      <c r="Y352" s="6"/>
      <c r="Z352" s="6"/>
    </row>
    <row r="353" ht="60.0" customHeight="1">
      <c r="A353" s="6"/>
      <c r="B353" s="31">
        <v>348.0</v>
      </c>
      <c r="C353" s="58" t="s">
        <v>1589</v>
      </c>
      <c r="D353" s="58" t="s">
        <v>1590</v>
      </c>
      <c r="E353" s="59" t="s">
        <v>93</v>
      </c>
      <c r="F353" s="58" t="s">
        <v>1591</v>
      </c>
      <c r="G353" s="58" t="s">
        <v>1592</v>
      </c>
      <c r="H353" s="36" t="s">
        <v>105</v>
      </c>
      <c r="I353" s="6"/>
      <c r="J353" s="6"/>
      <c r="K353" s="6"/>
      <c r="L353" s="6"/>
      <c r="M353" s="6"/>
      <c r="N353" s="6"/>
      <c r="O353" s="6"/>
      <c r="P353" s="6"/>
      <c r="Q353" s="6"/>
      <c r="R353" s="6"/>
      <c r="S353" s="6"/>
      <c r="T353" s="6"/>
      <c r="U353" s="6"/>
      <c r="V353" s="6"/>
      <c r="W353" s="6"/>
      <c r="X353" s="6"/>
      <c r="Y353" s="6"/>
      <c r="Z353" s="6"/>
    </row>
    <row r="354" ht="60.0" customHeight="1">
      <c r="A354" s="6"/>
      <c r="B354" s="31">
        <v>349.0</v>
      </c>
      <c r="C354" s="58" t="s">
        <v>1593</v>
      </c>
      <c r="D354" s="58" t="s">
        <v>1594</v>
      </c>
      <c r="E354" s="59" t="s">
        <v>93</v>
      </c>
      <c r="F354" s="58" t="s">
        <v>1595</v>
      </c>
      <c r="G354" s="58" t="s">
        <v>1596</v>
      </c>
      <c r="H354" s="36" t="s">
        <v>105</v>
      </c>
      <c r="I354" s="6"/>
      <c r="J354" s="6"/>
      <c r="K354" s="6"/>
      <c r="L354" s="6"/>
      <c r="M354" s="6"/>
      <c r="N354" s="6"/>
      <c r="O354" s="6"/>
      <c r="P354" s="6"/>
      <c r="Q354" s="6"/>
      <c r="R354" s="6"/>
      <c r="S354" s="6"/>
      <c r="T354" s="6"/>
      <c r="U354" s="6"/>
      <c r="V354" s="6"/>
      <c r="W354" s="6"/>
      <c r="X354" s="6"/>
      <c r="Y354" s="6"/>
      <c r="Z354" s="6"/>
    </row>
    <row r="355" ht="60.0" customHeight="1">
      <c r="A355" s="6"/>
      <c r="B355" s="31">
        <v>350.0</v>
      </c>
      <c r="C355" s="58" t="s">
        <v>1597</v>
      </c>
      <c r="D355" s="58" t="s">
        <v>1598</v>
      </c>
      <c r="E355" s="59" t="s">
        <v>93</v>
      </c>
      <c r="F355" s="58" t="s">
        <v>1599</v>
      </c>
      <c r="G355" s="58" t="s">
        <v>1600</v>
      </c>
      <c r="H355" s="36" t="s">
        <v>105</v>
      </c>
      <c r="I355" s="6"/>
      <c r="J355" s="6"/>
      <c r="K355" s="6"/>
      <c r="L355" s="6"/>
      <c r="M355" s="6"/>
      <c r="N355" s="6"/>
      <c r="O355" s="6"/>
      <c r="P355" s="6"/>
      <c r="Q355" s="6"/>
      <c r="R355" s="6"/>
      <c r="S355" s="6"/>
      <c r="T355" s="6"/>
      <c r="U355" s="6"/>
      <c r="V355" s="6"/>
      <c r="W355" s="6"/>
      <c r="X355" s="6"/>
      <c r="Y355" s="6"/>
      <c r="Z355" s="6"/>
    </row>
    <row r="356" ht="60.0" customHeight="1">
      <c r="A356" s="6"/>
      <c r="B356" s="31">
        <v>351.0</v>
      </c>
      <c r="C356" s="58" t="s">
        <v>1601</v>
      </c>
      <c r="D356" s="58" t="s">
        <v>1602</v>
      </c>
      <c r="E356" s="59" t="s">
        <v>93</v>
      </c>
      <c r="F356" s="58" t="s">
        <v>1603</v>
      </c>
      <c r="G356" s="58" t="s">
        <v>1604</v>
      </c>
      <c r="H356" s="36" t="s">
        <v>105</v>
      </c>
      <c r="I356" s="6"/>
      <c r="J356" s="6"/>
      <c r="K356" s="6"/>
      <c r="L356" s="6"/>
      <c r="M356" s="6"/>
      <c r="N356" s="6"/>
      <c r="O356" s="6"/>
      <c r="P356" s="6"/>
      <c r="Q356" s="6"/>
      <c r="R356" s="6"/>
      <c r="S356" s="6"/>
      <c r="T356" s="6"/>
      <c r="U356" s="6"/>
      <c r="V356" s="6"/>
      <c r="W356" s="6"/>
      <c r="X356" s="6"/>
      <c r="Y356" s="6"/>
      <c r="Z356" s="6"/>
    </row>
    <row r="357" ht="60.0" customHeight="1">
      <c r="A357" s="6"/>
      <c r="B357" s="31">
        <v>352.0</v>
      </c>
      <c r="C357" s="58" t="s">
        <v>1605</v>
      </c>
      <c r="D357" s="58" t="s">
        <v>1606</v>
      </c>
      <c r="E357" s="59" t="s">
        <v>93</v>
      </c>
      <c r="F357" s="58" t="s">
        <v>1607</v>
      </c>
      <c r="G357" s="58" t="s">
        <v>1608</v>
      </c>
      <c r="H357" s="36" t="s">
        <v>105</v>
      </c>
      <c r="I357" s="6"/>
      <c r="J357" s="6"/>
      <c r="K357" s="6"/>
      <c r="L357" s="6"/>
      <c r="M357" s="6"/>
      <c r="N357" s="6"/>
      <c r="O357" s="6"/>
      <c r="P357" s="6"/>
      <c r="Q357" s="6"/>
      <c r="R357" s="6"/>
      <c r="S357" s="6"/>
      <c r="T357" s="6"/>
      <c r="U357" s="6"/>
      <c r="V357" s="6"/>
      <c r="W357" s="6"/>
      <c r="X357" s="6"/>
      <c r="Y357" s="6"/>
      <c r="Z357" s="6"/>
    </row>
    <row r="358" ht="60.0" customHeight="1">
      <c r="A358" s="6"/>
      <c r="B358" s="31">
        <v>353.0</v>
      </c>
      <c r="C358" s="58" t="s">
        <v>1609</v>
      </c>
      <c r="D358" s="58" t="s">
        <v>1610</v>
      </c>
      <c r="E358" s="59" t="s">
        <v>93</v>
      </c>
      <c r="F358" s="58" t="s">
        <v>1611</v>
      </c>
      <c r="G358" s="58" t="s">
        <v>1612</v>
      </c>
      <c r="H358" s="36" t="s">
        <v>105</v>
      </c>
      <c r="I358" s="6"/>
      <c r="J358" s="6"/>
      <c r="K358" s="6"/>
      <c r="L358" s="6"/>
      <c r="M358" s="6"/>
      <c r="N358" s="6"/>
      <c r="O358" s="6"/>
      <c r="P358" s="6"/>
      <c r="Q358" s="6"/>
      <c r="R358" s="6"/>
      <c r="S358" s="6"/>
      <c r="T358" s="6"/>
      <c r="U358" s="6"/>
      <c r="V358" s="6"/>
      <c r="W358" s="6"/>
      <c r="X358" s="6"/>
      <c r="Y358" s="6"/>
      <c r="Z358" s="6"/>
    </row>
    <row r="359" ht="60.0" customHeight="1">
      <c r="A359" s="6"/>
      <c r="B359" s="31">
        <v>354.0</v>
      </c>
      <c r="C359" s="58" t="s">
        <v>1613</v>
      </c>
      <c r="D359" s="58" t="s">
        <v>1614</v>
      </c>
      <c r="E359" s="59" t="s">
        <v>93</v>
      </c>
      <c r="F359" s="58" t="s">
        <v>1615</v>
      </c>
      <c r="G359" s="58" t="s">
        <v>1616</v>
      </c>
      <c r="H359" s="36" t="s">
        <v>105</v>
      </c>
      <c r="I359" s="6"/>
      <c r="J359" s="6"/>
      <c r="K359" s="6"/>
      <c r="L359" s="6"/>
      <c r="M359" s="6"/>
      <c r="N359" s="6"/>
      <c r="O359" s="6"/>
      <c r="P359" s="6"/>
      <c r="Q359" s="6"/>
      <c r="R359" s="6"/>
      <c r="S359" s="6"/>
      <c r="T359" s="6"/>
      <c r="U359" s="6"/>
      <c r="V359" s="6"/>
      <c r="W359" s="6"/>
      <c r="X359" s="6"/>
      <c r="Y359" s="6"/>
      <c r="Z359" s="6"/>
    </row>
    <row r="360" ht="60.0" customHeight="1">
      <c r="A360" s="6"/>
      <c r="B360" s="31">
        <v>355.0</v>
      </c>
      <c r="C360" s="58" t="s">
        <v>1617</v>
      </c>
      <c r="D360" s="58" t="s">
        <v>1618</v>
      </c>
      <c r="E360" s="59" t="s">
        <v>93</v>
      </c>
      <c r="F360" s="58" t="s">
        <v>1619</v>
      </c>
      <c r="G360" s="58" t="s">
        <v>1620</v>
      </c>
      <c r="H360" s="36" t="s">
        <v>105</v>
      </c>
      <c r="I360" s="6"/>
      <c r="J360" s="6"/>
      <c r="K360" s="6"/>
      <c r="L360" s="6"/>
      <c r="M360" s="6"/>
      <c r="N360" s="6"/>
      <c r="O360" s="6"/>
      <c r="P360" s="6"/>
      <c r="Q360" s="6"/>
      <c r="R360" s="6"/>
      <c r="S360" s="6"/>
      <c r="T360" s="6"/>
      <c r="U360" s="6"/>
      <c r="V360" s="6"/>
      <c r="W360" s="6"/>
      <c r="X360" s="6"/>
      <c r="Y360" s="6"/>
      <c r="Z360" s="6"/>
    </row>
    <row r="361" ht="60.0" customHeight="1">
      <c r="A361" s="6"/>
      <c r="B361" s="31">
        <v>356.0</v>
      </c>
      <c r="C361" s="58" t="s">
        <v>1621</v>
      </c>
      <c r="D361" s="58" t="s">
        <v>1622</v>
      </c>
      <c r="E361" s="59" t="s">
        <v>93</v>
      </c>
      <c r="F361" s="58" t="s">
        <v>1623</v>
      </c>
      <c r="G361" s="58" t="s">
        <v>1624</v>
      </c>
      <c r="H361" s="36" t="s">
        <v>105</v>
      </c>
      <c r="I361" s="6"/>
      <c r="J361" s="6"/>
      <c r="K361" s="6"/>
      <c r="L361" s="6"/>
      <c r="M361" s="6"/>
      <c r="N361" s="6"/>
      <c r="O361" s="6"/>
      <c r="P361" s="6"/>
      <c r="Q361" s="6"/>
      <c r="R361" s="6"/>
      <c r="S361" s="6"/>
      <c r="T361" s="6"/>
      <c r="U361" s="6"/>
      <c r="V361" s="6"/>
      <c r="W361" s="6"/>
      <c r="X361" s="6"/>
      <c r="Y361" s="6"/>
      <c r="Z361" s="6"/>
    </row>
    <row r="362" ht="60.0" customHeight="1">
      <c r="A362" s="6"/>
      <c r="B362" s="31">
        <v>357.0</v>
      </c>
      <c r="C362" s="58" t="s">
        <v>1625</v>
      </c>
      <c r="D362" s="58" t="s">
        <v>1626</v>
      </c>
      <c r="E362" s="59" t="s">
        <v>93</v>
      </c>
      <c r="F362" s="58" t="s">
        <v>1627</v>
      </c>
      <c r="G362" s="58" t="s">
        <v>1628</v>
      </c>
      <c r="H362" s="36" t="s">
        <v>105</v>
      </c>
      <c r="I362" s="6"/>
      <c r="J362" s="6"/>
      <c r="K362" s="6"/>
      <c r="L362" s="6"/>
      <c r="M362" s="6"/>
      <c r="N362" s="6"/>
      <c r="O362" s="6"/>
      <c r="P362" s="6"/>
      <c r="Q362" s="6"/>
      <c r="R362" s="6"/>
      <c r="S362" s="6"/>
      <c r="T362" s="6"/>
      <c r="U362" s="6"/>
      <c r="V362" s="6"/>
      <c r="W362" s="6"/>
      <c r="X362" s="6"/>
      <c r="Y362" s="6"/>
      <c r="Z362" s="6"/>
    </row>
    <row r="363" ht="60.0" customHeight="1">
      <c r="A363" s="6"/>
      <c r="B363" s="31">
        <v>358.0</v>
      </c>
      <c r="C363" s="58" t="s">
        <v>1629</v>
      </c>
      <c r="D363" s="58" t="s">
        <v>1630</v>
      </c>
      <c r="E363" s="59" t="s">
        <v>93</v>
      </c>
      <c r="F363" s="58" t="s">
        <v>1631</v>
      </c>
      <c r="G363" s="58" t="s">
        <v>1632</v>
      </c>
      <c r="H363" s="36" t="s">
        <v>105</v>
      </c>
      <c r="I363" s="6"/>
      <c r="J363" s="6"/>
      <c r="K363" s="6"/>
      <c r="L363" s="6"/>
      <c r="M363" s="6"/>
      <c r="N363" s="6"/>
      <c r="O363" s="6"/>
      <c r="P363" s="6"/>
      <c r="Q363" s="6"/>
      <c r="R363" s="6"/>
      <c r="S363" s="6"/>
      <c r="T363" s="6"/>
      <c r="U363" s="6"/>
      <c r="V363" s="6"/>
      <c r="W363" s="6"/>
      <c r="X363" s="6"/>
      <c r="Y363" s="6"/>
      <c r="Z363" s="6"/>
    </row>
    <row r="364" ht="60.0" customHeight="1">
      <c r="A364" s="6"/>
      <c r="B364" s="31">
        <v>359.0</v>
      </c>
      <c r="C364" s="58" t="s">
        <v>1633</v>
      </c>
      <c r="D364" s="58" t="s">
        <v>1634</v>
      </c>
      <c r="E364" s="59" t="s">
        <v>93</v>
      </c>
      <c r="F364" s="58" t="s">
        <v>1635</v>
      </c>
      <c r="G364" s="58" t="s">
        <v>1636</v>
      </c>
      <c r="H364" s="36" t="s">
        <v>105</v>
      </c>
      <c r="I364" s="6"/>
      <c r="J364" s="6"/>
      <c r="K364" s="6"/>
      <c r="L364" s="6"/>
      <c r="M364" s="6"/>
      <c r="N364" s="6"/>
      <c r="O364" s="6"/>
      <c r="P364" s="6"/>
      <c r="Q364" s="6"/>
      <c r="R364" s="6"/>
      <c r="S364" s="6"/>
      <c r="T364" s="6"/>
      <c r="U364" s="6"/>
      <c r="V364" s="6"/>
      <c r="W364" s="6"/>
      <c r="X364" s="6"/>
      <c r="Y364" s="6"/>
      <c r="Z364" s="6"/>
    </row>
    <row r="365" ht="60.0" customHeight="1">
      <c r="A365" s="6"/>
      <c r="B365" s="31">
        <v>360.0</v>
      </c>
      <c r="C365" s="58" t="s">
        <v>1637</v>
      </c>
      <c r="D365" s="58" t="s">
        <v>1638</v>
      </c>
      <c r="E365" s="59" t="s">
        <v>93</v>
      </c>
      <c r="F365" s="58" t="s">
        <v>1639</v>
      </c>
      <c r="G365" s="58" t="s">
        <v>1640</v>
      </c>
      <c r="H365" s="36" t="s">
        <v>105</v>
      </c>
      <c r="I365" s="6"/>
      <c r="J365" s="6"/>
      <c r="K365" s="6"/>
      <c r="L365" s="6"/>
      <c r="M365" s="6"/>
      <c r="N365" s="6"/>
      <c r="O365" s="6"/>
      <c r="P365" s="6"/>
      <c r="Q365" s="6"/>
      <c r="R365" s="6"/>
      <c r="S365" s="6"/>
      <c r="T365" s="6"/>
      <c r="U365" s="6"/>
      <c r="V365" s="6"/>
      <c r="W365" s="6"/>
      <c r="X365" s="6"/>
      <c r="Y365" s="6"/>
      <c r="Z365" s="6"/>
    </row>
    <row r="366" ht="60.0" customHeight="1">
      <c r="A366" s="6"/>
      <c r="B366" s="31">
        <v>361.0</v>
      </c>
      <c r="C366" s="58" t="s">
        <v>1641</v>
      </c>
      <c r="D366" s="58" t="s">
        <v>1642</v>
      </c>
      <c r="E366" s="59" t="s">
        <v>93</v>
      </c>
      <c r="F366" s="58" t="s">
        <v>1643</v>
      </c>
      <c r="G366" s="58" t="s">
        <v>1644</v>
      </c>
      <c r="H366" s="36" t="s">
        <v>105</v>
      </c>
      <c r="I366" s="6"/>
      <c r="J366" s="6"/>
      <c r="K366" s="6"/>
      <c r="L366" s="6"/>
      <c r="M366" s="6"/>
      <c r="N366" s="6"/>
      <c r="O366" s="6"/>
      <c r="P366" s="6"/>
      <c r="Q366" s="6"/>
      <c r="R366" s="6"/>
      <c r="S366" s="6"/>
      <c r="T366" s="6"/>
      <c r="U366" s="6"/>
      <c r="V366" s="6"/>
      <c r="W366" s="6"/>
      <c r="X366" s="6"/>
      <c r="Y366" s="6"/>
      <c r="Z366" s="6"/>
    </row>
    <row r="367" ht="60.0" customHeight="1">
      <c r="A367" s="6"/>
      <c r="B367" s="31">
        <v>362.0</v>
      </c>
      <c r="C367" s="58" t="s">
        <v>1645</v>
      </c>
      <c r="D367" s="58" t="s">
        <v>1646</v>
      </c>
      <c r="E367" s="59" t="s">
        <v>93</v>
      </c>
      <c r="F367" s="58" t="s">
        <v>1647</v>
      </c>
      <c r="G367" s="58" t="s">
        <v>1648</v>
      </c>
      <c r="H367" s="36" t="s">
        <v>105</v>
      </c>
      <c r="I367" s="6"/>
      <c r="J367" s="6"/>
      <c r="K367" s="6"/>
      <c r="L367" s="6"/>
      <c r="M367" s="6"/>
      <c r="N367" s="6"/>
      <c r="O367" s="6"/>
      <c r="P367" s="6"/>
      <c r="Q367" s="6"/>
      <c r="R367" s="6"/>
      <c r="S367" s="6"/>
      <c r="T367" s="6"/>
      <c r="U367" s="6"/>
      <c r="V367" s="6"/>
      <c r="W367" s="6"/>
      <c r="X367" s="6"/>
      <c r="Y367" s="6"/>
      <c r="Z367" s="6"/>
    </row>
    <row r="368" ht="60.0" customHeight="1">
      <c r="A368" s="6"/>
      <c r="B368" s="31">
        <v>363.0</v>
      </c>
      <c r="C368" s="58" t="s">
        <v>1649</v>
      </c>
      <c r="D368" s="58" t="s">
        <v>1650</v>
      </c>
      <c r="E368" s="59" t="s">
        <v>93</v>
      </c>
      <c r="F368" s="58" t="s">
        <v>1651</v>
      </c>
      <c r="G368" s="58" t="s">
        <v>1652</v>
      </c>
      <c r="H368" s="36" t="s">
        <v>105</v>
      </c>
      <c r="I368" s="6"/>
      <c r="J368" s="6"/>
      <c r="K368" s="6"/>
      <c r="L368" s="6"/>
      <c r="M368" s="6"/>
      <c r="N368" s="6"/>
      <c r="O368" s="6"/>
      <c r="P368" s="6"/>
      <c r="Q368" s="6"/>
      <c r="R368" s="6"/>
      <c r="S368" s="6"/>
      <c r="T368" s="6"/>
      <c r="U368" s="6"/>
      <c r="V368" s="6"/>
      <c r="W368" s="6"/>
      <c r="X368" s="6"/>
      <c r="Y368" s="6"/>
      <c r="Z368" s="6"/>
    </row>
    <row r="369" ht="60.0" customHeight="1">
      <c r="A369" s="6"/>
      <c r="B369" s="31">
        <v>364.0</v>
      </c>
      <c r="C369" s="58" t="s">
        <v>1653</v>
      </c>
      <c r="D369" s="58" t="s">
        <v>1654</v>
      </c>
      <c r="E369" s="59" t="s">
        <v>93</v>
      </c>
      <c r="F369" s="58" t="s">
        <v>1655</v>
      </c>
      <c r="G369" s="58" t="s">
        <v>1656</v>
      </c>
      <c r="H369" s="36" t="s">
        <v>105</v>
      </c>
      <c r="I369" s="6"/>
      <c r="J369" s="6"/>
      <c r="K369" s="6"/>
      <c r="L369" s="6"/>
      <c r="M369" s="6"/>
      <c r="N369" s="6"/>
      <c r="O369" s="6"/>
      <c r="P369" s="6"/>
      <c r="Q369" s="6"/>
      <c r="R369" s="6"/>
      <c r="S369" s="6"/>
      <c r="T369" s="6"/>
      <c r="U369" s="6"/>
      <c r="V369" s="6"/>
      <c r="W369" s="6"/>
      <c r="X369" s="6"/>
      <c r="Y369" s="6"/>
      <c r="Z369" s="6"/>
    </row>
    <row r="370" ht="60.0" customHeight="1">
      <c r="A370" s="6"/>
      <c r="B370" s="31">
        <v>365.0</v>
      </c>
      <c r="C370" s="58" t="s">
        <v>1657</v>
      </c>
      <c r="D370" s="58" t="s">
        <v>1658</v>
      </c>
      <c r="E370" s="59" t="s">
        <v>93</v>
      </c>
      <c r="F370" s="58" t="s">
        <v>1659</v>
      </c>
      <c r="G370" s="58" t="s">
        <v>1660</v>
      </c>
      <c r="H370" s="36" t="s">
        <v>105</v>
      </c>
      <c r="I370" s="6"/>
      <c r="J370" s="6"/>
      <c r="K370" s="6"/>
      <c r="L370" s="6"/>
      <c r="M370" s="6"/>
      <c r="N370" s="6"/>
      <c r="O370" s="6"/>
      <c r="P370" s="6"/>
      <c r="Q370" s="6"/>
      <c r="R370" s="6"/>
      <c r="S370" s="6"/>
      <c r="T370" s="6"/>
      <c r="U370" s="6"/>
      <c r="V370" s="6"/>
      <c r="W370" s="6"/>
      <c r="X370" s="6"/>
      <c r="Y370" s="6"/>
      <c r="Z370" s="6"/>
    </row>
    <row r="371" ht="60.0" customHeight="1">
      <c r="A371" s="6"/>
      <c r="B371" s="31">
        <v>366.0</v>
      </c>
      <c r="C371" s="58" t="s">
        <v>1661</v>
      </c>
      <c r="D371" s="58" t="s">
        <v>1662</v>
      </c>
      <c r="E371" s="59" t="s">
        <v>93</v>
      </c>
      <c r="F371" s="58" t="s">
        <v>1663</v>
      </c>
      <c r="G371" s="58" t="s">
        <v>1664</v>
      </c>
      <c r="H371" s="36" t="s">
        <v>105</v>
      </c>
      <c r="I371" s="6"/>
      <c r="J371" s="6"/>
      <c r="K371" s="6"/>
      <c r="L371" s="6"/>
      <c r="M371" s="6"/>
      <c r="N371" s="6"/>
      <c r="O371" s="6"/>
      <c r="P371" s="6"/>
      <c r="Q371" s="6"/>
      <c r="R371" s="6"/>
      <c r="S371" s="6"/>
      <c r="T371" s="6"/>
      <c r="U371" s="6"/>
      <c r="V371" s="6"/>
      <c r="W371" s="6"/>
      <c r="X371" s="6"/>
      <c r="Y371" s="6"/>
      <c r="Z371" s="6"/>
    </row>
    <row r="372" ht="60.0" customHeight="1">
      <c r="A372" s="6"/>
      <c r="B372" s="31">
        <v>367.0</v>
      </c>
      <c r="C372" s="58" t="s">
        <v>1665</v>
      </c>
      <c r="D372" s="58" t="s">
        <v>1666</v>
      </c>
      <c r="E372" s="59" t="s">
        <v>93</v>
      </c>
      <c r="F372" s="58" t="s">
        <v>1667</v>
      </c>
      <c r="G372" s="58" t="s">
        <v>1668</v>
      </c>
      <c r="H372" s="36" t="s">
        <v>105</v>
      </c>
      <c r="I372" s="6"/>
      <c r="J372" s="6"/>
      <c r="K372" s="6"/>
      <c r="L372" s="6"/>
      <c r="M372" s="6"/>
      <c r="N372" s="6"/>
      <c r="O372" s="6"/>
      <c r="P372" s="6"/>
      <c r="Q372" s="6"/>
      <c r="R372" s="6"/>
      <c r="S372" s="6"/>
      <c r="T372" s="6"/>
      <c r="U372" s="6"/>
      <c r="V372" s="6"/>
      <c r="W372" s="6"/>
      <c r="X372" s="6"/>
      <c r="Y372" s="6"/>
      <c r="Z372" s="6"/>
    </row>
    <row r="373" ht="60.0" customHeight="1">
      <c r="A373" s="6"/>
      <c r="B373" s="31">
        <v>368.0</v>
      </c>
      <c r="C373" s="58" t="s">
        <v>1669</v>
      </c>
      <c r="D373" s="58" t="s">
        <v>1670</v>
      </c>
      <c r="E373" s="59" t="s">
        <v>93</v>
      </c>
      <c r="F373" s="58" t="s">
        <v>1671</v>
      </c>
      <c r="G373" s="58" t="s">
        <v>1672</v>
      </c>
      <c r="H373" s="36" t="s">
        <v>105</v>
      </c>
      <c r="I373" s="6"/>
      <c r="J373" s="6"/>
      <c r="K373" s="6"/>
      <c r="L373" s="6"/>
      <c r="M373" s="6"/>
      <c r="N373" s="6"/>
      <c r="O373" s="6"/>
      <c r="P373" s="6"/>
      <c r="Q373" s="6"/>
      <c r="R373" s="6"/>
      <c r="S373" s="6"/>
      <c r="T373" s="6"/>
      <c r="U373" s="6"/>
      <c r="V373" s="6"/>
      <c r="W373" s="6"/>
      <c r="X373" s="6"/>
      <c r="Y373" s="6"/>
      <c r="Z373" s="6"/>
    </row>
    <row r="374" ht="60.0" customHeight="1">
      <c r="A374" s="6"/>
      <c r="B374" s="31">
        <v>369.0</v>
      </c>
      <c r="C374" s="58" t="s">
        <v>1673</v>
      </c>
      <c r="D374" s="58" t="s">
        <v>1674</v>
      </c>
      <c r="E374" s="59" t="s">
        <v>93</v>
      </c>
      <c r="F374" s="58" t="s">
        <v>1675</v>
      </c>
      <c r="G374" s="58" t="s">
        <v>1676</v>
      </c>
      <c r="H374" s="36" t="s">
        <v>105</v>
      </c>
      <c r="I374" s="6"/>
      <c r="J374" s="6"/>
      <c r="K374" s="6"/>
      <c r="L374" s="6"/>
      <c r="M374" s="6"/>
      <c r="N374" s="6"/>
      <c r="O374" s="6"/>
      <c r="P374" s="6"/>
      <c r="Q374" s="6"/>
      <c r="R374" s="6"/>
      <c r="S374" s="6"/>
      <c r="T374" s="6"/>
      <c r="U374" s="6"/>
      <c r="V374" s="6"/>
      <c r="W374" s="6"/>
      <c r="X374" s="6"/>
      <c r="Y374" s="6"/>
      <c r="Z374" s="6"/>
    </row>
    <row r="375" ht="60.0" customHeight="1">
      <c r="A375" s="6"/>
      <c r="B375" s="31">
        <v>370.0</v>
      </c>
      <c r="C375" s="58" t="s">
        <v>1677</v>
      </c>
      <c r="D375" s="58" t="s">
        <v>1678</v>
      </c>
      <c r="E375" s="59" t="s">
        <v>93</v>
      </c>
      <c r="F375" s="58" t="s">
        <v>1679</v>
      </c>
      <c r="G375" s="58" t="s">
        <v>1680</v>
      </c>
      <c r="H375" s="36" t="s">
        <v>105</v>
      </c>
      <c r="I375" s="6"/>
      <c r="J375" s="6"/>
      <c r="K375" s="6"/>
      <c r="L375" s="6"/>
      <c r="M375" s="6"/>
      <c r="N375" s="6"/>
      <c r="O375" s="6"/>
      <c r="P375" s="6"/>
      <c r="Q375" s="6"/>
      <c r="R375" s="6"/>
      <c r="S375" s="6"/>
      <c r="T375" s="6"/>
      <c r="U375" s="6"/>
      <c r="V375" s="6"/>
      <c r="W375" s="6"/>
      <c r="X375" s="6"/>
      <c r="Y375" s="6"/>
      <c r="Z375" s="6"/>
    </row>
    <row r="376" ht="60.0" customHeight="1">
      <c r="A376" s="6"/>
      <c r="B376" s="31">
        <v>371.0</v>
      </c>
      <c r="C376" s="58" t="s">
        <v>1681</v>
      </c>
      <c r="D376" s="58" t="s">
        <v>1682</v>
      </c>
      <c r="E376" s="59" t="s">
        <v>93</v>
      </c>
      <c r="F376" s="58" t="s">
        <v>1683</v>
      </c>
      <c r="G376" s="58" t="s">
        <v>1684</v>
      </c>
      <c r="H376" s="36" t="s">
        <v>105</v>
      </c>
      <c r="I376" s="6"/>
      <c r="J376" s="6"/>
      <c r="K376" s="6"/>
      <c r="L376" s="6"/>
      <c r="M376" s="6"/>
      <c r="N376" s="6"/>
      <c r="O376" s="6"/>
      <c r="P376" s="6"/>
      <c r="Q376" s="6"/>
      <c r="R376" s="6"/>
      <c r="S376" s="6"/>
      <c r="T376" s="6"/>
      <c r="U376" s="6"/>
      <c r="V376" s="6"/>
      <c r="W376" s="6"/>
      <c r="X376" s="6"/>
      <c r="Y376" s="6"/>
      <c r="Z376" s="6"/>
    </row>
    <row r="377" ht="60.0" customHeight="1">
      <c r="A377" s="6"/>
      <c r="B377" s="31">
        <v>372.0</v>
      </c>
      <c r="C377" s="58" t="s">
        <v>1685</v>
      </c>
      <c r="D377" s="58" t="s">
        <v>1686</v>
      </c>
      <c r="E377" s="59" t="s">
        <v>93</v>
      </c>
      <c r="F377" s="58" t="s">
        <v>1687</v>
      </c>
      <c r="G377" s="58" t="s">
        <v>1688</v>
      </c>
      <c r="H377" s="36" t="s">
        <v>105</v>
      </c>
      <c r="I377" s="6"/>
      <c r="J377" s="6"/>
      <c r="K377" s="6"/>
      <c r="L377" s="6"/>
      <c r="M377" s="6"/>
      <c r="N377" s="6"/>
      <c r="O377" s="6"/>
      <c r="P377" s="6"/>
      <c r="Q377" s="6"/>
      <c r="R377" s="6"/>
      <c r="S377" s="6"/>
      <c r="T377" s="6"/>
      <c r="U377" s="6"/>
      <c r="V377" s="6"/>
      <c r="W377" s="6"/>
      <c r="X377" s="6"/>
      <c r="Y377" s="6"/>
      <c r="Z377" s="6"/>
    </row>
    <row r="378" ht="60.0" customHeight="1">
      <c r="A378" s="6"/>
      <c r="B378" s="31">
        <v>373.0</v>
      </c>
      <c r="C378" s="58" t="s">
        <v>1689</v>
      </c>
      <c r="D378" s="58" t="s">
        <v>1690</v>
      </c>
      <c r="E378" s="59" t="s">
        <v>93</v>
      </c>
      <c r="F378" s="58" t="s">
        <v>1691</v>
      </c>
      <c r="G378" s="58" t="s">
        <v>1692</v>
      </c>
      <c r="H378" s="36" t="s">
        <v>105</v>
      </c>
      <c r="I378" s="6"/>
      <c r="J378" s="6"/>
      <c r="K378" s="6"/>
      <c r="L378" s="6"/>
      <c r="M378" s="6"/>
      <c r="N378" s="6"/>
      <c r="O378" s="6"/>
      <c r="P378" s="6"/>
      <c r="Q378" s="6"/>
      <c r="R378" s="6"/>
      <c r="S378" s="6"/>
      <c r="T378" s="6"/>
      <c r="U378" s="6"/>
      <c r="V378" s="6"/>
      <c r="W378" s="6"/>
      <c r="X378" s="6"/>
      <c r="Y378" s="6"/>
      <c r="Z378" s="6"/>
    </row>
    <row r="379" ht="60.0" customHeight="1">
      <c r="A379" s="6"/>
      <c r="B379" s="31">
        <v>374.0</v>
      </c>
      <c r="C379" s="58" t="s">
        <v>1693</v>
      </c>
      <c r="D379" s="58" t="s">
        <v>1694</v>
      </c>
      <c r="E379" s="59" t="s">
        <v>93</v>
      </c>
      <c r="F379" s="58" t="s">
        <v>1695</v>
      </c>
      <c r="G379" s="58" t="s">
        <v>1696</v>
      </c>
      <c r="H379" s="36" t="s">
        <v>105</v>
      </c>
      <c r="I379" s="6"/>
      <c r="J379" s="6"/>
      <c r="K379" s="6"/>
      <c r="L379" s="6"/>
      <c r="M379" s="6"/>
      <c r="N379" s="6"/>
      <c r="O379" s="6"/>
      <c r="P379" s="6"/>
      <c r="Q379" s="6"/>
      <c r="R379" s="6"/>
      <c r="S379" s="6"/>
      <c r="T379" s="6"/>
      <c r="U379" s="6"/>
      <c r="V379" s="6"/>
      <c r="W379" s="6"/>
      <c r="X379" s="6"/>
      <c r="Y379" s="6"/>
      <c r="Z379" s="6"/>
    </row>
    <row r="380" ht="60.0" customHeight="1">
      <c r="A380" s="6"/>
      <c r="B380" s="31">
        <v>375.0</v>
      </c>
      <c r="C380" s="58" t="s">
        <v>1697</v>
      </c>
      <c r="D380" s="58" t="s">
        <v>1698</v>
      </c>
      <c r="E380" s="59" t="s">
        <v>93</v>
      </c>
      <c r="F380" s="58" t="s">
        <v>1699</v>
      </c>
      <c r="G380" s="58" t="s">
        <v>1700</v>
      </c>
      <c r="H380" s="36" t="s">
        <v>105</v>
      </c>
      <c r="I380" s="6"/>
      <c r="J380" s="6"/>
      <c r="K380" s="6"/>
      <c r="L380" s="6"/>
      <c r="M380" s="6"/>
      <c r="N380" s="6"/>
      <c r="O380" s="6"/>
      <c r="P380" s="6"/>
      <c r="Q380" s="6"/>
      <c r="R380" s="6"/>
      <c r="S380" s="6"/>
      <c r="T380" s="6"/>
      <c r="U380" s="6"/>
      <c r="V380" s="6"/>
      <c r="W380" s="6"/>
      <c r="X380" s="6"/>
      <c r="Y380" s="6"/>
      <c r="Z380" s="6"/>
    </row>
    <row r="381" ht="60.0" customHeight="1">
      <c r="A381" s="6"/>
      <c r="B381" s="31">
        <v>376.0</v>
      </c>
      <c r="C381" s="58" t="s">
        <v>1701</v>
      </c>
      <c r="D381" s="58" t="s">
        <v>1702</v>
      </c>
      <c r="E381" s="59" t="s">
        <v>93</v>
      </c>
      <c r="F381" s="58" t="s">
        <v>1703</v>
      </c>
      <c r="G381" s="58" t="s">
        <v>1704</v>
      </c>
      <c r="H381" s="36" t="s">
        <v>105</v>
      </c>
      <c r="I381" s="6"/>
      <c r="J381" s="6"/>
      <c r="K381" s="6"/>
      <c r="L381" s="6"/>
      <c r="M381" s="6"/>
      <c r="N381" s="6"/>
      <c r="O381" s="6"/>
      <c r="P381" s="6"/>
      <c r="Q381" s="6"/>
      <c r="R381" s="6"/>
      <c r="S381" s="6"/>
      <c r="T381" s="6"/>
      <c r="U381" s="6"/>
      <c r="V381" s="6"/>
      <c r="W381" s="6"/>
      <c r="X381" s="6"/>
      <c r="Y381" s="6"/>
      <c r="Z381" s="6"/>
    </row>
    <row r="382" ht="60.0" customHeight="1">
      <c r="A382" s="6"/>
      <c r="B382" s="31">
        <v>377.0</v>
      </c>
      <c r="C382" s="58" t="s">
        <v>1705</v>
      </c>
      <c r="D382" s="58" t="s">
        <v>1706</v>
      </c>
      <c r="E382" s="59" t="s">
        <v>93</v>
      </c>
      <c r="F382" s="58" t="s">
        <v>1707</v>
      </c>
      <c r="G382" s="58" t="s">
        <v>1708</v>
      </c>
      <c r="H382" s="36" t="s">
        <v>105</v>
      </c>
      <c r="I382" s="6"/>
      <c r="J382" s="6"/>
      <c r="K382" s="6"/>
      <c r="L382" s="6"/>
      <c r="M382" s="6"/>
      <c r="N382" s="6"/>
      <c r="O382" s="6"/>
      <c r="P382" s="6"/>
      <c r="Q382" s="6"/>
      <c r="R382" s="6"/>
      <c r="S382" s="6"/>
      <c r="T382" s="6"/>
      <c r="U382" s="6"/>
      <c r="V382" s="6"/>
      <c r="W382" s="6"/>
      <c r="X382" s="6"/>
      <c r="Y382" s="6"/>
      <c r="Z382" s="6"/>
    </row>
    <row r="383" ht="60.0" customHeight="1">
      <c r="A383" s="6"/>
      <c r="B383" s="31">
        <v>378.0</v>
      </c>
      <c r="C383" s="58" t="s">
        <v>1709</v>
      </c>
      <c r="D383" s="58" t="s">
        <v>1710</v>
      </c>
      <c r="E383" s="59" t="s">
        <v>93</v>
      </c>
      <c r="F383" s="58" t="s">
        <v>1711</v>
      </c>
      <c r="G383" s="58" t="s">
        <v>1712</v>
      </c>
      <c r="H383" s="36" t="s">
        <v>105</v>
      </c>
      <c r="I383" s="6"/>
      <c r="J383" s="6"/>
      <c r="K383" s="6"/>
      <c r="L383" s="6"/>
      <c r="M383" s="6"/>
      <c r="N383" s="6"/>
      <c r="O383" s="6"/>
      <c r="P383" s="6"/>
      <c r="Q383" s="6"/>
      <c r="R383" s="6"/>
      <c r="S383" s="6"/>
      <c r="T383" s="6"/>
      <c r="U383" s="6"/>
      <c r="V383" s="6"/>
      <c r="W383" s="6"/>
      <c r="X383" s="6"/>
      <c r="Y383" s="6"/>
      <c r="Z383" s="6"/>
    </row>
    <row r="384" ht="60.0" customHeight="1">
      <c r="A384" s="6"/>
      <c r="B384" s="31">
        <v>379.0</v>
      </c>
      <c r="C384" s="58" t="s">
        <v>1713</v>
      </c>
      <c r="D384" s="58" t="s">
        <v>1714</v>
      </c>
      <c r="E384" s="59" t="s">
        <v>93</v>
      </c>
      <c r="F384" s="58" t="s">
        <v>1715</v>
      </c>
      <c r="G384" s="58" t="s">
        <v>1716</v>
      </c>
      <c r="H384" s="36" t="s">
        <v>105</v>
      </c>
      <c r="I384" s="6"/>
      <c r="J384" s="6"/>
      <c r="K384" s="6"/>
      <c r="L384" s="6"/>
      <c r="M384" s="6"/>
      <c r="N384" s="6"/>
      <c r="O384" s="6"/>
      <c r="P384" s="6"/>
      <c r="Q384" s="6"/>
      <c r="R384" s="6"/>
      <c r="S384" s="6"/>
      <c r="T384" s="6"/>
      <c r="U384" s="6"/>
      <c r="V384" s="6"/>
      <c r="W384" s="6"/>
      <c r="X384" s="6"/>
      <c r="Y384" s="6"/>
      <c r="Z384" s="6"/>
    </row>
    <row r="385" ht="60.0" customHeight="1">
      <c r="A385" s="6"/>
      <c r="B385" s="31">
        <v>380.0</v>
      </c>
      <c r="C385" s="58" t="s">
        <v>1717</v>
      </c>
      <c r="D385" s="58" t="s">
        <v>1718</v>
      </c>
      <c r="E385" s="59" t="s">
        <v>93</v>
      </c>
      <c r="F385" s="58" t="s">
        <v>1719</v>
      </c>
      <c r="G385" s="58" t="s">
        <v>1720</v>
      </c>
      <c r="H385" s="36" t="s">
        <v>105</v>
      </c>
      <c r="I385" s="6"/>
      <c r="J385" s="6"/>
      <c r="K385" s="6"/>
      <c r="L385" s="6"/>
      <c r="M385" s="6"/>
      <c r="N385" s="6"/>
      <c r="O385" s="6"/>
      <c r="P385" s="6"/>
      <c r="Q385" s="6"/>
      <c r="R385" s="6"/>
      <c r="S385" s="6"/>
      <c r="T385" s="6"/>
      <c r="U385" s="6"/>
      <c r="V385" s="6"/>
      <c r="W385" s="6"/>
      <c r="X385" s="6"/>
      <c r="Y385" s="6"/>
      <c r="Z385" s="6"/>
    </row>
    <row r="386" ht="60.0" customHeight="1">
      <c r="A386" s="6"/>
      <c r="B386" s="31">
        <v>381.0</v>
      </c>
      <c r="C386" s="58" t="s">
        <v>1721</v>
      </c>
      <c r="D386" s="58" t="s">
        <v>1722</v>
      </c>
      <c r="E386" s="59" t="s">
        <v>93</v>
      </c>
      <c r="F386" s="58" t="s">
        <v>1723</v>
      </c>
      <c r="G386" s="58" t="s">
        <v>1724</v>
      </c>
      <c r="H386" s="36" t="s">
        <v>105</v>
      </c>
      <c r="I386" s="6"/>
      <c r="J386" s="6"/>
      <c r="K386" s="6"/>
      <c r="L386" s="6"/>
      <c r="M386" s="6"/>
      <c r="N386" s="6"/>
      <c r="O386" s="6"/>
      <c r="P386" s="6"/>
      <c r="Q386" s="6"/>
      <c r="R386" s="6"/>
      <c r="S386" s="6"/>
      <c r="T386" s="6"/>
      <c r="U386" s="6"/>
      <c r="V386" s="6"/>
      <c r="W386" s="6"/>
      <c r="X386" s="6"/>
      <c r="Y386" s="6"/>
      <c r="Z386" s="6"/>
    </row>
    <row r="387" ht="60.0" customHeight="1">
      <c r="A387" s="6"/>
      <c r="B387" s="31">
        <v>382.0</v>
      </c>
      <c r="C387" s="58" t="s">
        <v>1725</v>
      </c>
      <c r="D387" s="58" t="s">
        <v>1726</v>
      </c>
      <c r="E387" s="59" t="s">
        <v>93</v>
      </c>
      <c r="F387" s="58" t="s">
        <v>1727</v>
      </c>
      <c r="G387" s="58" t="s">
        <v>1728</v>
      </c>
      <c r="H387" s="36" t="s">
        <v>105</v>
      </c>
      <c r="I387" s="6"/>
      <c r="J387" s="6"/>
      <c r="K387" s="6"/>
      <c r="L387" s="6"/>
      <c r="M387" s="6"/>
      <c r="N387" s="6"/>
      <c r="O387" s="6"/>
      <c r="P387" s="6"/>
      <c r="Q387" s="6"/>
      <c r="R387" s="6"/>
      <c r="S387" s="6"/>
      <c r="T387" s="6"/>
      <c r="U387" s="6"/>
      <c r="V387" s="6"/>
      <c r="W387" s="6"/>
      <c r="X387" s="6"/>
      <c r="Y387" s="6"/>
      <c r="Z387" s="6"/>
    </row>
    <row r="388" ht="60.0" customHeight="1">
      <c r="A388" s="6"/>
      <c r="B388" s="31">
        <v>383.0</v>
      </c>
      <c r="C388" s="58" t="s">
        <v>1729</v>
      </c>
      <c r="D388" s="58" t="s">
        <v>1730</v>
      </c>
      <c r="E388" s="59" t="s">
        <v>93</v>
      </c>
      <c r="F388" s="58" t="s">
        <v>1731</v>
      </c>
      <c r="G388" s="58" t="s">
        <v>1732</v>
      </c>
      <c r="H388" s="36" t="s">
        <v>105</v>
      </c>
      <c r="I388" s="6"/>
      <c r="J388" s="6"/>
      <c r="K388" s="6"/>
      <c r="L388" s="6"/>
      <c r="M388" s="6"/>
      <c r="N388" s="6"/>
      <c r="O388" s="6"/>
      <c r="P388" s="6"/>
      <c r="Q388" s="6"/>
      <c r="R388" s="6"/>
      <c r="S388" s="6"/>
      <c r="T388" s="6"/>
      <c r="U388" s="6"/>
      <c r="V388" s="6"/>
      <c r="W388" s="6"/>
      <c r="X388" s="6"/>
      <c r="Y388" s="6"/>
      <c r="Z388" s="6"/>
    </row>
    <row r="389" ht="60.0" customHeight="1">
      <c r="A389" s="6"/>
      <c r="B389" s="31">
        <v>384.0</v>
      </c>
      <c r="C389" s="58" t="s">
        <v>1733</v>
      </c>
      <c r="D389" s="58" t="s">
        <v>1734</v>
      </c>
      <c r="E389" s="59" t="s">
        <v>93</v>
      </c>
      <c r="F389" s="58" t="s">
        <v>1735</v>
      </c>
      <c r="G389" s="58" t="s">
        <v>1736</v>
      </c>
      <c r="H389" s="36" t="s">
        <v>105</v>
      </c>
      <c r="I389" s="6"/>
      <c r="J389" s="6"/>
      <c r="K389" s="6"/>
      <c r="L389" s="6"/>
      <c r="M389" s="6"/>
      <c r="N389" s="6"/>
      <c r="O389" s="6"/>
      <c r="P389" s="6"/>
      <c r="Q389" s="6"/>
      <c r="R389" s="6"/>
      <c r="S389" s="6"/>
      <c r="T389" s="6"/>
      <c r="U389" s="6"/>
      <c r="V389" s="6"/>
      <c r="W389" s="6"/>
      <c r="X389" s="6"/>
      <c r="Y389" s="6"/>
      <c r="Z389" s="6"/>
    </row>
    <row r="390" ht="60.0" customHeight="1">
      <c r="A390" s="6"/>
      <c r="B390" s="31">
        <v>385.0</v>
      </c>
      <c r="C390" s="58" t="s">
        <v>1737</v>
      </c>
      <c r="D390" s="58" t="s">
        <v>1738</v>
      </c>
      <c r="E390" s="59" t="s">
        <v>93</v>
      </c>
      <c r="F390" s="58" t="s">
        <v>1739</v>
      </c>
      <c r="G390" s="58" t="s">
        <v>1740</v>
      </c>
      <c r="H390" s="36" t="s">
        <v>105</v>
      </c>
      <c r="I390" s="6"/>
      <c r="J390" s="6"/>
      <c r="K390" s="6"/>
      <c r="L390" s="6"/>
      <c r="M390" s="6"/>
      <c r="N390" s="6"/>
      <c r="O390" s="6"/>
      <c r="P390" s="6"/>
      <c r="Q390" s="6"/>
      <c r="R390" s="6"/>
      <c r="S390" s="6"/>
      <c r="T390" s="6"/>
      <c r="U390" s="6"/>
      <c r="V390" s="6"/>
      <c r="W390" s="6"/>
      <c r="X390" s="6"/>
      <c r="Y390" s="6"/>
      <c r="Z390" s="6"/>
    </row>
    <row r="391" ht="60.0" customHeight="1">
      <c r="A391" s="6"/>
      <c r="B391" s="31">
        <v>386.0</v>
      </c>
      <c r="C391" s="58" t="s">
        <v>1741</v>
      </c>
      <c r="D391" s="58" t="s">
        <v>1742</v>
      </c>
      <c r="E391" s="59" t="s">
        <v>93</v>
      </c>
      <c r="F391" s="58" t="s">
        <v>1743</v>
      </c>
      <c r="G391" s="58" t="s">
        <v>1744</v>
      </c>
      <c r="H391" s="36" t="s">
        <v>105</v>
      </c>
      <c r="I391" s="6"/>
      <c r="J391" s="6"/>
      <c r="K391" s="6"/>
      <c r="L391" s="6"/>
      <c r="M391" s="6"/>
      <c r="N391" s="6"/>
      <c r="O391" s="6"/>
      <c r="P391" s="6"/>
      <c r="Q391" s="6"/>
      <c r="R391" s="6"/>
      <c r="S391" s="6"/>
      <c r="T391" s="6"/>
      <c r="U391" s="6"/>
      <c r="V391" s="6"/>
      <c r="W391" s="6"/>
      <c r="X391" s="6"/>
      <c r="Y391" s="6"/>
      <c r="Z391" s="6"/>
    </row>
    <row r="392" ht="60.0" customHeight="1">
      <c r="A392" s="6"/>
      <c r="B392" s="31">
        <v>387.0</v>
      </c>
      <c r="C392" s="58" t="s">
        <v>1745</v>
      </c>
      <c r="D392" s="58" t="s">
        <v>1746</v>
      </c>
      <c r="E392" s="59" t="s">
        <v>93</v>
      </c>
      <c r="F392" s="58" t="s">
        <v>1747</v>
      </c>
      <c r="G392" s="58" t="s">
        <v>1748</v>
      </c>
      <c r="H392" s="36" t="s">
        <v>105</v>
      </c>
      <c r="I392" s="6"/>
      <c r="J392" s="6"/>
      <c r="K392" s="6"/>
      <c r="L392" s="6"/>
      <c r="M392" s="6"/>
      <c r="N392" s="6"/>
      <c r="O392" s="6"/>
      <c r="P392" s="6"/>
      <c r="Q392" s="6"/>
      <c r="R392" s="6"/>
      <c r="S392" s="6"/>
      <c r="T392" s="6"/>
      <c r="U392" s="6"/>
      <c r="V392" s="6"/>
      <c r="W392" s="6"/>
      <c r="X392" s="6"/>
      <c r="Y392" s="6"/>
      <c r="Z392" s="6"/>
    </row>
    <row r="393" ht="60.0" customHeight="1">
      <c r="A393" s="6"/>
      <c r="B393" s="31">
        <v>388.0</v>
      </c>
      <c r="C393" s="58" t="s">
        <v>1749</v>
      </c>
      <c r="D393" s="58" t="s">
        <v>1750</v>
      </c>
      <c r="E393" s="59" t="s">
        <v>93</v>
      </c>
      <c r="F393" s="58" t="s">
        <v>1751</v>
      </c>
      <c r="G393" s="58" t="s">
        <v>1752</v>
      </c>
      <c r="H393" s="36" t="s">
        <v>105</v>
      </c>
      <c r="I393" s="6"/>
      <c r="J393" s="6"/>
      <c r="K393" s="6"/>
      <c r="L393" s="6"/>
      <c r="M393" s="6"/>
      <c r="N393" s="6"/>
      <c r="O393" s="6"/>
      <c r="P393" s="6"/>
      <c r="Q393" s="6"/>
      <c r="R393" s="6"/>
      <c r="S393" s="6"/>
      <c r="T393" s="6"/>
      <c r="U393" s="6"/>
      <c r="V393" s="6"/>
      <c r="W393" s="6"/>
      <c r="X393" s="6"/>
      <c r="Y393" s="6"/>
      <c r="Z393" s="6"/>
    </row>
    <row r="394" ht="60.0" customHeight="1">
      <c r="A394" s="6"/>
      <c r="B394" s="31">
        <v>389.0</v>
      </c>
      <c r="C394" s="58" t="s">
        <v>1753</v>
      </c>
      <c r="D394" s="58" t="s">
        <v>1754</v>
      </c>
      <c r="E394" s="59" t="s">
        <v>93</v>
      </c>
      <c r="F394" s="58" t="s">
        <v>1755</v>
      </c>
      <c r="G394" s="58" t="s">
        <v>1756</v>
      </c>
      <c r="H394" s="36" t="s">
        <v>105</v>
      </c>
      <c r="I394" s="6"/>
      <c r="J394" s="6"/>
      <c r="K394" s="6"/>
      <c r="L394" s="6"/>
      <c r="M394" s="6"/>
      <c r="N394" s="6"/>
      <c r="O394" s="6"/>
      <c r="P394" s="6"/>
      <c r="Q394" s="6"/>
      <c r="R394" s="6"/>
      <c r="S394" s="6"/>
      <c r="T394" s="6"/>
      <c r="U394" s="6"/>
      <c r="V394" s="6"/>
      <c r="W394" s="6"/>
      <c r="X394" s="6"/>
      <c r="Y394" s="6"/>
      <c r="Z394" s="6"/>
    </row>
    <row r="395" ht="60.0" customHeight="1">
      <c r="A395" s="6"/>
      <c r="B395" s="31">
        <v>390.0</v>
      </c>
      <c r="C395" s="58" t="s">
        <v>1757</v>
      </c>
      <c r="D395" s="58" t="s">
        <v>1758</v>
      </c>
      <c r="E395" s="59" t="s">
        <v>93</v>
      </c>
      <c r="F395" s="58" t="s">
        <v>1759</v>
      </c>
      <c r="G395" s="58" t="s">
        <v>1760</v>
      </c>
      <c r="H395" s="36" t="s">
        <v>105</v>
      </c>
      <c r="I395" s="6"/>
      <c r="J395" s="6"/>
      <c r="K395" s="6"/>
      <c r="L395" s="6"/>
      <c r="M395" s="6"/>
      <c r="N395" s="6"/>
      <c r="O395" s="6"/>
      <c r="P395" s="6"/>
      <c r="Q395" s="6"/>
      <c r="R395" s="6"/>
      <c r="S395" s="6"/>
      <c r="T395" s="6"/>
      <c r="U395" s="6"/>
      <c r="V395" s="6"/>
      <c r="W395" s="6"/>
      <c r="X395" s="6"/>
      <c r="Y395" s="6"/>
      <c r="Z395" s="6"/>
    </row>
    <row r="396" ht="60.0" customHeight="1">
      <c r="A396" s="6"/>
      <c r="B396" s="31">
        <v>391.0</v>
      </c>
      <c r="C396" s="58" t="s">
        <v>1761</v>
      </c>
      <c r="D396" s="58" t="s">
        <v>1762</v>
      </c>
      <c r="E396" s="59" t="s">
        <v>93</v>
      </c>
      <c r="F396" s="58" t="s">
        <v>1763</v>
      </c>
      <c r="G396" s="58" t="s">
        <v>1764</v>
      </c>
      <c r="H396" s="36" t="s">
        <v>105</v>
      </c>
      <c r="I396" s="6"/>
      <c r="J396" s="6"/>
      <c r="K396" s="6"/>
      <c r="L396" s="6"/>
      <c r="M396" s="6"/>
      <c r="N396" s="6"/>
      <c r="O396" s="6"/>
      <c r="P396" s="6"/>
      <c r="Q396" s="6"/>
      <c r="R396" s="6"/>
      <c r="S396" s="6"/>
      <c r="T396" s="6"/>
      <c r="U396" s="6"/>
      <c r="V396" s="6"/>
      <c r="W396" s="6"/>
      <c r="X396" s="6"/>
      <c r="Y396" s="6"/>
      <c r="Z396" s="6"/>
    </row>
    <row r="397" ht="60.0" customHeight="1">
      <c r="A397" s="6"/>
      <c r="B397" s="31">
        <v>392.0</v>
      </c>
      <c r="C397" s="58" t="s">
        <v>1765</v>
      </c>
      <c r="D397" s="58" t="s">
        <v>1766</v>
      </c>
      <c r="E397" s="59" t="s">
        <v>93</v>
      </c>
      <c r="F397" s="58" t="s">
        <v>1767</v>
      </c>
      <c r="G397" s="58" t="s">
        <v>1768</v>
      </c>
      <c r="H397" s="36" t="s">
        <v>105</v>
      </c>
      <c r="I397" s="6"/>
      <c r="J397" s="6"/>
      <c r="K397" s="6"/>
      <c r="L397" s="6"/>
      <c r="M397" s="6"/>
      <c r="N397" s="6"/>
      <c r="O397" s="6"/>
      <c r="P397" s="6"/>
      <c r="Q397" s="6"/>
      <c r="R397" s="6"/>
      <c r="S397" s="6"/>
      <c r="T397" s="6"/>
      <c r="U397" s="6"/>
      <c r="V397" s="6"/>
      <c r="W397" s="6"/>
      <c r="X397" s="6"/>
      <c r="Y397" s="6"/>
      <c r="Z397" s="6"/>
    </row>
    <row r="398" ht="60.0" customHeight="1">
      <c r="A398" s="6"/>
      <c r="B398" s="31">
        <v>393.0</v>
      </c>
      <c r="C398" s="58" t="s">
        <v>1769</v>
      </c>
      <c r="D398" s="58" t="s">
        <v>1770</v>
      </c>
      <c r="E398" s="59" t="s">
        <v>93</v>
      </c>
      <c r="F398" s="58" t="s">
        <v>1771</v>
      </c>
      <c r="G398" s="58" t="s">
        <v>1772</v>
      </c>
      <c r="H398" s="36" t="s">
        <v>105</v>
      </c>
      <c r="I398" s="6"/>
      <c r="J398" s="6"/>
      <c r="K398" s="6"/>
      <c r="L398" s="6"/>
      <c r="M398" s="6"/>
      <c r="N398" s="6"/>
      <c r="O398" s="6"/>
      <c r="P398" s="6"/>
      <c r="Q398" s="6"/>
      <c r="R398" s="6"/>
      <c r="S398" s="6"/>
      <c r="T398" s="6"/>
      <c r="U398" s="6"/>
      <c r="V398" s="6"/>
      <c r="W398" s="6"/>
      <c r="X398" s="6"/>
      <c r="Y398" s="6"/>
      <c r="Z398" s="6"/>
    </row>
    <row r="399" ht="60.0" customHeight="1">
      <c r="A399" s="6"/>
      <c r="B399" s="31">
        <v>394.0</v>
      </c>
      <c r="C399" s="58" t="s">
        <v>1773</v>
      </c>
      <c r="D399" s="58" t="s">
        <v>1774</v>
      </c>
      <c r="E399" s="59" t="s">
        <v>93</v>
      </c>
      <c r="F399" s="58" t="s">
        <v>1775</v>
      </c>
      <c r="G399" s="58" t="s">
        <v>1776</v>
      </c>
      <c r="H399" s="36" t="s">
        <v>105</v>
      </c>
      <c r="I399" s="6"/>
      <c r="J399" s="6"/>
      <c r="K399" s="6"/>
      <c r="L399" s="6"/>
      <c r="M399" s="6"/>
      <c r="N399" s="6"/>
      <c r="O399" s="6"/>
      <c r="P399" s="6"/>
      <c r="Q399" s="6"/>
      <c r="R399" s="6"/>
      <c r="S399" s="6"/>
      <c r="T399" s="6"/>
      <c r="U399" s="6"/>
      <c r="V399" s="6"/>
      <c r="W399" s="6"/>
      <c r="X399" s="6"/>
      <c r="Y399" s="6"/>
      <c r="Z399" s="6"/>
    </row>
    <row r="400" ht="60.0" customHeight="1">
      <c r="A400" s="6"/>
      <c r="B400" s="31">
        <v>395.0</v>
      </c>
      <c r="C400" s="58" t="s">
        <v>1777</v>
      </c>
      <c r="D400" s="58" t="s">
        <v>1778</v>
      </c>
      <c r="E400" s="59" t="s">
        <v>93</v>
      </c>
      <c r="F400" s="58" t="s">
        <v>1779</v>
      </c>
      <c r="G400" s="58" t="s">
        <v>1780</v>
      </c>
      <c r="H400" s="36" t="s">
        <v>105</v>
      </c>
      <c r="I400" s="6"/>
      <c r="J400" s="6"/>
      <c r="K400" s="6"/>
      <c r="L400" s="6"/>
      <c r="M400" s="6"/>
      <c r="N400" s="6"/>
      <c r="O400" s="6"/>
      <c r="P400" s="6"/>
      <c r="Q400" s="6"/>
      <c r="R400" s="6"/>
      <c r="S400" s="6"/>
      <c r="T400" s="6"/>
      <c r="U400" s="6"/>
      <c r="V400" s="6"/>
      <c r="W400" s="6"/>
      <c r="X400" s="6"/>
      <c r="Y400" s="6"/>
      <c r="Z400" s="6"/>
    </row>
    <row r="401" ht="60.0" customHeight="1">
      <c r="A401" s="6"/>
      <c r="B401" s="31">
        <v>396.0</v>
      </c>
      <c r="C401" s="58" t="s">
        <v>1781</v>
      </c>
      <c r="D401" s="58" t="s">
        <v>1782</v>
      </c>
      <c r="E401" s="59" t="s">
        <v>93</v>
      </c>
      <c r="F401" s="58" t="s">
        <v>1783</v>
      </c>
      <c r="G401" s="58" t="s">
        <v>1784</v>
      </c>
      <c r="H401" s="36" t="s">
        <v>105</v>
      </c>
      <c r="I401" s="6"/>
      <c r="J401" s="6"/>
      <c r="K401" s="6"/>
      <c r="L401" s="6"/>
      <c r="M401" s="6"/>
      <c r="N401" s="6"/>
      <c r="O401" s="6"/>
      <c r="P401" s="6"/>
      <c r="Q401" s="6"/>
      <c r="R401" s="6"/>
      <c r="S401" s="6"/>
      <c r="T401" s="6"/>
      <c r="U401" s="6"/>
      <c r="V401" s="6"/>
      <c r="W401" s="6"/>
      <c r="X401" s="6"/>
      <c r="Y401" s="6"/>
      <c r="Z401" s="6"/>
    </row>
    <row r="402" ht="60.0" customHeight="1">
      <c r="A402" s="6"/>
      <c r="B402" s="31">
        <v>397.0</v>
      </c>
      <c r="C402" s="58" t="s">
        <v>1785</v>
      </c>
      <c r="D402" s="58" t="s">
        <v>1786</v>
      </c>
      <c r="E402" s="59" t="s">
        <v>93</v>
      </c>
      <c r="F402" s="58" t="s">
        <v>1787</v>
      </c>
      <c r="G402" s="58" t="s">
        <v>1788</v>
      </c>
      <c r="H402" s="36" t="s">
        <v>105</v>
      </c>
      <c r="I402" s="6"/>
      <c r="J402" s="6"/>
      <c r="K402" s="6"/>
      <c r="L402" s="6"/>
      <c r="M402" s="6"/>
      <c r="N402" s="6"/>
      <c r="O402" s="6"/>
      <c r="P402" s="6"/>
      <c r="Q402" s="6"/>
      <c r="R402" s="6"/>
      <c r="S402" s="6"/>
      <c r="T402" s="6"/>
      <c r="U402" s="6"/>
      <c r="V402" s="6"/>
      <c r="W402" s="6"/>
      <c r="X402" s="6"/>
      <c r="Y402" s="6"/>
      <c r="Z402" s="6"/>
    </row>
    <row r="403" ht="60.0" customHeight="1">
      <c r="A403" s="6"/>
      <c r="B403" s="31">
        <v>398.0</v>
      </c>
      <c r="C403" s="58" t="s">
        <v>1789</v>
      </c>
      <c r="D403" s="58" t="s">
        <v>1790</v>
      </c>
      <c r="E403" s="59" t="s">
        <v>93</v>
      </c>
      <c r="F403" s="58" t="s">
        <v>1791</v>
      </c>
      <c r="G403" s="58" t="s">
        <v>1792</v>
      </c>
      <c r="H403" s="36" t="s">
        <v>105</v>
      </c>
      <c r="I403" s="6"/>
      <c r="J403" s="6"/>
      <c r="K403" s="6"/>
      <c r="L403" s="6"/>
      <c r="M403" s="6"/>
      <c r="N403" s="6"/>
      <c r="O403" s="6"/>
      <c r="P403" s="6"/>
      <c r="Q403" s="6"/>
      <c r="R403" s="6"/>
      <c r="S403" s="6"/>
      <c r="T403" s="6"/>
      <c r="U403" s="6"/>
      <c r="V403" s="6"/>
      <c r="W403" s="6"/>
      <c r="X403" s="6"/>
      <c r="Y403" s="6"/>
      <c r="Z403" s="6"/>
    </row>
    <row r="404" ht="60.0" customHeight="1">
      <c r="A404" s="6"/>
      <c r="B404" s="31">
        <v>399.0</v>
      </c>
      <c r="C404" s="58" t="s">
        <v>1793</v>
      </c>
      <c r="D404" s="58" t="s">
        <v>1794</v>
      </c>
      <c r="E404" s="59" t="s">
        <v>93</v>
      </c>
      <c r="F404" s="58" t="s">
        <v>1795</v>
      </c>
      <c r="G404" s="58" t="s">
        <v>1796</v>
      </c>
      <c r="H404" s="36" t="s">
        <v>105</v>
      </c>
      <c r="I404" s="6"/>
      <c r="J404" s="6"/>
      <c r="K404" s="6"/>
      <c r="L404" s="6"/>
      <c r="M404" s="6"/>
      <c r="N404" s="6"/>
      <c r="O404" s="6"/>
      <c r="P404" s="6"/>
      <c r="Q404" s="6"/>
      <c r="R404" s="6"/>
      <c r="S404" s="6"/>
      <c r="T404" s="6"/>
      <c r="U404" s="6"/>
      <c r="V404" s="6"/>
      <c r="W404" s="6"/>
      <c r="X404" s="6"/>
      <c r="Y404" s="6"/>
      <c r="Z404" s="6"/>
    </row>
    <row r="405" ht="60.0" customHeight="1">
      <c r="A405" s="6"/>
      <c r="B405" s="31">
        <v>400.0</v>
      </c>
      <c r="C405" s="58" t="s">
        <v>1797</v>
      </c>
      <c r="D405" s="58" t="s">
        <v>1798</v>
      </c>
      <c r="E405" s="59" t="s">
        <v>93</v>
      </c>
      <c r="F405" s="58" t="s">
        <v>1799</v>
      </c>
      <c r="G405" s="58" t="s">
        <v>1800</v>
      </c>
      <c r="H405" s="36" t="s">
        <v>105</v>
      </c>
      <c r="I405" s="6"/>
      <c r="J405" s="6"/>
      <c r="K405" s="6"/>
      <c r="L405" s="6"/>
      <c r="M405" s="6"/>
      <c r="N405" s="6"/>
      <c r="O405" s="6"/>
      <c r="P405" s="6"/>
      <c r="Q405" s="6"/>
      <c r="R405" s="6"/>
      <c r="S405" s="6"/>
      <c r="T405" s="6"/>
      <c r="U405" s="6"/>
      <c r="V405" s="6"/>
      <c r="W405" s="6"/>
      <c r="X405" s="6"/>
      <c r="Y405" s="6"/>
      <c r="Z405" s="6"/>
    </row>
    <row r="406" ht="60.0" customHeight="1">
      <c r="A406" s="6"/>
      <c r="B406" s="31">
        <v>401.0</v>
      </c>
      <c r="C406" s="58" t="s">
        <v>1801</v>
      </c>
      <c r="D406" s="58" t="s">
        <v>1802</v>
      </c>
      <c r="E406" s="59" t="s">
        <v>93</v>
      </c>
      <c r="F406" s="58" t="s">
        <v>1803</v>
      </c>
      <c r="G406" s="58" t="s">
        <v>1804</v>
      </c>
      <c r="H406" s="36" t="s">
        <v>105</v>
      </c>
      <c r="I406" s="6"/>
      <c r="J406" s="6"/>
      <c r="K406" s="6"/>
      <c r="L406" s="6"/>
      <c r="M406" s="6"/>
      <c r="N406" s="6"/>
      <c r="O406" s="6"/>
      <c r="P406" s="6"/>
      <c r="Q406" s="6"/>
      <c r="R406" s="6"/>
      <c r="S406" s="6"/>
      <c r="T406" s="6"/>
      <c r="U406" s="6"/>
      <c r="V406" s="6"/>
      <c r="W406" s="6"/>
      <c r="X406" s="6"/>
      <c r="Y406" s="6"/>
      <c r="Z406" s="6"/>
    </row>
    <row r="407" ht="60.0" customHeight="1">
      <c r="A407" s="6"/>
      <c r="B407" s="31">
        <v>402.0</v>
      </c>
      <c r="C407" s="58" t="s">
        <v>1805</v>
      </c>
      <c r="D407" s="58" t="s">
        <v>1806</v>
      </c>
      <c r="E407" s="59" t="s">
        <v>93</v>
      </c>
      <c r="F407" s="58" t="s">
        <v>1807</v>
      </c>
      <c r="G407" s="58" t="s">
        <v>1808</v>
      </c>
      <c r="H407" s="36" t="s">
        <v>105</v>
      </c>
      <c r="I407" s="6"/>
      <c r="J407" s="6"/>
      <c r="K407" s="6"/>
      <c r="L407" s="6"/>
      <c r="M407" s="6"/>
      <c r="N407" s="6"/>
      <c r="O407" s="6"/>
      <c r="P407" s="6"/>
      <c r="Q407" s="6"/>
      <c r="R407" s="6"/>
      <c r="S407" s="6"/>
      <c r="T407" s="6"/>
      <c r="U407" s="6"/>
      <c r="V407" s="6"/>
      <c r="W407" s="6"/>
      <c r="X407" s="6"/>
      <c r="Y407" s="6"/>
      <c r="Z407" s="6"/>
    </row>
    <row r="408" ht="60.0" customHeight="1">
      <c r="A408" s="6"/>
      <c r="B408" s="31">
        <v>403.0</v>
      </c>
      <c r="C408" s="58" t="s">
        <v>1809</v>
      </c>
      <c r="D408" s="58" t="s">
        <v>1810</v>
      </c>
      <c r="E408" s="59" t="s">
        <v>93</v>
      </c>
      <c r="F408" s="58" t="s">
        <v>1811</v>
      </c>
      <c r="G408" s="58" t="s">
        <v>1812</v>
      </c>
      <c r="H408" s="36" t="s">
        <v>105</v>
      </c>
      <c r="I408" s="6"/>
      <c r="J408" s="6"/>
      <c r="K408" s="6"/>
      <c r="L408" s="6"/>
      <c r="M408" s="6"/>
      <c r="N408" s="6"/>
      <c r="O408" s="6"/>
      <c r="P408" s="6"/>
      <c r="Q408" s="6"/>
      <c r="R408" s="6"/>
      <c r="S408" s="6"/>
      <c r="T408" s="6"/>
      <c r="U408" s="6"/>
      <c r="V408" s="6"/>
      <c r="W408" s="6"/>
      <c r="X408" s="6"/>
      <c r="Y408" s="6"/>
      <c r="Z408" s="6"/>
    </row>
    <row r="409" ht="60.0" customHeight="1">
      <c r="A409" s="6"/>
      <c r="B409" s="31">
        <v>404.0</v>
      </c>
      <c r="C409" s="58" t="s">
        <v>1813</v>
      </c>
      <c r="D409" s="58" t="s">
        <v>1814</v>
      </c>
      <c r="E409" s="59" t="s">
        <v>93</v>
      </c>
      <c r="F409" s="58" t="s">
        <v>1815</v>
      </c>
      <c r="G409" s="58" t="s">
        <v>1816</v>
      </c>
      <c r="H409" s="36" t="s">
        <v>105</v>
      </c>
      <c r="I409" s="6"/>
      <c r="J409" s="6"/>
      <c r="K409" s="6"/>
      <c r="L409" s="6"/>
      <c r="M409" s="6"/>
      <c r="N409" s="6"/>
      <c r="O409" s="6"/>
      <c r="P409" s="6"/>
      <c r="Q409" s="6"/>
      <c r="R409" s="6"/>
      <c r="S409" s="6"/>
      <c r="T409" s="6"/>
      <c r="U409" s="6"/>
      <c r="V409" s="6"/>
      <c r="W409" s="6"/>
      <c r="X409" s="6"/>
      <c r="Y409" s="6"/>
      <c r="Z409" s="6"/>
    </row>
    <row r="410" ht="60.0" customHeight="1">
      <c r="A410" s="6"/>
      <c r="B410" s="31">
        <v>405.0</v>
      </c>
      <c r="C410" s="58" t="s">
        <v>1817</v>
      </c>
      <c r="D410" s="58" t="s">
        <v>1818</v>
      </c>
      <c r="E410" s="59" t="s">
        <v>93</v>
      </c>
      <c r="F410" s="58" t="s">
        <v>1819</v>
      </c>
      <c r="G410" s="58" t="s">
        <v>1820</v>
      </c>
      <c r="H410" s="36" t="s">
        <v>105</v>
      </c>
      <c r="I410" s="6"/>
      <c r="J410" s="6"/>
      <c r="K410" s="6"/>
      <c r="L410" s="6"/>
      <c r="M410" s="6"/>
      <c r="N410" s="6"/>
      <c r="O410" s="6"/>
      <c r="P410" s="6"/>
      <c r="Q410" s="6"/>
      <c r="R410" s="6"/>
      <c r="S410" s="6"/>
      <c r="T410" s="6"/>
      <c r="U410" s="6"/>
      <c r="V410" s="6"/>
      <c r="W410" s="6"/>
      <c r="X410" s="6"/>
      <c r="Y410" s="6"/>
      <c r="Z410" s="6"/>
    </row>
    <row r="411" ht="60.0" customHeight="1">
      <c r="A411" s="6"/>
      <c r="B411" s="31">
        <v>406.0</v>
      </c>
      <c r="C411" s="58" t="s">
        <v>1821</v>
      </c>
      <c r="D411" s="58" t="s">
        <v>1822</v>
      </c>
      <c r="E411" s="59" t="s">
        <v>93</v>
      </c>
      <c r="F411" s="58" t="s">
        <v>1823</v>
      </c>
      <c r="G411" s="58" t="s">
        <v>1824</v>
      </c>
      <c r="H411" s="36" t="s">
        <v>105</v>
      </c>
      <c r="I411" s="6"/>
      <c r="J411" s="6"/>
      <c r="K411" s="6"/>
      <c r="L411" s="6"/>
      <c r="M411" s="6"/>
      <c r="N411" s="6"/>
      <c r="O411" s="6"/>
      <c r="P411" s="6"/>
      <c r="Q411" s="6"/>
      <c r="R411" s="6"/>
      <c r="S411" s="6"/>
      <c r="T411" s="6"/>
      <c r="U411" s="6"/>
      <c r="V411" s="6"/>
      <c r="W411" s="6"/>
      <c r="X411" s="6"/>
      <c r="Y411" s="6"/>
      <c r="Z411" s="6"/>
    </row>
    <row r="412" ht="60.0" customHeight="1">
      <c r="A412" s="6"/>
      <c r="B412" s="31">
        <v>407.0</v>
      </c>
      <c r="C412" s="58" t="s">
        <v>1825</v>
      </c>
      <c r="D412" s="58" t="s">
        <v>1826</v>
      </c>
      <c r="E412" s="59" t="s">
        <v>93</v>
      </c>
      <c r="F412" s="58" t="s">
        <v>1827</v>
      </c>
      <c r="G412" s="58" t="s">
        <v>1828</v>
      </c>
      <c r="H412" s="36" t="s">
        <v>105</v>
      </c>
      <c r="I412" s="6"/>
      <c r="J412" s="6"/>
      <c r="K412" s="6"/>
      <c r="L412" s="6"/>
      <c r="M412" s="6"/>
      <c r="N412" s="6"/>
      <c r="O412" s="6"/>
      <c r="P412" s="6"/>
      <c r="Q412" s="6"/>
      <c r="R412" s="6"/>
      <c r="S412" s="6"/>
      <c r="T412" s="6"/>
      <c r="U412" s="6"/>
      <c r="V412" s="6"/>
      <c r="W412" s="6"/>
      <c r="X412" s="6"/>
      <c r="Y412" s="6"/>
      <c r="Z412" s="6"/>
    </row>
    <row r="413" ht="60.0" customHeight="1">
      <c r="A413" s="6"/>
      <c r="B413" s="31">
        <v>408.0</v>
      </c>
      <c r="C413" s="58" t="s">
        <v>1829</v>
      </c>
      <c r="D413" s="58" t="s">
        <v>1830</v>
      </c>
      <c r="E413" s="59" t="s">
        <v>93</v>
      </c>
      <c r="F413" s="58" t="s">
        <v>1831</v>
      </c>
      <c r="G413" s="58" t="s">
        <v>1832</v>
      </c>
      <c r="H413" s="36" t="s">
        <v>105</v>
      </c>
      <c r="I413" s="6"/>
      <c r="J413" s="6"/>
      <c r="K413" s="6"/>
      <c r="L413" s="6"/>
      <c r="M413" s="6"/>
      <c r="N413" s="6"/>
      <c r="O413" s="6"/>
      <c r="P413" s="6"/>
      <c r="Q413" s="6"/>
      <c r="R413" s="6"/>
      <c r="S413" s="6"/>
      <c r="T413" s="6"/>
      <c r="U413" s="6"/>
      <c r="V413" s="6"/>
      <c r="W413" s="6"/>
      <c r="X413" s="6"/>
      <c r="Y413" s="6"/>
      <c r="Z413" s="6"/>
    </row>
    <row r="414" ht="60.0" customHeight="1">
      <c r="A414" s="6"/>
      <c r="B414" s="31">
        <v>409.0</v>
      </c>
      <c r="C414" s="58" t="s">
        <v>1833</v>
      </c>
      <c r="D414" s="58" t="s">
        <v>1834</v>
      </c>
      <c r="E414" s="59" t="s">
        <v>93</v>
      </c>
      <c r="F414" s="58" t="s">
        <v>1835</v>
      </c>
      <c r="G414" s="58" t="s">
        <v>1836</v>
      </c>
      <c r="H414" s="36" t="s">
        <v>105</v>
      </c>
      <c r="I414" s="6"/>
      <c r="J414" s="6"/>
      <c r="K414" s="6"/>
      <c r="L414" s="6"/>
      <c r="M414" s="6"/>
      <c r="N414" s="6"/>
      <c r="O414" s="6"/>
      <c r="P414" s="6"/>
      <c r="Q414" s="6"/>
      <c r="R414" s="6"/>
      <c r="S414" s="6"/>
      <c r="T414" s="6"/>
      <c r="U414" s="6"/>
      <c r="V414" s="6"/>
      <c r="W414" s="6"/>
      <c r="X414" s="6"/>
      <c r="Y414" s="6"/>
      <c r="Z414" s="6"/>
    </row>
    <row r="415" ht="60.0" customHeight="1">
      <c r="A415" s="6"/>
      <c r="B415" s="31">
        <v>410.0</v>
      </c>
      <c r="C415" s="58" t="s">
        <v>1837</v>
      </c>
      <c r="D415" s="58" t="s">
        <v>1838</v>
      </c>
      <c r="E415" s="59" t="s">
        <v>93</v>
      </c>
      <c r="F415" s="58" t="s">
        <v>1839</v>
      </c>
      <c r="G415" s="58" t="s">
        <v>1840</v>
      </c>
      <c r="H415" s="36" t="s">
        <v>105</v>
      </c>
      <c r="I415" s="6"/>
      <c r="J415" s="6"/>
      <c r="K415" s="6"/>
      <c r="L415" s="6"/>
      <c r="M415" s="6"/>
      <c r="N415" s="6"/>
      <c r="O415" s="6"/>
      <c r="P415" s="6"/>
      <c r="Q415" s="6"/>
      <c r="R415" s="6"/>
      <c r="S415" s="6"/>
      <c r="T415" s="6"/>
      <c r="U415" s="6"/>
      <c r="V415" s="6"/>
      <c r="W415" s="6"/>
      <c r="X415" s="6"/>
      <c r="Y415" s="6"/>
      <c r="Z415" s="6"/>
    </row>
    <row r="416" ht="60.0" customHeight="1">
      <c r="A416" s="6"/>
      <c r="B416" s="31">
        <v>411.0</v>
      </c>
      <c r="C416" s="58" t="s">
        <v>1841</v>
      </c>
      <c r="D416" s="58" t="s">
        <v>1842</v>
      </c>
      <c r="E416" s="59" t="s">
        <v>93</v>
      </c>
      <c r="F416" s="58" t="s">
        <v>1843</v>
      </c>
      <c r="G416" s="58" t="s">
        <v>1844</v>
      </c>
      <c r="H416" s="36" t="s">
        <v>105</v>
      </c>
      <c r="I416" s="6"/>
      <c r="J416" s="6"/>
      <c r="K416" s="6"/>
      <c r="L416" s="6"/>
      <c r="M416" s="6"/>
      <c r="N416" s="6"/>
      <c r="O416" s="6"/>
      <c r="P416" s="6"/>
      <c r="Q416" s="6"/>
      <c r="R416" s="6"/>
      <c r="S416" s="6"/>
      <c r="T416" s="6"/>
      <c r="U416" s="6"/>
      <c r="V416" s="6"/>
      <c r="W416" s="6"/>
      <c r="X416" s="6"/>
      <c r="Y416" s="6"/>
      <c r="Z416" s="6"/>
    </row>
    <row r="417" ht="60.0" customHeight="1">
      <c r="A417" s="6"/>
      <c r="B417" s="31">
        <v>412.0</v>
      </c>
      <c r="C417" s="58" t="s">
        <v>1845</v>
      </c>
      <c r="D417" s="58" t="s">
        <v>1846</v>
      </c>
      <c r="E417" s="59" t="s">
        <v>93</v>
      </c>
      <c r="F417" s="58" t="s">
        <v>1847</v>
      </c>
      <c r="G417" s="58" t="s">
        <v>1848</v>
      </c>
      <c r="H417" s="36" t="s">
        <v>105</v>
      </c>
      <c r="I417" s="6"/>
      <c r="J417" s="6"/>
      <c r="K417" s="6"/>
      <c r="L417" s="6"/>
      <c r="M417" s="6"/>
      <c r="N417" s="6"/>
      <c r="O417" s="6"/>
      <c r="P417" s="6"/>
      <c r="Q417" s="6"/>
      <c r="R417" s="6"/>
      <c r="S417" s="6"/>
      <c r="T417" s="6"/>
      <c r="U417" s="6"/>
      <c r="V417" s="6"/>
      <c r="W417" s="6"/>
      <c r="X417" s="6"/>
      <c r="Y417" s="6"/>
      <c r="Z417" s="6"/>
    </row>
    <row r="418" ht="60.0" customHeight="1">
      <c r="A418" s="6"/>
      <c r="B418" s="31">
        <v>413.0</v>
      </c>
      <c r="C418" s="58" t="s">
        <v>1849</v>
      </c>
      <c r="D418" s="58" t="s">
        <v>1850</v>
      </c>
      <c r="E418" s="59" t="s">
        <v>93</v>
      </c>
      <c r="F418" s="58" t="s">
        <v>1851</v>
      </c>
      <c r="G418" s="58" t="s">
        <v>1852</v>
      </c>
      <c r="H418" s="36" t="s">
        <v>105</v>
      </c>
      <c r="I418" s="6"/>
      <c r="J418" s="6"/>
      <c r="K418" s="6"/>
      <c r="L418" s="6"/>
      <c r="M418" s="6"/>
      <c r="N418" s="6"/>
      <c r="O418" s="6"/>
      <c r="P418" s="6"/>
      <c r="Q418" s="6"/>
      <c r="R418" s="6"/>
      <c r="S418" s="6"/>
      <c r="T418" s="6"/>
      <c r="U418" s="6"/>
      <c r="V418" s="6"/>
      <c r="W418" s="6"/>
      <c r="X418" s="6"/>
      <c r="Y418" s="6"/>
      <c r="Z418" s="6"/>
    </row>
    <row r="419" ht="60.0" customHeight="1">
      <c r="A419" s="6"/>
      <c r="B419" s="31">
        <v>414.0</v>
      </c>
      <c r="C419" s="58" t="s">
        <v>1853</v>
      </c>
      <c r="D419" s="58" t="s">
        <v>1854</v>
      </c>
      <c r="E419" s="59" t="s">
        <v>93</v>
      </c>
      <c r="F419" s="58" t="s">
        <v>1855</v>
      </c>
      <c r="G419" s="58" t="s">
        <v>1856</v>
      </c>
      <c r="H419" s="36" t="s">
        <v>105</v>
      </c>
      <c r="I419" s="6"/>
      <c r="J419" s="6"/>
      <c r="K419" s="6"/>
      <c r="L419" s="6"/>
      <c r="M419" s="6"/>
      <c r="N419" s="6"/>
      <c r="O419" s="6"/>
      <c r="P419" s="6"/>
      <c r="Q419" s="6"/>
      <c r="R419" s="6"/>
      <c r="S419" s="6"/>
      <c r="T419" s="6"/>
      <c r="U419" s="6"/>
      <c r="V419" s="6"/>
      <c r="W419" s="6"/>
      <c r="X419" s="6"/>
      <c r="Y419" s="6"/>
      <c r="Z419" s="6"/>
    </row>
    <row r="420" ht="60.0" customHeight="1">
      <c r="A420" s="6"/>
      <c r="B420" s="31">
        <v>415.0</v>
      </c>
      <c r="C420" s="58" t="s">
        <v>1857</v>
      </c>
      <c r="D420" s="58" t="s">
        <v>1858</v>
      </c>
      <c r="E420" s="59" t="s">
        <v>93</v>
      </c>
      <c r="F420" s="58" t="s">
        <v>1859</v>
      </c>
      <c r="G420" s="58" t="s">
        <v>1860</v>
      </c>
      <c r="H420" s="36" t="s">
        <v>105</v>
      </c>
      <c r="I420" s="6"/>
      <c r="J420" s="6"/>
      <c r="K420" s="6"/>
      <c r="L420" s="6"/>
      <c r="M420" s="6"/>
      <c r="N420" s="6"/>
      <c r="O420" s="6"/>
      <c r="P420" s="6"/>
      <c r="Q420" s="6"/>
      <c r="R420" s="6"/>
      <c r="S420" s="6"/>
      <c r="T420" s="6"/>
      <c r="U420" s="6"/>
      <c r="V420" s="6"/>
      <c r="W420" s="6"/>
      <c r="X420" s="6"/>
      <c r="Y420" s="6"/>
      <c r="Z420" s="6"/>
    </row>
    <row r="421" ht="60.0" customHeight="1">
      <c r="A421" s="6"/>
      <c r="B421" s="31">
        <v>416.0</v>
      </c>
      <c r="C421" s="58" t="s">
        <v>1861</v>
      </c>
      <c r="D421" s="58" t="s">
        <v>1862</v>
      </c>
      <c r="E421" s="59" t="s">
        <v>93</v>
      </c>
      <c r="F421" s="58" t="s">
        <v>1863</v>
      </c>
      <c r="G421" s="58" t="s">
        <v>1864</v>
      </c>
      <c r="H421" s="36" t="s">
        <v>105</v>
      </c>
      <c r="I421" s="6"/>
      <c r="J421" s="6"/>
      <c r="K421" s="6"/>
      <c r="L421" s="6"/>
      <c r="M421" s="6"/>
      <c r="N421" s="6"/>
      <c r="O421" s="6"/>
      <c r="P421" s="6"/>
      <c r="Q421" s="6"/>
      <c r="R421" s="6"/>
      <c r="S421" s="6"/>
      <c r="T421" s="6"/>
      <c r="U421" s="6"/>
      <c r="V421" s="6"/>
      <c r="W421" s="6"/>
      <c r="X421" s="6"/>
      <c r="Y421" s="6"/>
      <c r="Z421" s="6"/>
    </row>
    <row r="422" ht="60.0" customHeight="1">
      <c r="A422" s="6"/>
      <c r="B422" s="31">
        <v>417.0</v>
      </c>
      <c r="C422" s="58" t="s">
        <v>1865</v>
      </c>
      <c r="D422" s="58" t="s">
        <v>1866</v>
      </c>
      <c r="E422" s="59" t="s">
        <v>93</v>
      </c>
      <c r="F422" s="58" t="s">
        <v>1867</v>
      </c>
      <c r="G422" s="58" t="s">
        <v>1868</v>
      </c>
      <c r="H422" s="36" t="s">
        <v>105</v>
      </c>
      <c r="I422" s="6"/>
      <c r="J422" s="6"/>
      <c r="K422" s="6"/>
      <c r="L422" s="6"/>
      <c r="M422" s="6"/>
      <c r="N422" s="6"/>
      <c r="O422" s="6"/>
      <c r="P422" s="6"/>
      <c r="Q422" s="6"/>
      <c r="R422" s="6"/>
      <c r="S422" s="6"/>
      <c r="T422" s="6"/>
      <c r="U422" s="6"/>
      <c r="V422" s="6"/>
      <c r="W422" s="6"/>
      <c r="X422" s="6"/>
      <c r="Y422" s="6"/>
      <c r="Z422" s="6"/>
    </row>
    <row r="423" ht="60.0" customHeight="1">
      <c r="A423" s="6"/>
      <c r="B423" s="31">
        <v>418.0</v>
      </c>
      <c r="C423" s="58" t="s">
        <v>1869</v>
      </c>
      <c r="D423" s="58" t="s">
        <v>1870</v>
      </c>
      <c r="E423" s="59" t="s">
        <v>93</v>
      </c>
      <c r="F423" s="58" t="s">
        <v>1871</v>
      </c>
      <c r="G423" s="58" t="s">
        <v>1872</v>
      </c>
      <c r="H423" s="36" t="s">
        <v>105</v>
      </c>
      <c r="I423" s="6"/>
      <c r="J423" s="6"/>
      <c r="K423" s="6"/>
      <c r="L423" s="6"/>
      <c r="M423" s="6"/>
      <c r="N423" s="6"/>
      <c r="O423" s="6"/>
      <c r="P423" s="6"/>
      <c r="Q423" s="6"/>
      <c r="R423" s="6"/>
      <c r="S423" s="6"/>
      <c r="T423" s="6"/>
      <c r="U423" s="6"/>
      <c r="V423" s="6"/>
      <c r="W423" s="6"/>
      <c r="X423" s="6"/>
      <c r="Y423" s="6"/>
      <c r="Z423" s="6"/>
    </row>
    <row r="424" ht="60.0" customHeight="1">
      <c r="A424" s="6"/>
      <c r="B424" s="31">
        <v>419.0</v>
      </c>
      <c r="C424" s="58" t="s">
        <v>1873</v>
      </c>
      <c r="D424" s="58" t="s">
        <v>1874</v>
      </c>
      <c r="E424" s="59" t="s">
        <v>93</v>
      </c>
      <c r="F424" s="58" t="s">
        <v>1875</v>
      </c>
      <c r="G424" s="58" t="s">
        <v>1876</v>
      </c>
      <c r="H424" s="36" t="s">
        <v>105</v>
      </c>
      <c r="I424" s="6"/>
      <c r="J424" s="6"/>
      <c r="K424" s="6"/>
      <c r="L424" s="6"/>
      <c r="M424" s="6"/>
      <c r="N424" s="6"/>
      <c r="O424" s="6"/>
      <c r="P424" s="6"/>
      <c r="Q424" s="6"/>
      <c r="R424" s="6"/>
      <c r="S424" s="6"/>
      <c r="T424" s="6"/>
      <c r="U424" s="6"/>
      <c r="V424" s="6"/>
      <c r="W424" s="6"/>
      <c r="X424" s="6"/>
      <c r="Y424" s="6"/>
      <c r="Z424" s="6"/>
    </row>
    <row r="425" ht="60.0" customHeight="1">
      <c r="A425" s="6"/>
      <c r="B425" s="31">
        <v>420.0</v>
      </c>
      <c r="C425" s="58" t="s">
        <v>1877</v>
      </c>
      <c r="D425" s="58" t="s">
        <v>1878</v>
      </c>
      <c r="E425" s="59" t="s">
        <v>93</v>
      </c>
      <c r="F425" s="58" t="s">
        <v>1879</v>
      </c>
      <c r="G425" s="58" t="s">
        <v>1880</v>
      </c>
      <c r="H425" s="36" t="s">
        <v>105</v>
      </c>
      <c r="I425" s="6"/>
      <c r="J425" s="6"/>
      <c r="K425" s="6"/>
      <c r="L425" s="6"/>
      <c r="M425" s="6"/>
      <c r="N425" s="6"/>
      <c r="O425" s="6"/>
      <c r="P425" s="6"/>
      <c r="Q425" s="6"/>
      <c r="R425" s="6"/>
      <c r="S425" s="6"/>
      <c r="T425" s="6"/>
      <c r="U425" s="6"/>
      <c r="V425" s="6"/>
      <c r="W425" s="6"/>
      <c r="X425" s="6"/>
      <c r="Y425" s="6"/>
      <c r="Z425" s="6"/>
    </row>
    <row r="426" ht="60.0" customHeight="1">
      <c r="A426" s="6"/>
      <c r="B426" s="31">
        <v>421.0</v>
      </c>
      <c r="C426" s="58" t="s">
        <v>1881</v>
      </c>
      <c r="D426" s="58" t="s">
        <v>1882</v>
      </c>
      <c r="E426" s="59" t="s">
        <v>93</v>
      </c>
      <c r="F426" s="58" t="s">
        <v>1883</v>
      </c>
      <c r="G426" s="58" t="s">
        <v>1884</v>
      </c>
      <c r="H426" s="36" t="s">
        <v>105</v>
      </c>
      <c r="I426" s="6"/>
      <c r="J426" s="6"/>
      <c r="K426" s="6"/>
      <c r="L426" s="6"/>
      <c r="M426" s="6"/>
      <c r="N426" s="6"/>
      <c r="O426" s="6"/>
      <c r="P426" s="6"/>
      <c r="Q426" s="6"/>
      <c r="R426" s="6"/>
      <c r="S426" s="6"/>
      <c r="T426" s="6"/>
      <c r="U426" s="6"/>
      <c r="V426" s="6"/>
      <c r="W426" s="6"/>
      <c r="X426" s="6"/>
      <c r="Y426" s="6"/>
      <c r="Z426" s="6"/>
    </row>
    <row r="427" ht="60.0" customHeight="1">
      <c r="A427" s="6"/>
      <c r="B427" s="31">
        <v>422.0</v>
      </c>
      <c r="C427" s="58" t="s">
        <v>1885</v>
      </c>
      <c r="D427" s="58" t="s">
        <v>1886</v>
      </c>
      <c r="E427" s="59" t="s">
        <v>93</v>
      </c>
      <c r="F427" s="58" t="s">
        <v>1887</v>
      </c>
      <c r="G427" s="58" t="s">
        <v>1888</v>
      </c>
      <c r="H427" s="36" t="s">
        <v>105</v>
      </c>
      <c r="I427" s="6"/>
      <c r="J427" s="6"/>
      <c r="K427" s="6"/>
      <c r="L427" s="6"/>
      <c r="M427" s="6"/>
      <c r="N427" s="6"/>
      <c r="O427" s="6"/>
      <c r="P427" s="6"/>
      <c r="Q427" s="6"/>
      <c r="R427" s="6"/>
      <c r="S427" s="6"/>
      <c r="T427" s="6"/>
      <c r="U427" s="6"/>
      <c r="V427" s="6"/>
      <c r="W427" s="6"/>
      <c r="X427" s="6"/>
      <c r="Y427" s="6"/>
      <c r="Z427" s="6"/>
    </row>
    <row r="428" ht="60.0" customHeight="1">
      <c r="A428" s="6"/>
      <c r="B428" s="31">
        <v>423.0</v>
      </c>
      <c r="C428" s="58" t="s">
        <v>1889</v>
      </c>
      <c r="D428" s="58" t="s">
        <v>1890</v>
      </c>
      <c r="E428" s="59" t="s">
        <v>93</v>
      </c>
      <c r="F428" s="58" t="s">
        <v>1891</v>
      </c>
      <c r="G428" s="58" t="s">
        <v>1892</v>
      </c>
      <c r="H428" s="36" t="s">
        <v>105</v>
      </c>
      <c r="I428" s="6"/>
      <c r="J428" s="6"/>
      <c r="K428" s="6"/>
      <c r="L428" s="6"/>
      <c r="M428" s="6"/>
      <c r="N428" s="6"/>
      <c r="O428" s="6"/>
      <c r="P428" s="6"/>
      <c r="Q428" s="6"/>
      <c r="R428" s="6"/>
      <c r="S428" s="6"/>
      <c r="T428" s="6"/>
      <c r="U428" s="6"/>
      <c r="V428" s="6"/>
      <c r="W428" s="6"/>
      <c r="X428" s="6"/>
      <c r="Y428" s="6"/>
      <c r="Z428" s="6"/>
    </row>
    <row r="429" ht="60.0" customHeight="1">
      <c r="A429" s="6"/>
      <c r="B429" s="31">
        <v>424.0</v>
      </c>
      <c r="C429" s="58" t="s">
        <v>1893</v>
      </c>
      <c r="D429" s="58" t="s">
        <v>1894</v>
      </c>
      <c r="E429" s="59" t="s">
        <v>93</v>
      </c>
      <c r="F429" s="58" t="s">
        <v>1895</v>
      </c>
      <c r="G429" s="58" t="s">
        <v>1896</v>
      </c>
      <c r="H429" s="36" t="s">
        <v>105</v>
      </c>
      <c r="I429" s="6"/>
      <c r="J429" s="6"/>
      <c r="K429" s="6"/>
      <c r="L429" s="6"/>
      <c r="M429" s="6"/>
      <c r="N429" s="6"/>
      <c r="O429" s="6"/>
      <c r="P429" s="6"/>
      <c r="Q429" s="6"/>
      <c r="R429" s="6"/>
      <c r="S429" s="6"/>
      <c r="T429" s="6"/>
      <c r="U429" s="6"/>
      <c r="V429" s="6"/>
      <c r="W429" s="6"/>
      <c r="X429" s="6"/>
      <c r="Y429" s="6"/>
      <c r="Z429" s="6"/>
    </row>
    <row r="430" ht="60.0" customHeight="1">
      <c r="A430" s="6"/>
      <c r="B430" s="31">
        <v>425.0</v>
      </c>
      <c r="C430" s="58" t="s">
        <v>1897</v>
      </c>
      <c r="D430" s="58" t="s">
        <v>1898</v>
      </c>
      <c r="E430" s="59" t="s">
        <v>93</v>
      </c>
      <c r="F430" s="58" t="s">
        <v>1899</v>
      </c>
      <c r="G430" s="58" t="s">
        <v>1900</v>
      </c>
      <c r="H430" s="36" t="s">
        <v>105</v>
      </c>
      <c r="I430" s="6"/>
      <c r="J430" s="6"/>
      <c r="K430" s="6"/>
      <c r="L430" s="6"/>
      <c r="M430" s="6"/>
      <c r="N430" s="6"/>
      <c r="O430" s="6"/>
      <c r="P430" s="6"/>
      <c r="Q430" s="6"/>
      <c r="R430" s="6"/>
      <c r="S430" s="6"/>
      <c r="T430" s="6"/>
      <c r="U430" s="6"/>
      <c r="V430" s="6"/>
      <c r="W430" s="6"/>
      <c r="X430" s="6"/>
      <c r="Y430" s="6"/>
      <c r="Z430" s="6"/>
    </row>
    <row r="431" ht="60.0" customHeight="1">
      <c r="A431" s="6"/>
      <c r="B431" s="31">
        <v>426.0</v>
      </c>
      <c r="C431" s="58" t="s">
        <v>1901</v>
      </c>
      <c r="D431" s="58" t="s">
        <v>1902</v>
      </c>
      <c r="E431" s="59" t="s">
        <v>93</v>
      </c>
      <c r="F431" s="58" t="s">
        <v>1903</v>
      </c>
      <c r="G431" s="58" t="s">
        <v>1904</v>
      </c>
      <c r="H431" s="36" t="s">
        <v>105</v>
      </c>
      <c r="I431" s="6"/>
      <c r="J431" s="6"/>
      <c r="K431" s="6"/>
      <c r="L431" s="6"/>
      <c r="M431" s="6"/>
      <c r="N431" s="6"/>
      <c r="O431" s="6"/>
      <c r="P431" s="6"/>
      <c r="Q431" s="6"/>
      <c r="R431" s="6"/>
      <c r="S431" s="6"/>
      <c r="T431" s="6"/>
      <c r="U431" s="6"/>
      <c r="V431" s="6"/>
      <c r="W431" s="6"/>
      <c r="X431" s="6"/>
      <c r="Y431" s="6"/>
      <c r="Z431" s="6"/>
    </row>
    <row r="432" ht="60.0" customHeight="1">
      <c r="A432" s="6"/>
      <c r="B432" s="31">
        <v>427.0</v>
      </c>
      <c r="C432" s="58" t="s">
        <v>1905</v>
      </c>
      <c r="D432" s="58" t="s">
        <v>1906</v>
      </c>
      <c r="E432" s="59" t="s">
        <v>93</v>
      </c>
      <c r="F432" s="58" t="s">
        <v>1907</v>
      </c>
      <c r="G432" s="58" t="s">
        <v>1908</v>
      </c>
      <c r="H432" s="36" t="s">
        <v>105</v>
      </c>
      <c r="I432" s="6"/>
      <c r="J432" s="6"/>
      <c r="K432" s="6"/>
      <c r="L432" s="6"/>
      <c r="M432" s="6"/>
      <c r="N432" s="6"/>
      <c r="O432" s="6"/>
      <c r="P432" s="6"/>
      <c r="Q432" s="6"/>
      <c r="R432" s="6"/>
      <c r="S432" s="6"/>
      <c r="T432" s="6"/>
      <c r="U432" s="6"/>
      <c r="V432" s="6"/>
      <c r="W432" s="6"/>
      <c r="X432" s="6"/>
      <c r="Y432" s="6"/>
      <c r="Z432" s="6"/>
    </row>
    <row r="433" ht="60.0" customHeight="1">
      <c r="A433" s="6"/>
      <c r="B433" s="31">
        <v>428.0</v>
      </c>
      <c r="C433" s="58" t="s">
        <v>1909</v>
      </c>
      <c r="D433" s="58" t="s">
        <v>1910</v>
      </c>
      <c r="E433" s="59" t="s">
        <v>93</v>
      </c>
      <c r="F433" s="58" t="s">
        <v>1911</v>
      </c>
      <c r="G433" s="58" t="s">
        <v>1912</v>
      </c>
      <c r="H433" s="36" t="s">
        <v>105</v>
      </c>
      <c r="I433" s="6"/>
      <c r="J433" s="6"/>
      <c r="K433" s="6"/>
      <c r="L433" s="6"/>
      <c r="M433" s="6"/>
      <c r="N433" s="6"/>
      <c r="O433" s="6"/>
      <c r="P433" s="6"/>
      <c r="Q433" s="6"/>
      <c r="R433" s="6"/>
      <c r="S433" s="6"/>
      <c r="T433" s="6"/>
      <c r="U433" s="6"/>
      <c r="V433" s="6"/>
      <c r="W433" s="6"/>
      <c r="X433" s="6"/>
      <c r="Y433" s="6"/>
      <c r="Z433" s="6"/>
    </row>
    <row r="434" ht="60.0" customHeight="1">
      <c r="A434" s="6"/>
      <c r="B434" s="31">
        <v>429.0</v>
      </c>
      <c r="C434" s="58" t="s">
        <v>1913</v>
      </c>
      <c r="D434" s="58" t="s">
        <v>1914</v>
      </c>
      <c r="E434" s="59" t="s">
        <v>93</v>
      </c>
      <c r="F434" s="58" t="s">
        <v>1915</v>
      </c>
      <c r="G434" s="58" t="s">
        <v>1916</v>
      </c>
      <c r="H434" s="36" t="s">
        <v>105</v>
      </c>
      <c r="I434" s="6"/>
      <c r="J434" s="6"/>
      <c r="K434" s="6"/>
      <c r="L434" s="6"/>
      <c r="M434" s="6"/>
      <c r="N434" s="6"/>
      <c r="O434" s="6"/>
      <c r="P434" s="6"/>
      <c r="Q434" s="6"/>
      <c r="R434" s="6"/>
      <c r="S434" s="6"/>
      <c r="T434" s="6"/>
      <c r="U434" s="6"/>
      <c r="V434" s="6"/>
      <c r="W434" s="6"/>
      <c r="X434" s="6"/>
      <c r="Y434" s="6"/>
      <c r="Z434" s="6"/>
    </row>
    <row r="435" ht="60.0" customHeight="1">
      <c r="A435" s="6"/>
      <c r="B435" s="31">
        <v>430.0</v>
      </c>
      <c r="C435" s="58" t="s">
        <v>1917</v>
      </c>
      <c r="D435" s="58" t="s">
        <v>1918</v>
      </c>
      <c r="E435" s="59" t="s">
        <v>93</v>
      </c>
      <c r="F435" s="58" t="s">
        <v>1919</v>
      </c>
      <c r="G435" s="58" t="s">
        <v>1920</v>
      </c>
      <c r="H435" s="36" t="s">
        <v>105</v>
      </c>
      <c r="I435" s="6"/>
      <c r="J435" s="6"/>
      <c r="K435" s="6"/>
      <c r="L435" s="6"/>
      <c r="M435" s="6"/>
      <c r="N435" s="6"/>
      <c r="O435" s="6"/>
      <c r="P435" s="6"/>
      <c r="Q435" s="6"/>
      <c r="R435" s="6"/>
      <c r="S435" s="6"/>
      <c r="T435" s="6"/>
      <c r="U435" s="6"/>
      <c r="V435" s="6"/>
      <c r="W435" s="6"/>
      <c r="X435" s="6"/>
      <c r="Y435" s="6"/>
      <c r="Z435" s="6"/>
    </row>
    <row r="436" ht="60.0" customHeight="1">
      <c r="A436" s="6"/>
      <c r="B436" s="31">
        <v>431.0</v>
      </c>
      <c r="C436" s="58" t="s">
        <v>1921</v>
      </c>
      <c r="D436" s="58" t="s">
        <v>1922</v>
      </c>
      <c r="E436" s="59" t="s">
        <v>93</v>
      </c>
      <c r="F436" s="58" t="s">
        <v>1923</v>
      </c>
      <c r="G436" s="58" t="s">
        <v>1924</v>
      </c>
      <c r="H436" s="36" t="s">
        <v>105</v>
      </c>
      <c r="I436" s="6"/>
      <c r="J436" s="6"/>
      <c r="K436" s="6"/>
      <c r="L436" s="6"/>
      <c r="M436" s="6"/>
      <c r="N436" s="6"/>
      <c r="O436" s="6"/>
      <c r="P436" s="6"/>
      <c r="Q436" s="6"/>
      <c r="R436" s="6"/>
      <c r="S436" s="6"/>
      <c r="T436" s="6"/>
      <c r="U436" s="6"/>
      <c r="V436" s="6"/>
      <c r="W436" s="6"/>
      <c r="X436" s="6"/>
      <c r="Y436" s="6"/>
      <c r="Z436" s="6"/>
    </row>
    <row r="437" ht="60.0" customHeight="1">
      <c r="A437" s="6"/>
      <c r="B437" s="31">
        <v>432.0</v>
      </c>
      <c r="C437" s="58" t="s">
        <v>1925</v>
      </c>
      <c r="D437" s="58" t="s">
        <v>1926</v>
      </c>
      <c r="E437" s="59" t="s">
        <v>93</v>
      </c>
      <c r="F437" s="58" t="s">
        <v>1927</v>
      </c>
      <c r="G437" s="58" t="s">
        <v>1928</v>
      </c>
      <c r="H437" s="36" t="s">
        <v>105</v>
      </c>
      <c r="I437" s="6"/>
      <c r="J437" s="6"/>
      <c r="K437" s="6"/>
      <c r="L437" s="6"/>
      <c r="M437" s="6"/>
      <c r="N437" s="6"/>
      <c r="O437" s="6"/>
      <c r="P437" s="6"/>
      <c r="Q437" s="6"/>
      <c r="R437" s="6"/>
      <c r="S437" s="6"/>
      <c r="T437" s="6"/>
      <c r="U437" s="6"/>
      <c r="V437" s="6"/>
      <c r="W437" s="6"/>
      <c r="X437" s="6"/>
      <c r="Y437" s="6"/>
      <c r="Z437" s="6"/>
    </row>
    <row r="438" ht="60.0" customHeight="1">
      <c r="A438" s="6"/>
      <c r="B438" s="31">
        <v>433.0</v>
      </c>
      <c r="C438" s="58" t="s">
        <v>1929</v>
      </c>
      <c r="D438" s="58" t="s">
        <v>1930</v>
      </c>
      <c r="E438" s="59" t="s">
        <v>93</v>
      </c>
      <c r="F438" s="58" t="s">
        <v>1931</v>
      </c>
      <c r="G438" s="58" t="s">
        <v>1932</v>
      </c>
      <c r="H438" s="36" t="s">
        <v>105</v>
      </c>
      <c r="I438" s="6"/>
      <c r="J438" s="6"/>
      <c r="K438" s="6"/>
      <c r="L438" s="6"/>
      <c r="M438" s="6"/>
      <c r="N438" s="6"/>
      <c r="O438" s="6"/>
      <c r="P438" s="6"/>
      <c r="Q438" s="6"/>
      <c r="R438" s="6"/>
      <c r="S438" s="6"/>
      <c r="T438" s="6"/>
      <c r="U438" s="6"/>
      <c r="V438" s="6"/>
      <c r="W438" s="6"/>
      <c r="X438" s="6"/>
      <c r="Y438" s="6"/>
      <c r="Z438" s="6"/>
    </row>
    <row r="439" ht="60.0" customHeight="1">
      <c r="A439" s="6"/>
      <c r="B439" s="31">
        <v>434.0</v>
      </c>
      <c r="C439" s="58" t="s">
        <v>1933</v>
      </c>
      <c r="D439" s="58" t="s">
        <v>1934</v>
      </c>
      <c r="E439" s="59" t="s">
        <v>93</v>
      </c>
      <c r="F439" s="58" t="s">
        <v>1935</v>
      </c>
      <c r="G439" s="58" t="s">
        <v>1936</v>
      </c>
      <c r="H439" s="36" t="s">
        <v>105</v>
      </c>
      <c r="I439" s="6"/>
      <c r="J439" s="6"/>
      <c r="K439" s="6"/>
      <c r="L439" s="6"/>
      <c r="M439" s="6"/>
      <c r="N439" s="6"/>
      <c r="O439" s="6"/>
      <c r="P439" s="6"/>
      <c r="Q439" s="6"/>
      <c r="R439" s="6"/>
      <c r="S439" s="6"/>
      <c r="T439" s="6"/>
      <c r="U439" s="6"/>
      <c r="V439" s="6"/>
      <c r="W439" s="6"/>
      <c r="X439" s="6"/>
      <c r="Y439" s="6"/>
      <c r="Z439" s="6"/>
    </row>
    <row r="440" ht="60.0" customHeight="1">
      <c r="A440" s="6"/>
      <c r="B440" s="31">
        <v>435.0</v>
      </c>
      <c r="C440" s="58" t="s">
        <v>1937</v>
      </c>
      <c r="D440" s="58" t="s">
        <v>1938</v>
      </c>
      <c r="E440" s="59" t="s">
        <v>93</v>
      </c>
      <c r="F440" s="58" t="s">
        <v>1939</v>
      </c>
      <c r="G440" s="58" t="s">
        <v>1940</v>
      </c>
      <c r="H440" s="36" t="s">
        <v>105</v>
      </c>
      <c r="I440" s="6"/>
      <c r="J440" s="6"/>
      <c r="K440" s="6"/>
      <c r="L440" s="6"/>
      <c r="M440" s="6"/>
      <c r="N440" s="6"/>
      <c r="O440" s="6"/>
      <c r="P440" s="6"/>
      <c r="Q440" s="6"/>
      <c r="R440" s="6"/>
      <c r="S440" s="6"/>
      <c r="T440" s="6"/>
      <c r="U440" s="6"/>
      <c r="V440" s="6"/>
      <c r="W440" s="6"/>
      <c r="X440" s="6"/>
      <c r="Y440" s="6"/>
      <c r="Z440" s="6"/>
    </row>
    <row r="441" ht="60.0" customHeight="1">
      <c r="A441" s="6"/>
      <c r="B441" s="31">
        <v>436.0</v>
      </c>
      <c r="C441" s="58" t="s">
        <v>1941</v>
      </c>
      <c r="D441" s="58" t="s">
        <v>1942</v>
      </c>
      <c r="E441" s="59" t="s">
        <v>93</v>
      </c>
      <c r="F441" s="58" t="s">
        <v>1943</v>
      </c>
      <c r="G441" s="58" t="s">
        <v>1944</v>
      </c>
      <c r="H441" s="36" t="s">
        <v>105</v>
      </c>
      <c r="I441" s="6"/>
      <c r="J441" s="6"/>
      <c r="K441" s="6"/>
      <c r="L441" s="6"/>
      <c r="M441" s="6"/>
      <c r="N441" s="6"/>
      <c r="O441" s="6"/>
      <c r="P441" s="6"/>
      <c r="Q441" s="6"/>
      <c r="R441" s="6"/>
      <c r="S441" s="6"/>
      <c r="T441" s="6"/>
      <c r="U441" s="6"/>
      <c r="V441" s="6"/>
      <c r="W441" s="6"/>
      <c r="X441" s="6"/>
      <c r="Y441" s="6"/>
      <c r="Z441" s="6"/>
    </row>
    <row r="442" ht="60.0" customHeight="1">
      <c r="A442" s="6"/>
      <c r="B442" s="31">
        <v>437.0</v>
      </c>
      <c r="C442" s="58" t="s">
        <v>1945</v>
      </c>
      <c r="D442" s="58" t="s">
        <v>1946</v>
      </c>
      <c r="E442" s="59" t="s">
        <v>93</v>
      </c>
      <c r="F442" s="58" t="s">
        <v>1947</v>
      </c>
      <c r="G442" s="58" t="s">
        <v>1948</v>
      </c>
      <c r="H442" s="36" t="s">
        <v>105</v>
      </c>
      <c r="I442" s="6"/>
      <c r="J442" s="6"/>
      <c r="K442" s="6"/>
      <c r="L442" s="6"/>
      <c r="M442" s="6"/>
      <c r="N442" s="6"/>
      <c r="O442" s="6"/>
      <c r="P442" s="6"/>
      <c r="Q442" s="6"/>
      <c r="R442" s="6"/>
      <c r="S442" s="6"/>
      <c r="T442" s="6"/>
      <c r="U442" s="6"/>
      <c r="V442" s="6"/>
      <c r="W442" s="6"/>
      <c r="X442" s="6"/>
      <c r="Y442" s="6"/>
      <c r="Z442" s="6"/>
    </row>
    <row r="443" ht="60.0" customHeight="1">
      <c r="A443" s="6"/>
      <c r="B443" s="31">
        <v>438.0</v>
      </c>
      <c r="C443" s="58" t="s">
        <v>1949</v>
      </c>
      <c r="D443" s="58" t="s">
        <v>1950</v>
      </c>
      <c r="E443" s="59" t="s">
        <v>93</v>
      </c>
      <c r="F443" s="58" t="s">
        <v>1951</v>
      </c>
      <c r="G443" s="58" t="s">
        <v>1952</v>
      </c>
      <c r="H443" s="36" t="s">
        <v>105</v>
      </c>
      <c r="I443" s="6"/>
      <c r="J443" s="6"/>
      <c r="K443" s="6"/>
      <c r="L443" s="6"/>
      <c r="M443" s="6"/>
      <c r="N443" s="6"/>
      <c r="O443" s="6"/>
      <c r="P443" s="6"/>
      <c r="Q443" s="6"/>
      <c r="R443" s="6"/>
      <c r="S443" s="6"/>
      <c r="T443" s="6"/>
      <c r="U443" s="6"/>
      <c r="V443" s="6"/>
      <c r="W443" s="6"/>
      <c r="X443" s="6"/>
      <c r="Y443" s="6"/>
      <c r="Z443" s="6"/>
    </row>
    <row r="444" ht="60.0" customHeight="1">
      <c r="A444" s="6"/>
      <c r="B444" s="31">
        <v>439.0</v>
      </c>
      <c r="C444" s="58" t="s">
        <v>1953</v>
      </c>
      <c r="D444" s="58" t="s">
        <v>1954</v>
      </c>
      <c r="E444" s="59" t="s">
        <v>93</v>
      </c>
      <c r="F444" s="58" t="s">
        <v>1955</v>
      </c>
      <c r="G444" s="58" t="s">
        <v>1956</v>
      </c>
      <c r="H444" s="36" t="s">
        <v>105</v>
      </c>
      <c r="I444" s="6"/>
      <c r="J444" s="6"/>
      <c r="K444" s="6"/>
      <c r="L444" s="6"/>
      <c r="M444" s="6"/>
      <c r="N444" s="6"/>
      <c r="O444" s="6"/>
      <c r="P444" s="6"/>
      <c r="Q444" s="6"/>
      <c r="R444" s="6"/>
      <c r="S444" s="6"/>
      <c r="T444" s="6"/>
      <c r="U444" s="6"/>
      <c r="V444" s="6"/>
      <c r="W444" s="6"/>
      <c r="X444" s="6"/>
      <c r="Y444" s="6"/>
      <c r="Z444" s="6"/>
    </row>
    <row r="445" ht="60.0" customHeight="1">
      <c r="A445" s="6"/>
      <c r="B445" s="31">
        <v>440.0</v>
      </c>
      <c r="C445" s="58" t="s">
        <v>1957</v>
      </c>
      <c r="D445" s="58" t="s">
        <v>1958</v>
      </c>
      <c r="E445" s="59" t="s">
        <v>93</v>
      </c>
      <c r="F445" s="58" t="s">
        <v>1959</v>
      </c>
      <c r="G445" s="58" t="s">
        <v>1960</v>
      </c>
      <c r="H445" s="36" t="s">
        <v>105</v>
      </c>
      <c r="I445" s="6"/>
      <c r="J445" s="6"/>
      <c r="K445" s="6"/>
      <c r="L445" s="6"/>
      <c r="M445" s="6"/>
      <c r="N445" s="6"/>
      <c r="O445" s="6"/>
      <c r="P445" s="6"/>
      <c r="Q445" s="6"/>
      <c r="R445" s="6"/>
      <c r="S445" s="6"/>
      <c r="T445" s="6"/>
      <c r="U445" s="6"/>
      <c r="V445" s="6"/>
      <c r="W445" s="6"/>
      <c r="X445" s="6"/>
      <c r="Y445" s="6"/>
      <c r="Z445" s="6"/>
    </row>
    <row r="446" ht="60.0" customHeight="1">
      <c r="A446" s="6"/>
      <c r="B446" s="31">
        <v>441.0</v>
      </c>
      <c r="C446" s="58" t="s">
        <v>1961</v>
      </c>
      <c r="D446" s="58" t="s">
        <v>1962</v>
      </c>
      <c r="E446" s="59" t="s">
        <v>93</v>
      </c>
      <c r="F446" s="58" t="s">
        <v>1963</v>
      </c>
      <c r="G446" s="58" t="s">
        <v>1964</v>
      </c>
      <c r="H446" s="36" t="s">
        <v>105</v>
      </c>
      <c r="I446" s="6"/>
      <c r="J446" s="6"/>
      <c r="K446" s="6"/>
      <c r="L446" s="6"/>
      <c r="M446" s="6"/>
      <c r="N446" s="6"/>
      <c r="O446" s="6"/>
      <c r="P446" s="6"/>
      <c r="Q446" s="6"/>
      <c r="R446" s="6"/>
      <c r="S446" s="6"/>
      <c r="T446" s="6"/>
      <c r="U446" s="6"/>
      <c r="V446" s="6"/>
      <c r="W446" s="6"/>
      <c r="X446" s="6"/>
      <c r="Y446" s="6"/>
      <c r="Z446" s="6"/>
    </row>
    <row r="447" ht="60.0" customHeight="1">
      <c r="A447" s="6"/>
      <c r="B447" s="31">
        <v>442.0</v>
      </c>
      <c r="C447" s="58" t="s">
        <v>1965</v>
      </c>
      <c r="D447" s="58" t="s">
        <v>1966</v>
      </c>
      <c r="E447" s="59" t="s">
        <v>93</v>
      </c>
      <c r="F447" s="58" t="s">
        <v>1967</v>
      </c>
      <c r="G447" s="58" t="s">
        <v>1968</v>
      </c>
      <c r="H447" s="36" t="s">
        <v>105</v>
      </c>
      <c r="I447" s="6"/>
      <c r="J447" s="6"/>
      <c r="K447" s="6"/>
      <c r="L447" s="6"/>
      <c r="M447" s="6"/>
      <c r="N447" s="6"/>
      <c r="O447" s="6"/>
      <c r="P447" s="6"/>
      <c r="Q447" s="6"/>
      <c r="R447" s="6"/>
      <c r="S447" s="6"/>
      <c r="T447" s="6"/>
      <c r="U447" s="6"/>
      <c r="V447" s="6"/>
      <c r="W447" s="6"/>
      <c r="X447" s="6"/>
      <c r="Y447" s="6"/>
      <c r="Z447" s="6"/>
    </row>
    <row r="448" ht="60.0" customHeight="1">
      <c r="A448" s="6"/>
      <c r="B448" s="31">
        <v>443.0</v>
      </c>
      <c r="C448" s="58" t="s">
        <v>1969</v>
      </c>
      <c r="D448" s="58" t="s">
        <v>1970</v>
      </c>
      <c r="E448" s="59" t="s">
        <v>93</v>
      </c>
      <c r="F448" s="58" t="s">
        <v>1971</v>
      </c>
      <c r="G448" s="58" t="s">
        <v>1972</v>
      </c>
      <c r="H448" s="36" t="s">
        <v>105</v>
      </c>
      <c r="I448" s="6"/>
      <c r="J448" s="6"/>
      <c r="K448" s="6"/>
      <c r="L448" s="6"/>
      <c r="M448" s="6"/>
      <c r="N448" s="6"/>
      <c r="O448" s="6"/>
      <c r="P448" s="6"/>
      <c r="Q448" s="6"/>
      <c r="R448" s="6"/>
      <c r="S448" s="6"/>
      <c r="T448" s="6"/>
      <c r="U448" s="6"/>
      <c r="V448" s="6"/>
      <c r="W448" s="6"/>
      <c r="X448" s="6"/>
      <c r="Y448" s="6"/>
      <c r="Z448" s="6"/>
    </row>
    <row r="449" ht="60.0" customHeight="1">
      <c r="A449" s="6"/>
      <c r="B449" s="31">
        <v>444.0</v>
      </c>
      <c r="C449" s="58" t="s">
        <v>1973</v>
      </c>
      <c r="D449" s="58" t="s">
        <v>1974</v>
      </c>
      <c r="E449" s="59" t="s">
        <v>93</v>
      </c>
      <c r="F449" s="58" t="s">
        <v>1975</v>
      </c>
      <c r="G449" s="58" t="s">
        <v>1976</v>
      </c>
      <c r="H449" s="36" t="s">
        <v>105</v>
      </c>
      <c r="I449" s="6"/>
      <c r="J449" s="6"/>
      <c r="K449" s="6"/>
      <c r="L449" s="6"/>
      <c r="M449" s="6"/>
      <c r="N449" s="6"/>
      <c r="O449" s="6"/>
      <c r="P449" s="6"/>
      <c r="Q449" s="6"/>
      <c r="R449" s="6"/>
      <c r="S449" s="6"/>
      <c r="T449" s="6"/>
      <c r="U449" s="6"/>
      <c r="V449" s="6"/>
      <c r="W449" s="6"/>
      <c r="X449" s="6"/>
      <c r="Y449" s="6"/>
      <c r="Z449" s="6"/>
    </row>
    <row r="450" ht="60.0" customHeight="1">
      <c r="A450" s="6"/>
      <c r="B450" s="31">
        <v>445.0</v>
      </c>
      <c r="C450" s="58" t="s">
        <v>1977</v>
      </c>
      <c r="D450" s="58" t="s">
        <v>1978</v>
      </c>
      <c r="E450" s="59" t="s">
        <v>93</v>
      </c>
      <c r="F450" s="58" t="s">
        <v>1979</v>
      </c>
      <c r="G450" s="58" t="s">
        <v>1980</v>
      </c>
      <c r="H450" s="36" t="s">
        <v>105</v>
      </c>
      <c r="I450" s="6"/>
      <c r="J450" s="6"/>
      <c r="K450" s="6"/>
      <c r="L450" s="6"/>
      <c r="M450" s="6"/>
      <c r="N450" s="6"/>
      <c r="O450" s="6"/>
      <c r="P450" s="6"/>
      <c r="Q450" s="6"/>
      <c r="R450" s="6"/>
      <c r="S450" s="6"/>
      <c r="T450" s="6"/>
      <c r="U450" s="6"/>
      <c r="V450" s="6"/>
      <c r="W450" s="6"/>
      <c r="X450" s="6"/>
      <c r="Y450" s="6"/>
      <c r="Z450" s="6"/>
    </row>
    <row r="451" ht="60.0" customHeight="1">
      <c r="A451" s="6"/>
      <c r="B451" s="31">
        <v>446.0</v>
      </c>
      <c r="C451" s="58" t="s">
        <v>1981</v>
      </c>
      <c r="D451" s="58" t="s">
        <v>1982</v>
      </c>
      <c r="E451" s="59" t="s">
        <v>93</v>
      </c>
      <c r="F451" s="58" t="s">
        <v>1983</v>
      </c>
      <c r="G451" s="58" t="s">
        <v>1984</v>
      </c>
      <c r="H451" s="36" t="s">
        <v>105</v>
      </c>
      <c r="I451" s="6"/>
      <c r="J451" s="6"/>
      <c r="K451" s="6"/>
      <c r="L451" s="6"/>
      <c r="M451" s="6"/>
      <c r="N451" s="6"/>
      <c r="O451" s="6"/>
      <c r="P451" s="6"/>
      <c r="Q451" s="6"/>
      <c r="R451" s="6"/>
      <c r="S451" s="6"/>
      <c r="T451" s="6"/>
      <c r="U451" s="6"/>
      <c r="V451" s="6"/>
      <c r="W451" s="6"/>
      <c r="X451" s="6"/>
      <c r="Y451" s="6"/>
      <c r="Z451" s="6"/>
    </row>
    <row r="452" ht="60.0" customHeight="1">
      <c r="A452" s="6"/>
      <c r="B452" s="31">
        <v>447.0</v>
      </c>
      <c r="C452" s="58" t="s">
        <v>1985</v>
      </c>
      <c r="D452" s="58" t="s">
        <v>1986</v>
      </c>
      <c r="E452" s="59" t="s">
        <v>93</v>
      </c>
      <c r="F452" s="58" t="s">
        <v>1987</v>
      </c>
      <c r="G452" s="58" t="s">
        <v>1988</v>
      </c>
      <c r="H452" s="36" t="s">
        <v>105</v>
      </c>
      <c r="I452" s="6"/>
      <c r="J452" s="6"/>
      <c r="K452" s="6"/>
      <c r="L452" s="6"/>
      <c r="M452" s="6"/>
      <c r="N452" s="6"/>
      <c r="O452" s="6"/>
      <c r="P452" s="6"/>
      <c r="Q452" s="6"/>
      <c r="R452" s="6"/>
      <c r="S452" s="6"/>
      <c r="T452" s="6"/>
      <c r="U452" s="6"/>
      <c r="V452" s="6"/>
      <c r="W452" s="6"/>
      <c r="X452" s="6"/>
      <c r="Y452" s="6"/>
      <c r="Z452" s="6"/>
    </row>
    <row r="453" ht="60.0" customHeight="1">
      <c r="A453" s="6"/>
      <c r="B453" s="31">
        <v>448.0</v>
      </c>
      <c r="C453" s="58" t="s">
        <v>1989</v>
      </c>
      <c r="D453" s="58" t="s">
        <v>1990</v>
      </c>
      <c r="E453" s="59" t="s">
        <v>93</v>
      </c>
      <c r="F453" s="58" t="s">
        <v>1991</v>
      </c>
      <c r="G453" s="58" t="s">
        <v>1992</v>
      </c>
      <c r="H453" s="36" t="s">
        <v>105</v>
      </c>
      <c r="I453" s="6"/>
      <c r="J453" s="6"/>
      <c r="K453" s="6"/>
      <c r="L453" s="6"/>
      <c r="M453" s="6"/>
      <c r="N453" s="6"/>
      <c r="O453" s="6"/>
      <c r="P453" s="6"/>
      <c r="Q453" s="6"/>
      <c r="R453" s="6"/>
      <c r="S453" s="6"/>
      <c r="T453" s="6"/>
      <c r="U453" s="6"/>
      <c r="V453" s="6"/>
      <c r="W453" s="6"/>
      <c r="X453" s="6"/>
      <c r="Y453" s="6"/>
      <c r="Z453" s="6"/>
    </row>
    <row r="454" ht="60.0" customHeight="1">
      <c r="A454" s="6"/>
      <c r="B454" s="31">
        <v>449.0</v>
      </c>
      <c r="C454" s="58" t="s">
        <v>1993</v>
      </c>
      <c r="D454" s="58" t="s">
        <v>1994</v>
      </c>
      <c r="E454" s="59" t="s">
        <v>93</v>
      </c>
      <c r="F454" s="58" t="s">
        <v>1995</v>
      </c>
      <c r="G454" s="58" t="s">
        <v>1996</v>
      </c>
      <c r="H454" s="36" t="s">
        <v>105</v>
      </c>
      <c r="I454" s="6"/>
      <c r="J454" s="6"/>
      <c r="K454" s="6"/>
      <c r="L454" s="6"/>
      <c r="M454" s="6"/>
      <c r="N454" s="6"/>
      <c r="O454" s="6"/>
      <c r="P454" s="6"/>
      <c r="Q454" s="6"/>
      <c r="R454" s="6"/>
      <c r="S454" s="6"/>
      <c r="T454" s="6"/>
      <c r="U454" s="6"/>
      <c r="V454" s="6"/>
      <c r="W454" s="6"/>
      <c r="X454" s="6"/>
      <c r="Y454" s="6"/>
      <c r="Z454" s="6"/>
    </row>
    <row r="455" ht="60.0" customHeight="1">
      <c r="A455" s="6"/>
      <c r="B455" s="31">
        <v>450.0</v>
      </c>
      <c r="C455" s="58" t="s">
        <v>1997</v>
      </c>
      <c r="D455" s="58" t="s">
        <v>1998</v>
      </c>
      <c r="E455" s="59" t="s">
        <v>93</v>
      </c>
      <c r="F455" s="58" t="s">
        <v>1999</v>
      </c>
      <c r="G455" s="58" t="s">
        <v>2000</v>
      </c>
      <c r="H455" s="36" t="s">
        <v>105</v>
      </c>
      <c r="I455" s="6"/>
      <c r="J455" s="6"/>
      <c r="K455" s="6"/>
      <c r="L455" s="6"/>
      <c r="M455" s="6"/>
      <c r="N455" s="6"/>
      <c r="O455" s="6"/>
      <c r="P455" s="6"/>
      <c r="Q455" s="6"/>
      <c r="R455" s="6"/>
      <c r="S455" s="6"/>
      <c r="T455" s="6"/>
      <c r="U455" s="6"/>
      <c r="V455" s="6"/>
      <c r="W455" s="6"/>
      <c r="X455" s="6"/>
      <c r="Y455" s="6"/>
      <c r="Z455" s="6"/>
    </row>
    <row r="456" ht="60.0" customHeight="1">
      <c r="A456" s="6"/>
      <c r="B456" s="31">
        <v>451.0</v>
      </c>
      <c r="C456" s="58" t="s">
        <v>2001</v>
      </c>
      <c r="D456" s="58" t="s">
        <v>2002</v>
      </c>
      <c r="E456" s="59" t="s">
        <v>93</v>
      </c>
      <c r="F456" s="58" t="s">
        <v>2003</v>
      </c>
      <c r="G456" s="58" t="s">
        <v>2004</v>
      </c>
      <c r="H456" s="36" t="s">
        <v>105</v>
      </c>
      <c r="I456" s="6"/>
      <c r="J456" s="6"/>
      <c r="K456" s="6"/>
      <c r="L456" s="6"/>
      <c r="M456" s="6"/>
      <c r="N456" s="6"/>
      <c r="O456" s="6"/>
      <c r="P456" s="6"/>
      <c r="Q456" s="6"/>
      <c r="R456" s="6"/>
      <c r="S456" s="6"/>
      <c r="T456" s="6"/>
      <c r="U456" s="6"/>
      <c r="V456" s="6"/>
      <c r="W456" s="6"/>
      <c r="X456" s="6"/>
      <c r="Y456" s="6"/>
      <c r="Z456" s="6"/>
    </row>
    <row r="457" ht="60.0" customHeight="1">
      <c r="A457" s="6"/>
      <c r="B457" s="31">
        <v>452.0</v>
      </c>
      <c r="C457" s="58" t="s">
        <v>2005</v>
      </c>
      <c r="D457" s="58" t="s">
        <v>2006</v>
      </c>
      <c r="E457" s="59" t="s">
        <v>93</v>
      </c>
      <c r="F457" s="58" t="s">
        <v>2007</v>
      </c>
      <c r="G457" s="58" t="s">
        <v>2008</v>
      </c>
      <c r="H457" s="36" t="s">
        <v>105</v>
      </c>
      <c r="I457" s="6"/>
      <c r="J457" s="6"/>
      <c r="K457" s="6"/>
      <c r="L457" s="6"/>
      <c r="M457" s="6"/>
      <c r="N457" s="6"/>
      <c r="O457" s="6"/>
      <c r="P457" s="6"/>
      <c r="Q457" s="6"/>
      <c r="R457" s="6"/>
      <c r="S457" s="6"/>
      <c r="T457" s="6"/>
      <c r="U457" s="6"/>
      <c r="V457" s="6"/>
      <c r="W457" s="6"/>
      <c r="X457" s="6"/>
      <c r="Y457" s="6"/>
      <c r="Z457" s="6"/>
    </row>
    <row r="458" ht="60.0" customHeight="1">
      <c r="A458" s="6"/>
      <c r="B458" s="31">
        <v>453.0</v>
      </c>
      <c r="C458" s="58" t="s">
        <v>2009</v>
      </c>
      <c r="D458" s="58" t="s">
        <v>2010</v>
      </c>
      <c r="E458" s="59" t="s">
        <v>93</v>
      </c>
      <c r="F458" s="58" t="s">
        <v>2011</v>
      </c>
      <c r="G458" s="58" t="s">
        <v>2012</v>
      </c>
      <c r="H458" s="36" t="s">
        <v>105</v>
      </c>
      <c r="I458" s="6"/>
      <c r="J458" s="6"/>
      <c r="K458" s="6"/>
      <c r="L458" s="6"/>
      <c r="M458" s="6"/>
      <c r="N458" s="6"/>
      <c r="O458" s="6"/>
      <c r="P458" s="6"/>
      <c r="Q458" s="6"/>
      <c r="R458" s="6"/>
      <c r="S458" s="6"/>
      <c r="T458" s="6"/>
      <c r="U458" s="6"/>
      <c r="V458" s="6"/>
      <c r="W458" s="6"/>
      <c r="X458" s="6"/>
      <c r="Y458" s="6"/>
      <c r="Z458" s="6"/>
    </row>
    <row r="459" ht="60.0" customHeight="1">
      <c r="A459" s="6"/>
      <c r="B459" s="31">
        <v>454.0</v>
      </c>
      <c r="C459" s="58" t="s">
        <v>2013</v>
      </c>
      <c r="D459" s="58" t="s">
        <v>2014</v>
      </c>
      <c r="E459" s="59" t="s">
        <v>93</v>
      </c>
      <c r="F459" s="58" t="s">
        <v>2015</v>
      </c>
      <c r="G459" s="58" t="s">
        <v>2016</v>
      </c>
      <c r="H459" s="36" t="s">
        <v>105</v>
      </c>
      <c r="I459" s="6"/>
      <c r="J459" s="6"/>
      <c r="K459" s="6"/>
      <c r="L459" s="6"/>
      <c r="M459" s="6"/>
      <c r="N459" s="6"/>
      <c r="O459" s="6"/>
      <c r="P459" s="6"/>
      <c r="Q459" s="6"/>
      <c r="R459" s="6"/>
      <c r="S459" s="6"/>
      <c r="T459" s="6"/>
      <c r="U459" s="6"/>
      <c r="V459" s="6"/>
      <c r="W459" s="6"/>
      <c r="X459" s="6"/>
      <c r="Y459" s="6"/>
      <c r="Z459" s="6"/>
    </row>
    <row r="460" ht="60.0" customHeight="1">
      <c r="A460" s="6"/>
      <c r="B460" s="31">
        <v>455.0</v>
      </c>
      <c r="C460" s="58" t="s">
        <v>2017</v>
      </c>
      <c r="D460" s="58" t="s">
        <v>2018</v>
      </c>
      <c r="E460" s="59" t="s">
        <v>93</v>
      </c>
      <c r="F460" s="58" t="s">
        <v>2019</v>
      </c>
      <c r="G460" s="58" t="s">
        <v>2020</v>
      </c>
      <c r="H460" s="36" t="s">
        <v>105</v>
      </c>
      <c r="I460" s="6"/>
      <c r="J460" s="6"/>
      <c r="K460" s="6"/>
      <c r="L460" s="6"/>
      <c r="M460" s="6"/>
      <c r="N460" s="6"/>
      <c r="O460" s="6"/>
      <c r="P460" s="6"/>
      <c r="Q460" s="6"/>
      <c r="R460" s="6"/>
      <c r="S460" s="6"/>
      <c r="T460" s="6"/>
      <c r="U460" s="6"/>
      <c r="V460" s="6"/>
      <c r="W460" s="6"/>
      <c r="X460" s="6"/>
      <c r="Y460" s="6"/>
      <c r="Z460" s="6"/>
    </row>
    <row r="461" ht="60.0" customHeight="1">
      <c r="A461" s="6"/>
      <c r="B461" s="31">
        <v>456.0</v>
      </c>
      <c r="C461" s="58" t="s">
        <v>2021</v>
      </c>
      <c r="D461" s="58" t="s">
        <v>2022</v>
      </c>
      <c r="E461" s="59" t="s">
        <v>93</v>
      </c>
      <c r="F461" s="58" t="s">
        <v>2023</v>
      </c>
      <c r="G461" s="58" t="s">
        <v>2024</v>
      </c>
      <c r="H461" s="36" t="s">
        <v>105</v>
      </c>
      <c r="I461" s="6"/>
      <c r="J461" s="6"/>
      <c r="K461" s="6"/>
      <c r="L461" s="6"/>
      <c r="M461" s="6"/>
      <c r="N461" s="6"/>
      <c r="O461" s="6"/>
      <c r="P461" s="6"/>
      <c r="Q461" s="6"/>
      <c r="R461" s="6"/>
      <c r="S461" s="6"/>
      <c r="T461" s="6"/>
      <c r="U461" s="6"/>
      <c r="V461" s="6"/>
      <c r="W461" s="6"/>
      <c r="X461" s="6"/>
      <c r="Y461" s="6"/>
      <c r="Z461" s="6"/>
    </row>
    <row r="462" ht="60.0" customHeight="1">
      <c r="A462" s="6"/>
      <c r="B462" s="31">
        <v>457.0</v>
      </c>
      <c r="C462" s="58" t="s">
        <v>2025</v>
      </c>
      <c r="D462" s="58" t="s">
        <v>2026</v>
      </c>
      <c r="E462" s="59" t="s">
        <v>93</v>
      </c>
      <c r="F462" s="58" t="s">
        <v>2027</v>
      </c>
      <c r="G462" s="58" t="s">
        <v>2028</v>
      </c>
      <c r="H462" s="36" t="s">
        <v>105</v>
      </c>
      <c r="I462" s="6"/>
      <c r="J462" s="6"/>
      <c r="K462" s="6"/>
      <c r="L462" s="6"/>
      <c r="M462" s="6"/>
      <c r="N462" s="6"/>
      <c r="O462" s="6"/>
      <c r="P462" s="6"/>
      <c r="Q462" s="6"/>
      <c r="R462" s="6"/>
      <c r="S462" s="6"/>
      <c r="T462" s="6"/>
      <c r="U462" s="6"/>
      <c r="V462" s="6"/>
      <c r="W462" s="6"/>
      <c r="X462" s="6"/>
      <c r="Y462" s="6"/>
      <c r="Z462" s="6"/>
    </row>
    <row r="463" ht="60.0" customHeight="1">
      <c r="A463" s="6"/>
      <c r="B463" s="31">
        <v>458.0</v>
      </c>
      <c r="C463" s="58" t="s">
        <v>2029</v>
      </c>
      <c r="D463" s="58" t="s">
        <v>2030</v>
      </c>
      <c r="E463" s="59" t="s">
        <v>93</v>
      </c>
      <c r="F463" s="58" t="s">
        <v>2031</v>
      </c>
      <c r="G463" s="58" t="s">
        <v>2032</v>
      </c>
      <c r="H463" s="36" t="s">
        <v>105</v>
      </c>
      <c r="I463" s="6"/>
      <c r="J463" s="6"/>
      <c r="K463" s="6"/>
      <c r="L463" s="6"/>
      <c r="M463" s="6"/>
      <c r="N463" s="6"/>
      <c r="O463" s="6"/>
      <c r="P463" s="6"/>
      <c r="Q463" s="6"/>
      <c r="R463" s="6"/>
      <c r="S463" s="6"/>
      <c r="T463" s="6"/>
      <c r="U463" s="6"/>
      <c r="V463" s="6"/>
      <c r="W463" s="6"/>
      <c r="X463" s="6"/>
      <c r="Y463" s="6"/>
      <c r="Z463" s="6"/>
    </row>
    <row r="464" ht="60.0" customHeight="1">
      <c r="A464" s="6"/>
      <c r="B464" s="31">
        <v>459.0</v>
      </c>
      <c r="C464" s="58" t="s">
        <v>2033</v>
      </c>
      <c r="D464" s="58" t="s">
        <v>2034</v>
      </c>
      <c r="E464" s="59" t="s">
        <v>93</v>
      </c>
      <c r="F464" s="58" t="s">
        <v>2035</v>
      </c>
      <c r="G464" s="58" t="s">
        <v>2036</v>
      </c>
      <c r="H464" s="36" t="s">
        <v>105</v>
      </c>
      <c r="I464" s="6"/>
      <c r="J464" s="6"/>
      <c r="K464" s="6"/>
      <c r="L464" s="6"/>
      <c r="M464" s="6"/>
      <c r="N464" s="6"/>
      <c r="O464" s="6"/>
      <c r="P464" s="6"/>
      <c r="Q464" s="6"/>
      <c r="R464" s="6"/>
      <c r="S464" s="6"/>
      <c r="T464" s="6"/>
      <c r="U464" s="6"/>
      <c r="V464" s="6"/>
      <c r="W464" s="6"/>
      <c r="X464" s="6"/>
      <c r="Y464" s="6"/>
      <c r="Z464" s="6"/>
    </row>
    <row r="465" ht="60.0" customHeight="1">
      <c r="A465" s="6"/>
      <c r="B465" s="31">
        <v>460.0</v>
      </c>
      <c r="C465" s="58" t="s">
        <v>2037</v>
      </c>
      <c r="D465" s="58" t="s">
        <v>2038</v>
      </c>
      <c r="E465" s="59" t="s">
        <v>93</v>
      </c>
      <c r="F465" s="58" t="s">
        <v>2039</v>
      </c>
      <c r="G465" s="58" t="s">
        <v>2040</v>
      </c>
      <c r="H465" s="36" t="s">
        <v>105</v>
      </c>
      <c r="I465" s="6"/>
      <c r="J465" s="6"/>
      <c r="K465" s="6"/>
      <c r="L465" s="6"/>
      <c r="M465" s="6"/>
      <c r="N465" s="6"/>
      <c r="O465" s="6"/>
      <c r="P465" s="6"/>
      <c r="Q465" s="6"/>
      <c r="R465" s="6"/>
      <c r="S465" s="6"/>
      <c r="T465" s="6"/>
      <c r="U465" s="6"/>
      <c r="V465" s="6"/>
      <c r="W465" s="6"/>
      <c r="X465" s="6"/>
      <c r="Y465" s="6"/>
      <c r="Z465" s="6"/>
    </row>
    <row r="466" ht="60.0" customHeight="1">
      <c r="A466" s="6"/>
      <c r="B466" s="31">
        <v>461.0</v>
      </c>
      <c r="C466" s="58" t="s">
        <v>2041</v>
      </c>
      <c r="D466" s="58" t="s">
        <v>2042</v>
      </c>
      <c r="E466" s="59" t="s">
        <v>93</v>
      </c>
      <c r="F466" s="58" t="s">
        <v>2043</v>
      </c>
      <c r="G466" s="58" t="s">
        <v>2044</v>
      </c>
      <c r="H466" s="36" t="s">
        <v>105</v>
      </c>
      <c r="I466" s="6"/>
      <c r="J466" s="6"/>
      <c r="K466" s="6"/>
      <c r="L466" s="6"/>
      <c r="M466" s="6"/>
      <c r="N466" s="6"/>
      <c r="O466" s="6"/>
      <c r="P466" s="6"/>
      <c r="Q466" s="6"/>
      <c r="R466" s="6"/>
      <c r="S466" s="6"/>
      <c r="T466" s="6"/>
      <c r="U466" s="6"/>
      <c r="V466" s="6"/>
      <c r="W466" s="6"/>
      <c r="X466" s="6"/>
      <c r="Y466" s="6"/>
      <c r="Z466" s="6"/>
    </row>
    <row r="467" ht="60.0" customHeight="1">
      <c r="A467" s="6"/>
      <c r="B467" s="31">
        <v>462.0</v>
      </c>
      <c r="C467" s="58" t="s">
        <v>2045</v>
      </c>
      <c r="D467" s="58" t="s">
        <v>2046</v>
      </c>
      <c r="E467" s="59" t="s">
        <v>93</v>
      </c>
      <c r="F467" s="58" t="s">
        <v>2047</v>
      </c>
      <c r="G467" s="58" t="s">
        <v>2048</v>
      </c>
      <c r="H467" s="36" t="s">
        <v>105</v>
      </c>
      <c r="I467" s="6"/>
      <c r="J467" s="6"/>
      <c r="K467" s="6"/>
      <c r="L467" s="6"/>
      <c r="M467" s="6"/>
      <c r="N467" s="6"/>
      <c r="O467" s="6"/>
      <c r="P467" s="6"/>
      <c r="Q467" s="6"/>
      <c r="R467" s="6"/>
      <c r="S467" s="6"/>
      <c r="T467" s="6"/>
      <c r="U467" s="6"/>
      <c r="V467" s="6"/>
      <c r="W467" s="6"/>
      <c r="X467" s="6"/>
      <c r="Y467" s="6"/>
      <c r="Z467" s="6"/>
    </row>
    <row r="468" ht="60.0" customHeight="1">
      <c r="A468" s="6"/>
      <c r="B468" s="31">
        <v>463.0</v>
      </c>
      <c r="C468" s="58" t="s">
        <v>2049</v>
      </c>
      <c r="D468" s="58" t="s">
        <v>2050</v>
      </c>
      <c r="E468" s="59" t="s">
        <v>93</v>
      </c>
      <c r="F468" s="58" t="s">
        <v>2051</v>
      </c>
      <c r="G468" s="58" t="s">
        <v>2052</v>
      </c>
      <c r="H468" s="36" t="s">
        <v>105</v>
      </c>
      <c r="I468" s="6"/>
      <c r="J468" s="6"/>
      <c r="K468" s="6"/>
      <c r="L468" s="6"/>
      <c r="M468" s="6"/>
      <c r="N468" s="6"/>
      <c r="O468" s="6"/>
      <c r="P468" s="6"/>
      <c r="Q468" s="6"/>
      <c r="R468" s="6"/>
      <c r="S468" s="6"/>
      <c r="T468" s="6"/>
      <c r="U468" s="6"/>
      <c r="V468" s="6"/>
      <c r="W468" s="6"/>
      <c r="X468" s="6"/>
      <c r="Y468" s="6"/>
      <c r="Z468" s="6"/>
    </row>
    <row r="469" ht="60.0" customHeight="1">
      <c r="A469" s="6"/>
      <c r="B469" s="31">
        <v>464.0</v>
      </c>
      <c r="C469" s="58" t="s">
        <v>2053</v>
      </c>
      <c r="D469" s="58" t="s">
        <v>2054</v>
      </c>
      <c r="E469" s="59" t="s">
        <v>93</v>
      </c>
      <c r="F469" s="58" t="s">
        <v>2055</v>
      </c>
      <c r="G469" s="58" t="s">
        <v>2056</v>
      </c>
      <c r="H469" s="36" t="s">
        <v>105</v>
      </c>
      <c r="I469" s="6"/>
      <c r="J469" s="6"/>
      <c r="K469" s="6"/>
      <c r="L469" s="6"/>
      <c r="M469" s="6"/>
      <c r="N469" s="6"/>
      <c r="O469" s="6"/>
      <c r="P469" s="6"/>
      <c r="Q469" s="6"/>
      <c r="R469" s="6"/>
      <c r="S469" s="6"/>
      <c r="T469" s="6"/>
      <c r="U469" s="6"/>
      <c r="V469" s="6"/>
      <c r="W469" s="6"/>
      <c r="X469" s="6"/>
      <c r="Y469" s="6"/>
      <c r="Z469" s="6"/>
    </row>
    <row r="470" ht="60.0" customHeight="1">
      <c r="A470" s="6"/>
      <c r="B470" s="31">
        <v>465.0</v>
      </c>
      <c r="C470" s="58" t="s">
        <v>2057</v>
      </c>
      <c r="D470" s="58" t="s">
        <v>2058</v>
      </c>
      <c r="E470" s="59" t="s">
        <v>93</v>
      </c>
      <c r="F470" s="58" t="s">
        <v>2059</v>
      </c>
      <c r="G470" s="58" t="s">
        <v>2060</v>
      </c>
      <c r="H470" s="36" t="s">
        <v>105</v>
      </c>
      <c r="I470" s="6"/>
      <c r="J470" s="6"/>
      <c r="K470" s="6"/>
      <c r="L470" s="6"/>
      <c r="M470" s="6"/>
      <c r="N470" s="6"/>
      <c r="O470" s="6"/>
      <c r="P470" s="6"/>
      <c r="Q470" s="6"/>
      <c r="R470" s="6"/>
      <c r="S470" s="6"/>
      <c r="T470" s="6"/>
      <c r="U470" s="6"/>
      <c r="V470" s="6"/>
      <c r="W470" s="6"/>
      <c r="X470" s="6"/>
      <c r="Y470" s="6"/>
      <c r="Z470" s="6"/>
    </row>
    <row r="471" ht="60.0" customHeight="1">
      <c r="A471" s="6"/>
      <c r="B471" s="31">
        <v>466.0</v>
      </c>
      <c r="C471" s="58" t="s">
        <v>2061</v>
      </c>
      <c r="D471" s="58" t="s">
        <v>2062</v>
      </c>
      <c r="E471" s="59" t="s">
        <v>93</v>
      </c>
      <c r="F471" s="58" t="s">
        <v>2063</v>
      </c>
      <c r="G471" s="58" t="s">
        <v>2064</v>
      </c>
      <c r="H471" s="36" t="s">
        <v>105</v>
      </c>
      <c r="I471" s="6"/>
      <c r="J471" s="6"/>
      <c r="K471" s="6"/>
      <c r="L471" s="6"/>
      <c r="M471" s="6"/>
      <c r="N471" s="6"/>
      <c r="O471" s="6"/>
      <c r="P471" s="6"/>
      <c r="Q471" s="6"/>
      <c r="R471" s="6"/>
      <c r="S471" s="6"/>
      <c r="T471" s="6"/>
      <c r="U471" s="6"/>
      <c r="V471" s="6"/>
      <c r="W471" s="6"/>
      <c r="X471" s="6"/>
      <c r="Y471" s="6"/>
      <c r="Z471" s="6"/>
    </row>
    <row r="472" ht="60.0" customHeight="1">
      <c r="A472" s="6"/>
      <c r="B472" s="31">
        <v>467.0</v>
      </c>
      <c r="C472" s="58" t="s">
        <v>2065</v>
      </c>
      <c r="D472" s="58" t="s">
        <v>2066</v>
      </c>
      <c r="E472" s="59" t="s">
        <v>93</v>
      </c>
      <c r="F472" s="58" t="s">
        <v>2067</v>
      </c>
      <c r="G472" s="58" t="s">
        <v>2068</v>
      </c>
      <c r="H472" s="36" t="s">
        <v>105</v>
      </c>
      <c r="I472" s="6"/>
      <c r="J472" s="6"/>
      <c r="K472" s="6"/>
      <c r="L472" s="6"/>
      <c r="M472" s="6"/>
      <c r="N472" s="6"/>
      <c r="O472" s="6"/>
      <c r="P472" s="6"/>
      <c r="Q472" s="6"/>
      <c r="R472" s="6"/>
      <c r="S472" s="6"/>
      <c r="T472" s="6"/>
      <c r="U472" s="6"/>
      <c r="V472" s="6"/>
      <c r="W472" s="6"/>
      <c r="X472" s="6"/>
      <c r="Y472" s="6"/>
      <c r="Z472" s="6"/>
    </row>
    <row r="473" ht="60.0" customHeight="1">
      <c r="A473" s="6"/>
      <c r="B473" s="31">
        <v>468.0</v>
      </c>
      <c r="C473" s="58" t="s">
        <v>2069</v>
      </c>
      <c r="D473" s="58" t="s">
        <v>2070</v>
      </c>
      <c r="E473" s="59" t="s">
        <v>93</v>
      </c>
      <c r="F473" s="58" t="s">
        <v>2071</v>
      </c>
      <c r="G473" s="58" t="s">
        <v>2072</v>
      </c>
      <c r="H473" s="36" t="s">
        <v>105</v>
      </c>
      <c r="I473" s="6"/>
      <c r="J473" s="6"/>
      <c r="K473" s="6"/>
      <c r="L473" s="6"/>
      <c r="M473" s="6"/>
      <c r="N473" s="6"/>
      <c r="O473" s="6"/>
      <c r="P473" s="6"/>
      <c r="Q473" s="6"/>
      <c r="R473" s="6"/>
      <c r="S473" s="6"/>
      <c r="T473" s="6"/>
      <c r="U473" s="6"/>
      <c r="V473" s="6"/>
      <c r="W473" s="6"/>
      <c r="X473" s="6"/>
      <c r="Y473" s="6"/>
      <c r="Z473" s="6"/>
    </row>
    <row r="474" ht="60.0" customHeight="1">
      <c r="A474" s="6"/>
      <c r="B474" s="31">
        <v>469.0</v>
      </c>
      <c r="C474" s="58" t="s">
        <v>2073</v>
      </c>
      <c r="D474" s="58" t="s">
        <v>2074</v>
      </c>
      <c r="E474" s="59" t="s">
        <v>93</v>
      </c>
      <c r="F474" s="58" t="s">
        <v>2075</v>
      </c>
      <c r="G474" s="58" t="s">
        <v>2076</v>
      </c>
      <c r="H474" s="36" t="s">
        <v>105</v>
      </c>
      <c r="I474" s="6"/>
      <c r="J474" s="6"/>
      <c r="K474" s="6"/>
      <c r="L474" s="6"/>
      <c r="M474" s="6"/>
      <c r="N474" s="6"/>
      <c r="O474" s="6"/>
      <c r="P474" s="6"/>
      <c r="Q474" s="6"/>
      <c r="R474" s="6"/>
      <c r="S474" s="6"/>
      <c r="T474" s="6"/>
      <c r="U474" s="6"/>
      <c r="V474" s="6"/>
      <c r="W474" s="6"/>
      <c r="X474" s="6"/>
      <c r="Y474" s="6"/>
      <c r="Z474" s="6"/>
    </row>
    <row r="475" ht="60.0" customHeight="1">
      <c r="A475" s="6"/>
      <c r="B475" s="31">
        <v>470.0</v>
      </c>
      <c r="C475" s="58" t="s">
        <v>2077</v>
      </c>
      <c r="D475" s="58" t="s">
        <v>2078</v>
      </c>
      <c r="E475" s="59" t="s">
        <v>93</v>
      </c>
      <c r="F475" s="58" t="s">
        <v>2079</v>
      </c>
      <c r="G475" s="58" t="s">
        <v>2080</v>
      </c>
      <c r="H475" s="36" t="s">
        <v>105</v>
      </c>
      <c r="I475" s="6"/>
      <c r="J475" s="6"/>
      <c r="K475" s="6"/>
      <c r="L475" s="6"/>
      <c r="M475" s="6"/>
      <c r="N475" s="6"/>
      <c r="O475" s="6"/>
      <c r="P475" s="6"/>
      <c r="Q475" s="6"/>
      <c r="R475" s="6"/>
      <c r="S475" s="6"/>
      <c r="T475" s="6"/>
      <c r="U475" s="6"/>
      <c r="V475" s="6"/>
      <c r="W475" s="6"/>
      <c r="X475" s="6"/>
      <c r="Y475" s="6"/>
      <c r="Z475" s="6"/>
    </row>
    <row r="476" ht="60.0" customHeight="1">
      <c r="A476" s="6"/>
      <c r="B476" s="31">
        <v>471.0</v>
      </c>
      <c r="C476" s="58" t="s">
        <v>2081</v>
      </c>
      <c r="D476" s="58" t="s">
        <v>2082</v>
      </c>
      <c r="E476" s="59" t="s">
        <v>93</v>
      </c>
      <c r="F476" s="58" t="s">
        <v>2083</v>
      </c>
      <c r="G476" s="58" t="s">
        <v>2084</v>
      </c>
      <c r="H476" s="36" t="s">
        <v>105</v>
      </c>
      <c r="I476" s="6"/>
      <c r="J476" s="6"/>
      <c r="K476" s="6"/>
      <c r="L476" s="6"/>
      <c r="M476" s="6"/>
      <c r="N476" s="6"/>
      <c r="O476" s="6"/>
      <c r="P476" s="6"/>
      <c r="Q476" s="6"/>
      <c r="R476" s="6"/>
      <c r="S476" s="6"/>
      <c r="T476" s="6"/>
      <c r="U476" s="6"/>
      <c r="V476" s="6"/>
      <c r="W476" s="6"/>
      <c r="X476" s="6"/>
      <c r="Y476" s="6"/>
      <c r="Z476" s="6"/>
    </row>
    <row r="477" ht="60.0" customHeight="1">
      <c r="A477" s="6"/>
      <c r="B477" s="31">
        <v>472.0</v>
      </c>
      <c r="C477" s="58" t="s">
        <v>2085</v>
      </c>
      <c r="D477" s="58" t="s">
        <v>2086</v>
      </c>
      <c r="E477" s="59" t="s">
        <v>93</v>
      </c>
      <c r="F477" s="58" t="s">
        <v>2087</v>
      </c>
      <c r="G477" s="58" t="s">
        <v>2088</v>
      </c>
      <c r="H477" s="36" t="s">
        <v>105</v>
      </c>
      <c r="I477" s="6"/>
      <c r="J477" s="6"/>
      <c r="K477" s="6"/>
      <c r="L477" s="6"/>
      <c r="M477" s="6"/>
      <c r="N477" s="6"/>
      <c r="O477" s="6"/>
      <c r="P477" s="6"/>
      <c r="Q477" s="6"/>
      <c r="R477" s="6"/>
      <c r="S477" s="6"/>
      <c r="T477" s="6"/>
      <c r="U477" s="6"/>
      <c r="V477" s="6"/>
      <c r="W477" s="6"/>
      <c r="X477" s="6"/>
      <c r="Y477" s="6"/>
      <c r="Z477" s="6"/>
    </row>
    <row r="478" ht="60.0" customHeight="1">
      <c r="A478" s="6"/>
      <c r="B478" s="31">
        <v>473.0</v>
      </c>
      <c r="C478" s="58" t="s">
        <v>2089</v>
      </c>
      <c r="D478" s="58" t="s">
        <v>2090</v>
      </c>
      <c r="E478" s="59" t="s">
        <v>93</v>
      </c>
      <c r="F478" s="58" t="s">
        <v>2091</v>
      </c>
      <c r="G478" s="58" t="s">
        <v>1896</v>
      </c>
      <c r="H478" s="36" t="s">
        <v>105</v>
      </c>
      <c r="I478" s="6"/>
      <c r="J478" s="6"/>
      <c r="K478" s="6"/>
      <c r="L478" s="6"/>
      <c r="M478" s="6"/>
      <c r="N478" s="6"/>
      <c r="O478" s="6"/>
      <c r="P478" s="6"/>
      <c r="Q478" s="6"/>
      <c r="R478" s="6"/>
      <c r="S478" s="6"/>
      <c r="T478" s="6"/>
      <c r="U478" s="6"/>
      <c r="V478" s="6"/>
      <c r="W478" s="6"/>
      <c r="X478" s="6"/>
      <c r="Y478" s="6"/>
      <c r="Z478" s="6"/>
    </row>
    <row r="479" ht="60.0" customHeight="1">
      <c r="A479" s="6"/>
      <c r="B479" s="31">
        <v>474.0</v>
      </c>
      <c r="C479" s="58" t="s">
        <v>2092</v>
      </c>
      <c r="D479" s="58" t="s">
        <v>2093</v>
      </c>
      <c r="E479" s="59" t="s">
        <v>93</v>
      </c>
      <c r="F479" s="58" t="s">
        <v>2094</v>
      </c>
      <c r="G479" s="58" t="s">
        <v>1768</v>
      </c>
      <c r="H479" s="36" t="s">
        <v>105</v>
      </c>
      <c r="I479" s="6"/>
      <c r="J479" s="6"/>
      <c r="K479" s="6"/>
      <c r="L479" s="6"/>
      <c r="M479" s="6"/>
      <c r="N479" s="6"/>
      <c r="O479" s="6"/>
      <c r="P479" s="6"/>
      <c r="Q479" s="6"/>
      <c r="R479" s="6"/>
      <c r="S479" s="6"/>
      <c r="T479" s="6"/>
      <c r="U479" s="6"/>
      <c r="V479" s="6"/>
      <c r="W479" s="6"/>
      <c r="X479" s="6"/>
      <c r="Y479" s="6"/>
      <c r="Z479" s="6"/>
    </row>
    <row r="480" ht="60.0" customHeight="1">
      <c r="A480" s="6"/>
      <c r="B480" s="31">
        <v>475.0</v>
      </c>
      <c r="C480" s="58" t="s">
        <v>2095</v>
      </c>
      <c r="D480" s="58" t="s">
        <v>2096</v>
      </c>
      <c r="E480" s="59" t="s">
        <v>93</v>
      </c>
      <c r="F480" s="58" t="s">
        <v>2097</v>
      </c>
      <c r="G480" s="58" t="s">
        <v>2098</v>
      </c>
      <c r="H480" s="36" t="s">
        <v>105</v>
      </c>
      <c r="I480" s="6"/>
      <c r="J480" s="6"/>
      <c r="K480" s="6"/>
      <c r="L480" s="6"/>
      <c r="M480" s="6"/>
      <c r="N480" s="6"/>
      <c r="O480" s="6"/>
      <c r="P480" s="6"/>
      <c r="Q480" s="6"/>
      <c r="R480" s="6"/>
      <c r="S480" s="6"/>
      <c r="T480" s="6"/>
      <c r="U480" s="6"/>
      <c r="V480" s="6"/>
      <c r="W480" s="6"/>
      <c r="X480" s="6"/>
      <c r="Y480" s="6"/>
      <c r="Z480" s="6"/>
    </row>
    <row r="481" ht="60.0" customHeight="1">
      <c r="A481" s="6"/>
      <c r="B481" s="31">
        <v>476.0</v>
      </c>
      <c r="C481" s="58" t="s">
        <v>2099</v>
      </c>
      <c r="D481" s="58" t="s">
        <v>2100</v>
      </c>
      <c r="E481" s="59" t="s">
        <v>93</v>
      </c>
      <c r="F481" s="58" t="s">
        <v>2101</v>
      </c>
      <c r="G481" s="58" t="s">
        <v>2102</v>
      </c>
      <c r="H481" s="36" t="s">
        <v>105</v>
      </c>
      <c r="I481" s="6"/>
      <c r="J481" s="6"/>
      <c r="K481" s="6"/>
      <c r="L481" s="6"/>
      <c r="M481" s="6"/>
      <c r="N481" s="6"/>
      <c r="O481" s="6"/>
      <c r="P481" s="6"/>
      <c r="Q481" s="6"/>
      <c r="R481" s="6"/>
      <c r="S481" s="6"/>
      <c r="T481" s="6"/>
      <c r="U481" s="6"/>
      <c r="V481" s="6"/>
      <c r="W481" s="6"/>
      <c r="X481" s="6"/>
      <c r="Y481" s="6"/>
      <c r="Z481" s="6"/>
    </row>
    <row r="482" ht="60.0" customHeight="1">
      <c r="A482" s="6"/>
      <c r="B482" s="31">
        <v>477.0</v>
      </c>
      <c r="C482" s="58" t="s">
        <v>2103</v>
      </c>
      <c r="D482" s="58" t="s">
        <v>2104</v>
      </c>
      <c r="E482" s="59" t="s">
        <v>93</v>
      </c>
      <c r="F482" s="58" t="s">
        <v>2105</v>
      </c>
      <c r="G482" s="58" t="s">
        <v>2106</v>
      </c>
      <c r="H482" s="36" t="s">
        <v>105</v>
      </c>
      <c r="I482" s="6"/>
      <c r="J482" s="6"/>
      <c r="K482" s="6"/>
      <c r="L482" s="6"/>
      <c r="M482" s="6"/>
      <c r="N482" s="6"/>
      <c r="O482" s="6"/>
      <c r="P482" s="6"/>
      <c r="Q482" s="6"/>
      <c r="R482" s="6"/>
      <c r="S482" s="6"/>
      <c r="T482" s="6"/>
      <c r="U482" s="6"/>
      <c r="V482" s="6"/>
      <c r="W482" s="6"/>
      <c r="X482" s="6"/>
      <c r="Y482" s="6"/>
      <c r="Z482" s="6"/>
    </row>
    <row r="483" ht="60.0" customHeight="1">
      <c r="A483" s="6"/>
      <c r="B483" s="31">
        <v>478.0</v>
      </c>
      <c r="C483" s="58" t="s">
        <v>2107</v>
      </c>
      <c r="D483" s="58" t="s">
        <v>2108</v>
      </c>
      <c r="E483" s="59" t="s">
        <v>93</v>
      </c>
      <c r="F483" s="58" t="s">
        <v>2109</v>
      </c>
      <c r="G483" s="58" t="s">
        <v>2110</v>
      </c>
      <c r="H483" s="36" t="s">
        <v>105</v>
      </c>
      <c r="I483" s="6"/>
      <c r="J483" s="6"/>
      <c r="K483" s="6"/>
      <c r="L483" s="6"/>
      <c r="M483" s="6"/>
      <c r="N483" s="6"/>
      <c r="O483" s="6"/>
      <c r="P483" s="6"/>
      <c r="Q483" s="6"/>
      <c r="R483" s="6"/>
      <c r="S483" s="6"/>
      <c r="T483" s="6"/>
      <c r="U483" s="6"/>
      <c r="V483" s="6"/>
      <c r="W483" s="6"/>
      <c r="X483" s="6"/>
      <c r="Y483" s="6"/>
      <c r="Z483" s="6"/>
    </row>
    <row r="484" ht="60.0" customHeight="1">
      <c r="A484" s="6"/>
      <c r="B484" s="31">
        <v>479.0</v>
      </c>
      <c r="C484" s="58" t="s">
        <v>2111</v>
      </c>
      <c r="D484" s="58" t="s">
        <v>2112</v>
      </c>
      <c r="E484" s="59" t="s">
        <v>93</v>
      </c>
      <c r="F484" s="58" t="s">
        <v>2113</v>
      </c>
      <c r="G484" s="58" t="s">
        <v>2114</v>
      </c>
      <c r="H484" s="36" t="s">
        <v>105</v>
      </c>
      <c r="I484" s="6"/>
      <c r="J484" s="6"/>
      <c r="K484" s="6"/>
      <c r="L484" s="6"/>
      <c r="M484" s="6"/>
      <c r="N484" s="6"/>
      <c r="O484" s="6"/>
      <c r="P484" s="6"/>
      <c r="Q484" s="6"/>
      <c r="R484" s="6"/>
      <c r="S484" s="6"/>
      <c r="T484" s="6"/>
      <c r="U484" s="6"/>
      <c r="V484" s="6"/>
      <c r="W484" s="6"/>
      <c r="X484" s="6"/>
      <c r="Y484" s="6"/>
      <c r="Z484" s="6"/>
    </row>
    <row r="485" ht="60.0" customHeight="1">
      <c r="A485" s="6"/>
      <c r="B485" s="31">
        <v>480.0</v>
      </c>
      <c r="C485" s="58" t="s">
        <v>2115</v>
      </c>
      <c r="D485" s="58" t="s">
        <v>2116</v>
      </c>
      <c r="E485" s="59" t="s">
        <v>93</v>
      </c>
      <c r="F485" s="58" t="s">
        <v>2117</v>
      </c>
      <c r="G485" s="58" t="s">
        <v>2118</v>
      </c>
      <c r="H485" s="36" t="s">
        <v>105</v>
      </c>
      <c r="I485" s="6"/>
      <c r="J485" s="6"/>
      <c r="K485" s="6"/>
      <c r="L485" s="6"/>
      <c r="M485" s="6"/>
      <c r="N485" s="6"/>
      <c r="O485" s="6"/>
      <c r="P485" s="6"/>
      <c r="Q485" s="6"/>
      <c r="R485" s="6"/>
      <c r="S485" s="6"/>
      <c r="T485" s="6"/>
      <c r="U485" s="6"/>
      <c r="V485" s="6"/>
      <c r="W485" s="6"/>
      <c r="X485" s="6"/>
      <c r="Y485" s="6"/>
      <c r="Z485" s="6"/>
    </row>
    <row r="486" ht="60.0" customHeight="1">
      <c r="A486" s="6"/>
      <c r="B486" s="31">
        <v>481.0</v>
      </c>
      <c r="C486" s="58" t="s">
        <v>2119</v>
      </c>
      <c r="D486" s="58" t="s">
        <v>2120</v>
      </c>
      <c r="E486" s="59" t="s">
        <v>93</v>
      </c>
      <c r="F486" s="58" t="s">
        <v>2121</v>
      </c>
      <c r="G486" s="58" t="s">
        <v>2122</v>
      </c>
      <c r="H486" s="36" t="s">
        <v>105</v>
      </c>
      <c r="I486" s="6"/>
      <c r="J486" s="6"/>
      <c r="K486" s="6"/>
      <c r="L486" s="6"/>
      <c r="M486" s="6"/>
      <c r="N486" s="6"/>
      <c r="O486" s="6"/>
      <c r="P486" s="6"/>
      <c r="Q486" s="6"/>
      <c r="R486" s="6"/>
      <c r="S486" s="6"/>
      <c r="T486" s="6"/>
      <c r="U486" s="6"/>
      <c r="V486" s="6"/>
      <c r="W486" s="6"/>
      <c r="X486" s="6"/>
      <c r="Y486" s="6"/>
      <c r="Z486" s="6"/>
    </row>
    <row r="487" ht="60.0" customHeight="1">
      <c r="A487" s="6"/>
      <c r="B487" s="31">
        <v>482.0</v>
      </c>
      <c r="C487" s="58" t="s">
        <v>2123</v>
      </c>
      <c r="D487" s="58" t="s">
        <v>2124</v>
      </c>
      <c r="E487" s="59" t="s">
        <v>93</v>
      </c>
      <c r="F487" s="58" t="s">
        <v>2125</v>
      </c>
      <c r="G487" s="58" t="s">
        <v>2052</v>
      </c>
      <c r="H487" s="36" t="s">
        <v>105</v>
      </c>
      <c r="I487" s="6"/>
      <c r="J487" s="6"/>
      <c r="K487" s="6"/>
      <c r="L487" s="6"/>
      <c r="M487" s="6"/>
      <c r="N487" s="6"/>
      <c r="O487" s="6"/>
      <c r="P487" s="6"/>
      <c r="Q487" s="6"/>
      <c r="R487" s="6"/>
      <c r="S487" s="6"/>
      <c r="T487" s="6"/>
      <c r="U487" s="6"/>
      <c r="V487" s="6"/>
      <c r="W487" s="6"/>
      <c r="X487" s="6"/>
      <c r="Y487" s="6"/>
      <c r="Z487" s="6"/>
    </row>
    <row r="488" ht="60.0" customHeight="1">
      <c r="A488" s="6"/>
      <c r="B488" s="31">
        <v>483.0</v>
      </c>
      <c r="C488" s="58" t="s">
        <v>2126</v>
      </c>
      <c r="D488" s="58" t="s">
        <v>2127</v>
      </c>
      <c r="E488" s="59" t="s">
        <v>93</v>
      </c>
      <c r="F488" s="58" t="s">
        <v>2128</v>
      </c>
      <c r="G488" s="58" t="s">
        <v>2129</v>
      </c>
      <c r="H488" s="36" t="s">
        <v>105</v>
      </c>
      <c r="I488" s="6"/>
      <c r="J488" s="6"/>
      <c r="K488" s="6"/>
      <c r="L488" s="6"/>
      <c r="M488" s="6"/>
      <c r="N488" s="6"/>
      <c r="O488" s="6"/>
      <c r="P488" s="6"/>
      <c r="Q488" s="6"/>
      <c r="R488" s="6"/>
      <c r="S488" s="6"/>
      <c r="T488" s="6"/>
      <c r="U488" s="6"/>
      <c r="V488" s="6"/>
      <c r="W488" s="6"/>
      <c r="X488" s="6"/>
      <c r="Y488" s="6"/>
      <c r="Z488" s="6"/>
    </row>
    <row r="489" ht="60.0" customHeight="1">
      <c r="A489" s="6"/>
      <c r="B489" s="31">
        <v>484.0</v>
      </c>
      <c r="C489" s="58" t="s">
        <v>2130</v>
      </c>
      <c r="D489" s="58" t="s">
        <v>2131</v>
      </c>
      <c r="E489" s="59" t="s">
        <v>93</v>
      </c>
      <c r="F489" s="58" t="s">
        <v>2132</v>
      </c>
      <c r="G489" s="58" t="s">
        <v>2133</v>
      </c>
      <c r="H489" s="36" t="s">
        <v>105</v>
      </c>
      <c r="I489" s="6"/>
      <c r="J489" s="6"/>
      <c r="K489" s="6"/>
      <c r="L489" s="6"/>
      <c r="M489" s="6"/>
      <c r="N489" s="6"/>
      <c r="O489" s="6"/>
      <c r="P489" s="6"/>
      <c r="Q489" s="6"/>
      <c r="R489" s="6"/>
      <c r="S489" s="6"/>
      <c r="T489" s="6"/>
      <c r="U489" s="6"/>
      <c r="V489" s="6"/>
      <c r="W489" s="6"/>
      <c r="X489" s="6"/>
      <c r="Y489" s="6"/>
      <c r="Z489" s="6"/>
    </row>
    <row r="490" ht="60.0" customHeight="1">
      <c r="A490" s="6"/>
      <c r="B490" s="31">
        <v>485.0</v>
      </c>
      <c r="C490" s="58" t="s">
        <v>2134</v>
      </c>
      <c r="D490" s="58" t="s">
        <v>2135</v>
      </c>
      <c r="E490" s="59" t="s">
        <v>93</v>
      </c>
      <c r="F490" s="58" t="s">
        <v>2136</v>
      </c>
      <c r="G490" s="58" t="s">
        <v>2137</v>
      </c>
      <c r="H490" s="36" t="s">
        <v>105</v>
      </c>
      <c r="I490" s="6"/>
      <c r="J490" s="6"/>
      <c r="K490" s="6"/>
      <c r="L490" s="6"/>
      <c r="M490" s="6"/>
      <c r="N490" s="6"/>
      <c r="O490" s="6"/>
      <c r="P490" s="6"/>
      <c r="Q490" s="6"/>
      <c r="R490" s="6"/>
      <c r="S490" s="6"/>
      <c r="T490" s="6"/>
      <c r="U490" s="6"/>
      <c r="V490" s="6"/>
      <c r="W490" s="6"/>
      <c r="X490" s="6"/>
      <c r="Y490" s="6"/>
      <c r="Z490" s="6"/>
    </row>
    <row r="491" ht="60.0" customHeight="1">
      <c r="A491" s="6"/>
      <c r="B491" s="31">
        <v>486.0</v>
      </c>
      <c r="C491" s="58" t="s">
        <v>2138</v>
      </c>
      <c r="D491" s="58" t="s">
        <v>2139</v>
      </c>
      <c r="E491" s="59" t="s">
        <v>93</v>
      </c>
      <c r="F491" s="58" t="s">
        <v>2140</v>
      </c>
      <c r="G491" s="58" t="s">
        <v>2141</v>
      </c>
      <c r="H491" s="36" t="s">
        <v>105</v>
      </c>
      <c r="I491" s="6"/>
      <c r="J491" s="6"/>
      <c r="K491" s="6"/>
      <c r="L491" s="6"/>
      <c r="M491" s="6"/>
      <c r="N491" s="6"/>
      <c r="O491" s="6"/>
      <c r="P491" s="6"/>
      <c r="Q491" s="6"/>
      <c r="R491" s="6"/>
      <c r="S491" s="6"/>
      <c r="T491" s="6"/>
      <c r="U491" s="6"/>
      <c r="V491" s="6"/>
      <c r="W491" s="6"/>
      <c r="X491" s="6"/>
      <c r="Y491" s="6"/>
      <c r="Z491" s="6"/>
    </row>
    <row r="492" ht="60.0" customHeight="1">
      <c r="A492" s="6"/>
      <c r="B492" s="31">
        <v>487.0</v>
      </c>
      <c r="C492" s="58" t="s">
        <v>2142</v>
      </c>
      <c r="D492" s="58" t="s">
        <v>2143</v>
      </c>
      <c r="E492" s="59" t="s">
        <v>93</v>
      </c>
      <c r="F492" s="58" t="s">
        <v>2144</v>
      </c>
      <c r="G492" s="58" t="s">
        <v>2145</v>
      </c>
      <c r="H492" s="36" t="s">
        <v>105</v>
      </c>
      <c r="I492" s="6"/>
      <c r="J492" s="6"/>
      <c r="K492" s="6"/>
      <c r="L492" s="6"/>
      <c r="M492" s="6"/>
      <c r="N492" s="6"/>
      <c r="O492" s="6"/>
      <c r="P492" s="6"/>
      <c r="Q492" s="6"/>
      <c r="R492" s="6"/>
      <c r="S492" s="6"/>
      <c r="T492" s="6"/>
      <c r="U492" s="6"/>
      <c r="V492" s="6"/>
      <c r="W492" s="6"/>
      <c r="X492" s="6"/>
      <c r="Y492" s="6"/>
      <c r="Z492" s="6"/>
    </row>
    <row r="493" ht="60.0" customHeight="1">
      <c r="A493" s="6"/>
      <c r="B493" s="31">
        <v>488.0</v>
      </c>
      <c r="C493" s="58" t="s">
        <v>2146</v>
      </c>
      <c r="D493" s="58" t="s">
        <v>2147</v>
      </c>
      <c r="E493" s="59" t="s">
        <v>93</v>
      </c>
      <c r="F493" s="58" t="s">
        <v>2148</v>
      </c>
      <c r="G493" s="58" t="s">
        <v>2149</v>
      </c>
      <c r="H493" s="36" t="s">
        <v>105</v>
      </c>
      <c r="I493" s="6"/>
      <c r="J493" s="6"/>
      <c r="K493" s="6"/>
      <c r="L493" s="6"/>
      <c r="M493" s="6"/>
      <c r="N493" s="6"/>
      <c r="O493" s="6"/>
      <c r="P493" s="6"/>
      <c r="Q493" s="6"/>
      <c r="R493" s="6"/>
      <c r="S493" s="6"/>
      <c r="T493" s="6"/>
      <c r="U493" s="6"/>
      <c r="V493" s="6"/>
      <c r="W493" s="6"/>
      <c r="X493" s="6"/>
      <c r="Y493" s="6"/>
      <c r="Z493" s="6"/>
    </row>
    <row r="494" ht="60.0" customHeight="1">
      <c r="A494" s="6"/>
      <c r="B494" s="31">
        <v>489.0</v>
      </c>
      <c r="C494" s="58" t="s">
        <v>2138</v>
      </c>
      <c r="D494" s="58" t="s">
        <v>2150</v>
      </c>
      <c r="E494" s="59" t="s">
        <v>93</v>
      </c>
      <c r="F494" s="58" t="s">
        <v>2151</v>
      </c>
      <c r="G494" s="58" t="s">
        <v>2151</v>
      </c>
      <c r="H494" s="36" t="s">
        <v>105</v>
      </c>
      <c r="I494" s="6"/>
      <c r="J494" s="6"/>
      <c r="K494" s="6"/>
      <c r="L494" s="6"/>
      <c r="M494" s="6"/>
      <c r="N494" s="6"/>
      <c r="O494" s="6"/>
      <c r="P494" s="6"/>
      <c r="Q494" s="6"/>
      <c r="R494" s="6"/>
      <c r="S494" s="6"/>
      <c r="T494" s="6"/>
      <c r="U494" s="6"/>
      <c r="V494" s="6"/>
      <c r="W494" s="6"/>
      <c r="X494" s="6"/>
      <c r="Y494" s="6"/>
      <c r="Z494" s="6"/>
    </row>
    <row r="495" ht="60.0" customHeight="1">
      <c r="A495" s="6"/>
      <c r="B495" s="31">
        <v>490.0</v>
      </c>
      <c r="C495" s="58" t="s">
        <v>2152</v>
      </c>
      <c r="D495" s="58" t="s">
        <v>2153</v>
      </c>
      <c r="E495" s="59" t="s">
        <v>93</v>
      </c>
      <c r="F495" s="58" t="s">
        <v>2154</v>
      </c>
      <c r="G495" s="58" t="s">
        <v>2155</v>
      </c>
      <c r="H495" s="36" t="s">
        <v>105</v>
      </c>
      <c r="I495" s="6"/>
      <c r="J495" s="6"/>
      <c r="K495" s="6"/>
      <c r="L495" s="6"/>
      <c r="M495" s="6"/>
      <c r="N495" s="6"/>
      <c r="O495" s="6"/>
      <c r="P495" s="6"/>
      <c r="Q495" s="6"/>
      <c r="R495" s="6"/>
      <c r="S495" s="6"/>
      <c r="T495" s="6"/>
      <c r="U495" s="6"/>
      <c r="V495" s="6"/>
      <c r="W495" s="6"/>
      <c r="X495" s="6"/>
      <c r="Y495" s="6"/>
      <c r="Z495" s="6"/>
    </row>
    <row r="496" ht="60.0" customHeight="1">
      <c r="A496" s="6"/>
      <c r="B496" s="31">
        <v>491.0</v>
      </c>
      <c r="C496" s="58" t="s">
        <v>2156</v>
      </c>
      <c r="D496" s="58" t="s">
        <v>2157</v>
      </c>
      <c r="E496" s="59" t="s">
        <v>93</v>
      </c>
      <c r="F496" s="58" t="s">
        <v>2158</v>
      </c>
      <c r="G496" s="58" t="s">
        <v>2159</v>
      </c>
      <c r="H496" s="36" t="s">
        <v>105</v>
      </c>
      <c r="I496" s="6"/>
      <c r="J496" s="6"/>
      <c r="K496" s="6"/>
      <c r="L496" s="6"/>
      <c r="M496" s="6"/>
      <c r="N496" s="6"/>
      <c r="O496" s="6"/>
      <c r="P496" s="6"/>
      <c r="Q496" s="6"/>
      <c r="R496" s="6"/>
      <c r="S496" s="6"/>
      <c r="T496" s="6"/>
      <c r="U496" s="6"/>
      <c r="V496" s="6"/>
      <c r="W496" s="6"/>
      <c r="X496" s="6"/>
      <c r="Y496" s="6"/>
      <c r="Z496" s="6"/>
    </row>
    <row r="497" ht="60.0" customHeight="1">
      <c r="A497" s="6"/>
      <c r="B497" s="31">
        <v>492.0</v>
      </c>
      <c r="C497" s="58" t="s">
        <v>2160</v>
      </c>
      <c r="D497" s="58" t="s">
        <v>2161</v>
      </c>
      <c r="E497" s="59" t="s">
        <v>93</v>
      </c>
      <c r="F497" s="58" t="s">
        <v>2162</v>
      </c>
      <c r="G497" s="58" t="s">
        <v>2163</v>
      </c>
      <c r="H497" s="36" t="s">
        <v>105</v>
      </c>
      <c r="I497" s="6"/>
      <c r="J497" s="6"/>
      <c r="K497" s="6"/>
      <c r="L497" s="6"/>
      <c r="M497" s="6"/>
      <c r="N497" s="6"/>
      <c r="O497" s="6"/>
      <c r="P497" s="6"/>
      <c r="Q497" s="6"/>
      <c r="R497" s="6"/>
      <c r="S497" s="6"/>
      <c r="T497" s="6"/>
      <c r="U497" s="6"/>
      <c r="V497" s="6"/>
      <c r="W497" s="6"/>
      <c r="X497" s="6"/>
      <c r="Y497" s="6"/>
      <c r="Z497" s="6"/>
    </row>
    <row r="498" ht="60.0" customHeight="1">
      <c r="A498" s="6"/>
      <c r="B498" s="31">
        <v>493.0</v>
      </c>
      <c r="C498" s="58" t="s">
        <v>2164</v>
      </c>
      <c r="D498" s="58" t="s">
        <v>2165</v>
      </c>
      <c r="E498" s="59" t="s">
        <v>93</v>
      </c>
      <c r="F498" s="58" t="s">
        <v>2166</v>
      </c>
      <c r="G498" s="58" t="s">
        <v>2012</v>
      </c>
      <c r="H498" s="36" t="s">
        <v>105</v>
      </c>
      <c r="I498" s="6"/>
      <c r="J498" s="6"/>
      <c r="K498" s="6"/>
      <c r="L498" s="6"/>
      <c r="M498" s="6"/>
      <c r="N498" s="6"/>
      <c r="O498" s="6"/>
      <c r="P498" s="6"/>
      <c r="Q498" s="6"/>
      <c r="R498" s="6"/>
      <c r="S498" s="6"/>
      <c r="T498" s="6"/>
      <c r="U498" s="6"/>
      <c r="V498" s="6"/>
      <c r="W498" s="6"/>
      <c r="X498" s="6"/>
      <c r="Y498" s="6"/>
      <c r="Z498" s="6"/>
    </row>
    <row r="499" ht="60.0" customHeight="1">
      <c r="A499" s="6"/>
      <c r="B499" s="31">
        <v>494.0</v>
      </c>
      <c r="C499" s="58" t="s">
        <v>2167</v>
      </c>
      <c r="D499" s="58" t="s">
        <v>2168</v>
      </c>
      <c r="E499" s="59" t="s">
        <v>93</v>
      </c>
      <c r="F499" s="58" t="s">
        <v>2169</v>
      </c>
      <c r="G499" s="58" t="s">
        <v>2170</v>
      </c>
      <c r="H499" s="36" t="s">
        <v>105</v>
      </c>
      <c r="I499" s="6"/>
      <c r="J499" s="6"/>
      <c r="K499" s="6"/>
      <c r="L499" s="6"/>
      <c r="M499" s="6"/>
      <c r="N499" s="6"/>
      <c r="O499" s="6"/>
      <c r="P499" s="6"/>
      <c r="Q499" s="6"/>
      <c r="R499" s="6"/>
      <c r="S499" s="6"/>
      <c r="T499" s="6"/>
      <c r="U499" s="6"/>
      <c r="V499" s="6"/>
      <c r="W499" s="6"/>
      <c r="X499" s="6"/>
      <c r="Y499" s="6"/>
      <c r="Z499" s="6"/>
    </row>
    <row r="500" ht="60.0" customHeight="1">
      <c r="A500" s="6"/>
      <c r="B500" s="31">
        <v>495.0</v>
      </c>
      <c r="C500" s="58" t="s">
        <v>2171</v>
      </c>
      <c r="D500" s="58" t="s">
        <v>2172</v>
      </c>
      <c r="E500" s="59" t="s">
        <v>93</v>
      </c>
      <c r="F500" s="58" t="s">
        <v>2173</v>
      </c>
      <c r="G500" s="58" t="s">
        <v>2174</v>
      </c>
      <c r="H500" s="36" t="s">
        <v>105</v>
      </c>
      <c r="I500" s="6"/>
      <c r="J500" s="6"/>
      <c r="K500" s="6"/>
      <c r="L500" s="6"/>
      <c r="M500" s="6"/>
      <c r="N500" s="6"/>
      <c r="O500" s="6"/>
      <c r="P500" s="6"/>
      <c r="Q500" s="6"/>
      <c r="R500" s="6"/>
      <c r="S500" s="6"/>
      <c r="T500" s="6"/>
      <c r="U500" s="6"/>
      <c r="V500" s="6"/>
      <c r="W500" s="6"/>
      <c r="X500" s="6"/>
      <c r="Y500" s="6"/>
      <c r="Z500" s="6"/>
    </row>
    <row r="501" ht="60.0" customHeight="1">
      <c r="A501" s="6"/>
      <c r="B501" s="31">
        <v>496.0</v>
      </c>
      <c r="C501" s="58" t="s">
        <v>2175</v>
      </c>
      <c r="D501" s="58" t="s">
        <v>2176</v>
      </c>
      <c r="E501" s="59" t="s">
        <v>93</v>
      </c>
      <c r="F501" s="58" t="s">
        <v>2177</v>
      </c>
      <c r="G501" s="58" t="s">
        <v>2178</v>
      </c>
      <c r="H501" s="36" t="s">
        <v>105</v>
      </c>
      <c r="I501" s="6"/>
      <c r="J501" s="6"/>
      <c r="K501" s="6"/>
      <c r="L501" s="6"/>
      <c r="M501" s="6"/>
      <c r="N501" s="6"/>
      <c r="O501" s="6"/>
      <c r="P501" s="6"/>
      <c r="Q501" s="6"/>
      <c r="R501" s="6"/>
      <c r="S501" s="6"/>
      <c r="T501" s="6"/>
      <c r="U501" s="6"/>
      <c r="V501" s="6"/>
      <c r="W501" s="6"/>
      <c r="X501" s="6"/>
      <c r="Y501" s="6"/>
      <c r="Z501" s="6"/>
    </row>
    <row r="502" ht="60.0" customHeight="1">
      <c r="A502" s="6"/>
      <c r="B502" s="31">
        <v>497.0</v>
      </c>
      <c r="C502" s="58" t="s">
        <v>2179</v>
      </c>
      <c r="D502" s="58" t="s">
        <v>2180</v>
      </c>
      <c r="E502" s="59" t="s">
        <v>93</v>
      </c>
      <c r="F502" s="58" t="s">
        <v>2181</v>
      </c>
      <c r="G502" s="58" t="s">
        <v>2182</v>
      </c>
      <c r="H502" s="36" t="s">
        <v>105</v>
      </c>
      <c r="I502" s="6"/>
      <c r="J502" s="6"/>
      <c r="K502" s="6"/>
      <c r="L502" s="6"/>
      <c r="M502" s="6"/>
      <c r="N502" s="6"/>
      <c r="O502" s="6"/>
      <c r="P502" s="6"/>
      <c r="Q502" s="6"/>
      <c r="R502" s="6"/>
      <c r="S502" s="6"/>
      <c r="T502" s="6"/>
      <c r="U502" s="6"/>
      <c r="V502" s="6"/>
      <c r="W502" s="6"/>
      <c r="X502" s="6"/>
      <c r="Y502" s="6"/>
      <c r="Z502" s="6"/>
    </row>
    <row r="503" ht="60.0" customHeight="1">
      <c r="A503" s="6"/>
      <c r="B503" s="31">
        <v>498.0</v>
      </c>
      <c r="C503" s="58" t="s">
        <v>2183</v>
      </c>
      <c r="D503" s="58" t="s">
        <v>2184</v>
      </c>
      <c r="E503" s="59" t="s">
        <v>93</v>
      </c>
      <c r="F503" s="58" t="s">
        <v>2185</v>
      </c>
      <c r="G503" s="58" t="s">
        <v>2186</v>
      </c>
      <c r="H503" s="36" t="s">
        <v>105</v>
      </c>
      <c r="I503" s="6"/>
      <c r="J503" s="6"/>
      <c r="K503" s="6"/>
      <c r="L503" s="6"/>
      <c r="M503" s="6"/>
      <c r="N503" s="6"/>
      <c r="O503" s="6"/>
      <c r="P503" s="6"/>
      <c r="Q503" s="6"/>
      <c r="R503" s="6"/>
      <c r="S503" s="6"/>
      <c r="T503" s="6"/>
      <c r="U503" s="6"/>
      <c r="V503" s="6"/>
      <c r="W503" s="6"/>
      <c r="X503" s="6"/>
      <c r="Y503" s="6"/>
      <c r="Z503" s="6"/>
    </row>
    <row r="504" ht="60.0" customHeight="1">
      <c r="A504" s="6"/>
      <c r="B504" s="31">
        <v>499.0</v>
      </c>
      <c r="C504" s="58" t="s">
        <v>2187</v>
      </c>
      <c r="D504" s="58" t="s">
        <v>2188</v>
      </c>
      <c r="E504" s="59" t="s">
        <v>93</v>
      </c>
      <c r="F504" s="58" t="s">
        <v>2189</v>
      </c>
      <c r="G504" s="58" t="s">
        <v>2190</v>
      </c>
      <c r="H504" s="36" t="s">
        <v>105</v>
      </c>
      <c r="I504" s="6"/>
      <c r="J504" s="6"/>
      <c r="K504" s="6"/>
      <c r="L504" s="6"/>
      <c r="M504" s="6"/>
      <c r="N504" s="6"/>
      <c r="O504" s="6"/>
      <c r="P504" s="6"/>
      <c r="Q504" s="6"/>
      <c r="R504" s="6"/>
      <c r="S504" s="6"/>
      <c r="T504" s="6"/>
      <c r="U504" s="6"/>
      <c r="V504" s="6"/>
      <c r="W504" s="6"/>
      <c r="X504" s="6"/>
      <c r="Y504" s="6"/>
      <c r="Z504" s="6"/>
    </row>
    <row r="505" ht="60.0" customHeight="1">
      <c r="A505" s="6"/>
      <c r="B505" s="31">
        <v>500.0</v>
      </c>
      <c r="C505" s="58" t="s">
        <v>2191</v>
      </c>
      <c r="D505" s="58" t="s">
        <v>2192</v>
      </c>
      <c r="E505" s="59" t="s">
        <v>93</v>
      </c>
      <c r="F505" s="58" t="s">
        <v>2193</v>
      </c>
      <c r="G505" s="58" t="s">
        <v>2194</v>
      </c>
      <c r="H505" s="36" t="s">
        <v>105</v>
      </c>
      <c r="I505" s="6"/>
      <c r="J505" s="6"/>
      <c r="K505" s="6"/>
      <c r="L505" s="6"/>
      <c r="M505" s="6"/>
      <c r="N505" s="6"/>
      <c r="O505" s="6"/>
      <c r="P505" s="6"/>
      <c r="Q505" s="6"/>
      <c r="R505" s="6"/>
      <c r="S505" s="6"/>
      <c r="T505" s="6"/>
      <c r="U505" s="6"/>
      <c r="V505" s="6"/>
      <c r="W505" s="6"/>
      <c r="X505" s="6"/>
      <c r="Y505" s="6"/>
      <c r="Z505" s="6"/>
    </row>
    <row r="506" ht="60.0" customHeight="1">
      <c r="A506" s="6"/>
      <c r="B506" s="31">
        <v>501.0</v>
      </c>
      <c r="C506" s="58" t="s">
        <v>2195</v>
      </c>
      <c r="D506" s="58" t="s">
        <v>2196</v>
      </c>
      <c r="E506" s="59" t="s">
        <v>93</v>
      </c>
      <c r="F506" s="58" t="s">
        <v>2197</v>
      </c>
      <c r="G506" s="58" t="s">
        <v>2198</v>
      </c>
      <c r="H506" s="36" t="s">
        <v>105</v>
      </c>
      <c r="I506" s="6"/>
      <c r="J506" s="6"/>
      <c r="K506" s="6"/>
      <c r="L506" s="6"/>
      <c r="M506" s="6"/>
      <c r="N506" s="6"/>
      <c r="O506" s="6"/>
      <c r="P506" s="6"/>
      <c r="Q506" s="6"/>
      <c r="R506" s="6"/>
      <c r="S506" s="6"/>
      <c r="T506" s="6"/>
      <c r="U506" s="6"/>
      <c r="V506" s="6"/>
      <c r="W506" s="6"/>
      <c r="X506" s="6"/>
      <c r="Y506" s="6"/>
      <c r="Z506" s="6"/>
    </row>
    <row r="507" ht="60.0" customHeight="1">
      <c r="A507" s="6"/>
      <c r="B507" s="31">
        <v>502.0</v>
      </c>
      <c r="C507" s="58" t="s">
        <v>2199</v>
      </c>
      <c r="D507" s="58" t="s">
        <v>2200</v>
      </c>
      <c r="E507" s="59" t="s">
        <v>93</v>
      </c>
      <c r="F507" s="58" t="s">
        <v>2201</v>
      </c>
      <c r="G507" s="58" t="s">
        <v>2202</v>
      </c>
      <c r="H507" s="36" t="s">
        <v>105</v>
      </c>
      <c r="I507" s="6"/>
      <c r="J507" s="6"/>
      <c r="K507" s="6"/>
      <c r="L507" s="6"/>
      <c r="M507" s="6"/>
      <c r="N507" s="6"/>
      <c r="O507" s="6"/>
      <c r="P507" s="6"/>
      <c r="Q507" s="6"/>
      <c r="R507" s="6"/>
      <c r="S507" s="6"/>
      <c r="T507" s="6"/>
      <c r="U507" s="6"/>
      <c r="V507" s="6"/>
      <c r="W507" s="6"/>
      <c r="X507" s="6"/>
      <c r="Y507" s="6"/>
      <c r="Z507" s="6"/>
    </row>
    <row r="508" ht="60.0" customHeight="1">
      <c r="A508" s="6"/>
      <c r="B508" s="31">
        <v>503.0</v>
      </c>
      <c r="C508" s="58" t="s">
        <v>2203</v>
      </c>
      <c r="D508" s="58" t="s">
        <v>2204</v>
      </c>
      <c r="E508" s="59" t="s">
        <v>93</v>
      </c>
      <c r="F508" s="58" t="s">
        <v>2205</v>
      </c>
      <c r="G508" s="58" t="s">
        <v>2206</v>
      </c>
      <c r="H508" s="36" t="s">
        <v>105</v>
      </c>
      <c r="I508" s="6"/>
      <c r="J508" s="6"/>
      <c r="K508" s="6"/>
      <c r="L508" s="6"/>
      <c r="M508" s="6"/>
      <c r="N508" s="6"/>
      <c r="O508" s="6"/>
      <c r="P508" s="6"/>
      <c r="Q508" s="6"/>
      <c r="R508" s="6"/>
      <c r="S508" s="6"/>
      <c r="T508" s="6"/>
      <c r="U508" s="6"/>
      <c r="V508" s="6"/>
      <c r="W508" s="6"/>
      <c r="X508" s="6"/>
      <c r="Y508" s="6"/>
      <c r="Z508" s="6"/>
    </row>
    <row r="509" ht="60.0" customHeight="1">
      <c r="A509" s="6"/>
      <c r="B509" s="31">
        <v>504.0</v>
      </c>
      <c r="C509" s="58" t="s">
        <v>2207</v>
      </c>
      <c r="D509" s="58" t="s">
        <v>2208</v>
      </c>
      <c r="E509" s="59" t="s">
        <v>93</v>
      </c>
      <c r="F509" s="58" t="s">
        <v>2209</v>
      </c>
      <c r="G509" s="58" t="s">
        <v>2210</v>
      </c>
      <c r="H509" s="36" t="s">
        <v>105</v>
      </c>
      <c r="I509" s="6"/>
      <c r="J509" s="6"/>
      <c r="K509" s="6"/>
      <c r="L509" s="6"/>
      <c r="M509" s="6"/>
      <c r="N509" s="6"/>
      <c r="O509" s="6"/>
      <c r="P509" s="6"/>
      <c r="Q509" s="6"/>
      <c r="R509" s="6"/>
      <c r="S509" s="6"/>
      <c r="T509" s="6"/>
      <c r="U509" s="6"/>
      <c r="V509" s="6"/>
      <c r="W509" s="6"/>
      <c r="X509" s="6"/>
      <c r="Y509" s="6"/>
      <c r="Z509" s="6"/>
    </row>
    <row r="510" ht="60.0" customHeight="1">
      <c r="A510" s="6"/>
      <c r="B510" s="31">
        <v>505.0</v>
      </c>
      <c r="C510" s="58" t="s">
        <v>2211</v>
      </c>
      <c r="D510" s="58" t="s">
        <v>2212</v>
      </c>
      <c r="E510" s="59" t="s">
        <v>93</v>
      </c>
      <c r="F510" s="58" t="s">
        <v>2213</v>
      </c>
      <c r="G510" s="58" t="s">
        <v>2214</v>
      </c>
      <c r="H510" s="36" t="s">
        <v>105</v>
      </c>
      <c r="I510" s="6"/>
      <c r="J510" s="6"/>
      <c r="K510" s="6"/>
      <c r="L510" s="6"/>
      <c r="M510" s="6"/>
      <c r="N510" s="6"/>
      <c r="O510" s="6"/>
      <c r="P510" s="6"/>
      <c r="Q510" s="6"/>
      <c r="R510" s="6"/>
      <c r="S510" s="6"/>
      <c r="T510" s="6"/>
      <c r="U510" s="6"/>
      <c r="V510" s="6"/>
      <c r="W510" s="6"/>
      <c r="X510" s="6"/>
      <c r="Y510" s="6"/>
      <c r="Z510" s="6"/>
    </row>
    <row r="511" ht="60.0" customHeight="1">
      <c r="A511" s="6"/>
      <c r="B511" s="31">
        <v>506.0</v>
      </c>
      <c r="C511" s="58" t="s">
        <v>2215</v>
      </c>
      <c r="D511" s="58" t="s">
        <v>2216</v>
      </c>
      <c r="E511" s="59" t="s">
        <v>93</v>
      </c>
      <c r="F511" s="58" t="s">
        <v>2217</v>
      </c>
      <c r="G511" s="58" t="s">
        <v>2218</v>
      </c>
      <c r="H511" s="36" t="s">
        <v>105</v>
      </c>
      <c r="I511" s="6"/>
      <c r="J511" s="6"/>
      <c r="K511" s="6"/>
      <c r="L511" s="6"/>
      <c r="M511" s="6"/>
      <c r="N511" s="6"/>
      <c r="O511" s="6"/>
      <c r="P511" s="6"/>
      <c r="Q511" s="6"/>
      <c r="R511" s="6"/>
      <c r="S511" s="6"/>
      <c r="T511" s="6"/>
      <c r="U511" s="6"/>
      <c r="V511" s="6"/>
      <c r="W511" s="6"/>
      <c r="X511" s="6"/>
      <c r="Y511" s="6"/>
      <c r="Z511" s="6"/>
    </row>
    <row r="512" ht="60.0" customHeight="1">
      <c r="A512" s="6"/>
      <c r="B512" s="31">
        <v>507.0</v>
      </c>
      <c r="C512" s="58" t="s">
        <v>2219</v>
      </c>
      <c r="D512" s="58" t="s">
        <v>2220</v>
      </c>
      <c r="E512" s="59" t="s">
        <v>93</v>
      </c>
      <c r="F512" s="58" t="s">
        <v>2221</v>
      </c>
      <c r="G512" s="58" t="s">
        <v>2222</v>
      </c>
      <c r="H512" s="36" t="s">
        <v>105</v>
      </c>
      <c r="I512" s="6"/>
      <c r="J512" s="6"/>
      <c r="K512" s="6"/>
      <c r="L512" s="6"/>
      <c r="M512" s="6"/>
      <c r="N512" s="6"/>
      <c r="O512" s="6"/>
      <c r="P512" s="6"/>
      <c r="Q512" s="6"/>
      <c r="R512" s="6"/>
      <c r="S512" s="6"/>
      <c r="T512" s="6"/>
      <c r="U512" s="6"/>
      <c r="V512" s="6"/>
      <c r="W512" s="6"/>
      <c r="X512" s="6"/>
      <c r="Y512" s="6"/>
      <c r="Z512" s="6"/>
    </row>
    <row r="513" ht="60.0" customHeight="1">
      <c r="A513" s="6"/>
      <c r="B513" s="31">
        <v>508.0</v>
      </c>
      <c r="C513" s="58" t="s">
        <v>2223</v>
      </c>
      <c r="D513" s="58" t="s">
        <v>2224</v>
      </c>
      <c r="E513" s="59" t="s">
        <v>93</v>
      </c>
      <c r="F513" s="58" t="s">
        <v>2225</v>
      </c>
      <c r="G513" s="58" t="s">
        <v>2226</v>
      </c>
      <c r="H513" s="36" t="s">
        <v>105</v>
      </c>
      <c r="I513" s="6"/>
      <c r="J513" s="6"/>
      <c r="K513" s="6"/>
      <c r="L513" s="6"/>
      <c r="M513" s="6"/>
      <c r="N513" s="6"/>
      <c r="O513" s="6"/>
      <c r="P513" s="6"/>
      <c r="Q513" s="6"/>
      <c r="R513" s="6"/>
      <c r="S513" s="6"/>
      <c r="T513" s="6"/>
      <c r="U513" s="6"/>
      <c r="V513" s="6"/>
      <c r="W513" s="6"/>
      <c r="X513" s="6"/>
      <c r="Y513" s="6"/>
      <c r="Z513" s="6"/>
    </row>
    <row r="514" ht="60.0" customHeight="1">
      <c r="A514" s="6"/>
      <c r="B514" s="31">
        <v>509.0</v>
      </c>
      <c r="C514" s="58" t="s">
        <v>2227</v>
      </c>
      <c r="D514" s="58" t="s">
        <v>2228</v>
      </c>
      <c r="E514" s="59" t="s">
        <v>93</v>
      </c>
      <c r="F514" s="58" t="s">
        <v>2229</v>
      </c>
      <c r="G514" s="58" t="s">
        <v>2230</v>
      </c>
      <c r="H514" s="36" t="s">
        <v>105</v>
      </c>
      <c r="I514" s="6"/>
      <c r="J514" s="6"/>
      <c r="K514" s="6"/>
      <c r="L514" s="6"/>
      <c r="M514" s="6"/>
      <c r="N514" s="6"/>
      <c r="O514" s="6"/>
      <c r="P514" s="6"/>
      <c r="Q514" s="6"/>
      <c r="R514" s="6"/>
      <c r="S514" s="6"/>
      <c r="T514" s="6"/>
      <c r="U514" s="6"/>
      <c r="V514" s="6"/>
      <c r="W514" s="6"/>
      <c r="X514" s="6"/>
      <c r="Y514" s="6"/>
      <c r="Z514" s="6"/>
    </row>
    <row r="515" ht="60.0" customHeight="1">
      <c r="A515" s="6"/>
      <c r="B515" s="31">
        <v>510.0</v>
      </c>
      <c r="C515" s="58" t="s">
        <v>2231</v>
      </c>
      <c r="D515" s="58" t="s">
        <v>2232</v>
      </c>
      <c r="E515" s="59" t="s">
        <v>93</v>
      </c>
      <c r="F515" s="58" t="s">
        <v>2233</v>
      </c>
      <c r="G515" s="58" t="s">
        <v>2234</v>
      </c>
      <c r="H515" s="36" t="s">
        <v>105</v>
      </c>
      <c r="I515" s="6"/>
      <c r="J515" s="6"/>
      <c r="K515" s="6"/>
      <c r="L515" s="6"/>
      <c r="M515" s="6"/>
      <c r="N515" s="6"/>
      <c r="O515" s="6"/>
      <c r="P515" s="6"/>
      <c r="Q515" s="6"/>
      <c r="R515" s="6"/>
      <c r="S515" s="6"/>
      <c r="T515" s="6"/>
      <c r="U515" s="6"/>
      <c r="V515" s="6"/>
      <c r="W515" s="6"/>
      <c r="X515" s="6"/>
      <c r="Y515" s="6"/>
      <c r="Z515" s="6"/>
    </row>
    <row r="516" ht="60.0" customHeight="1">
      <c r="A516" s="6"/>
      <c r="B516" s="31">
        <v>511.0</v>
      </c>
      <c r="C516" s="58" t="s">
        <v>2235</v>
      </c>
      <c r="D516" s="58" t="s">
        <v>2236</v>
      </c>
      <c r="E516" s="59" t="s">
        <v>93</v>
      </c>
      <c r="F516" s="58" t="s">
        <v>2237</v>
      </c>
      <c r="G516" s="58" t="s">
        <v>2238</v>
      </c>
      <c r="H516" s="36" t="s">
        <v>105</v>
      </c>
      <c r="I516" s="6"/>
      <c r="J516" s="6"/>
      <c r="K516" s="6"/>
      <c r="L516" s="6"/>
      <c r="M516" s="6"/>
      <c r="N516" s="6"/>
      <c r="O516" s="6"/>
      <c r="P516" s="6"/>
      <c r="Q516" s="6"/>
      <c r="R516" s="6"/>
      <c r="S516" s="6"/>
      <c r="T516" s="6"/>
      <c r="U516" s="6"/>
      <c r="V516" s="6"/>
      <c r="W516" s="6"/>
      <c r="X516" s="6"/>
      <c r="Y516" s="6"/>
      <c r="Z516" s="6"/>
    </row>
    <row r="517" ht="60.0" customHeight="1">
      <c r="A517" s="6"/>
      <c r="B517" s="6"/>
      <c r="C517" s="6"/>
      <c r="D517" s="6"/>
      <c r="E517" s="17"/>
      <c r="F517" s="6"/>
      <c r="G517" s="6"/>
      <c r="H517" s="36"/>
      <c r="I517" s="6"/>
      <c r="J517" s="6"/>
      <c r="K517" s="6"/>
      <c r="L517" s="6"/>
      <c r="M517" s="6"/>
      <c r="N517" s="6"/>
      <c r="O517" s="6"/>
      <c r="P517" s="6"/>
      <c r="Q517" s="6"/>
      <c r="R517" s="6"/>
      <c r="S517" s="6"/>
      <c r="T517" s="6"/>
      <c r="U517" s="6"/>
      <c r="V517" s="6"/>
      <c r="W517" s="6"/>
      <c r="X517" s="6"/>
      <c r="Y517" s="6"/>
      <c r="Z517" s="6"/>
    </row>
    <row r="518" ht="60.0" customHeight="1">
      <c r="A518" s="6"/>
      <c r="B518" s="6"/>
      <c r="C518" s="6"/>
      <c r="D518" s="6"/>
      <c r="E518" s="17"/>
      <c r="F518" s="6"/>
      <c r="G518" s="6"/>
      <c r="H518" s="6"/>
      <c r="I518" s="6"/>
      <c r="J518" s="6"/>
      <c r="K518" s="6"/>
      <c r="L518" s="6"/>
      <c r="M518" s="6"/>
      <c r="N518" s="6"/>
      <c r="O518" s="6"/>
      <c r="P518" s="6"/>
      <c r="Q518" s="6"/>
      <c r="R518" s="6"/>
      <c r="S518" s="6"/>
      <c r="T518" s="6"/>
      <c r="U518" s="6"/>
      <c r="V518" s="6"/>
      <c r="W518" s="6"/>
      <c r="X518" s="6"/>
      <c r="Y518" s="6"/>
      <c r="Z518" s="6"/>
    </row>
    <row r="519" ht="60.0" customHeight="1">
      <c r="A519" s="6"/>
      <c r="B519" s="6"/>
      <c r="C519" s="6"/>
      <c r="D519" s="6"/>
      <c r="E519" s="17"/>
      <c r="F519" s="6"/>
      <c r="G519" s="6"/>
      <c r="H519" s="6"/>
      <c r="I519" s="6"/>
      <c r="J519" s="6"/>
      <c r="K519" s="6"/>
      <c r="L519" s="6"/>
      <c r="M519" s="6"/>
      <c r="N519" s="6"/>
      <c r="O519" s="6"/>
      <c r="P519" s="6"/>
      <c r="Q519" s="6"/>
      <c r="R519" s="6"/>
      <c r="S519" s="6"/>
      <c r="T519" s="6"/>
      <c r="U519" s="6"/>
      <c r="V519" s="6"/>
      <c r="W519" s="6"/>
      <c r="X519" s="6"/>
      <c r="Y519" s="6"/>
      <c r="Z519" s="6"/>
    </row>
    <row r="520" ht="60.0" customHeight="1">
      <c r="A520" s="6"/>
      <c r="B520" s="6"/>
      <c r="C520" s="6"/>
      <c r="D520" s="6"/>
      <c r="E520" s="17"/>
      <c r="F520" s="6"/>
      <c r="G520" s="6"/>
      <c r="H520" s="6"/>
      <c r="I520" s="6"/>
      <c r="J520" s="6"/>
      <c r="K520" s="6"/>
      <c r="L520" s="6"/>
      <c r="M520" s="6"/>
      <c r="N520" s="6"/>
      <c r="O520" s="6"/>
      <c r="P520" s="6"/>
      <c r="Q520" s="6"/>
      <c r="R520" s="6"/>
      <c r="S520" s="6"/>
      <c r="T520" s="6"/>
      <c r="U520" s="6"/>
      <c r="V520" s="6"/>
      <c r="W520" s="6"/>
      <c r="X520" s="6"/>
      <c r="Y520" s="6"/>
      <c r="Z520" s="6"/>
    </row>
    <row r="521" ht="60.0" customHeight="1">
      <c r="A521" s="6"/>
      <c r="B521" s="6"/>
      <c r="C521" s="6"/>
      <c r="D521" s="6"/>
      <c r="E521" s="17"/>
      <c r="F521" s="6"/>
      <c r="G521" s="6"/>
      <c r="H521" s="6"/>
      <c r="I521" s="6"/>
      <c r="J521" s="6"/>
      <c r="K521" s="6"/>
      <c r="L521" s="6"/>
      <c r="M521" s="6"/>
      <c r="N521" s="6"/>
      <c r="O521" s="6"/>
      <c r="P521" s="6"/>
      <c r="Q521" s="6"/>
      <c r="R521" s="6"/>
      <c r="S521" s="6"/>
      <c r="T521" s="6"/>
      <c r="U521" s="6"/>
      <c r="V521" s="6"/>
      <c r="W521" s="6"/>
      <c r="X521" s="6"/>
      <c r="Y521" s="6"/>
      <c r="Z521" s="6"/>
    </row>
    <row r="522" ht="60.0" customHeight="1">
      <c r="A522" s="6"/>
      <c r="B522" s="6"/>
      <c r="C522" s="6"/>
      <c r="D522" s="6"/>
      <c r="E522" s="17"/>
      <c r="F522" s="6"/>
      <c r="G522" s="6"/>
      <c r="H522" s="6"/>
      <c r="I522" s="6"/>
      <c r="J522" s="6"/>
      <c r="K522" s="6"/>
      <c r="L522" s="6"/>
      <c r="M522" s="6"/>
      <c r="N522" s="6"/>
      <c r="O522" s="6"/>
      <c r="P522" s="6"/>
      <c r="Q522" s="6"/>
      <c r="R522" s="6"/>
      <c r="S522" s="6"/>
      <c r="T522" s="6"/>
      <c r="U522" s="6"/>
      <c r="V522" s="6"/>
      <c r="W522" s="6"/>
      <c r="X522" s="6"/>
      <c r="Y522" s="6"/>
      <c r="Z522" s="6"/>
    </row>
    <row r="523" ht="60.0" customHeight="1">
      <c r="A523" s="6"/>
      <c r="B523" s="6"/>
      <c r="C523" s="6"/>
      <c r="D523" s="6"/>
      <c r="E523" s="17"/>
      <c r="F523" s="6"/>
      <c r="G523" s="6"/>
      <c r="H523" s="6"/>
      <c r="I523" s="6"/>
      <c r="J523" s="6"/>
      <c r="K523" s="6"/>
      <c r="L523" s="6"/>
      <c r="M523" s="6"/>
      <c r="N523" s="6"/>
      <c r="O523" s="6"/>
      <c r="P523" s="6"/>
      <c r="Q523" s="6"/>
      <c r="R523" s="6"/>
      <c r="S523" s="6"/>
      <c r="T523" s="6"/>
      <c r="U523" s="6"/>
      <c r="V523" s="6"/>
      <c r="W523" s="6"/>
      <c r="X523" s="6"/>
      <c r="Y523" s="6"/>
      <c r="Z523" s="6"/>
    </row>
    <row r="524" ht="60.0" customHeight="1">
      <c r="A524" s="6"/>
      <c r="B524" s="6"/>
      <c r="C524" s="6"/>
      <c r="D524" s="6"/>
      <c r="E524" s="17"/>
      <c r="F524" s="6"/>
      <c r="G524" s="6"/>
      <c r="H524" s="6"/>
      <c r="I524" s="6"/>
      <c r="J524" s="6"/>
      <c r="K524" s="6"/>
      <c r="L524" s="6"/>
      <c r="M524" s="6"/>
      <c r="N524" s="6"/>
      <c r="O524" s="6"/>
      <c r="P524" s="6"/>
      <c r="Q524" s="6"/>
      <c r="R524" s="6"/>
      <c r="S524" s="6"/>
      <c r="T524" s="6"/>
      <c r="U524" s="6"/>
      <c r="V524" s="6"/>
      <c r="W524" s="6"/>
      <c r="X524" s="6"/>
      <c r="Y524" s="6"/>
      <c r="Z524" s="6"/>
    </row>
    <row r="525" ht="60.0" customHeight="1">
      <c r="A525" s="6"/>
      <c r="B525" s="6"/>
      <c r="C525" s="6"/>
      <c r="D525" s="6"/>
      <c r="E525" s="17"/>
      <c r="F525" s="6"/>
      <c r="G525" s="6"/>
      <c r="H525" s="6"/>
      <c r="I525" s="6"/>
      <c r="J525" s="6"/>
      <c r="K525" s="6"/>
      <c r="L525" s="6"/>
      <c r="M525" s="6"/>
      <c r="N525" s="6"/>
      <c r="O525" s="6"/>
      <c r="P525" s="6"/>
      <c r="Q525" s="6"/>
      <c r="R525" s="6"/>
      <c r="S525" s="6"/>
      <c r="T525" s="6"/>
      <c r="U525" s="6"/>
      <c r="V525" s="6"/>
      <c r="W525" s="6"/>
      <c r="X525" s="6"/>
      <c r="Y525" s="6"/>
      <c r="Z525" s="6"/>
    </row>
    <row r="526" ht="60.0" customHeight="1">
      <c r="A526" s="6"/>
      <c r="B526" s="6"/>
      <c r="C526" s="6"/>
      <c r="D526" s="6"/>
      <c r="E526" s="17"/>
      <c r="F526" s="6"/>
      <c r="G526" s="6"/>
      <c r="H526" s="6"/>
      <c r="I526" s="6"/>
      <c r="J526" s="6"/>
      <c r="K526" s="6"/>
      <c r="L526" s="6"/>
      <c r="M526" s="6"/>
      <c r="N526" s="6"/>
      <c r="O526" s="6"/>
      <c r="P526" s="6"/>
      <c r="Q526" s="6"/>
      <c r="R526" s="6"/>
      <c r="S526" s="6"/>
      <c r="T526" s="6"/>
      <c r="U526" s="6"/>
      <c r="V526" s="6"/>
      <c r="W526" s="6"/>
      <c r="X526" s="6"/>
      <c r="Y526" s="6"/>
      <c r="Z526" s="6"/>
    </row>
    <row r="527" ht="60.0" customHeight="1">
      <c r="A527" s="6"/>
      <c r="B527" s="6"/>
      <c r="C527" s="6"/>
      <c r="D527" s="6"/>
      <c r="E527" s="17"/>
      <c r="F527" s="6"/>
      <c r="G527" s="6"/>
      <c r="H527" s="6"/>
      <c r="I527" s="6"/>
      <c r="J527" s="6"/>
      <c r="K527" s="6"/>
      <c r="L527" s="6"/>
      <c r="M527" s="6"/>
      <c r="N527" s="6"/>
      <c r="O527" s="6"/>
      <c r="P527" s="6"/>
      <c r="Q527" s="6"/>
      <c r="R527" s="6"/>
      <c r="S527" s="6"/>
      <c r="T527" s="6"/>
      <c r="U527" s="6"/>
      <c r="V527" s="6"/>
      <c r="W527" s="6"/>
      <c r="X527" s="6"/>
      <c r="Y527" s="6"/>
      <c r="Z527" s="6"/>
    </row>
    <row r="528" ht="60.0" customHeight="1">
      <c r="A528" s="6"/>
      <c r="B528" s="6"/>
      <c r="C528" s="6"/>
      <c r="D528" s="6"/>
      <c r="E528" s="17"/>
      <c r="F528" s="6"/>
      <c r="G528" s="6"/>
      <c r="H528" s="6"/>
      <c r="I528" s="6"/>
      <c r="J528" s="6"/>
      <c r="K528" s="6"/>
      <c r="L528" s="6"/>
      <c r="M528" s="6"/>
      <c r="N528" s="6"/>
      <c r="O528" s="6"/>
      <c r="P528" s="6"/>
      <c r="Q528" s="6"/>
      <c r="R528" s="6"/>
      <c r="S528" s="6"/>
      <c r="T528" s="6"/>
      <c r="U528" s="6"/>
      <c r="V528" s="6"/>
      <c r="W528" s="6"/>
      <c r="X528" s="6"/>
      <c r="Y528" s="6"/>
      <c r="Z528" s="6"/>
    </row>
    <row r="529" ht="60.0" customHeight="1">
      <c r="A529" s="6"/>
      <c r="B529" s="6"/>
      <c r="C529" s="6"/>
      <c r="D529" s="6"/>
      <c r="E529" s="17"/>
      <c r="F529" s="6"/>
      <c r="G529" s="6"/>
      <c r="H529" s="6"/>
      <c r="I529" s="6"/>
      <c r="J529" s="6"/>
      <c r="K529" s="6"/>
      <c r="L529" s="6"/>
      <c r="M529" s="6"/>
      <c r="N529" s="6"/>
      <c r="O529" s="6"/>
      <c r="P529" s="6"/>
      <c r="Q529" s="6"/>
      <c r="R529" s="6"/>
      <c r="S529" s="6"/>
      <c r="T529" s="6"/>
      <c r="U529" s="6"/>
      <c r="V529" s="6"/>
      <c r="W529" s="6"/>
      <c r="X529" s="6"/>
      <c r="Y529" s="6"/>
      <c r="Z529" s="6"/>
    </row>
    <row r="530" ht="60.0" customHeight="1">
      <c r="A530" s="6"/>
      <c r="B530" s="6"/>
      <c r="C530" s="6"/>
      <c r="D530" s="6"/>
      <c r="E530" s="17"/>
      <c r="F530" s="6"/>
      <c r="G530" s="6"/>
      <c r="H530" s="6"/>
      <c r="I530" s="6"/>
      <c r="J530" s="6"/>
      <c r="K530" s="6"/>
      <c r="L530" s="6"/>
      <c r="M530" s="6"/>
      <c r="N530" s="6"/>
      <c r="O530" s="6"/>
      <c r="P530" s="6"/>
      <c r="Q530" s="6"/>
      <c r="R530" s="6"/>
      <c r="S530" s="6"/>
      <c r="T530" s="6"/>
      <c r="U530" s="6"/>
      <c r="V530" s="6"/>
      <c r="W530" s="6"/>
      <c r="X530" s="6"/>
      <c r="Y530" s="6"/>
      <c r="Z530" s="6"/>
    </row>
    <row r="531" ht="60.0" customHeight="1">
      <c r="A531" s="6"/>
      <c r="B531" s="6"/>
      <c r="C531" s="6"/>
      <c r="D531" s="6"/>
      <c r="E531" s="17"/>
      <c r="F531" s="6"/>
      <c r="G531" s="6"/>
      <c r="H531" s="6"/>
      <c r="I531" s="6"/>
      <c r="J531" s="6"/>
      <c r="K531" s="6"/>
      <c r="L531" s="6"/>
      <c r="M531" s="6"/>
      <c r="N531" s="6"/>
      <c r="O531" s="6"/>
      <c r="P531" s="6"/>
      <c r="Q531" s="6"/>
      <c r="R531" s="6"/>
      <c r="S531" s="6"/>
      <c r="T531" s="6"/>
      <c r="U531" s="6"/>
      <c r="V531" s="6"/>
      <c r="W531" s="6"/>
      <c r="X531" s="6"/>
      <c r="Y531" s="6"/>
      <c r="Z531" s="6"/>
    </row>
    <row r="532" ht="60.0" customHeight="1">
      <c r="A532" s="6"/>
      <c r="B532" s="6"/>
      <c r="C532" s="6"/>
      <c r="D532" s="6"/>
      <c r="E532" s="17"/>
      <c r="F532" s="6"/>
      <c r="G532" s="6"/>
      <c r="H532" s="6"/>
      <c r="I532" s="6"/>
      <c r="J532" s="6"/>
      <c r="K532" s="6"/>
      <c r="L532" s="6"/>
      <c r="M532" s="6"/>
      <c r="N532" s="6"/>
      <c r="O532" s="6"/>
      <c r="P532" s="6"/>
      <c r="Q532" s="6"/>
      <c r="R532" s="6"/>
      <c r="S532" s="6"/>
      <c r="T532" s="6"/>
      <c r="U532" s="6"/>
      <c r="V532" s="6"/>
      <c r="W532" s="6"/>
      <c r="X532" s="6"/>
      <c r="Y532" s="6"/>
      <c r="Z532" s="6"/>
    </row>
    <row r="533" ht="60.0" customHeight="1">
      <c r="A533" s="6"/>
      <c r="B533" s="6"/>
      <c r="C533" s="6"/>
      <c r="D533" s="6"/>
      <c r="E533" s="17"/>
      <c r="F533" s="6"/>
      <c r="G533" s="6"/>
      <c r="H533" s="6"/>
      <c r="I533" s="6"/>
      <c r="J533" s="6"/>
      <c r="K533" s="6"/>
      <c r="L533" s="6"/>
      <c r="M533" s="6"/>
      <c r="N533" s="6"/>
      <c r="O533" s="6"/>
      <c r="P533" s="6"/>
      <c r="Q533" s="6"/>
      <c r="R533" s="6"/>
      <c r="S533" s="6"/>
      <c r="T533" s="6"/>
      <c r="U533" s="6"/>
      <c r="V533" s="6"/>
      <c r="W533" s="6"/>
      <c r="X533" s="6"/>
      <c r="Y533" s="6"/>
      <c r="Z533" s="6"/>
    </row>
    <row r="534" ht="60.0" customHeight="1">
      <c r="A534" s="6"/>
      <c r="B534" s="6"/>
      <c r="C534" s="6"/>
      <c r="D534" s="6"/>
      <c r="E534" s="17"/>
      <c r="F534" s="6"/>
      <c r="G534" s="6"/>
      <c r="H534" s="6"/>
      <c r="I534" s="6"/>
      <c r="J534" s="6"/>
      <c r="K534" s="6"/>
      <c r="L534" s="6"/>
      <c r="M534" s="6"/>
      <c r="N534" s="6"/>
      <c r="O534" s="6"/>
      <c r="P534" s="6"/>
      <c r="Q534" s="6"/>
      <c r="R534" s="6"/>
      <c r="S534" s="6"/>
      <c r="T534" s="6"/>
      <c r="U534" s="6"/>
      <c r="V534" s="6"/>
      <c r="W534" s="6"/>
      <c r="X534" s="6"/>
      <c r="Y534" s="6"/>
      <c r="Z534" s="6"/>
    </row>
    <row r="535" ht="60.0" customHeight="1">
      <c r="A535" s="6"/>
      <c r="B535" s="6"/>
      <c r="C535" s="6"/>
      <c r="D535" s="6"/>
      <c r="E535" s="17"/>
      <c r="F535" s="6"/>
      <c r="G535" s="6"/>
      <c r="H535" s="6"/>
      <c r="I535" s="6"/>
      <c r="J535" s="6"/>
      <c r="K535" s="6"/>
      <c r="L535" s="6"/>
      <c r="M535" s="6"/>
      <c r="N535" s="6"/>
      <c r="O535" s="6"/>
      <c r="P535" s="6"/>
      <c r="Q535" s="6"/>
      <c r="R535" s="6"/>
      <c r="S535" s="6"/>
      <c r="T535" s="6"/>
      <c r="U535" s="6"/>
      <c r="V535" s="6"/>
      <c r="W535" s="6"/>
      <c r="X535" s="6"/>
      <c r="Y535" s="6"/>
      <c r="Z535" s="6"/>
    </row>
    <row r="536" ht="60.0" customHeight="1">
      <c r="A536" s="6"/>
      <c r="B536" s="6"/>
      <c r="C536" s="6"/>
      <c r="D536" s="6"/>
      <c r="E536" s="17"/>
      <c r="F536" s="6"/>
      <c r="G536" s="6"/>
      <c r="H536" s="6"/>
      <c r="I536" s="6"/>
      <c r="J536" s="6"/>
      <c r="K536" s="6"/>
      <c r="L536" s="6"/>
      <c r="M536" s="6"/>
      <c r="N536" s="6"/>
      <c r="O536" s="6"/>
      <c r="P536" s="6"/>
      <c r="Q536" s="6"/>
      <c r="R536" s="6"/>
      <c r="S536" s="6"/>
      <c r="T536" s="6"/>
      <c r="U536" s="6"/>
      <c r="V536" s="6"/>
      <c r="W536" s="6"/>
      <c r="X536" s="6"/>
      <c r="Y536" s="6"/>
      <c r="Z536" s="6"/>
    </row>
    <row r="537" ht="60.0" customHeight="1">
      <c r="A537" s="6"/>
      <c r="B537" s="6"/>
      <c r="C537" s="6"/>
      <c r="D537" s="6"/>
      <c r="E537" s="17"/>
      <c r="F537" s="6"/>
      <c r="G537" s="6"/>
      <c r="H537" s="6"/>
      <c r="I537" s="6"/>
      <c r="J537" s="6"/>
      <c r="K537" s="6"/>
      <c r="L537" s="6"/>
      <c r="M537" s="6"/>
      <c r="N537" s="6"/>
      <c r="O537" s="6"/>
      <c r="P537" s="6"/>
      <c r="Q537" s="6"/>
      <c r="R537" s="6"/>
      <c r="S537" s="6"/>
      <c r="T537" s="6"/>
      <c r="U537" s="6"/>
      <c r="V537" s="6"/>
      <c r="W537" s="6"/>
      <c r="X537" s="6"/>
      <c r="Y537" s="6"/>
      <c r="Z537" s="6"/>
    </row>
    <row r="538" ht="60.0" customHeight="1">
      <c r="A538" s="6"/>
      <c r="B538" s="6"/>
      <c r="C538" s="6"/>
      <c r="D538" s="6"/>
      <c r="E538" s="17"/>
      <c r="F538" s="6"/>
      <c r="G538" s="6"/>
      <c r="H538" s="6"/>
      <c r="I538" s="6"/>
      <c r="J538" s="6"/>
      <c r="K538" s="6"/>
      <c r="L538" s="6"/>
      <c r="M538" s="6"/>
      <c r="N538" s="6"/>
      <c r="O538" s="6"/>
      <c r="P538" s="6"/>
      <c r="Q538" s="6"/>
      <c r="R538" s="6"/>
      <c r="S538" s="6"/>
      <c r="T538" s="6"/>
      <c r="U538" s="6"/>
      <c r="V538" s="6"/>
      <c r="W538" s="6"/>
      <c r="X538" s="6"/>
      <c r="Y538" s="6"/>
      <c r="Z538" s="6"/>
    </row>
    <row r="539" ht="60.0" customHeight="1">
      <c r="A539" s="6"/>
      <c r="B539" s="6"/>
      <c r="C539" s="6"/>
      <c r="D539" s="6"/>
      <c r="E539" s="17"/>
      <c r="F539" s="6"/>
      <c r="G539" s="6"/>
      <c r="H539" s="6"/>
      <c r="I539" s="6"/>
      <c r="J539" s="6"/>
      <c r="K539" s="6"/>
      <c r="L539" s="6"/>
      <c r="M539" s="6"/>
      <c r="N539" s="6"/>
      <c r="O539" s="6"/>
      <c r="P539" s="6"/>
      <c r="Q539" s="6"/>
      <c r="R539" s="6"/>
      <c r="S539" s="6"/>
      <c r="T539" s="6"/>
      <c r="U539" s="6"/>
      <c r="V539" s="6"/>
      <c r="W539" s="6"/>
      <c r="X539" s="6"/>
      <c r="Y539" s="6"/>
      <c r="Z539" s="6"/>
    </row>
    <row r="540" ht="60.0" customHeight="1">
      <c r="A540" s="6"/>
      <c r="B540" s="6"/>
      <c r="C540" s="6"/>
      <c r="D540" s="6"/>
      <c r="E540" s="17"/>
      <c r="F540" s="6"/>
      <c r="G540" s="6"/>
      <c r="H540" s="6"/>
      <c r="I540" s="6"/>
      <c r="J540" s="6"/>
      <c r="K540" s="6"/>
      <c r="L540" s="6"/>
      <c r="M540" s="6"/>
      <c r="N540" s="6"/>
      <c r="O540" s="6"/>
      <c r="P540" s="6"/>
      <c r="Q540" s="6"/>
      <c r="R540" s="6"/>
      <c r="S540" s="6"/>
      <c r="T540" s="6"/>
      <c r="U540" s="6"/>
      <c r="V540" s="6"/>
      <c r="W540" s="6"/>
      <c r="X540" s="6"/>
      <c r="Y540" s="6"/>
      <c r="Z540" s="6"/>
    </row>
    <row r="541" ht="60.0" customHeight="1">
      <c r="A541" s="6"/>
      <c r="B541" s="6"/>
      <c r="C541" s="6"/>
      <c r="D541" s="6"/>
      <c r="E541" s="17"/>
      <c r="F541" s="6"/>
      <c r="G541" s="6"/>
      <c r="H541" s="6"/>
      <c r="I541" s="6"/>
      <c r="J541" s="6"/>
      <c r="K541" s="6"/>
      <c r="L541" s="6"/>
      <c r="M541" s="6"/>
      <c r="N541" s="6"/>
      <c r="O541" s="6"/>
      <c r="P541" s="6"/>
      <c r="Q541" s="6"/>
      <c r="R541" s="6"/>
      <c r="S541" s="6"/>
      <c r="T541" s="6"/>
      <c r="U541" s="6"/>
      <c r="V541" s="6"/>
      <c r="W541" s="6"/>
      <c r="X541" s="6"/>
      <c r="Y541" s="6"/>
      <c r="Z541" s="6"/>
    </row>
    <row r="542" ht="60.0" customHeight="1">
      <c r="A542" s="6"/>
      <c r="B542" s="6"/>
      <c r="C542" s="6"/>
      <c r="D542" s="6"/>
      <c r="E542" s="17"/>
      <c r="F542" s="6"/>
      <c r="G542" s="6"/>
      <c r="H542" s="6"/>
      <c r="I542" s="6"/>
      <c r="J542" s="6"/>
      <c r="K542" s="6"/>
      <c r="L542" s="6"/>
      <c r="M542" s="6"/>
      <c r="N542" s="6"/>
      <c r="O542" s="6"/>
      <c r="P542" s="6"/>
      <c r="Q542" s="6"/>
      <c r="R542" s="6"/>
      <c r="S542" s="6"/>
      <c r="T542" s="6"/>
      <c r="U542" s="6"/>
      <c r="V542" s="6"/>
      <c r="W542" s="6"/>
      <c r="X542" s="6"/>
      <c r="Y542" s="6"/>
      <c r="Z542" s="6"/>
    </row>
    <row r="543" ht="60.0" customHeight="1">
      <c r="A543" s="6"/>
      <c r="B543" s="6"/>
      <c r="C543" s="6"/>
      <c r="D543" s="6"/>
      <c r="E543" s="17"/>
      <c r="F543" s="6"/>
      <c r="G543" s="6"/>
      <c r="H543" s="6"/>
      <c r="I543" s="6"/>
      <c r="J543" s="6"/>
      <c r="K543" s="6"/>
      <c r="L543" s="6"/>
      <c r="M543" s="6"/>
      <c r="N543" s="6"/>
      <c r="O543" s="6"/>
      <c r="P543" s="6"/>
      <c r="Q543" s="6"/>
      <c r="R543" s="6"/>
      <c r="S543" s="6"/>
      <c r="T543" s="6"/>
      <c r="U543" s="6"/>
      <c r="V543" s="6"/>
      <c r="W543" s="6"/>
      <c r="X543" s="6"/>
      <c r="Y543" s="6"/>
      <c r="Z543" s="6"/>
    </row>
    <row r="544" ht="60.0" customHeight="1">
      <c r="A544" s="6"/>
      <c r="B544" s="6"/>
      <c r="C544" s="6"/>
      <c r="D544" s="6"/>
      <c r="E544" s="17"/>
      <c r="F544" s="6"/>
      <c r="G544" s="6"/>
      <c r="H544" s="6"/>
      <c r="I544" s="6"/>
      <c r="J544" s="6"/>
      <c r="K544" s="6"/>
      <c r="L544" s="6"/>
      <c r="M544" s="6"/>
      <c r="N544" s="6"/>
      <c r="O544" s="6"/>
      <c r="P544" s="6"/>
      <c r="Q544" s="6"/>
      <c r="R544" s="6"/>
      <c r="S544" s="6"/>
      <c r="T544" s="6"/>
      <c r="U544" s="6"/>
      <c r="V544" s="6"/>
      <c r="W544" s="6"/>
      <c r="X544" s="6"/>
      <c r="Y544" s="6"/>
      <c r="Z544" s="6"/>
    </row>
    <row r="545" ht="60.0" customHeight="1">
      <c r="A545" s="6"/>
      <c r="B545" s="6"/>
      <c r="C545" s="6"/>
      <c r="D545" s="6"/>
      <c r="E545" s="17"/>
      <c r="F545" s="6"/>
      <c r="G545" s="6"/>
      <c r="H545" s="6"/>
      <c r="I545" s="6"/>
      <c r="J545" s="6"/>
      <c r="K545" s="6"/>
      <c r="L545" s="6"/>
      <c r="M545" s="6"/>
      <c r="N545" s="6"/>
      <c r="O545" s="6"/>
      <c r="P545" s="6"/>
      <c r="Q545" s="6"/>
      <c r="R545" s="6"/>
      <c r="S545" s="6"/>
      <c r="T545" s="6"/>
      <c r="U545" s="6"/>
      <c r="V545" s="6"/>
      <c r="W545" s="6"/>
      <c r="X545" s="6"/>
      <c r="Y545" s="6"/>
      <c r="Z545" s="6"/>
    </row>
    <row r="546" ht="60.0" customHeight="1">
      <c r="A546" s="6"/>
      <c r="B546" s="6"/>
      <c r="C546" s="6"/>
      <c r="D546" s="6"/>
      <c r="E546" s="17"/>
      <c r="F546" s="6"/>
      <c r="G546" s="6"/>
      <c r="H546" s="6"/>
      <c r="I546" s="6"/>
      <c r="J546" s="6"/>
      <c r="K546" s="6"/>
      <c r="L546" s="6"/>
      <c r="M546" s="6"/>
      <c r="N546" s="6"/>
      <c r="O546" s="6"/>
      <c r="P546" s="6"/>
      <c r="Q546" s="6"/>
      <c r="R546" s="6"/>
      <c r="S546" s="6"/>
      <c r="T546" s="6"/>
      <c r="U546" s="6"/>
      <c r="V546" s="6"/>
      <c r="W546" s="6"/>
      <c r="X546" s="6"/>
      <c r="Y546" s="6"/>
      <c r="Z546" s="6"/>
    </row>
    <row r="547" ht="60.0" customHeight="1">
      <c r="A547" s="6"/>
      <c r="B547" s="6"/>
      <c r="C547" s="6"/>
      <c r="D547" s="6"/>
      <c r="E547" s="17"/>
      <c r="F547" s="6"/>
      <c r="G547" s="6"/>
      <c r="H547" s="6"/>
      <c r="I547" s="6"/>
      <c r="J547" s="6"/>
      <c r="K547" s="6"/>
      <c r="L547" s="6"/>
      <c r="M547" s="6"/>
      <c r="N547" s="6"/>
      <c r="O547" s="6"/>
      <c r="P547" s="6"/>
      <c r="Q547" s="6"/>
      <c r="R547" s="6"/>
      <c r="S547" s="6"/>
      <c r="T547" s="6"/>
      <c r="U547" s="6"/>
      <c r="V547" s="6"/>
      <c r="W547" s="6"/>
      <c r="X547" s="6"/>
      <c r="Y547" s="6"/>
      <c r="Z547" s="6"/>
    </row>
    <row r="548" ht="60.0" customHeight="1">
      <c r="A548" s="6"/>
      <c r="B548" s="6"/>
      <c r="C548" s="6"/>
      <c r="D548" s="6"/>
      <c r="E548" s="17"/>
      <c r="F548" s="6"/>
      <c r="G548" s="6"/>
      <c r="H548" s="6"/>
      <c r="I548" s="6"/>
      <c r="J548" s="6"/>
      <c r="K548" s="6"/>
      <c r="L548" s="6"/>
      <c r="M548" s="6"/>
      <c r="N548" s="6"/>
      <c r="O548" s="6"/>
      <c r="P548" s="6"/>
      <c r="Q548" s="6"/>
      <c r="R548" s="6"/>
      <c r="S548" s="6"/>
      <c r="T548" s="6"/>
      <c r="U548" s="6"/>
      <c r="V548" s="6"/>
      <c r="W548" s="6"/>
      <c r="X548" s="6"/>
      <c r="Y548" s="6"/>
      <c r="Z548" s="6"/>
    </row>
    <row r="549" ht="60.0" customHeight="1">
      <c r="A549" s="6"/>
      <c r="B549" s="6"/>
      <c r="C549" s="6"/>
      <c r="D549" s="6"/>
      <c r="E549" s="17"/>
      <c r="F549" s="6"/>
      <c r="G549" s="6"/>
      <c r="H549" s="6"/>
      <c r="I549" s="6"/>
      <c r="J549" s="6"/>
      <c r="K549" s="6"/>
      <c r="L549" s="6"/>
      <c r="M549" s="6"/>
      <c r="N549" s="6"/>
      <c r="O549" s="6"/>
      <c r="P549" s="6"/>
      <c r="Q549" s="6"/>
      <c r="R549" s="6"/>
      <c r="S549" s="6"/>
      <c r="T549" s="6"/>
      <c r="U549" s="6"/>
      <c r="V549" s="6"/>
      <c r="W549" s="6"/>
      <c r="X549" s="6"/>
      <c r="Y549" s="6"/>
      <c r="Z549" s="6"/>
    </row>
    <row r="550" ht="60.0" customHeight="1">
      <c r="A550" s="6"/>
      <c r="B550" s="6"/>
      <c r="C550" s="6"/>
      <c r="D550" s="6"/>
      <c r="E550" s="17"/>
      <c r="F550" s="6"/>
      <c r="G550" s="6"/>
      <c r="H550" s="6"/>
      <c r="I550" s="6"/>
      <c r="J550" s="6"/>
      <c r="K550" s="6"/>
      <c r="L550" s="6"/>
      <c r="M550" s="6"/>
      <c r="N550" s="6"/>
      <c r="O550" s="6"/>
      <c r="P550" s="6"/>
      <c r="Q550" s="6"/>
      <c r="R550" s="6"/>
      <c r="S550" s="6"/>
      <c r="T550" s="6"/>
      <c r="U550" s="6"/>
      <c r="V550" s="6"/>
      <c r="W550" s="6"/>
      <c r="X550" s="6"/>
      <c r="Y550" s="6"/>
      <c r="Z550" s="6"/>
    </row>
    <row r="551" ht="60.0" customHeight="1">
      <c r="A551" s="6"/>
      <c r="B551" s="6"/>
      <c r="C551" s="6"/>
      <c r="D551" s="6"/>
      <c r="E551" s="17"/>
      <c r="F551" s="6"/>
      <c r="G551" s="6"/>
      <c r="H551" s="6"/>
      <c r="I551" s="6"/>
      <c r="J551" s="6"/>
      <c r="K551" s="6"/>
      <c r="L551" s="6"/>
      <c r="M551" s="6"/>
      <c r="N551" s="6"/>
      <c r="O551" s="6"/>
      <c r="P551" s="6"/>
      <c r="Q551" s="6"/>
      <c r="R551" s="6"/>
      <c r="S551" s="6"/>
      <c r="T551" s="6"/>
      <c r="U551" s="6"/>
      <c r="V551" s="6"/>
      <c r="W551" s="6"/>
      <c r="X551" s="6"/>
      <c r="Y551" s="6"/>
      <c r="Z551" s="6"/>
    </row>
    <row r="552" ht="60.0" customHeight="1">
      <c r="A552" s="6"/>
      <c r="B552" s="6"/>
      <c r="C552" s="6"/>
      <c r="D552" s="6"/>
      <c r="E552" s="17"/>
      <c r="F552" s="6"/>
      <c r="G552" s="6"/>
      <c r="H552" s="6"/>
      <c r="I552" s="6"/>
      <c r="J552" s="6"/>
      <c r="K552" s="6"/>
      <c r="L552" s="6"/>
      <c r="M552" s="6"/>
      <c r="N552" s="6"/>
      <c r="O552" s="6"/>
      <c r="P552" s="6"/>
      <c r="Q552" s="6"/>
      <c r="R552" s="6"/>
      <c r="S552" s="6"/>
      <c r="T552" s="6"/>
      <c r="U552" s="6"/>
      <c r="V552" s="6"/>
      <c r="W552" s="6"/>
      <c r="X552" s="6"/>
      <c r="Y552" s="6"/>
      <c r="Z552" s="6"/>
    </row>
    <row r="553" ht="60.0" customHeight="1">
      <c r="A553" s="6"/>
      <c r="B553" s="6"/>
      <c r="C553" s="6"/>
      <c r="D553" s="6"/>
      <c r="E553" s="17"/>
      <c r="F553" s="6"/>
      <c r="G553" s="6"/>
      <c r="H553" s="6"/>
      <c r="I553" s="6"/>
      <c r="J553" s="6"/>
      <c r="K553" s="6"/>
      <c r="L553" s="6"/>
      <c r="M553" s="6"/>
      <c r="N553" s="6"/>
      <c r="O553" s="6"/>
      <c r="P553" s="6"/>
      <c r="Q553" s="6"/>
      <c r="R553" s="6"/>
      <c r="S553" s="6"/>
      <c r="T553" s="6"/>
      <c r="U553" s="6"/>
      <c r="V553" s="6"/>
      <c r="W553" s="6"/>
      <c r="X553" s="6"/>
      <c r="Y553" s="6"/>
      <c r="Z553" s="6"/>
    </row>
    <row r="554" ht="60.0" customHeight="1">
      <c r="A554" s="6"/>
      <c r="B554" s="6"/>
      <c r="C554" s="6"/>
      <c r="D554" s="6"/>
      <c r="E554" s="17"/>
      <c r="F554" s="6"/>
      <c r="G554" s="6"/>
      <c r="H554" s="6"/>
      <c r="I554" s="6"/>
      <c r="J554" s="6"/>
      <c r="K554" s="6"/>
      <c r="L554" s="6"/>
      <c r="M554" s="6"/>
      <c r="N554" s="6"/>
      <c r="O554" s="6"/>
      <c r="P554" s="6"/>
      <c r="Q554" s="6"/>
      <c r="R554" s="6"/>
      <c r="S554" s="6"/>
      <c r="T554" s="6"/>
      <c r="U554" s="6"/>
      <c r="V554" s="6"/>
      <c r="W554" s="6"/>
      <c r="X554" s="6"/>
      <c r="Y554" s="6"/>
      <c r="Z554" s="6"/>
    </row>
    <row r="555" ht="60.0" customHeight="1">
      <c r="A555" s="6"/>
      <c r="B555" s="6"/>
      <c r="C555" s="6"/>
      <c r="D555" s="6"/>
      <c r="E555" s="17"/>
      <c r="F555" s="6"/>
      <c r="G555" s="6"/>
      <c r="H555" s="6"/>
      <c r="I555" s="6"/>
      <c r="J555" s="6"/>
      <c r="K555" s="6"/>
      <c r="L555" s="6"/>
      <c r="M555" s="6"/>
      <c r="N555" s="6"/>
      <c r="O555" s="6"/>
      <c r="P555" s="6"/>
      <c r="Q555" s="6"/>
      <c r="R555" s="6"/>
      <c r="S555" s="6"/>
      <c r="T555" s="6"/>
      <c r="U555" s="6"/>
      <c r="V555" s="6"/>
      <c r="W555" s="6"/>
      <c r="X555" s="6"/>
      <c r="Y555" s="6"/>
      <c r="Z555" s="6"/>
    </row>
    <row r="556" ht="60.0" customHeight="1">
      <c r="A556" s="6"/>
      <c r="B556" s="6"/>
      <c r="C556" s="6"/>
      <c r="D556" s="6"/>
      <c r="E556" s="17"/>
      <c r="F556" s="6"/>
      <c r="G556" s="6"/>
      <c r="H556" s="6"/>
      <c r="I556" s="6"/>
      <c r="J556" s="6"/>
      <c r="K556" s="6"/>
      <c r="L556" s="6"/>
      <c r="M556" s="6"/>
      <c r="N556" s="6"/>
      <c r="O556" s="6"/>
      <c r="P556" s="6"/>
      <c r="Q556" s="6"/>
      <c r="R556" s="6"/>
      <c r="S556" s="6"/>
      <c r="T556" s="6"/>
      <c r="U556" s="6"/>
      <c r="V556" s="6"/>
      <c r="W556" s="6"/>
      <c r="X556" s="6"/>
      <c r="Y556" s="6"/>
      <c r="Z556" s="6"/>
    </row>
    <row r="557" ht="60.0" customHeight="1">
      <c r="A557" s="6"/>
      <c r="B557" s="6"/>
      <c r="C557" s="6"/>
      <c r="D557" s="6"/>
      <c r="E557" s="17"/>
      <c r="F557" s="6"/>
      <c r="G557" s="6"/>
      <c r="H557" s="6"/>
      <c r="I557" s="6"/>
      <c r="J557" s="6"/>
      <c r="K557" s="6"/>
      <c r="L557" s="6"/>
      <c r="M557" s="6"/>
      <c r="N557" s="6"/>
      <c r="O557" s="6"/>
      <c r="P557" s="6"/>
      <c r="Q557" s="6"/>
      <c r="R557" s="6"/>
      <c r="S557" s="6"/>
      <c r="T557" s="6"/>
      <c r="U557" s="6"/>
      <c r="V557" s="6"/>
      <c r="W557" s="6"/>
      <c r="X557" s="6"/>
      <c r="Y557" s="6"/>
      <c r="Z557" s="6"/>
    </row>
    <row r="558" ht="60.0" customHeight="1">
      <c r="A558" s="6"/>
      <c r="B558" s="6"/>
      <c r="C558" s="6"/>
      <c r="D558" s="6"/>
      <c r="E558" s="17"/>
      <c r="F558" s="6"/>
      <c r="G558" s="6"/>
      <c r="H558" s="6"/>
      <c r="I558" s="6"/>
      <c r="J558" s="6"/>
      <c r="K558" s="6"/>
      <c r="L558" s="6"/>
      <c r="M558" s="6"/>
      <c r="N558" s="6"/>
      <c r="O558" s="6"/>
      <c r="P558" s="6"/>
      <c r="Q558" s="6"/>
      <c r="R558" s="6"/>
      <c r="S558" s="6"/>
      <c r="T558" s="6"/>
      <c r="U558" s="6"/>
      <c r="V558" s="6"/>
      <c r="W558" s="6"/>
      <c r="X558" s="6"/>
      <c r="Y558" s="6"/>
      <c r="Z558" s="6"/>
    </row>
    <row r="559" ht="60.0" customHeight="1">
      <c r="A559" s="6"/>
      <c r="B559" s="6"/>
      <c r="C559" s="6"/>
      <c r="D559" s="6"/>
      <c r="E559" s="17"/>
      <c r="F559" s="6"/>
      <c r="G559" s="6"/>
      <c r="H559" s="6"/>
      <c r="I559" s="6"/>
      <c r="J559" s="6"/>
      <c r="K559" s="6"/>
      <c r="L559" s="6"/>
      <c r="M559" s="6"/>
      <c r="N559" s="6"/>
      <c r="O559" s="6"/>
      <c r="P559" s="6"/>
      <c r="Q559" s="6"/>
      <c r="R559" s="6"/>
      <c r="S559" s="6"/>
      <c r="T559" s="6"/>
      <c r="U559" s="6"/>
      <c r="V559" s="6"/>
      <c r="W559" s="6"/>
      <c r="X559" s="6"/>
      <c r="Y559" s="6"/>
      <c r="Z559" s="6"/>
    </row>
    <row r="560" ht="60.0" customHeight="1">
      <c r="A560" s="6"/>
      <c r="B560" s="6"/>
      <c r="C560" s="6"/>
      <c r="D560" s="6"/>
      <c r="E560" s="17"/>
      <c r="F560" s="6"/>
      <c r="G560" s="6"/>
      <c r="H560" s="6"/>
      <c r="I560" s="6"/>
      <c r="J560" s="6"/>
      <c r="K560" s="6"/>
      <c r="L560" s="6"/>
      <c r="M560" s="6"/>
      <c r="N560" s="6"/>
      <c r="O560" s="6"/>
      <c r="P560" s="6"/>
      <c r="Q560" s="6"/>
      <c r="R560" s="6"/>
      <c r="S560" s="6"/>
      <c r="T560" s="6"/>
      <c r="U560" s="6"/>
      <c r="V560" s="6"/>
      <c r="W560" s="6"/>
      <c r="X560" s="6"/>
      <c r="Y560" s="6"/>
      <c r="Z560" s="6"/>
    </row>
    <row r="561" ht="60.0" customHeight="1">
      <c r="A561" s="6"/>
      <c r="B561" s="6"/>
      <c r="C561" s="6"/>
      <c r="D561" s="6"/>
      <c r="E561" s="17"/>
      <c r="F561" s="6"/>
      <c r="G561" s="6"/>
      <c r="H561" s="6"/>
      <c r="I561" s="6"/>
      <c r="J561" s="6"/>
      <c r="K561" s="6"/>
      <c r="L561" s="6"/>
      <c r="M561" s="6"/>
      <c r="N561" s="6"/>
      <c r="O561" s="6"/>
      <c r="P561" s="6"/>
      <c r="Q561" s="6"/>
      <c r="R561" s="6"/>
      <c r="S561" s="6"/>
      <c r="T561" s="6"/>
      <c r="U561" s="6"/>
      <c r="V561" s="6"/>
      <c r="W561" s="6"/>
      <c r="X561" s="6"/>
      <c r="Y561" s="6"/>
      <c r="Z561" s="6"/>
    </row>
    <row r="562" ht="60.0" customHeight="1">
      <c r="A562" s="6"/>
      <c r="B562" s="6"/>
      <c r="C562" s="6"/>
      <c r="D562" s="6"/>
      <c r="E562" s="17"/>
      <c r="F562" s="6"/>
      <c r="G562" s="6"/>
      <c r="H562" s="6"/>
      <c r="I562" s="6"/>
      <c r="J562" s="6"/>
      <c r="K562" s="6"/>
      <c r="L562" s="6"/>
      <c r="M562" s="6"/>
      <c r="N562" s="6"/>
      <c r="O562" s="6"/>
      <c r="P562" s="6"/>
      <c r="Q562" s="6"/>
      <c r="R562" s="6"/>
      <c r="S562" s="6"/>
      <c r="T562" s="6"/>
      <c r="U562" s="6"/>
      <c r="V562" s="6"/>
      <c r="W562" s="6"/>
      <c r="X562" s="6"/>
      <c r="Y562" s="6"/>
      <c r="Z562" s="6"/>
    </row>
    <row r="563" ht="60.0" customHeight="1">
      <c r="A563" s="6"/>
      <c r="B563" s="6"/>
      <c r="C563" s="6"/>
      <c r="D563" s="6"/>
      <c r="E563" s="17"/>
      <c r="F563" s="6"/>
      <c r="G563" s="6"/>
      <c r="H563" s="6"/>
      <c r="I563" s="6"/>
      <c r="J563" s="6"/>
      <c r="K563" s="6"/>
      <c r="L563" s="6"/>
      <c r="M563" s="6"/>
      <c r="N563" s="6"/>
      <c r="O563" s="6"/>
      <c r="P563" s="6"/>
      <c r="Q563" s="6"/>
      <c r="R563" s="6"/>
      <c r="S563" s="6"/>
      <c r="T563" s="6"/>
      <c r="U563" s="6"/>
      <c r="V563" s="6"/>
      <c r="W563" s="6"/>
      <c r="X563" s="6"/>
      <c r="Y563" s="6"/>
      <c r="Z563" s="6"/>
    </row>
    <row r="564" ht="60.0" customHeight="1">
      <c r="A564" s="6"/>
      <c r="B564" s="6"/>
      <c r="C564" s="6"/>
      <c r="D564" s="6"/>
      <c r="E564" s="17"/>
      <c r="F564" s="6"/>
      <c r="G564" s="6"/>
      <c r="H564" s="6"/>
      <c r="I564" s="6"/>
      <c r="J564" s="6"/>
      <c r="K564" s="6"/>
      <c r="L564" s="6"/>
      <c r="M564" s="6"/>
      <c r="N564" s="6"/>
      <c r="O564" s="6"/>
      <c r="P564" s="6"/>
      <c r="Q564" s="6"/>
      <c r="R564" s="6"/>
      <c r="S564" s="6"/>
      <c r="T564" s="6"/>
      <c r="U564" s="6"/>
      <c r="V564" s="6"/>
      <c r="W564" s="6"/>
      <c r="X564" s="6"/>
      <c r="Y564" s="6"/>
      <c r="Z564" s="6"/>
    </row>
    <row r="565" ht="60.0" customHeight="1">
      <c r="A565" s="6"/>
      <c r="B565" s="6"/>
      <c r="C565" s="6"/>
      <c r="D565" s="6"/>
      <c r="E565" s="17"/>
      <c r="F565" s="6"/>
      <c r="G565" s="6"/>
      <c r="H565" s="6"/>
      <c r="I565" s="6"/>
      <c r="J565" s="6"/>
      <c r="K565" s="6"/>
      <c r="L565" s="6"/>
      <c r="M565" s="6"/>
      <c r="N565" s="6"/>
      <c r="O565" s="6"/>
      <c r="P565" s="6"/>
      <c r="Q565" s="6"/>
      <c r="R565" s="6"/>
      <c r="S565" s="6"/>
      <c r="T565" s="6"/>
      <c r="U565" s="6"/>
      <c r="V565" s="6"/>
      <c r="W565" s="6"/>
      <c r="X565" s="6"/>
      <c r="Y565" s="6"/>
      <c r="Z565" s="6"/>
    </row>
    <row r="566" ht="60.0" customHeight="1">
      <c r="A566" s="6"/>
      <c r="B566" s="6"/>
      <c r="C566" s="6"/>
      <c r="D566" s="6"/>
      <c r="E566" s="17"/>
      <c r="F566" s="6"/>
      <c r="G566" s="6"/>
      <c r="H566" s="6"/>
      <c r="I566" s="6"/>
      <c r="J566" s="6"/>
      <c r="K566" s="6"/>
      <c r="L566" s="6"/>
      <c r="M566" s="6"/>
      <c r="N566" s="6"/>
      <c r="O566" s="6"/>
      <c r="P566" s="6"/>
      <c r="Q566" s="6"/>
      <c r="R566" s="6"/>
      <c r="S566" s="6"/>
      <c r="T566" s="6"/>
      <c r="U566" s="6"/>
      <c r="V566" s="6"/>
      <c r="W566" s="6"/>
      <c r="X566" s="6"/>
      <c r="Y566" s="6"/>
      <c r="Z566" s="6"/>
    </row>
    <row r="567" ht="60.0" customHeight="1">
      <c r="A567" s="6"/>
      <c r="B567" s="6"/>
      <c r="C567" s="6"/>
      <c r="D567" s="6"/>
      <c r="E567" s="17"/>
      <c r="F567" s="6"/>
      <c r="G567" s="6"/>
      <c r="H567" s="6"/>
      <c r="I567" s="6"/>
      <c r="J567" s="6"/>
      <c r="K567" s="6"/>
      <c r="L567" s="6"/>
      <c r="M567" s="6"/>
      <c r="N567" s="6"/>
      <c r="O567" s="6"/>
      <c r="P567" s="6"/>
      <c r="Q567" s="6"/>
      <c r="R567" s="6"/>
      <c r="S567" s="6"/>
      <c r="T567" s="6"/>
      <c r="U567" s="6"/>
      <c r="V567" s="6"/>
      <c r="W567" s="6"/>
      <c r="X567" s="6"/>
      <c r="Y567" s="6"/>
      <c r="Z567" s="6"/>
    </row>
    <row r="568" ht="60.0" customHeight="1">
      <c r="A568" s="6"/>
      <c r="B568" s="6"/>
      <c r="C568" s="6"/>
      <c r="D568" s="6"/>
      <c r="E568" s="17"/>
      <c r="F568" s="6"/>
      <c r="G568" s="6"/>
      <c r="H568" s="6"/>
      <c r="I568" s="6"/>
      <c r="J568" s="6"/>
      <c r="K568" s="6"/>
      <c r="L568" s="6"/>
      <c r="M568" s="6"/>
      <c r="N568" s="6"/>
      <c r="O568" s="6"/>
      <c r="P568" s="6"/>
      <c r="Q568" s="6"/>
      <c r="R568" s="6"/>
      <c r="S568" s="6"/>
      <c r="T568" s="6"/>
      <c r="U568" s="6"/>
      <c r="V568" s="6"/>
      <c r="W568" s="6"/>
      <c r="X568" s="6"/>
      <c r="Y568" s="6"/>
      <c r="Z568" s="6"/>
    </row>
    <row r="569" ht="60.0" customHeight="1">
      <c r="A569" s="6"/>
      <c r="B569" s="6"/>
      <c r="C569" s="6"/>
      <c r="D569" s="6"/>
      <c r="E569" s="17"/>
      <c r="F569" s="6"/>
      <c r="G569" s="6"/>
      <c r="H569" s="6"/>
      <c r="I569" s="6"/>
      <c r="J569" s="6"/>
      <c r="K569" s="6"/>
      <c r="L569" s="6"/>
      <c r="M569" s="6"/>
      <c r="N569" s="6"/>
      <c r="O569" s="6"/>
      <c r="P569" s="6"/>
      <c r="Q569" s="6"/>
      <c r="R569" s="6"/>
      <c r="S569" s="6"/>
      <c r="T569" s="6"/>
      <c r="U569" s="6"/>
      <c r="V569" s="6"/>
      <c r="W569" s="6"/>
      <c r="X569" s="6"/>
      <c r="Y569" s="6"/>
      <c r="Z569" s="6"/>
    </row>
    <row r="570" ht="60.0" customHeight="1">
      <c r="A570" s="6"/>
      <c r="B570" s="6"/>
      <c r="C570" s="6"/>
      <c r="D570" s="6"/>
      <c r="E570" s="17"/>
      <c r="F570" s="6"/>
      <c r="G570" s="6"/>
      <c r="H570" s="6"/>
      <c r="I570" s="6"/>
      <c r="J570" s="6"/>
      <c r="K570" s="6"/>
      <c r="L570" s="6"/>
      <c r="M570" s="6"/>
      <c r="N570" s="6"/>
      <c r="O570" s="6"/>
      <c r="P570" s="6"/>
      <c r="Q570" s="6"/>
      <c r="R570" s="6"/>
      <c r="S570" s="6"/>
      <c r="T570" s="6"/>
      <c r="U570" s="6"/>
      <c r="V570" s="6"/>
      <c r="W570" s="6"/>
      <c r="X570" s="6"/>
      <c r="Y570" s="6"/>
      <c r="Z570" s="6"/>
    </row>
    <row r="571" ht="60.0" customHeight="1">
      <c r="A571" s="6"/>
      <c r="B571" s="6"/>
      <c r="C571" s="6"/>
      <c r="D571" s="6"/>
      <c r="E571" s="17"/>
      <c r="F571" s="6"/>
      <c r="G571" s="6"/>
      <c r="H571" s="6"/>
      <c r="I571" s="6"/>
      <c r="J571" s="6"/>
      <c r="K571" s="6"/>
      <c r="L571" s="6"/>
      <c r="M571" s="6"/>
      <c r="N571" s="6"/>
      <c r="O571" s="6"/>
      <c r="P571" s="6"/>
      <c r="Q571" s="6"/>
      <c r="R571" s="6"/>
      <c r="S571" s="6"/>
      <c r="T571" s="6"/>
      <c r="U571" s="6"/>
      <c r="V571" s="6"/>
      <c r="W571" s="6"/>
      <c r="X571" s="6"/>
      <c r="Y571" s="6"/>
      <c r="Z571" s="6"/>
    </row>
    <row r="572" ht="60.0" customHeight="1">
      <c r="A572" s="6"/>
      <c r="B572" s="6"/>
      <c r="C572" s="6"/>
      <c r="D572" s="6"/>
      <c r="E572" s="17"/>
      <c r="F572" s="6"/>
      <c r="G572" s="6"/>
      <c r="H572" s="6"/>
      <c r="I572" s="6"/>
      <c r="J572" s="6"/>
      <c r="K572" s="6"/>
      <c r="L572" s="6"/>
      <c r="M572" s="6"/>
      <c r="N572" s="6"/>
      <c r="O572" s="6"/>
      <c r="P572" s="6"/>
      <c r="Q572" s="6"/>
      <c r="R572" s="6"/>
      <c r="S572" s="6"/>
      <c r="T572" s="6"/>
      <c r="U572" s="6"/>
      <c r="V572" s="6"/>
      <c r="W572" s="6"/>
      <c r="X572" s="6"/>
      <c r="Y572" s="6"/>
      <c r="Z572" s="6"/>
    </row>
    <row r="573" ht="60.0" customHeight="1">
      <c r="A573" s="6"/>
      <c r="B573" s="6"/>
      <c r="C573" s="6"/>
      <c r="D573" s="6"/>
      <c r="E573" s="17"/>
      <c r="F573" s="6"/>
      <c r="G573" s="6"/>
      <c r="H573" s="6"/>
      <c r="I573" s="6"/>
      <c r="J573" s="6"/>
      <c r="K573" s="6"/>
      <c r="L573" s="6"/>
      <c r="M573" s="6"/>
      <c r="N573" s="6"/>
      <c r="O573" s="6"/>
      <c r="P573" s="6"/>
      <c r="Q573" s="6"/>
      <c r="R573" s="6"/>
      <c r="S573" s="6"/>
      <c r="T573" s="6"/>
      <c r="U573" s="6"/>
      <c r="V573" s="6"/>
      <c r="W573" s="6"/>
      <c r="X573" s="6"/>
      <c r="Y573" s="6"/>
      <c r="Z573" s="6"/>
    </row>
    <row r="574" ht="60.0" customHeight="1">
      <c r="A574" s="6"/>
      <c r="B574" s="6"/>
      <c r="C574" s="6"/>
      <c r="D574" s="6"/>
      <c r="E574" s="17"/>
      <c r="F574" s="6"/>
      <c r="G574" s="6"/>
      <c r="H574" s="6"/>
      <c r="I574" s="6"/>
      <c r="J574" s="6"/>
      <c r="K574" s="6"/>
      <c r="L574" s="6"/>
      <c r="M574" s="6"/>
      <c r="N574" s="6"/>
      <c r="O574" s="6"/>
      <c r="P574" s="6"/>
      <c r="Q574" s="6"/>
      <c r="R574" s="6"/>
      <c r="S574" s="6"/>
      <c r="T574" s="6"/>
      <c r="U574" s="6"/>
      <c r="V574" s="6"/>
      <c r="W574" s="6"/>
      <c r="X574" s="6"/>
      <c r="Y574" s="6"/>
      <c r="Z574" s="6"/>
    </row>
    <row r="575" ht="60.0" customHeight="1">
      <c r="A575" s="6"/>
      <c r="B575" s="6"/>
      <c r="C575" s="6"/>
      <c r="D575" s="6"/>
      <c r="E575" s="17"/>
      <c r="F575" s="6"/>
      <c r="G575" s="6"/>
      <c r="H575" s="6"/>
      <c r="I575" s="6"/>
      <c r="J575" s="6"/>
      <c r="K575" s="6"/>
      <c r="L575" s="6"/>
      <c r="M575" s="6"/>
      <c r="N575" s="6"/>
      <c r="O575" s="6"/>
      <c r="P575" s="6"/>
      <c r="Q575" s="6"/>
      <c r="R575" s="6"/>
      <c r="S575" s="6"/>
      <c r="T575" s="6"/>
      <c r="U575" s="6"/>
      <c r="V575" s="6"/>
      <c r="W575" s="6"/>
      <c r="X575" s="6"/>
      <c r="Y575" s="6"/>
      <c r="Z575" s="6"/>
    </row>
    <row r="576" ht="60.0" customHeight="1">
      <c r="A576" s="6"/>
      <c r="B576" s="6"/>
      <c r="C576" s="6"/>
      <c r="D576" s="6"/>
      <c r="E576" s="17"/>
      <c r="F576" s="6"/>
      <c r="G576" s="6"/>
      <c r="H576" s="6"/>
      <c r="I576" s="6"/>
      <c r="J576" s="6"/>
      <c r="K576" s="6"/>
      <c r="L576" s="6"/>
      <c r="M576" s="6"/>
      <c r="N576" s="6"/>
      <c r="O576" s="6"/>
      <c r="P576" s="6"/>
      <c r="Q576" s="6"/>
      <c r="R576" s="6"/>
      <c r="S576" s="6"/>
      <c r="T576" s="6"/>
      <c r="U576" s="6"/>
      <c r="V576" s="6"/>
      <c r="W576" s="6"/>
      <c r="X576" s="6"/>
      <c r="Y576" s="6"/>
      <c r="Z576" s="6"/>
    </row>
    <row r="577" ht="60.0" customHeight="1">
      <c r="A577" s="6"/>
      <c r="B577" s="6"/>
      <c r="C577" s="6"/>
      <c r="D577" s="6"/>
      <c r="E577" s="17"/>
      <c r="F577" s="6"/>
      <c r="G577" s="6"/>
      <c r="H577" s="6"/>
      <c r="I577" s="6"/>
      <c r="J577" s="6"/>
      <c r="K577" s="6"/>
      <c r="L577" s="6"/>
      <c r="M577" s="6"/>
      <c r="N577" s="6"/>
      <c r="O577" s="6"/>
      <c r="P577" s="6"/>
      <c r="Q577" s="6"/>
      <c r="R577" s="6"/>
      <c r="S577" s="6"/>
      <c r="T577" s="6"/>
      <c r="U577" s="6"/>
      <c r="V577" s="6"/>
      <c r="W577" s="6"/>
      <c r="X577" s="6"/>
      <c r="Y577" s="6"/>
      <c r="Z577" s="6"/>
    </row>
    <row r="578" ht="60.0" customHeight="1">
      <c r="A578" s="6"/>
      <c r="B578" s="6"/>
      <c r="C578" s="6"/>
      <c r="D578" s="6"/>
      <c r="E578" s="17"/>
      <c r="F578" s="6"/>
      <c r="G578" s="6"/>
      <c r="H578" s="6"/>
      <c r="I578" s="6"/>
      <c r="J578" s="6"/>
      <c r="K578" s="6"/>
      <c r="L578" s="6"/>
      <c r="M578" s="6"/>
      <c r="N578" s="6"/>
      <c r="O578" s="6"/>
      <c r="P578" s="6"/>
      <c r="Q578" s="6"/>
      <c r="R578" s="6"/>
      <c r="S578" s="6"/>
      <c r="T578" s="6"/>
      <c r="U578" s="6"/>
      <c r="V578" s="6"/>
      <c r="W578" s="6"/>
      <c r="X578" s="6"/>
      <c r="Y578" s="6"/>
      <c r="Z578" s="6"/>
    </row>
    <row r="579" ht="60.0" customHeight="1">
      <c r="A579" s="6"/>
      <c r="B579" s="6"/>
      <c r="C579" s="6"/>
      <c r="D579" s="6"/>
      <c r="E579" s="17"/>
      <c r="F579" s="6"/>
      <c r="G579" s="6"/>
      <c r="H579" s="6"/>
      <c r="I579" s="6"/>
      <c r="J579" s="6"/>
      <c r="K579" s="6"/>
      <c r="L579" s="6"/>
      <c r="M579" s="6"/>
      <c r="N579" s="6"/>
      <c r="O579" s="6"/>
      <c r="P579" s="6"/>
      <c r="Q579" s="6"/>
      <c r="R579" s="6"/>
      <c r="S579" s="6"/>
      <c r="T579" s="6"/>
      <c r="U579" s="6"/>
      <c r="V579" s="6"/>
      <c r="W579" s="6"/>
      <c r="X579" s="6"/>
      <c r="Y579" s="6"/>
      <c r="Z579" s="6"/>
    </row>
    <row r="580" ht="60.0" customHeight="1">
      <c r="A580" s="6"/>
      <c r="B580" s="6"/>
      <c r="C580" s="6"/>
      <c r="D580" s="6"/>
      <c r="E580" s="17"/>
      <c r="F580" s="6"/>
      <c r="G580" s="6"/>
      <c r="H580" s="6"/>
      <c r="I580" s="6"/>
      <c r="J580" s="6"/>
      <c r="K580" s="6"/>
      <c r="L580" s="6"/>
      <c r="M580" s="6"/>
      <c r="N580" s="6"/>
      <c r="O580" s="6"/>
      <c r="P580" s="6"/>
      <c r="Q580" s="6"/>
      <c r="R580" s="6"/>
      <c r="S580" s="6"/>
      <c r="T580" s="6"/>
      <c r="U580" s="6"/>
      <c r="V580" s="6"/>
      <c r="W580" s="6"/>
      <c r="X580" s="6"/>
      <c r="Y580" s="6"/>
      <c r="Z580" s="6"/>
    </row>
    <row r="581" ht="60.0" customHeight="1">
      <c r="A581" s="6"/>
      <c r="B581" s="6"/>
      <c r="C581" s="6"/>
      <c r="D581" s="6"/>
      <c r="E581" s="17"/>
      <c r="F581" s="6"/>
      <c r="G581" s="6"/>
      <c r="H581" s="6"/>
      <c r="I581" s="6"/>
      <c r="J581" s="6"/>
      <c r="K581" s="6"/>
      <c r="L581" s="6"/>
      <c r="M581" s="6"/>
      <c r="N581" s="6"/>
      <c r="O581" s="6"/>
      <c r="P581" s="6"/>
      <c r="Q581" s="6"/>
      <c r="R581" s="6"/>
      <c r="S581" s="6"/>
      <c r="T581" s="6"/>
      <c r="U581" s="6"/>
      <c r="V581" s="6"/>
      <c r="W581" s="6"/>
      <c r="X581" s="6"/>
      <c r="Y581" s="6"/>
      <c r="Z581" s="6"/>
    </row>
    <row r="582" ht="60.0" customHeight="1">
      <c r="A582" s="6"/>
      <c r="B582" s="6"/>
      <c r="C582" s="6"/>
      <c r="D582" s="6"/>
      <c r="E582" s="17"/>
      <c r="F582" s="6"/>
      <c r="G582" s="6"/>
      <c r="H582" s="6"/>
      <c r="I582" s="6"/>
      <c r="J582" s="6"/>
      <c r="K582" s="6"/>
      <c r="L582" s="6"/>
      <c r="M582" s="6"/>
      <c r="N582" s="6"/>
      <c r="O582" s="6"/>
      <c r="P582" s="6"/>
      <c r="Q582" s="6"/>
      <c r="R582" s="6"/>
      <c r="S582" s="6"/>
      <c r="T582" s="6"/>
      <c r="U582" s="6"/>
      <c r="V582" s="6"/>
      <c r="W582" s="6"/>
      <c r="X582" s="6"/>
      <c r="Y582" s="6"/>
      <c r="Z582" s="6"/>
    </row>
    <row r="583" ht="60.0" customHeight="1">
      <c r="A583" s="6"/>
      <c r="B583" s="6"/>
      <c r="C583" s="6"/>
      <c r="D583" s="6"/>
      <c r="E583" s="17"/>
      <c r="F583" s="6"/>
      <c r="G583" s="6"/>
      <c r="H583" s="6"/>
      <c r="I583" s="6"/>
      <c r="J583" s="6"/>
      <c r="K583" s="6"/>
      <c r="L583" s="6"/>
      <c r="M583" s="6"/>
      <c r="N583" s="6"/>
      <c r="O583" s="6"/>
      <c r="P583" s="6"/>
      <c r="Q583" s="6"/>
      <c r="R583" s="6"/>
      <c r="S583" s="6"/>
      <c r="T583" s="6"/>
      <c r="U583" s="6"/>
      <c r="V583" s="6"/>
      <c r="W583" s="6"/>
      <c r="X583" s="6"/>
      <c r="Y583" s="6"/>
      <c r="Z583" s="6"/>
    </row>
    <row r="584" ht="60.0" customHeight="1">
      <c r="A584" s="6"/>
      <c r="B584" s="6"/>
      <c r="C584" s="6"/>
      <c r="D584" s="6"/>
      <c r="E584" s="17"/>
      <c r="F584" s="6"/>
      <c r="G584" s="6"/>
      <c r="H584" s="6"/>
      <c r="I584" s="6"/>
      <c r="J584" s="6"/>
      <c r="K584" s="6"/>
      <c r="L584" s="6"/>
      <c r="M584" s="6"/>
      <c r="N584" s="6"/>
      <c r="O584" s="6"/>
      <c r="P584" s="6"/>
      <c r="Q584" s="6"/>
      <c r="R584" s="6"/>
      <c r="S584" s="6"/>
      <c r="T584" s="6"/>
      <c r="U584" s="6"/>
      <c r="V584" s="6"/>
      <c r="W584" s="6"/>
      <c r="X584" s="6"/>
      <c r="Y584" s="6"/>
      <c r="Z584" s="6"/>
    </row>
    <row r="585" ht="60.0" customHeight="1">
      <c r="A585" s="6"/>
      <c r="B585" s="6"/>
      <c r="C585" s="6"/>
      <c r="D585" s="6"/>
      <c r="E585" s="17"/>
      <c r="F585" s="6"/>
      <c r="G585" s="6"/>
      <c r="H585" s="6"/>
      <c r="I585" s="6"/>
      <c r="J585" s="6"/>
      <c r="K585" s="6"/>
      <c r="L585" s="6"/>
      <c r="M585" s="6"/>
      <c r="N585" s="6"/>
      <c r="O585" s="6"/>
      <c r="P585" s="6"/>
      <c r="Q585" s="6"/>
      <c r="R585" s="6"/>
      <c r="S585" s="6"/>
      <c r="T585" s="6"/>
      <c r="U585" s="6"/>
      <c r="V585" s="6"/>
      <c r="W585" s="6"/>
      <c r="X585" s="6"/>
      <c r="Y585" s="6"/>
      <c r="Z585" s="6"/>
    </row>
    <row r="586" ht="60.0" customHeight="1">
      <c r="A586" s="6"/>
      <c r="B586" s="6"/>
      <c r="C586" s="6"/>
      <c r="D586" s="6"/>
      <c r="E586" s="17"/>
      <c r="F586" s="6"/>
      <c r="G586" s="6"/>
      <c r="H586" s="6"/>
      <c r="I586" s="6"/>
      <c r="J586" s="6"/>
      <c r="K586" s="6"/>
      <c r="L586" s="6"/>
      <c r="M586" s="6"/>
      <c r="N586" s="6"/>
      <c r="O586" s="6"/>
      <c r="P586" s="6"/>
      <c r="Q586" s="6"/>
      <c r="R586" s="6"/>
      <c r="S586" s="6"/>
      <c r="T586" s="6"/>
      <c r="U586" s="6"/>
      <c r="V586" s="6"/>
      <c r="W586" s="6"/>
      <c r="X586" s="6"/>
      <c r="Y586" s="6"/>
      <c r="Z586" s="6"/>
    </row>
    <row r="587" ht="60.0" customHeight="1">
      <c r="A587" s="6"/>
      <c r="B587" s="6"/>
      <c r="C587" s="6"/>
      <c r="D587" s="6"/>
      <c r="E587" s="17"/>
      <c r="F587" s="6"/>
      <c r="G587" s="6"/>
      <c r="H587" s="6"/>
      <c r="I587" s="6"/>
      <c r="J587" s="6"/>
      <c r="K587" s="6"/>
      <c r="L587" s="6"/>
      <c r="M587" s="6"/>
      <c r="N587" s="6"/>
      <c r="O587" s="6"/>
      <c r="P587" s="6"/>
      <c r="Q587" s="6"/>
      <c r="R587" s="6"/>
      <c r="S587" s="6"/>
      <c r="T587" s="6"/>
      <c r="U587" s="6"/>
      <c r="V587" s="6"/>
      <c r="W587" s="6"/>
      <c r="X587" s="6"/>
      <c r="Y587" s="6"/>
      <c r="Z587" s="6"/>
    </row>
    <row r="588" ht="60.0" customHeight="1">
      <c r="A588" s="6"/>
      <c r="B588" s="6"/>
      <c r="C588" s="6"/>
      <c r="D588" s="6"/>
      <c r="E588" s="17"/>
      <c r="F588" s="6"/>
      <c r="G588" s="6"/>
      <c r="H588" s="6"/>
      <c r="I588" s="6"/>
      <c r="J588" s="6"/>
      <c r="K588" s="6"/>
      <c r="L588" s="6"/>
      <c r="M588" s="6"/>
      <c r="N588" s="6"/>
      <c r="O588" s="6"/>
      <c r="P588" s="6"/>
      <c r="Q588" s="6"/>
      <c r="R588" s="6"/>
      <c r="S588" s="6"/>
      <c r="T588" s="6"/>
      <c r="U588" s="6"/>
      <c r="V588" s="6"/>
      <c r="W588" s="6"/>
      <c r="X588" s="6"/>
      <c r="Y588" s="6"/>
      <c r="Z588" s="6"/>
    </row>
    <row r="589" ht="60.0" customHeight="1">
      <c r="A589" s="6"/>
      <c r="B589" s="6"/>
      <c r="C589" s="6"/>
      <c r="D589" s="6"/>
      <c r="E589" s="17"/>
      <c r="F589" s="6"/>
      <c r="G589" s="6"/>
      <c r="H589" s="6"/>
      <c r="I589" s="6"/>
      <c r="J589" s="6"/>
      <c r="K589" s="6"/>
      <c r="L589" s="6"/>
      <c r="M589" s="6"/>
      <c r="N589" s="6"/>
      <c r="O589" s="6"/>
      <c r="P589" s="6"/>
      <c r="Q589" s="6"/>
      <c r="R589" s="6"/>
      <c r="S589" s="6"/>
      <c r="T589" s="6"/>
      <c r="U589" s="6"/>
      <c r="V589" s="6"/>
      <c r="W589" s="6"/>
      <c r="X589" s="6"/>
      <c r="Y589" s="6"/>
      <c r="Z589" s="6"/>
    </row>
    <row r="590" ht="60.0" customHeight="1">
      <c r="A590" s="6"/>
      <c r="B590" s="6"/>
      <c r="C590" s="6"/>
      <c r="D590" s="6"/>
      <c r="E590" s="17"/>
      <c r="F590" s="6"/>
      <c r="G590" s="6"/>
      <c r="H590" s="6"/>
      <c r="I590" s="6"/>
      <c r="J590" s="6"/>
      <c r="K590" s="6"/>
      <c r="L590" s="6"/>
      <c r="M590" s="6"/>
      <c r="N590" s="6"/>
      <c r="O590" s="6"/>
      <c r="P590" s="6"/>
      <c r="Q590" s="6"/>
      <c r="R590" s="6"/>
      <c r="S590" s="6"/>
      <c r="T590" s="6"/>
      <c r="U590" s="6"/>
      <c r="V590" s="6"/>
      <c r="W590" s="6"/>
      <c r="X590" s="6"/>
      <c r="Y590" s="6"/>
      <c r="Z590" s="6"/>
    </row>
    <row r="591" ht="60.0" customHeight="1">
      <c r="A591" s="6"/>
      <c r="B591" s="6"/>
      <c r="C591" s="6"/>
      <c r="D591" s="6"/>
      <c r="E591" s="17"/>
      <c r="F591" s="6"/>
      <c r="G591" s="6"/>
      <c r="H591" s="6"/>
      <c r="I591" s="6"/>
      <c r="J591" s="6"/>
      <c r="K591" s="6"/>
      <c r="L591" s="6"/>
      <c r="M591" s="6"/>
      <c r="N591" s="6"/>
      <c r="O591" s="6"/>
      <c r="P591" s="6"/>
      <c r="Q591" s="6"/>
      <c r="R591" s="6"/>
      <c r="S591" s="6"/>
      <c r="T591" s="6"/>
      <c r="U591" s="6"/>
      <c r="V591" s="6"/>
      <c r="W591" s="6"/>
      <c r="X591" s="6"/>
      <c r="Y591" s="6"/>
      <c r="Z591" s="6"/>
    </row>
    <row r="592" ht="60.0" customHeight="1">
      <c r="A592" s="6"/>
      <c r="B592" s="6"/>
      <c r="C592" s="6"/>
      <c r="D592" s="6"/>
      <c r="E592" s="17"/>
      <c r="F592" s="6"/>
      <c r="G592" s="6"/>
      <c r="H592" s="6"/>
      <c r="I592" s="6"/>
      <c r="J592" s="6"/>
      <c r="K592" s="6"/>
      <c r="L592" s="6"/>
      <c r="M592" s="6"/>
      <c r="N592" s="6"/>
      <c r="O592" s="6"/>
      <c r="P592" s="6"/>
      <c r="Q592" s="6"/>
      <c r="R592" s="6"/>
      <c r="S592" s="6"/>
      <c r="T592" s="6"/>
      <c r="U592" s="6"/>
      <c r="V592" s="6"/>
      <c r="W592" s="6"/>
      <c r="X592" s="6"/>
      <c r="Y592" s="6"/>
      <c r="Z592" s="6"/>
    </row>
    <row r="593" ht="60.0" customHeight="1">
      <c r="A593" s="6"/>
      <c r="B593" s="6"/>
      <c r="C593" s="6"/>
      <c r="D593" s="6"/>
      <c r="E593" s="17"/>
      <c r="F593" s="6"/>
      <c r="G593" s="6"/>
      <c r="H593" s="6"/>
      <c r="I593" s="6"/>
      <c r="J593" s="6"/>
      <c r="K593" s="6"/>
      <c r="L593" s="6"/>
      <c r="M593" s="6"/>
      <c r="N593" s="6"/>
      <c r="O593" s="6"/>
      <c r="P593" s="6"/>
      <c r="Q593" s="6"/>
      <c r="R593" s="6"/>
      <c r="S593" s="6"/>
      <c r="T593" s="6"/>
      <c r="U593" s="6"/>
      <c r="V593" s="6"/>
      <c r="W593" s="6"/>
      <c r="X593" s="6"/>
      <c r="Y593" s="6"/>
      <c r="Z593" s="6"/>
    </row>
    <row r="594" ht="60.0" customHeight="1">
      <c r="A594" s="6"/>
      <c r="B594" s="6"/>
      <c r="C594" s="6"/>
      <c r="D594" s="6"/>
      <c r="E594" s="17"/>
      <c r="F594" s="6"/>
      <c r="G594" s="6"/>
      <c r="H594" s="6"/>
      <c r="I594" s="6"/>
      <c r="J594" s="6"/>
      <c r="K594" s="6"/>
      <c r="L594" s="6"/>
      <c r="M594" s="6"/>
      <c r="N594" s="6"/>
      <c r="O594" s="6"/>
      <c r="P594" s="6"/>
      <c r="Q594" s="6"/>
      <c r="R594" s="6"/>
      <c r="S594" s="6"/>
      <c r="T594" s="6"/>
      <c r="U594" s="6"/>
      <c r="V594" s="6"/>
      <c r="W594" s="6"/>
      <c r="X594" s="6"/>
      <c r="Y594" s="6"/>
      <c r="Z594" s="6"/>
    </row>
    <row r="595" ht="60.0" customHeight="1">
      <c r="A595" s="6"/>
      <c r="B595" s="6"/>
      <c r="C595" s="6"/>
      <c r="D595" s="6"/>
      <c r="E595" s="17"/>
      <c r="F595" s="6"/>
      <c r="G595" s="6"/>
      <c r="H595" s="6"/>
      <c r="I595" s="6"/>
      <c r="J595" s="6"/>
      <c r="K595" s="6"/>
      <c r="L595" s="6"/>
      <c r="M595" s="6"/>
      <c r="N595" s="6"/>
      <c r="O595" s="6"/>
      <c r="P595" s="6"/>
      <c r="Q595" s="6"/>
      <c r="R595" s="6"/>
      <c r="S595" s="6"/>
      <c r="T595" s="6"/>
      <c r="U595" s="6"/>
      <c r="V595" s="6"/>
      <c r="W595" s="6"/>
      <c r="X595" s="6"/>
      <c r="Y595" s="6"/>
      <c r="Z595" s="6"/>
    </row>
    <row r="596" ht="60.0" customHeight="1">
      <c r="A596" s="6"/>
      <c r="B596" s="6"/>
      <c r="C596" s="6"/>
      <c r="D596" s="6"/>
      <c r="E596" s="17"/>
      <c r="F596" s="6"/>
      <c r="G596" s="6"/>
      <c r="H596" s="6"/>
      <c r="I596" s="6"/>
      <c r="J596" s="6"/>
      <c r="K596" s="6"/>
      <c r="L596" s="6"/>
      <c r="M596" s="6"/>
      <c r="N596" s="6"/>
      <c r="O596" s="6"/>
      <c r="P596" s="6"/>
      <c r="Q596" s="6"/>
      <c r="R596" s="6"/>
      <c r="S596" s="6"/>
      <c r="T596" s="6"/>
      <c r="U596" s="6"/>
      <c r="V596" s="6"/>
      <c r="W596" s="6"/>
      <c r="X596" s="6"/>
      <c r="Y596" s="6"/>
      <c r="Z596" s="6"/>
    </row>
    <row r="597" ht="60.0" customHeight="1">
      <c r="A597" s="6"/>
      <c r="B597" s="6"/>
      <c r="C597" s="6"/>
      <c r="D597" s="6"/>
      <c r="E597" s="17"/>
      <c r="F597" s="6"/>
      <c r="G597" s="6"/>
      <c r="H597" s="6"/>
      <c r="I597" s="6"/>
      <c r="J597" s="6"/>
      <c r="K597" s="6"/>
      <c r="L597" s="6"/>
      <c r="M597" s="6"/>
      <c r="N597" s="6"/>
      <c r="O597" s="6"/>
      <c r="P597" s="6"/>
      <c r="Q597" s="6"/>
      <c r="R597" s="6"/>
      <c r="S597" s="6"/>
      <c r="T597" s="6"/>
      <c r="U597" s="6"/>
      <c r="V597" s="6"/>
      <c r="W597" s="6"/>
      <c r="X597" s="6"/>
      <c r="Y597" s="6"/>
      <c r="Z597" s="6"/>
    </row>
    <row r="598" ht="60.0" customHeight="1">
      <c r="A598" s="6"/>
      <c r="B598" s="6"/>
      <c r="C598" s="6"/>
      <c r="D598" s="6"/>
      <c r="E598" s="17"/>
      <c r="F598" s="6"/>
      <c r="G598" s="6"/>
      <c r="H598" s="6"/>
      <c r="I598" s="6"/>
      <c r="J598" s="6"/>
      <c r="K598" s="6"/>
      <c r="L598" s="6"/>
      <c r="M598" s="6"/>
      <c r="N598" s="6"/>
      <c r="O598" s="6"/>
      <c r="P598" s="6"/>
      <c r="Q598" s="6"/>
      <c r="R598" s="6"/>
      <c r="S598" s="6"/>
      <c r="T598" s="6"/>
      <c r="U598" s="6"/>
      <c r="V598" s="6"/>
      <c r="W598" s="6"/>
      <c r="X598" s="6"/>
      <c r="Y598" s="6"/>
      <c r="Z598" s="6"/>
    </row>
    <row r="599" ht="60.0" customHeight="1">
      <c r="A599" s="6"/>
      <c r="B599" s="6"/>
      <c r="C599" s="6"/>
      <c r="D599" s="6"/>
      <c r="E599" s="17"/>
      <c r="F599" s="6"/>
      <c r="G599" s="6"/>
      <c r="H599" s="6"/>
      <c r="I599" s="6"/>
      <c r="J599" s="6"/>
      <c r="K599" s="6"/>
      <c r="L599" s="6"/>
      <c r="M599" s="6"/>
      <c r="N599" s="6"/>
      <c r="O599" s="6"/>
      <c r="P599" s="6"/>
      <c r="Q599" s="6"/>
      <c r="R599" s="6"/>
      <c r="S599" s="6"/>
      <c r="T599" s="6"/>
      <c r="U599" s="6"/>
      <c r="V599" s="6"/>
      <c r="W599" s="6"/>
      <c r="X599" s="6"/>
      <c r="Y599" s="6"/>
      <c r="Z599" s="6"/>
    </row>
    <row r="600" ht="60.0" customHeight="1">
      <c r="A600" s="6"/>
      <c r="B600" s="6"/>
      <c r="C600" s="6"/>
      <c r="D600" s="6"/>
      <c r="E600" s="17"/>
      <c r="F600" s="6"/>
      <c r="G600" s="6"/>
      <c r="H600" s="6"/>
      <c r="I600" s="6"/>
      <c r="J600" s="6"/>
      <c r="K600" s="6"/>
      <c r="L600" s="6"/>
      <c r="M600" s="6"/>
      <c r="N600" s="6"/>
      <c r="O600" s="6"/>
      <c r="P600" s="6"/>
      <c r="Q600" s="6"/>
      <c r="R600" s="6"/>
      <c r="S600" s="6"/>
      <c r="T600" s="6"/>
      <c r="U600" s="6"/>
      <c r="V600" s="6"/>
      <c r="W600" s="6"/>
      <c r="X600" s="6"/>
      <c r="Y600" s="6"/>
      <c r="Z600" s="6"/>
    </row>
    <row r="601" ht="60.0" customHeight="1">
      <c r="A601" s="6"/>
      <c r="B601" s="6"/>
      <c r="C601" s="6"/>
      <c r="D601" s="6"/>
      <c r="E601" s="17"/>
      <c r="F601" s="6"/>
      <c r="G601" s="6"/>
      <c r="H601" s="6"/>
      <c r="I601" s="6"/>
      <c r="J601" s="6"/>
      <c r="K601" s="6"/>
      <c r="L601" s="6"/>
      <c r="M601" s="6"/>
      <c r="N601" s="6"/>
      <c r="O601" s="6"/>
      <c r="P601" s="6"/>
      <c r="Q601" s="6"/>
      <c r="R601" s="6"/>
      <c r="S601" s="6"/>
      <c r="T601" s="6"/>
      <c r="U601" s="6"/>
      <c r="V601" s="6"/>
      <c r="W601" s="6"/>
      <c r="X601" s="6"/>
      <c r="Y601" s="6"/>
      <c r="Z601" s="6"/>
    </row>
    <row r="602" ht="60.0" customHeight="1">
      <c r="A602" s="6"/>
      <c r="B602" s="6"/>
      <c r="C602" s="6"/>
      <c r="D602" s="6"/>
      <c r="E602" s="17"/>
      <c r="F602" s="6"/>
      <c r="G602" s="6"/>
      <c r="H602" s="6"/>
      <c r="I602" s="6"/>
      <c r="J602" s="6"/>
      <c r="K602" s="6"/>
      <c r="L602" s="6"/>
      <c r="M602" s="6"/>
      <c r="N602" s="6"/>
      <c r="O602" s="6"/>
      <c r="P602" s="6"/>
      <c r="Q602" s="6"/>
      <c r="R602" s="6"/>
      <c r="S602" s="6"/>
      <c r="T602" s="6"/>
      <c r="U602" s="6"/>
      <c r="V602" s="6"/>
      <c r="W602" s="6"/>
      <c r="X602" s="6"/>
      <c r="Y602" s="6"/>
      <c r="Z602" s="6"/>
    </row>
    <row r="603" ht="60.0" customHeight="1">
      <c r="A603" s="6"/>
      <c r="B603" s="6"/>
      <c r="C603" s="6"/>
      <c r="D603" s="6"/>
      <c r="E603" s="17"/>
      <c r="F603" s="6"/>
      <c r="G603" s="6"/>
      <c r="H603" s="6"/>
      <c r="I603" s="6"/>
      <c r="J603" s="6"/>
      <c r="K603" s="6"/>
      <c r="L603" s="6"/>
      <c r="M603" s="6"/>
      <c r="N603" s="6"/>
      <c r="O603" s="6"/>
      <c r="P603" s="6"/>
      <c r="Q603" s="6"/>
      <c r="R603" s="6"/>
      <c r="S603" s="6"/>
      <c r="T603" s="6"/>
      <c r="U603" s="6"/>
      <c r="V603" s="6"/>
      <c r="W603" s="6"/>
      <c r="X603" s="6"/>
      <c r="Y603" s="6"/>
      <c r="Z603" s="6"/>
    </row>
    <row r="604" ht="60.0" customHeight="1">
      <c r="A604" s="6"/>
      <c r="B604" s="6"/>
      <c r="C604" s="6"/>
      <c r="D604" s="6"/>
      <c r="E604" s="17"/>
      <c r="F604" s="6"/>
      <c r="G604" s="6"/>
      <c r="H604" s="6"/>
      <c r="I604" s="6"/>
      <c r="J604" s="6"/>
      <c r="K604" s="6"/>
      <c r="L604" s="6"/>
      <c r="M604" s="6"/>
      <c r="N604" s="6"/>
      <c r="O604" s="6"/>
      <c r="P604" s="6"/>
      <c r="Q604" s="6"/>
      <c r="R604" s="6"/>
      <c r="S604" s="6"/>
      <c r="T604" s="6"/>
      <c r="U604" s="6"/>
      <c r="V604" s="6"/>
      <c r="W604" s="6"/>
      <c r="X604" s="6"/>
      <c r="Y604" s="6"/>
      <c r="Z604" s="6"/>
    </row>
    <row r="605" ht="60.0" customHeight="1">
      <c r="A605" s="6"/>
      <c r="B605" s="6"/>
      <c r="C605" s="6"/>
      <c r="D605" s="6"/>
      <c r="E605" s="17"/>
      <c r="F605" s="6"/>
      <c r="G605" s="6"/>
      <c r="H605" s="6"/>
      <c r="I605" s="6"/>
      <c r="J605" s="6"/>
      <c r="K605" s="6"/>
      <c r="L605" s="6"/>
      <c r="M605" s="6"/>
      <c r="N605" s="6"/>
      <c r="O605" s="6"/>
      <c r="P605" s="6"/>
      <c r="Q605" s="6"/>
      <c r="R605" s="6"/>
      <c r="S605" s="6"/>
      <c r="T605" s="6"/>
      <c r="U605" s="6"/>
      <c r="V605" s="6"/>
      <c r="W605" s="6"/>
      <c r="X605" s="6"/>
      <c r="Y605" s="6"/>
      <c r="Z605" s="6"/>
    </row>
    <row r="606" ht="60.0" customHeight="1">
      <c r="A606" s="6"/>
      <c r="B606" s="6"/>
      <c r="C606" s="6"/>
      <c r="D606" s="6"/>
      <c r="E606" s="17"/>
      <c r="F606" s="6"/>
      <c r="G606" s="6"/>
      <c r="H606" s="6"/>
      <c r="I606" s="6"/>
      <c r="J606" s="6"/>
      <c r="K606" s="6"/>
      <c r="L606" s="6"/>
      <c r="M606" s="6"/>
      <c r="N606" s="6"/>
      <c r="O606" s="6"/>
      <c r="P606" s="6"/>
      <c r="Q606" s="6"/>
      <c r="R606" s="6"/>
      <c r="S606" s="6"/>
      <c r="T606" s="6"/>
      <c r="U606" s="6"/>
      <c r="V606" s="6"/>
      <c r="W606" s="6"/>
      <c r="X606" s="6"/>
      <c r="Y606" s="6"/>
      <c r="Z606" s="6"/>
    </row>
    <row r="607" ht="60.0" customHeight="1">
      <c r="A607" s="6"/>
      <c r="B607" s="6"/>
      <c r="C607" s="6"/>
      <c r="D607" s="6"/>
      <c r="E607" s="17"/>
      <c r="F607" s="6"/>
      <c r="G607" s="6"/>
      <c r="H607" s="6"/>
      <c r="I607" s="6"/>
      <c r="J607" s="6"/>
      <c r="K607" s="6"/>
      <c r="L607" s="6"/>
      <c r="M607" s="6"/>
      <c r="N607" s="6"/>
      <c r="O607" s="6"/>
      <c r="P607" s="6"/>
      <c r="Q607" s="6"/>
      <c r="R607" s="6"/>
      <c r="S607" s="6"/>
      <c r="T607" s="6"/>
      <c r="U607" s="6"/>
      <c r="V607" s="6"/>
      <c r="W607" s="6"/>
      <c r="X607" s="6"/>
      <c r="Y607" s="6"/>
      <c r="Z607" s="6"/>
    </row>
    <row r="608" ht="60.0" customHeight="1">
      <c r="A608" s="6"/>
      <c r="B608" s="6"/>
      <c r="C608" s="6"/>
      <c r="D608" s="6"/>
      <c r="E608" s="17"/>
      <c r="F608" s="6"/>
      <c r="G608" s="6"/>
      <c r="H608" s="6"/>
      <c r="I608" s="6"/>
      <c r="J608" s="6"/>
      <c r="K608" s="6"/>
      <c r="L608" s="6"/>
      <c r="M608" s="6"/>
      <c r="N608" s="6"/>
      <c r="O608" s="6"/>
      <c r="P608" s="6"/>
      <c r="Q608" s="6"/>
      <c r="R608" s="6"/>
      <c r="S608" s="6"/>
      <c r="T608" s="6"/>
      <c r="U608" s="6"/>
      <c r="V608" s="6"/>
      <c r="W608" s="6"/>
      <c r="X608" s="6"/>
      <c r="Y608" s="6"/>
      <c r="Z608" s="6"/>
    </row>
    <row r="609" ht="60.0" customHeight="1">
      <c r="A609" s="6"/>
      <c r="B609" s="6"/>
      <c r="C609" s="6"/>
      <c r="D609" s="6"/>
      <c r="E609" s="17"/>
      <c r="F609" s="6"/>
      <c r="G609" s="6"/>
      <c r="H609" s="6"/>
      <c r="I609" s="6"/>
      <c r="J609" s="6"/>
      <c r="K609" s="6"/>
      <c r="L609" s="6"/>
      <c r="M609" s="6"/>
      <c r="N609" s="6"/>
      <c r="O609" s="6"/>
      <c r="P609" s="6"/>
      <c r="Q609" s="6"/>
      <c r="R609" s="6"/>
      <c r="S609" s="6"/>
      <c r="T609" s="6"/>
      <c r="U609" s="6"/>
      <c r="V609" s="6"/>
      <c r="W609" s="6"/>
      <c r="X609" s="6"/>
      <c r="Y609" s="6"/>
      <c r="Z609" s="6"/>
    </row>
    <row r="610" ht="60.0" customHeight="1">
      <c r="A610" s="6"/>
      <c r="B610" s="6"/>
      <c r="C610" s="6"/>
      <c r="D610" s="6"/>
      <c r="E610" s="17"/>
      <c r="F610" s="6"/>
      <c r="G610" s="6"/>
      <c r="H610" s="6"/>
      <c r="I610" s="6"/>
      <c r="J610" s="6"/>
      <c r="K610" s="6"/>
      <c r="L610" s="6"/>
      <c r="M610" s="6"/>
      <c r="N610" s="6"/>
      <c r="O610" s="6"/>
      <c r="P610" s="6"/>
      <c r="Q610" s="6"/>
      <c r="R610" s="6"/>
      <c r="S610" s="6"/>
      <c r="T610" s="6"/>
      <c r="U610" s="6"/>
      <c r="V610" s="6"/>
      <c r="W610" s="6"/>
      <c r="X610" s="6"/>
      <c r="Y610" s="6"/>
      <c r="Z610" s="6"/>
    </row>
    <row r="611" ht="60.0" customHeight="1">
      <c r="A611" s="6"/>
      <c r="B611" s="6"/>
      <c r="C611" s="6"/>
      <c r="D611" s="6"/>
      <c r="E611" s="17"/>
      <c r="F611" s="6"/>
      <c r="G611" s="6"/>
      <c r="H611" s="6"/>
      <c r="I611" s="6"/>
      <c r="J611" s="6"/>
      <c r="K611" s="6"/>
      <c r="L611" s="6"/>
      <c r="M611" s="6"/>
      <c r="N611" s="6"/>
      <c r="O611" s="6"/>
      <c r="P611" s="6"/>
      <c r="Q611" s="6"/>
      <c r="R611" s="6"/>
      <c r="S611" s="6"/>
      <c r="T611" s="6"/>
      <c r="U611" s="6"/>
      <c r="V611" s="6"/>
      <c r="W611" s="6"/>
      <c r="X611" s="6"/>
      <c r="Y611" s="6"/>
      <c r="Z611" s="6"/>
    </row>
    <row r="612" ht="60.0" customHeight="1">
      <c r="A612" s="6"/>
      <c r="B612" s="6"/>
      <c r="C612" s="6"/>
      <c r="D612" s="6"/>
      <c r="E612" s="17"/>
      <c r="F612" s="6"/>
      <c r="G612" s="6"/>
      <c r="H612" s="6"/>
      <c r="I612" s="6"/>
      <c r="J612" s="6"/>
      <c r="K612" s="6"/>
      <c r="L612" s="6"/>
      <c r="M612" s="6"/>
      <c r="N612" s="6"/>
      <c r="O612" s="6"/>
      <c r="P612" s="6"/>
      <c r="Q612" s="6"/>
      <c r="R612" s="6"/>
      <c r="S612" s="6"/>
      <c r="T612" s="6"/>
      <c r="U612" s="6"/>
      <c r="V612" s="6"/>
      <c r="W612" s="6"/>
      <c r="X612" s="6"/>
      <c r="Y612" s="6"/>
      <c r="Z612" s="6"/>
    </row>
    <row r="613" ht="60.0" customHeight="1">
      <c r="A613" s="6"/>
      <c r="B613" s="6"/>
      <c r="C613" s="6"/>
      <c r="D613" s="6"/>
      <c r="E613" s="17"/>
      <c r="F613" s="6"/>
      <c r="G613" s="6"/>
      <c r="H613" s="6"/>
      <c r="I613" s="6"/>
      <c r="J613" s="6"/>
      <c r="K613" s="6"/>
      <c r="L613" s="6"/>
      <c r="M613" s="6"/>
      <c r="N613" s="6"/>
      <c r="O613" s="6"/>
      <c r="P613" s="6"/>
      <c r="Q613" s="6"/>
      <c r="R613" s="6"/>
      <c r="S613" s="6"/>
      <c r="T613" s="6"/>
      <c r="U613" s="6"/>
      <c r="V613" s="6"/>
      <c r="W613" s="6"/>
      <c r="X613" s="6"/>
      <c r="Y613" s="6"/>
      <c r="Z613" s="6"/>
    </row>
    <row r="614" ht="60.0" customHeight="1">
      <c r="A614" s="6"/>
      <c r="B614" s="6"/>
      <c r="C614" s="6"/>
      <c r="D614" s="6"/>
      <c r="E614" s="17"/>
      <c r="F614" s="6"/>
      <c r="G614" s="6"/>
      <c r="H614" s="6"/>
      <c r="I614" s="6"/>
      <c r="J614" s="6"/>
      <c r="K614" s="6"/>
      <c r="L614" s="6"/>
      <c r="M614" s="6"/>
      <c r="N614" s="6"/>
      <c r="O614" s="6"/>
      <c r="P614" s="6"/>
      <c r="Q614" s="6"/>
      <c r="R614" s="6"/>
      <c r="S614" s="6"/>
      <c r="T614" s="6"/>
      <c r="U614" s="6"/>
      <c r="V614" s="6"/>
      <c r="W614" s="6"/>
      <c r="X614" s="6"/>
      <c r="Y614" s="6"/>
      <c r="Z614" s="6"/>
    </row>
    <row r="615" ht="60.0" customHeight="1">
      <c r="A615" s="6"/>
      <c r="B615" s="6"/>
      <c r="C615" s="6"/>
      <c r="D615" s="6"/>
      <c r="E615" s="17"/>
      <c r="F615" s="6"/>
      <c r="G615" s="6"/>
      <c r="H615" s="6"/>
      <c r="I615" s="6"/>
      <c r="J615" s="6"/>
      <c r="K615" s="6"/>
      <c r="L615" s="6"/>
      <c r="M615" s="6"/>
      <c r="N615" s="6"/>
      <c r="O615" s="6"/>
      <c r="P615" s="6"/>
      <c r="Q615" s="6"/>
      <c r="R615" s="6"/>
      <c r="S615" s="6"/>
      <c r="T615" s="6"/>
      <c r="U615" s="6"/>
      <c r="V615" s="6"/>
      <c r="W615" s="6"/>
      <c r="X615" s="6"/>
      <c r="Y615" s="6"/>
      <c r="Z615" s="6"/>
    </row>
    <row r="616" ht="60.0" customHeight="1">
      <c r="A616" s="6"/>
      <c r="B616" s="6"/>
      <c r="C616" s="6"/>
      <c r="D616" s="6"/>
      <c r="E616" s="17"/>
      <c r="F616" s="6"/>
      <c r="G616" s="6"/>
      <c r="H616" s="6"/>
      <c r="I616" s="6"/>
      <c r="J616" s="6"/>
      <c r="K616" s="6"/>
      <c r="L616" s="6"/>
      <c r="M616" s="6"/>
      <c r="N616" s="6"/>
      <c r="O616" s="6"/>
      <c r="P616" s="6"/>
      <c r="Q616" s="6"/>
      <c r="R616" s="6"/>
      <c r="S616" s="6"/>
      <c r="T616" s="6"/>
      <c r="U616" s="6"/>
      <c r="V616" s="6"/>
      <c r="W616" s="6"/>
      <c r="X616" s="6"/>
      <c r="Y616" s="6"/>
      <c r="Z616" s="6"/>
    </row>
    <row r="617" ht="60.0" customHeight="1">
      <c r="A617" s="6"/>
      <c r="B617" s="6"/>
      <c r="C617" s="6"/>
      <c r="D617" s="6"/>
      <c r="E617" s="17"/>
      <c r="F617" s="6"/>
      <c r="G617" s="6"/>
      <c r="H617" s="6"/>
      <c r="I617" s="6"/>
      <c r="J617" s="6"/>
      <c r="K617" s="6"/>
      <c r="L617" s="6"/>
      <c r="M617" s="6"/>
      <c r="N617" s="6"/>
      <c r="O617" s="6"/>
      <c r="P617" s="6"/>
      <c r="Q617" s="6"/>
      <c r="R617" s="6"/>
      <c r="S617" s="6"/>
      <c r="T617" s="6"/>
      <c r="U617" s="6"/>
      <c r="V617" s="6"/>
      <c r="W617" s="6"/>
      <c r="X617" s="6"/>
      <c r="Y617" s="6"/>
      <c r="Z617" s="6"/>
    </row>
    <row r="618" ht="60.0" customHeight="1">
      <c r="A618" s="6"/>
      <c r="B618" s="6"/>
      <c r="C618" s="6"/>
      <c r="D618" s="6"/>
      <c r="E618" s="17"/>
      <c r="F618" s="6"/>
      <c r="G618" s="6"/>
      <c r="H618" s="6"/>
      <c r="I618" s="6"/>
      <c r="J618" s="6"/>
      <c r="K618" s="6"/>
      <c r="L618" s="6"/>
      <c r="M618" s="6"/>
      <c r="N618" s="6"/>
      <c r="O618" s="6"/>
      <c r="P618" s="6"/>
      <c r="Q618" s="6"/>
      <c r="R618" s="6"/>
      <c r="S618" s="6"/>
      <c r="T618" s="6"/>
      <c r="U618" s="6"/>
      <c r="V618" s="6"/>
      <c r="W618" s="6"/>
      <c r="X618" s="6"/>
      <c r="Y618" s="6"/>
      <c r="Z618" s="6"/>
    </row>
    <row r="619" ht="60.0" customHeight="1">
      <c r="A619" s="6"/>
      <c r="B619" s="6"/>
      <c r="C619" s="6"/>
      <c r="D619" s="6"/>
      <c r="E619" s="17"/>
      <c r="F619" s="6"/>
      <c r="G619" s="6"/>
      <c r="H619" s="6"/>
      <c r="I619" s="6"/>
      <c r="J619" s="6"/>
      <c r="K619" s="6"/>
      <c r="L619" s="6"/>
      <c r="M619" s="6"/>
      <c r="N619" s="6"/>
      <c r="O619" s="6"/>
      <c r="P619" s="6"/>
      <c r="Q619" s="6"/>
      <c r="R619" s="6"/>
      <c r="S619" s="6"/>
      <c r="T619" s="6"/>
      <c r="U619" s="6"/>
      <c r="V619" s="6"/>
      <c r="W619" s="6"/>
      <c r="X619" s="6"/>
      <c r="Y619" s="6"/>
      <c r="Z619" s="6"/>
    </row>
    <row r="620" ht="60.0" customHeight="1">
      <c r="A620" s="6"/>
      <c r="B620" s="6"/>
      <c r="C620" s="6"/>
      <c r="D620" s="6"/>
      <c r="E620" s="17"/>
      <c r="F620" s="6"/>
      <c r="G620" s="6"/>
      <c r="H620" s="6"/>
      <c r="I620" s="6"/>
      <c r="J620" s="6"/>
      <c r="K620" s="6"/>
      <c r="L620" s="6"/>
      <c r="M620" s="6"/>
      <c r="N620" s="6"/>
      <c r="O620" s="6"/>
      <c r="P620" s="6"/>
      <c r="Q620" s="6"/>
      <c r="R620" s="6"/>
      <c r="S620" s="6"/>
      <c r="T620" s="6"/>
      <c r="U620" s="6"/>
      <c r="V620" s="6"/>
      <c r="W620" s="6"/>
      <c r="X620" s="6"/>
      <c r="Y620" s="6"/>
      <c r="Z620" s="6"/>
    </row>
    <row r="621" ht="60.0" customHeight="1">
      <c r="A621" s="6"/>
      <c r="B621" s="6"/>
      <c r="C621" s="6"/>
      <c r="D621" s="6"/>
      <c r="E621" s="17"/>
      <c r="F621" s="6"/>
      <c r="G621" s="6"/>
      <c r="H621" s="6"/>
      <c r="I621" s="6"/>
      <c r="J621" s="6"/>
      <c r="K621" s="6"/>
      <c r="L621" s="6"/>
      <c r="M621" s="6"/>
      <c r="N621" s="6"/>
      <c r="O621" s="6"/>
      <c r="P621" s="6"/>
      <c r="Q621" s="6"/>
      <c r="R621" s="6"/>
      <c r="S621" s="6"/>
      <c r="T621" s="6"/>
      <c r="U621" s="6"/>
      <c r="V621" s="6"/>
      <c r="W621" s="6"/>
      <c r="X621" s="6"/>
      <c r="Y621" s="6"/>
      <c r="Z621" s="6"/>
    </row>
    <row r="622" ht="60.0" customHeight="1">
      <c r="A622" s="6"/>
      <c r="B622" s="6"/>
      <c r="C622" s="6"/>
      <c r="D622" s="6"/>
      <c r="E622" s="17"/>
      <c r="F622" s="6"/>
      <c r="G622" s="6"/>
      <c r="H622" s="6"/>
      <c r="I622" s="6"/>
      <c r="J622" s="6"/>
      <c r="K622" s="6"/>
      <c r="L622" s="6"/>
      <c r="M622" s="6"/>
      <c r="N622" s="6"/>
      <c r="O622" s="6"/>
      <c r="P622" s="6"/>
      <c r="Q622" s="6"/>
      <c r="R622" s="6"/>
      <c r="S622" s="6"/>
      <c r="T622" s="6"/>
      <c r="U622" s="6"/>
      <c r="V622" s="6"/>
      <c r="W622" s="6"/>
      <c r="X622" s="6"/>
      <c r="Y622" s="6"/>
      <c r="Z622" s="6"/>
    </row>
    <row r="623" ht="60.0" customHeight="1">
      <c r="A623" s="6"/>
      <c r="B623" s="6"/>
      <c r="C623" s="6"/>
      <c r="D623" s="6"/>
      <c r="E623" s="17"/>
      <c r="F623" s="6"/>
      <c r="G623" s="6"/>
      <c r="H623" s="6"/>
      <c r="I623" s="6"/>
      <c r="J623" s="6"/>
      <c r="K623" s="6"/>
      <c r="L623" s="6"/>
      <c r="M623" s="6"/>
      <c r="N623" s="6"/>
      <c r="O623" s="6"/>
      <c r="P623" s="6"/>
      <c r="Q623" s="6"/>
      <c r="R623" s="6"/>
      <c r="S623" s="6"/>
      <c r="T623" s="6"/>
      <c r="U623" s="6"/>
      <c r="V623" s="6"/>
      <c r="W623" s="6"/>
      <c r="X623" s="6"/>
      <c r="Y623" s="6"/>
      <c r="Z623" s="6"/>
    </row>
    <row r="624" ht="60.0" customHeight="1">
      <c r="A624" s="6"/>
      <c r="B624" s="6"/>
      <c r="C624" s="6"/>
      <c r="D624" s="6"/>
      <c r="E624" s="17"/>
      <c r="F624" s="6"/>
      <c r="G624" s="6"/>
      <c r="H624" s="6"/>
      <c r="I624" s="6"/>
      <c r="J624" s="6"/>
      <c r="K624" s="6"/>
      <c r="L624" s="6"/>
      <c r="M624" s="6"/>
      <c r="N624" s="6"/>
      <c r="O624" s="6"/>
      <c r="P624" s="6"/>
      <c r="Q624" s="6"/>
      <c r="R624" s="6"/>
      <c r="S624" s="6"/>
      <c r="T624" s="6"/>
      <c r="U624" s="6"/>
      <c r="V624" s="6"/>
      <c r="W624" s="6"/>
      <c r="X624" s="6"/>
      <c r="Y624" s="6"/>
      <c r="Z624" s="6"/>
    </row>
    <row r="625" ht="60.0" customHeight="1">
      <c r="A625" s="6"/>
      <c r="B625" s="6"/>
      <c r="C625" s="6"/>
      <c r="D625" s="6"/>
      <c r="E625" s="17"/>
      <c r="F625" s="6"/>
      <c r="G625" s="6"/>
      <c r="H625" s="6"/>
      <c r="I625" s="6"/>
      <c r="J625" s="6"/>
      <c r="K625" s="6"/>
      <c r="L625" s="6"/>
      <c r="M625" s="6"/>
      <c r="N625" s="6"/>
      <c r="O625" s="6"/>
      <c r="P625" s="6"/>
      <c r="Q625" s="6"/>
      <c r="R625" s="6"/>
      <c r="S625" s="6"/>
      <c r="T625" s="6"/>
      <c r="U625" s="6"/>
      <c r="V625" s="6"/>
      <c r="W625" s="6"/>
      <c r="X625" s="6"/>
      <c r="Y625" s="6"/>
      <c r="Z625" s="6"/>
    </row>
    <row r="626" ht="60.0" customHeight="1">
      <c r="A626" s="6"/>
      <c r="B626" s="6"/>
      <c r="C626" s="6"/>
      <c r="D626" s="6"/>
      <c r="E626" s="17"/>
      <c r="F626" s="6"/>
      <c r="G626" s="6"/>
      <c r="H626" s="6"/>
      <c r="I626" s="6"/>
      <c r="J626" s="6"/>
      <c r="K626" s="6"/>
      <c r="L626" s="6"/>
      <c r="M626" s="6"/>
      <c r="N626" s="6"/>
      <c r="O626" s="6"/>
      <c r="P626" s="6"/>
      <c r="Q626" s="6"/>
      <c r="R626" s="6"/>
      <c r="S626" s="6"/>
      <c r="T626" s="6"/>
      <c r="U626" s="6"/>
      <c r="V626" s="6"/>
      <c r="W626" s="6"/>
      <c r="X626" s="6"/>
      <c r="Y626" s="6"/>
      <c r="Z626" s="6"/>
    </row>
    <row r="627" ht="60.0" customHeight="1">
      <c r="A627" s="6"/>
      <c r="B627" s="6"/>
      <c r="C627" s="6"/>
      <c r="D627" s="6"/>
      <c r="E627" s="17"/>
      <c r="F627" s="6"/>
      <c r="G627" s="6"/>
      <c r="H627" s="6"/>
      <c r="I627" s="6"/>
      <c r="J627" s="6"/>
      <c r="K627" s="6"/>
      <c r="L627" s="6"/>
      <c r="M627" s="6"/>
      <c r="N627" s="6"/>
      <c r="O627" s="6"/>
      <c r="P627" s="6"/>
      <c r="Q627" s="6"/>
      <c r="R627" s="6"/>
      <c r="S627" s="6"/>
      <c r="T627" s="6"/>
      <c r="U627" s="6"/>
      <c r="V627" s="6"/>
      <c r="W627" s="6"/>
      <c r="X627" s="6"/>
      <c r="Y627" s="6"/>
      <c r="Z627" s="6"/>
    </row>
    <row r="628" ht="60.0" customHeight="1">
      <c r="A628" s="6"/>
      <c r="B628" s="6"/>
      <c r="C628" s="6"/>
      <c r="D628" s="6"/>
      <c r="E628" s="17"/>
      <c r="F628" s="6"/>
      <c r="G628" s="6"/>
      <c r="H628" s="6"/>
      <c r="I628" s="6"/>
      <c r="J628" s="6"/>
      <c r="K628" s="6"/>
      <c r="L628" s="6"/>
      <c r="M628" s="6"/>
      <c r="N628" s="6"/>
      <c r="O628" s="6"/>
      <c r="P628" s="6"/>
      <c r="Q628" s="6"/>
      <c r="R628" s="6"/>
      <c r="S628" s="6"/>
      <c r="T628" s="6"/>
      <c r="U628" s="6"/>
      <c r="V628" s="6"/>
      <c r="W628" s="6"/>
      <c r="X628" s="6"/>
      <c r="Y628" s="6"/>
      <c r="Z628" s="6"/>
    </row>
    <row r="629" ht="60.0" customHeight="1">
      <c r="A629" s="6"/>
      <c r="B629" s="6"/>
      <c r="C629" s="6"/>
      <c r="D629" s="6"/>
      <c r="E629" s="17"/>
      <c r="F629" s="6"/>
      <c r="G629" s="6"/>
      <c r="H629" s="6"/>
      <c r="I629" s="6"/>
      <c r="J629" s="6"/>
      <c r="K629" s="6"/>
      <c r="L629" s="6"/>
      <c r="M629" s="6"/>
      <c r="N629" s="6"/>
      <c r="O629" s="6"/>
      <c r="P629" s="6"/>
      <c r="Q629" s="6"/>
      <c r="R629" s="6"/>
      <c r="S629" s="6"/>
      <c r="T629" s="6"/>
      <c r="U629" s="6"/>
      <c r="V629" s="6"/>
      <c r="W629" s="6"/>
      <c r="X629" s="6"/>
      <c r="Y629" s="6"/>
      <c r="Z629" s="6"/>
    </row>
    <row r="630" ht="60.0" customHeight="1">
      <c r="A630" s="6"/>
      <c r="B630" s="6"/>
      <c r="C630" s="6"/>
      <c r="D630" s="6"/>
      <c r="E630" s="17"/>
      <c r="F630" s="6"/>
      <c r="G630" s="6"/>
      <c r="H630" s="6"/>
      <c r="I630" s="6"/>
      <c r="J630" s="6"/>
      <c r="K630" s="6"/>
      <c r="L630" s="6"/>
      <c r="M630" s="6"/>
      <c r="N630" s="6"/>
      <c r="O630" s="6"/>
      <c r="P630" s="6"/>
      <c r="Q630" s="6"/>
      <c r="R630" s="6"/>
      <c r="S630" s="6"/>
      <c r="T630" s="6"/>
      <c r="U630" s="6"/>
      <c r="V630" s="6"/>
      <c r="W630" s="6"/>
      <c r="X630" s="6"/>
      <c r="Y630" s="6"/>
      <c r="Z630" s="6"/>
    </row>
    <row r="631" ht="60.0" customHeight="1">
      <c r="A631" s="6"/>
      <c r="B631" s="6"/>
      <c r="C631" s="6"/>
      <c r="D631" s="6"/>
      <c r="E631" s="17"/>
      <c r="F631" s="6"/>
      <c r="G631" s="6"/>
      <c r="H631" s="6"/>
      <c r="I631" s="6"/>
      <c r="J631" s="6"/>
      <c r="K631" s="6"/>
      <c r="L631" s="6"/>
      <c r="M631" s="6"/>
      <c r="N631" s="6"/>
      <c r="O631" s="6"/>
      <c r="P631" s="6"/>
      <c r="Q631" s="6"/>
      <c r="R631" s="6"/>
      <c r="S631" s="6"/>
      <c r="T631" s="6"/>
      <c r="U631" s="6"/>
      <c r="V631" s="6"/>
      <c r="W631" s="6"/>
      <c r="X631" s="6"/>
      <c r="Y631" s="6"/>
      <c r="Z631" s="6"/>
    </row>
    <row r="632" ht="60.0" customHeight="1">
      <c r="A632" s="6"/>
      <c r="B632" s="6"/>
      <c r="C632" s="6"/>
      <c r="D632" s="6"/>
      <c r="E632" s="17"/>
      <c r="F632" s="6"/>
      <c r="G632" s="6"/>
      <c r="H632" s="6"/>
      <c r="I632" s="6"/>
      <c r="J632" s="6"/>
      <c r="K632" s="6"/>
      <c r="L632" s="6"/>
      <c r="M632" s="6"/>
      <c r="N632" s="6"/>
      <c r="O632" s="6"/>
      <c r="P632" s="6"/>
      <c r="Q632" s="6"/>
      <c r="R632" s="6"/>
      <c r="S632" s="6"/>
      <c r="T632" s="6"/>
      <c r="U632" s="6"/>
      <c r="V632" s="6"/>
      <c r="W632" s="6"/>
      <c r="X632" s="6"/>
      <c r="Y632" s="6"/>
      <c r="Z632" s="6"/>
    </row>
    <row r="633" ht="60.0" customHeight="1">
      <c r="A633" s="6"/>
      <c r="B633" s="6"/>
      <c r="C633" s="6"/>
      <c r="D633" s="6"/>
      <c r="E633" s="17"/>
      <c r="F633" s="6"/>
      <c r="G633" s="6"/>
      <c r="H633" s="6"/>
      <c r="I633" s="6"/>
      <c r="J633" s="6"/>
      <c r="K633" s="6"/>
      <c r="L633" s="6"/>
      <c r="M633" s="6"/>
      <c r="N633" s="6"/>
      <c r="O633" s="6"/>
      <c r="P633" s="6"/>
      <c r="Q633" s="6"/>
      <c r="R633" s="6"/>
      <c r="S633" s="6"/>
      <c r="T633" s="6"/>
      <c r="U633" s="6"/>
      <c r="V633" s="6"/>
      <c r="W633" s="6"/>
      <c r="X633" s="6"/>
      <c r="Y633" s="6"/>
      <c r="Z633" s="6"/>
    </row>
    <row r="634" ht="60.0" customHeight="1">
      <c r="A634" s="6"/>
      <c r="B634" s="6"/>
      <c r="C634" s="6"/>
      <c r="D634" s="6"/>
      <c r="E634" s="17"/>
      <c r="F634" s="6"/>
      <c r="G634" s="6"/>
      <c r="H634" s="6"/>
      <c r="I634" s="6"/>
      <c r="J634" s="6"/>
      <c r="K634" s="6"/>
      <c r="L634" s="6"/>
      <c r="M634" s="6"/>
      <c r="N634" s="6"/>
      <c r="O634" s="6"/>
      <c r="P634" s="6"/>
      <c r="Q634" s="6"/>
      <c r="R634" s="6"/>
      <c r="S634" s="6"/>
      <c r="T634" s="6"/>
      <c r="U634" s="6"/>
      <c r="V634" s="6"/>
      <c r="W634" s="6"/>
      <c r="X634" s="6"/>
      <c r="Y634" s="6"/>
      <c r="Z634" s="6"/>
    </row>
    <row r="635" ht="60.0" customHeight="1">
      <c r="A635" s="6"/>
      <c r="B635" s="6"/>
      <c r="C635" s="6"/>
      <c r="D635" s="6"/>
      <c r="E635" s="17"/>
      <c r="F635" s="6"/>
      <c r="G635" s="6"/>
      <c r="H635" s="6"/>
      <c r="I635" s="6"/>
      <c r="J635" s="6"/>
      <c r="K635" s="6"/>
      <c r="L635" s="6"/>
      <c r="M635" s="6"/>
      <c r="N635" s="6"/>
      <c r="O635" s="6"/>
      <c r="P635" s="6"/>
      <c r="Q635" s="6"/>
      <c r="R635" s="6"/>
      <c r="S635" s="6"/>
      <c r="T635" s="6"/>
      <c r="U635" s="6"/>
      <c r="V635" s="6"/>
      <c r="W635" s="6"/>
      <c r="X635" s="6"/>
      <c r="Y635" s="6"/>
      <c r="Z635" s="6"/>
    </row>
    <row r="636" ht="60.0" customHeight="1">
      <c r="A636" s="6"/>
      <c r="B636" s="6"/>
      <c r="C636" s="6"/>
      <c r="D636" s="6"/>
      <c r="E636" s="17"/>
      <c r="F636" s="6"/>
      <c r="G636" s="6"/>
      <c r="H636" s="6"/>
      <c r="I636" s="6"/>
      <c r="J636" s="6"/>
      <c r="K636" s="6"/>
      <c r="L636" s="6"/>
      <c r="M636" s="6"/>
      <c r="N636" s="6"/>
      <c r="O636" s="6"/>
      <c r="P636" s="6"/>
      <c r="Q636" s="6"/>
      <c r="R636" s="6"/>
      <c r="S636" s="6"/>
      <c r="T636" s="6"/>
      <c r="U636" s="6"/>
      <c r="V636" s="6"/>
      <c r="W636" s="6"/>
      <c r="X636" s="6"/>
      <c r="Y636" s="6"/>
      <c r="Z636" s="6"/>
    </row>
    <row r="637" ht="60.0" customHeight="1">
      <c r="A637" s="6"/>
      <c r="B637" s="6"/>
      <c r="C637" s="6"/>
      <c r="D637" s="6"/>
      <c r="E637" s="17"/>
      <c r="F637" s="6"/>
      <c r="G637" s="6"/>
      <c r="H637" s="6"/>
      <c r="I637" s="6"/>
      <c r="J637" s="6"/>
      <c r="K637" s="6"/>
      <c r="L637" s="6"/>
      <c r="M637" s="6"/>
      <c r="N637" s="6"/>
      <c r="O637" s="6"/>
      <c r="P637" s="6"/>
      <c r="Q637" s="6"/>
      <c r="R637" s="6"/>
      <c r="S637" s="6"/>
      <c r="T637" s="6"/>
      <c r="U637" s="6"/>
      <c r="V637" s="6"/>
      <c r="W637" s="6"/>
      <c r="X637" s="6"/>
      <c r="Y637" s="6"/>
      <c r="Z637" s="6"/>
    </row>
    <row r="638" ht="60.0" customHeight="1">
      <c r="A638" s="6"/>
      <c r="B638" s="6"/>
      <c r="C638" s="6"/>
      <c r="D638" s="6"/>
      <c r="E638" s="17"/>
      <c r="F638" s="6"/>
      <c r="G638" s="6"/>
      <c r="H638" s="6"/>
      <c r="I638" s="6"/>
      <c r="J638" s="6"/>
      <c r="K638" s="6"/>
      <c r="L638" s="6"/>
      <c r="M638" s="6"/>
      <c r="N638" s="6"/>
      <c r="O638" s="6"/>
      <c r="P638" s="6"/>
      <c r="Q638" s="6"/>
      <c r="R638" s="6"/>
      <c r="S638" s="6"/>
      <c r="T638" s="6"/>
      <c r="U638" s="6"/>
      <c r="V638" s="6"/>
      <c r="W638" s="6"/>
      <c r="X638" s="6"/>
      <c r="Y638" s="6"/>
      <c r="Z638" s="6"/>
    </row>
    <row r="639" ht="60.0" customHeight="1">
      <c r="A639" s="6"/>
      <c r="B639" s="6"/>
      <c r="C639" s="6"/>
      <c r="D639" s="6"/>
      <c r="E639" s="17"/>
      <c r="F639" s="6"/>
      <c r="G639" s="6"/>
      <c r="H639" s="6"/>
      <c r="I639" s="6"/>
      <c r="J639" s="6"/>
      <c r="K639" s="6"/>
      <c r="L639" s="6"/>
      <c r="M639" s="6"/>
      <c r="N639" s="6"/>
      <c r="O639" s="6"/>
      <c r="P639" s="6"/>
      <c r="Q639" s="6"/>
      <c r="R639" s="6"/>
      <c r="S639" s="6"/>
      <c r="T639" s="6"/>
      <c r="U639" s="6"/>
      <c r="V639" s="6"/>
      <c r="W639" s="6"/>
      <c r="X639" s="6"/>
      <c r="Y639" s="6"/>
      <c r="Z639" s="6"/>
    </row>
    <row r="640" ht="60.0" customHeight="1">
      <c r="A640" s="6"/>
      <c r="B640" s="6"/>
      <c r="C640" s="6"/>
      <c r="D640" s="6"/>
      <c r="E640" s="17"/>
      <c r="F640" s="6"/>
      <c r="G640" s="6"/>
      <c r="H640" s="6"/>
      <c r="I640" s="6"/>
      <c r="J640" s="6"/>
      <c r="K640" s="6"/>
      <c r="L640" s="6"/>
      <c r="M640" s="6"/>
      <c r="N640" s="6"/>
      <c r="O640" s="6"/>
      <c r="P640" s="6"/>
      <c r="Q640" s="6"/>
      <c r="R640" s="6"/>
      <c r="S640" s="6"/>
      <c r="T640" s="6"/>
      <c r="U640" s="6"/>
      <c r="V640" s="6"/>
      <c r="W640" s="6"/>
      <c r="X640" s="6"/>
      <c r="Y640" s="6"/>
      <c r="Z640" s="6"/>
    </row>
    <row r="641" ht="60.0" customHeight="1">
      <c r="A641" s="6"/>
      <c r="B641" s="6"/>
      <c r="C641" s="6"/>
      <c r="D641" s="6"/>
      <c r="E641" s="17"/>
      <c r="F641" s="6"/>
      <c r="G641" s="6"/>
      <c r="H641" s="6"/>
      <c r="I641" s="6"/>
      <c r="J641" s="6"/>
      <c r="K641" s="6"/>
      <c r="L641" s="6"/>
      <c r="M641" s="6"/>
      <c r="N641" s="6"/>
      <c r="O641" s="6"/>
      <c r="P641" s="6"/>
      <c r="Q641" s="6"/>
      <c r="R641" s="6"/>
      <c r="S641" s="6"/>
      <c r="T641" s="6"/>
      <c r="U641" s="6"/>
      <c r="V641" s="6"/>
      <c r="W641" s="6"/>
      <c r="X641" s="6"/>
      <c r="Y641" s="6"/>
      <c r="Z641" s="6"/>
    </row>
    <row r="642" ht="60.0" customHeight="1">
      <c r="A642" s="6"/>
      <c r="B642" s="6"/>
      <c r="C642" s="6"/>
      <c r="D642" s="6"/>
      <c r="E642" s="17"/>
      <c r="F642" s="6"/>
      <c r="G642" s="6"/>
      <c r="H642" s="6"/>
      <c r="I642" s="6"/>
      <c r="J642" s="6"/>
      <c r="K642" s="6"/>
      <c r="L642" s="6"/>
      <c r="M642" s="6"/>
      <c r="N642" s="6"/>
      <c r="O642" s="6"/>
      <c r="P642" s="6"/>
      <c r="Q642" s="6"/>
      <c r="R642" s="6"/>
      <c r="S642" s="6"/>
      <c r="T642" s="6"/>
      <c r="U642" s="6"/>
      <c r="V642" s="6"/>
      <c r="W642" s="6"/>
      <c r="X642" s="6"/>
      <c r="Y642" s="6"/>
      <c r="Z642" s="6"/>
    </row>
    <row r="643" ht="60.0" customHeight="1">
      <c r="A643" s="6"/>
      <c r="B643" s="6"/>
      <c r="C643" s="6"/>
      <c r="D643" s="6"/>
      <c r="E643" s="17"/>
      <c r="F643" s="6"/>
      <c r="G643" s="6"/>
      <c r="H643" s="6"/>
      <c r="I643" s="6"/>
      <c r="J643" s="6"/>
      <c r="K643" s="6"/>
      <c r="L643" s="6"/>
      <c r="M643" s="6"/>
      <c r="N643" s="6"/>
      <c r="O643" s="6"/>
      <c r="P643" s="6"/>
      <c r="Q643" s="6"/>
      <c r="R643" s="6"/>
      <c r="S643" s="6"/>
      <c r="T643" s="6"/>
      <c r="U643" s="6"/>
      <c r="V643" s="6"/>
      <c r="W643" s="6"/>
      <c r="X643" s="6"/>
      <c r="Y643" s="6"/>
      <c r="Z643" s="6"/>
    </row>
    <row r="644" ht="60.0" customHeight="1">
      <c r="A644" s="6"/>
      <c r="B644" s="6"/>
      <c r="C644" s="6"/>
      <c r="D644" s="6"/>
      <c r="E644" s="17"/>
      <c r="F644" s="6"/>
      <c r="G644" s="6"/>
      <c r="H644" s="6"/>
      <c r="I644" s="6"/>
      <c r="J644" s="6"/>
      <c r="K644" s="6"/>
      <c r="L644" s="6"/>
      <c r="M644" s="6"/>
      <c r="N644" s="6"/>
      <c r="O644" s="6"/>
      <c r="P644" s="6"/>
      <c r="Q644" s="6"/>
      <c r="R644" s="6"/>
      <c r="S644" s="6"/>
      <c r="T644" s="6"/>
      <c r="U644" s="6"/>
      <c r="V644" s="6"/>
      <c r="W644" s="6"/>
      <c r="X644" s="6"/>
      <c r="Y644" s="6"/>
      <c r="Z644" s="6"/>
    </row>
    <row r="645" ht="60.0" customHeight="1">
      <c r="A645" s="6"/>
      <c r="B645" s="6"/>
      <c r="C645" s="6"/>
      <c r="D645" s="6"/>
      <c r="E645" s="17"/>
      <c r="F645" s="6"/>
      <c r="G645" s="6"/>
      <c r="H645" s="6"/>
      <c r="I645" s="6"/>
      <c r="J645" s="6"/>
      <c r="K645" s="6"/>
      <c r="L645" s="6"/>
      <c r="M645" s="6"/>
      <c r="N645" s="6"/>
      <c r="O645" s="6"/>
      <c r="P645" s="6"/>
      <c r="Q645" s="6"/>
      <c r="R645" s="6"/>
      <c r="S645" s="6"/>
      <c r="T645" s="6"/>
      <c r="U645" s="6"/>
      <c r="V645" s="6"/>
      <c r="W645" s="6"/>
      <c r="X645" s="6"/>
      <c r="Y645" s="6"/>
      <c r="Z645" s="6"/>
    </row>
    <row r="646" ht="60.0" customHeight="1">
      <c r="A646" s="6"/>
      <c r="B646" s="6"/>
      <c r="C646" s="6"/>
      <c r="D646" s="6"/>
      <c r="E646" s="17"/>
      <c r="F646" s="6"/>
      <c r="G646" s="6"/>
      <c r="H646" s="6"/>
      <c r="I646" s="6"/>
      <c r="J646" s="6"/>
      <c r="K646" s="6"/>
      <c r="L646" s="6"/>
      <c r="M646" s="6"/>
      <c r="N646" s="6"/>
      <c r="O646" s="6"/>
      <c r="P646" s="6"/>
      <c r="Q646" s="6"/>
      <c r="R646" s="6"/>
      <c r="S646" s="6"/>
      <c r="T646" s="6"/>
      <c r="U646" s="6"/>
      <c r="V646" s="6"/>
      <c r="W646" s="6"/>
      <c r="X646" s="6"/>
      <c r="Y646" s="6"/>
      <c r="Z646" s="6"/>
    </row>
    <row r="647" ht="60.0" customHeight="1">
      <c r="A647" s="6"/>
      <c r="B647" s="6"/>
      <c r="C647" s="6"/>
      <c r="D647" s="6"/>
      <c r="E647" s="17"/>
      <c r="F647" s="6"/>
      <c r="G647" s="6"/>
      <c r="H647" s="6"/>
      <c r="I647" s="6"/>
      <c r="J647" s="6"/>
      <c r="K647" s="6"/>
      <c r="L647" s="6"/>
      <c r="M647" s="6"/>
      <c r="N647" s="6"/>
      <c r="O647" s="6"/>
      <c r="P647" s="6"/>
      <c r="Q647" s="6"/>
      <c r="R647" s="6"/>
      <c r="S647" s="6"/>
      <c r="T647" s="6"/>
      <c r="U647" s="6"/>
      <c r="V647" s="6"/>
      <c r="W647" s="6"/>
      <c r="X647" s="6"/>
      <c r="Y647" s="6"/>
      <c r="Z647" s="6"/>
    </row>
    <row r="648" ht="60.0" customHeight="1">
      <c r="A648" s="6"/>
      <c r="B648" s="6"/>
      <c r="C648" s="6"/>
      <c r="D648" s="6"/>
      <c r="E648" s="17"/>
      <c r="F648" s="6"/>
      <c r="G648" s="6"/>
      <c r="H648" s="6"/>
      <c r="I648" s="6"/>
      <c r="J648" s="6"/>
      <c r="K648" s="6"/>
      <c r="L648" s="6"/>
      <c r="M648" s="6"/>
      <c r="N648" s="6"/>
      <c r="O648" s="6"/>
      <c r="P648" s="6"/>
      <c r="Q648" s="6"/>
      <c r="R648" s="6"/>
      <c r="S648" s="6"/>
      <c r="T648" s="6"/>
      <c r="U648" s="6"/>
      <c r="V648" s="6"/>
      <c r="W648" s="6"/>
      <c r="X648" s="6"/>
      <c r="Y648" s="6"/>
      <c r="Z648" s="6"/>
    </row>
    <row r="649" ht="60.0" customHeight="1">
      <c r="A649" s="6"/>
      <c r="B649" s="6"/>
      <c r="C649" s="6"/>
      <c r="D649" s="6"/>
      <c r="E649" s="17"/>
      <c r="F649" s="6"/>
      <c r="G649" s="6"/>
      <c r="H649" s="6"/>
      <c r="I649" s="6"/>
      <c r="J649" s="6"/>
      <c r="K649" s="6"/>
      <c r="L649" s="6"/>
      <c r="M649" s="6"/>
      <c r="N649" s="6"/>
      <c r="O649" s="6"/>
      <c r="P649" s="6"/>
      <c r="Q649" s="6"/>
      <c r="R649" s="6"/>
      <c r="S649" s="6"/>
      <c r="T649" s="6"/>
      <c r="U649" s="6"/>
      <c r="V649" s="6"/>
      <c r="W649" s="6"/>
      <c r="X649" s="6"/>
      <c r="Y649" s="6"/>
      <c r="Z649" s="6"/>
    </row>
    <row r="650" ht="60.0" customHeight="1">
      <c r="A650" s="6"/>
      <c r="B650" s="6"/>
      <c r="C650" s="6"/>
      <c r="D650" s="6"/>
      <c r="E650" s="17"/>
      <c r="F650" s="6"/>
      <c r="G650" s="6"/>
      <c r="H650" s="6"/>
      <c r="I650" s="6"/>
      <c r="J650" s="6"/>
      <c r="K650" s="6"/>
      <c r="L650" s="6"/>
      <c r="M650" s="6"/>
      <c r="N650" s="6"/>
      <c r="O650" s="6"/>
      <c r="P650" s="6"/>
      <c r="Q650" s="6"/>
      <c r="R650" s="6"/>
      <c r="S650" s="6"/>
      <c r="T650" s="6"/>
      <c r="U650" s="6"/>
      <c r="V650" s="6"/>
      <c r="W650" s="6"/>
      <c r="X650" s="6"/>
      <c r="Y650" s="6"/>
      <c r="Z650" s="6"/>
    </row>
    <row r="651" ht="60.0" customHeight="1">
      <c r="A651" s="6"/>
      <c r="B651" s="6"/>
      <c r="C651" s="6"/>
      <c r="D651" s="6"/>
      <c r="E651" s="17"/>
      <c r="F651" s="6"/>
      <c r="G651" s="6"/>
      <c r="H651" s="6"/>
      <c r="I651" s="6"/>
      <c r="J651" s="6"/>
      <c r="K651" s="6"/>
      <c r="L651" s="6"/>
      <c r="M651" s="6"/>
      <c r="N651" s="6"/>
      <c r="O651" s="6"/>
      <c r="P651" s="6"/>
      <c r="Q651" s="6"/>
      <c r="R651" s="6"/>
      <c r="S651" s="6"/>
      <c r="T651" s="6"/>
      <c r="U651" s="6"/>
      <c r="V651" s="6"/>
      <c r="W651" s="6"/>
      <c r="X651" s="6"/>
      <c r="Y651" s="6"/>
      <c r="Z651" s="6"/>
    </row>
    <row r="652" ht="60.0" customHeight="1">
      <c r="A652" s="6"/>
      <c r="B652" s="6"/>
      <c r="C652" s="6"/>
      <c r="D652" s="6"/>
      <c r="E652" s="17"/>
      <c r="F652" s="6"/>
      <c r="G652" s="6"/>
      <c r="H652" s="6"/>
      <c r="I652" s="6"/>
      <c r="J652" s="6"/>
      <c r="K652" s="6"/>
      <c r="L652" s="6"/>
      <c r="M652" s="6"/>
      <c r="N652" s="6"/>
      <c r="O652" s="6"/>
      <c r="P652" s="6"/>
      <c r="Q652" s="6"/>
      <c r="R652" s="6"/>
      <c r="S652" s="6"/>
      <c r="T652" s="6"/>
      <c r="U652" s="6"/>
      <c r="V652" s="6"/>
      <c r="W652" s="6"/>
      <c r="X652" s="6"/>
      <c r="Y652" s="6"/>
      <c r="Z652" s="6"/>
    </row>
    <row r="653" ht="60.0" customHeight="1">
      <c r="A653" s="6"/>
      <c r="B653" s="6"/>
      <c r="C653" s="6"/>
      <c r="D653" s="6"/>
      <c r="E653" s="17"/>
      <c r="F653" s="6"/>
      <c r="G653" s="6"/>
      <c r="H653" s="6"/>
      <c r="I653" s="6"/>
      <c r="J653" s="6"/>
      <c r="K653" s="6"/>
      <c r="L653" s="6"/>
      <c r="M653" s="6"/>
      <c r="N653" s="6"/>
      <c r="O653" s="6"/>
      <c r="P653" s="6"/>
      <c r="Q653" s="6"/>
      <c r="R653" s="6"/>
      <c r="S653" s="6"/>
      <c r="T653" s="6"/>
      <c r="U653" s="6"/>
      <c r="V653" s="6"/>
      <c r="W653" s="6"/>
      <c r="X653" s="6"/>
      <c r="Y653" s="6"/>
      <c r="Z653" s="6"/>
    </row>
    <row r="654" ht="60.0" customHeight="1">
      <c r="A654" s="6"/>
      <c r="B654" s="6"/>
      <c r="C654" s="6"/>
      <c r="D654" s="6"/>
      <c r="E654" s="17"/>
      <c r="F654" s="6"/>
      <c r="G654" s="6"/>
      <c r="H654" s="6"/>
      <c r="I654" s="6"/>
      <c r="J654" s="6"/>
      <c r="K654" s="6"/>
      <c r="L654" s="6"/>
      <c r="M654" s="6"/>
      <c r="N654" s="6"/>
      <c r="O654" s="6"/>
      <c r="P654" s="6"/>
      <c r="Q654" s="6"/>
      <c r="R654" s="6"/>
      <c r="S654" s="6"/>
      <c r="T654" s="6"/>
      <c r="U654" s="6"/>
      <c r="V654" s="6"/>
      <c r="W654" s="6"/>
      <c r="X654" s="6"/>
      <c r="Y654" s="6"/>
      <c r="Z654" s="6"/>
    </row>
    <row r="655" ht="60.0" customHeight="1">
      <c r="A655" s="6"/>
      <c r="B655" s="6"/>
      <c r="C655" s="6"/>
      <c r="D655" s="6"/>
      <c r="E655" s="17"/>
      <c r="F655" s="6"/>
      <c r="G655" s="6"/>
      <c r="H655" s="6"/>
      <c r="I655" s="6"/>
      <c r="J655" s="6"/>
      <c r="K655" s="6"/>
      <c r="L655" s="6"/>
      <c r="M655" s="6"/>
      <c r="N655" s="6"/>
      <c r="O655" s="6"/>
      <c r="P655" s="6"/>
      <c r="Q655" s="6"/>
      <c r="R655" s="6"/>
      <c r="S655" s="6"/>
      <c r="T655" s="6"/>
      <c r="U655" s="6"/>
      <c r="V655" s="6"/>
      <c r="W655" s="6"/>
      <c r="X655" s="6"/>
      <c r="Y655" s="6"/>
      <c r="Z655" s="6"/>
    </row>
    <row r="656" ht="60.0" customHeight="1">
      <c r="A656" s="6"/>
      <c r="B656" s="6"/>
      <c r="C656" s="6"/>
      <c r="D656" s="6"/>
      <c r="E656" s="17"/>
      <c r="F656" s="6"/>
      <c r="G656" s="6"/>
      <c r="H656" s="6"/>
      <c r="I656" s="6"/>
      <c r="J656" s="6"/>
      <c r="K656" s="6"/>
      <c r="L656" s="6"/>
      <c r="M656" s="6"/>
      <c r="N656" s="6"/>
      <c r="O656" s="6"/>
      <c r="P656" s="6"/>
      <c r="Q656" s="6"/>
      <c r="R656" s="6"/>
      <c r="S656" s="6"/>
      <c r="T656" s="6"/>
      <c r="U656" s="6"/>
      <c r="V656" s="6"/>
      <c r="W656" s="6"/>
      <c r="X656" s="6"/>
      <c r="Y656" s="6"/>
      <c r="Z656" s="6"/>
    </row>
    <row r="657" ht="60.0" customHeight="1">
      <c r="A657" s="6"/>
      <c r="B657" s="6"/>
      <c r="C657" s="6"/>
      <c r="D657" s="6"/>
      <c r="E657" s="17"/>
      <c r="F657" s="6"/>
      <c r="G657" s="6"/>
      <c r="H657" s="6"/>
      <c r="I657" s="6"/>
      <c r="J657" s="6"/>
      <c r="K657" s="6"/>
      <c r="L657" s="6"/>
      <c r="M657" s="6"/>
      <c r="N657" s="6"/>
      <c r="O657" s="6"/>
      <c r="P657" s="6"/>
      <c r="Q657" s="6"/>
      <c r="R657" s="6"/>
      <c r="S657" s="6"/>
      <c r="T657" s="6"/>
      <c r="U657" s="6"/>
      <c r="V657" s="6"/>
      <c r="W657" s="6"/>
      <c r="X657" s="6"/>
      <c r="Y657" s="6"/>
      <c r="Z657" s="6"/>
    </row>
    <row r="658" ht="60.0" customHeight="1">
      <c r="A658" s="6"/>
      <c r="B658" s="6"/>
      <c r="C658" s="6"/>
      <c r="D658" s="6"/>
      <c r="E658" s="17"/>
      <c r="F658" s="6"/>
      <c r="G658" s="6"/>
      <c r="H658" s="6"/>
      <c r="I658" s="6"/>
      <c r="J658" s="6"/>
      <c r="K658" s="6"/>
      <c r="L658" s="6"/>
      <c r="M658" s="6"/>
      <c r="N658" s="6"/>
      <c r="O658" s="6"/>
      <c r="P658" s="6"/>
      <c r="Q658" s="6"/>
      <c r="R658" s="6"/>
      <c r="S658" s="6"/>
      <c r="T658" s="6"/>
      <c r="U658" s="6"/>
      <c r="V658" s="6"/>
      <c r="W658" s="6"/>
      <c r="X658" s="6"/>
      <c r="Y658" s="6"/>
      <c r="Z658" s="6"/>
    </row>
    <row r="659" ht="60.0" customHeight="1">
      <c r="A659" s="6"/>
      <c r="B659" s="6"/>
      <c r="C659" s="6"/>
      <c r="D659" s="6"/>
      <c r="E659" s="17"/>
      <c r="F659" s="6"/>
      <c r="G659" s="6"/>
      <c r="H659" s="6"/>
      <c r="I659" s="6"/>
      <c r="J659" s="6"/>
      <c r="K659" s="6"/>
      <c r="L659" s="6"/>
      <c r="M659" s="6"/>
      <c r="N659" s="6"/>
      <c r="O659" s="6"/>
      <c r="P659" s="6"/>
      <c r="Q659" s="6"/>
      <c r="R659" s="6"/>
      <c r="S659" s="6"/>
      <c r="T659" s="6"/>
      <c r="U659" s="6"/>
      <c r="V659" s="6"/>
      <c r="W659" s="6"/>
      <c r="X659" s="6"/>
      <c r="Y659" s="6"/>
      <c r="Z659" s="6"/>
    </row>
    <row r="660" ht="60.0" customHeight="1">
      <c r="A660" s="6"/>
      <c r="B660" s="6"/>
      <c r="C660" s="6"/>
      <c r="D660" s="6"/>
      <c r="E660" s="17"/>
      <c r="F660" s="6"/>
      <c r="G660" s="6"/>
      <c r="H660" s="6"/>
      <c r="I660" s="6"/>
      <c r="J660" s="6"/>
      <c r="K660" s="6"/>
      <c r="L660" s="6"/>
      <c r="M660" s="6"/>
      <c r="N660" s="6"/>
      <c r="O660" s="6"/>
      <c r="P660" s="6"/>
      <c r="Q660" s="6"/>
      <c r="R660" s="6"/>
      <c r="S660" s="6"/>
      <c r="T660" s="6"/>
      <c r="U660" s="6"/>
      <c r="V660" s="6"/>
      <c r="W660" s="6"/>
      <c r="X660" s="6"/>
      <c r="Y660" s="6"/>
      <c r="Z660" s="6"/>
    </row>
    <row r="661" ht="60.0" customHeight="1">
      <c r="A661" s="6"/>
      <c r="B661" s="6"/>
      <c r="C661" s="6"/>
      <c r="D661" s="6"/>
      <c r="E661" s="17"/>
      <c r="F661" s="6"/>
      <c r="G661" s="6"/>
      <c r="H661" s="6"/>
      <c r="I661" s="6"/>
      <c r="J661" s="6"/>
      <c r="K661" s="6"/>
      <c r="L661" s="6"/>
      <c r="M661" s="6"/>
      <c r="N661" s="6"/>
      <c r="O661" s="6"/>
      <c r="P661" s="6"/>
      <c r="Q661" s="6"/>
      <c r="R661" s="6"/>
      <c r="S661" s="6"/>
      <c r="T661" s="6"/>
      <c r="U661" s="6"/>
      <c r="V661" s="6"/>
      <c r="W661" s="6"/>
      <c r="X661" s="6"/>
      <c r="Y661" s="6"/>
      <c r="Z661" s="6"/>
    </row>
    <row r="662" ht="60.0" customHeight="1">
      <c r="A662" s="6"/>
      <c r="B662" s="6"/>
      <c r="C662" s="6"/>
      <c r="D662" s="6"/>
      <c r="E662" s="17"/>
      <c r="F662" s="6"/>
      <c r="G662" s="6"/>
      <c r="H662" s="6"/>
      <c r="I662" s="6"/>
      <c r="J662" s="6"/>
      <c r="K662" s="6"/>
      <c r="L662" s="6"/>
      <c r="M662" s="6"/>
      <c r="N662" s="6"/>
      <c r="O662" s="6"/>
      <c r="P662" s="6"/>
      <c r="Q662" s="6"/>
      <c r="R662" s="6"/>
      <c r="S662" s="6"/>
      <c r="T662" s="6"/>
      <c r="U662" s="6"/>
      <c r="V662" s="6"/>
      <c r="W662" s="6"/>
      <c r="X662" s="6"/>
      <c r="Y662" s="6"/>
      <c r="Z662" s="6"/>
    </row>
    <row r="663" ht="60.0" customHeight="1">
      <c r="A663" s="6"/>
      <c r="B663" s="6"/>
      <c r="C663" s="6"/>
      <c r="D663" s="6"/>
      <c r="E663" s="17"/>
      <c r="F663" s="6"/>
      <c r="G663" s="6"/>
      <c r="H663" s="6"/>
      <c r="I663" s="6"/>
      <c r="J663" s="6"/>
      <c r="K663" s="6"/>
      <c r="L663" s="6"/>
      <c r="M663" s="6"/>
      <c r="N663" s="6"/>
      <c r="O663" s="6"/>
      <c r="P663" s="6"/>
      <c r="Q663" s="6"/>
      <c r="R663" s="6"/>
      <c r="S663" s="6"/>
      <c r="T663" s="6"/>
      <c r="U663" s="6"/>
      <c r="V663" s="6"/>
      <c r="W663" s="6"/>
      <c r="X663" s="6"/>
      <c r="Y663" s="6"/>
      <c r="Z663" s="6"/>
    </row>
    <row r="664" ht="60.0" customHeight="1">
      <c r="A664" s="6"/>
      <c r="B664" s="6"/>
      <c r="C664" s="6"/>
      <c r="D664" s="6"/>
      <c r="E664" s="17"/>
      <c r="F664" s="6"/>
      <c r="G664" s="6"/>
      <c r="H664" s="6"/>
      <c r="I664" s="6"/>
      <c r="J664" s="6"/>
      <c r="K664" s="6"/>
      <c r="L664" s="6"/>
      <c r="M664" s="6"/>
      <c r="N664" s="6"/>
      <c r="O664" s="6"/>
      <c r="P664" s="6"/>
      <c r="Q664" s="6"/>
      <c r="R664" s="6"/>
      <c r="S664" s="6"/>
      <c r="T664" s="6"/>
      <c r="U664" s="6"/>
      <c r="V664" s="6"/>
      <c r="W664" s="6"/>
      <c r="X664" s="6"/>
      <c r="Y664" s="6"/>
      <c r="Z664" s="6"/>
    </row>
    <row r="665" ht="60.0" customHeight="1">
      <c r="A665" s="6"/>
      <c r="B665" s="6"/>
      <c r="C665" s="6"/>
      <c r="D665" s="6"/>
      <c r="E665" s="17"/>
      <c r="F665" s="6"/>
      <c r="G665" s="6"/>
      <c r="H665" s="6"/>
      <c r="I665" s="6"/>
      <c r="J665" s="6"/>
      <c r="K665" s="6"/>
      <c r="L665" s="6"/>
      <c r="M665" s="6"/>
      <c r="N665" s="6"/>
      <c r="O665" s="6"/>
      <c r="P665" s="6"/>
      <c r="Q665" s="6"/>
      <c r="R665" s="6"/>
      <c r="S665" s="6"/>
      <c r="T665" s="6"/>
      <c r="U665" s="6"/>
      <c r="V665" s="6"/>
      <c r="W665" s="6"/>
      <c r="X665" s="6"/>
      <c r="Y665" s="6"/>
      <c r="Z665" s="6"/>
    </row>
    <row r="666" ht="60.0" customHeight="1">
      <c r="A666" s="6"/>
      <c r="B666" s="6"/>
      <c r="C666" s="6"/>
      <c r="D666" s="6"/>
      <c r="E666" s="17"/>
      <c r="F666" s="6"/>
      <c r="G666" s="6"/>
      <c r="H666" s="6"/>
      <c r="I666" s="6"/>
      <c r="J666" s="6"/>
      <c r="K666" s="6"/>
      <c r="L666" s="6"/>
      <c r="M666" s="6"/>
      <c r="N666" s="6"/>
      <c r="O666" s="6"/>
      <c r="P666" s="6"/>
      <c r="Q666" s="6"/>
      <c r="R666" s="6"/>
      <c r="S666" s="6"/>
      <c r="T666" s="6"/>
      <c r="U666" s="6"/>
      <c r="V666" s="6"/>
      <c r="W666" s="6"/>
      <c r="X666" s="6"/>
      <c r="Y666" s="6"/>
      <c r="Z666" s="6"/>
    </row>
    <row r="667" ht="60.0" customHeight="1">
      <c r="A667" s="6"/>
      <c r="B667" s="6"/>
      <c r="C667" s="6"/>
      <c r="D667" s="6"/>
      <c r="E667" s="17"/>
      <c r="F667" s="6"/>
      <c r="G667" s="6"/>
      <c r="H667" s="6"/>
      <c r="I667" s="6"/>
      <c r="J667" s="6"/>
      <c r="K667" s="6"/>
      <c r="L667" s="6"/>
      <c r="M667" s="6"/>
      <c r="N667" s="6"/>
      <c r="O667" s="6"/>
      <c r="P667" s="6"/>
      <c r="Q667" s="6"/>
      <c r="R667" s="6"/>
      <c r="S667" s="6"/>
      <c r="T667" s="6"/>
      <c r="U667" s="6"/>
      <c r="V667" s="6"/>
      <c r="W667" s="6"/>
      <c r="X667" s="6"/>
      <c r="Y667" s="6"/>
      <c r="Z667" s="6"/>
    </row>
    <row r="668" ht="60.0" customHeight="1">
      <c r="A668" s="6"/>
      <c r="B668" s="6"/>
      <c r="C668" s="6"/>
      <c r="D668" s="6"/>
      <c r="E668" s="17"/>
      <c r="F668" s="6"/>
      <c r="G668" s="6"/>
      <c r="H668" s="6"/>
      <c r="I668" s="6"/>
      <c r="J668" s="6"/>
      <c r="K668" s="6"/>
      <c r="L668" s="6"/>
      <c r="M668" s="6"/>
      <c r="N668" s="6"/>
      <c r="O668" s="6"/>
      <c r="P668" s="6"/>
      <c r="Q668" s="6"/>
      <c r="R668" s="6"/>
      <c r="S668" s="6"/>
      <c r="T668" s="6"/>
      <c r="U668" s="6"/>
      <c r="V668" s="6"/>
      <c r="W668" s="6"/>
      <c r="X668" s="6"/>
      <c r="Y668" s="6"/>
      <c r="Z668" s="6"/>
    </row>
    <row r="669" ht="60.0" customHeight="1">
      <c r="A669" s="6"/>
      <c r="B669" s="6"/>
      <c r="C669" s="6"/>
      <c r="D669" s="6"/>
      <c r="E669" s="17"/>
      <c r="F669" s="6"/>
      <c r="G669" s="6"/>
      <c r="H669" s="6"/>
      <c r="I669" s="6"/>
      <c r="J669" s="6"/>
      <c r="K669" s="6"/>
      <c r="L669" s="6"/>
      <c r="M669" s="6"/>
      <c r="N669" s="6"/>
      <c r="O669" s="6"/>
      <c r="P669" s="6"/>
      <c r="Q669" s="6"/>
      <c r="R669" s="6"/>
      <c r="S669" s="6"/>
      <c r="T669" s="6"/>
      <c r="U669" s="6"/>
      <c r="V669" s="6"/>
      <c r="W669" s="6"/>
      <c r="X669" s="6"/>
      <c r="Y669" s="6"/>
      <c r="Z669" s="6"/>
    </row>
    <row r="670" ht="60.0" customHeight="1">
      <c r="A670" s="6"/>
      <c r="B670" s="6"/>
      <c r="C670" s="6"/>
      <c r="D670" s="6"/>
      <c r="E670" s="17"/>
      <c r="F670" s="6"/>
      <c r="G670" s="6"/>
      <c r="H670" s="6"/>
      <c r="I670" s="6"/>
      <c r="J670" s="6"/>
      <c r="K670" s="6"/>
      <c r="L670" s="6"/>
      <c r="M670" s="6"/>
      <c r="N670" s="6"/>
      <c r="O670" s="6"/>
      <c r="P670" s="6"/>
      <c r="Q670" s="6"/>
      <c r="R670" s="6"/>
      <c r="S670" s="6"/>
      <c r="T670" s="6"/>
      <c r="U670" s="6"/>
      <c r="V670" s="6"/>
      <c r="W670" s="6"/>
      <c r="X670" s="6"/>
      <c r="Y670" s="6"/>
      <c r="Z670" s="6"/>
    </row>
    <row r="671" ht="60.0" customHeight="1">
      <c r="A671" s="6"/>
      <c r="B671" s="6"/>
      <c r="C671" s="6"/>
      <c r="D671" s="6"/>
      <c r="E671" s="17"/>
      <c r="F671" s="6"/>
      <c r="G671" s="6"/>
      <c r="H671" s="6"/>
      <c r="I671" s="6"/>
      <c r="J671" s="6"/>
      <c r="K671" s="6"/>
      <c r="L671" s="6"/>
      <c r="M671" s="6"/>
      <c r="N671" s="6"/>
      <c r="O671" s="6"/>
      <c r="P671" s="6"/>
      <c r="Q671" s="6"/>
      <c r="R671" s="6"/>
      <c r="S671" s="6"/>
      <c r="T671" s="6"/>
      <c r="U671" s="6"/>
      <c r="V671" s="6"/>
      <c r="W671" s="6"/>
      <c r="X671" s="6"/>
      <c r="Y671" s="6"/>
      <c r="Z671" s="6"/>
    </row>
    <row r="672" ht="60.0" customHeight="1">
      <c r="A672" s="6"/>
      <c r="B672" s="6"/>
      <c r="C672" s="6"/>
      <c r="D672" s="6"/>
      <c r="E672" s="17"/>
      <c r="F672" s="6"/>
      <c r="G672" s="6"/>
      <c r="H672" s="6"/>
      <c r="I672" s="6"/>
      <c r="J672" s="6"/>
      <c r="K672" s="6"/>
      <c r="L672" s="6"/>
      <c r="M672" s="6"/>
      <c r="N672" s="6"/>
      <c r="O672" s="6"/>
      <c r="P672" s="6"/>
      <c r="Q672" s="6"/>
      <c r="R672" s="6"/>
      <c r="S672" s="6"/>
      <c r="T672" s="6"/>
      <c r="U672" s="6"/>
      <c r="V672" s="6"/>
      <c r="W672" s="6"/>
      <c r="X672" s="6"/>
      <c r="Y672" s="6"/>
      <c r="Z672" s="6"/>
    </row>
    <row r="673" ht="60.0" customHeight="1">
      <c r="A673" s="6"/>
      <c r="B673" s="6"/>
      <c r="C673" s="6"/>
      <c r="D673" s="6"/>
      <c r="E673" s="17"/>
      <c r="F673" s="6"/>
      <c r="G673" s="6"/>
      <c r="H673" s="6"/>
      <c r="I673" s="6"/>
      <c r="J673" s="6"/>
      <c r="K673" s="6"/>
      <c r="L673" s="6"/>
      <c r="M673" s="6"/>
      <c r="N673" s="6"/>
      <c r="O673" s="6"/>
      <c r="P673" s="6"/>
      <c r="Q673" s="6"/>
      <c r="R673" s="6"/>
      <c r="S673" s="6"/>
      <c r="T673" s="6"/>
      <c r="U673" s="6"/>
      <c r="V673" s="6"/>
      <c r="W673" s="6"/>
      <c r="X673" s="6"/>
      <c r="Y673" s="6"/>
      <c r="Z673" s="6"/>
    </row>
    <row r="674" ht="60.0" customHeight="1">
      <c r="A674" s="6"/>
      <c r="B674" s="6"/>
      <c r="C674" s="6"/>
      <c r="D674" s="6"/>
      <c r="E674" s="17"/>
      <c r="F674" s="6"/>
      <c r="G674" s="6"/>
      <c r="H674" s="6"/>
      <c r="I674" s="6"/>
      <c r="J674" s="6"/>
      <c r="K674" s="6"/>
      <c r="L674" s="6"/>
      <c r="M674" s="6"/>
      <c r="N674" s="6"/>
      <c r="O674" s="6"/>
      <c r="P674" s="6"/>
      <c r="Q674" s="6"/>
      <c r="R674" s="6"/>
      <c r="S674" s="6"/>
      <c r="T674" s="6"/>
      <c r="U674" s="6"/>
      <c r="V674" s="6"/>
      <c r="W674" s="6"/>
      <c r="X674" s="6"/>
      <c r="Y674" s="6"/>
      <c r="Z674" s="6"/>
    </row>
    <row r="675" ht="60.0" customHeight="1">
      <c r="A675" s="6"/>
      <c r="B675" s="6"/>
      <c r="C675" s="6"/>
      <c r="D675" s="6"/>
      <c r="E675" s="17"/>
      <c r="F675" s="6"/>
      <c r="G675" s="6"/>
      <c r="H675" s="6"/>
      <c r="I675" s="6"/>
      <c r="J675" s="6"/>
      <c r="K675" s="6"/>
      <c r="L675" s="6"/>
      <c r="M675" s="6"/>
      <c r="N675" s="6"/>
      <c r="O675" s="6"/>
      <c r="P675" s="6"/>
      <c r="Q675" s="6"/>
      <c r="R675" s="6"/>
      <c r="S675" s="6"/>
      <c r="T675" s="6"/>
      <c r="U675" s="6"/>
      <c r="V675" s="6"/>
      <c r="W675" s="6"/>
      <c r="X675" s="6"/>
      <c r="Y675" s="6"/>
      <c r="Z675" s="6"/>
    </row>
    <row r="676" ht="60.0" customHeight="1">
      <c r="A676" s="6"/>
      <c r="B676" s="6"/>
      <c r="C676" s="6"/>
      <c r="D676" s="6"/>
      <c r="E676" s="17"/>
      <c r="F676" s="6"/>
      <c r="G676" s="6"/>
      <c r="H676" s="6"/>
      <c r="I676" s="6"/>
      <c r="J676" s="6"/>
      <c r="K676" s="6"/>
      <c r="L676" s="6"/>
      <c r="M676" s="6"/>
      <c r="N676" s="6"/>
      <c r="O676" s="6"/>
      <c r="P676" s="6"/>
      <c r="Q676" s="6"/>
      <c r="R676" s="6"/>
      <c r="S676" s="6"/>
      <c r="T676" s="6"/>
      <c r="U676" s="6"/>
      <c r="V676" s="6"/>
      <c r="W676" s="6"/>
      <c r="X676" s="6"/>
      <c r="Y676" s="6"/>
      <c r="Z676" s="6"/>
    </row>
    <row r="677" ht="60.0" customHeight="1">
      <c r="A677" s="6"/>
      <c r="B677" s="6"/>
      <c r="C677" s="6"/>
      <c r="D677" s="6"/>
      <c r="E677" s="17"/>
      <c r="F677" s="6"/>
      <c r="G677" s="6"/>
      <c r="H677" s="6"/>
      <c r="I677" s="6"/>
      <c r="J677" s="6"/>
      <c r="K677" s="6"/>
      <c r="L677" s="6"/>
      <c r="M677" s="6"/>
      <c r="N677" s="6"/>
      <c r="O677" s="6"/>
      <c r="P677" s="6"/>
      <c r="Q677" s="6"/>
      <c r="R677" s="6"/>
      <c r="S677" s="6"/>
      <c r="T677" s="6"/>
      <c r="U677" s="6"/>
      <c r="V677" s="6"/>
      <c r="W677" s="6"/>
      <c r="X677" s="6"/>
      <c r="Y677" s="6"/>
      <c r="Z677" s="6"/>
    </row>
    <row r="678" ht="60.0" customHeight="1">
      <c r="A678" s="6"/>
      <c r="B678" s="6"/>
      <c r="C678" s="6"/>
      <c r="D678" s="6"/>
      <c r="E678" s="17"/>
      <c r="F678" s="6"/>
      <c r="G678" s="6"/>
      <c r="H678" s="6"/>
      <c r="I678" s="6"/>
      <c r="J678" s="6"/>
      <c r="K678" s="6"/>
      <c r="L678" s="6"/>
      <c r="M678" s="6"/>
      <c r="N678" s="6"/>
      <c r="O678" s="6"/>
      <c r="P678" s="6"/>
      <c r="Q678" s="6"/>
      <c r="R678" s="6"/>
      <c r="S678" s="6"/>
      <c r="T678" s="6"/>
      <c r="U678" s="6"/>
      <c r="V678" s="6"/>
      <c r="W678" s="6"/>
      <c r="X678" s="6"/>
      <c r="Y678" s="6"/>
      <c r="Z678" s="6"/>
    </row>
    <row r="679" ht="60.0" customHeight="1">
      <c r="A679" s="6"/>
      <c r="B679" s="6"/>
      <c r="C679" s="6"/>
      <c r="D679" s="6"/>
      <c r="E679" s="17"/>
      <c r="F679" s="6"/>
      <c r="G679" s="6"/>
      <c r="H679" s="6"/>
      <c r="I679" s="6"/>
      <c r="J679" s="6"/>
      <c r="K679" s="6"/>
      <c r="L679" s="6"/>
      <c r="M679" s="6"/>
      <c r="N679" s="6"/>
      <c r="O679" s="6"/>
      <c r="P679" s="6"/>
      <c r="Q679" s="6"/>
      <c r="R679" s="6"/>
      <c r="S679" s="6"/>
      <c r="T679" s="6"/>
      <c r="U679" s="6"/>
      <c r="V679" s="6"/>
      <c r="W679" s="6"/>
      <c r="X679" s="6"/>
      <c r="Y679" s="6"/>
      <c r="Z679" s="6"/>
    </row>
    <row r="680" ht="60.0" customHeight="1">
      <c r="A680" s="6"/>
      <c r="B680" s="6"/>
      <c r="C680" s="6"/>
      <c r="D680" s="6"/>
      <c r="E680" s="17"/>
      <c r="F680" s="6"/>
      <c r="G680" s="6"/>
      <c r="H680" s="6"/>
      <c r="I680" s="6"/>
      <c r="J680" s="6"/>
      <c r="K680" s="6"/>
      <c r="L680" s="6"/>
      <c r="M680" s="6"/>
      <c r="N680" s="6"/>
      <c r="O680" s="6"/>
      <c r="P680" s="6"/>
      <c r="Q680" s="6"/>
      <c r="R680" s="6"/>
      <c r="S680" s="6"/>
      <c r="T680" s="6"/>
      <c r="U680" s="6"/>
      <c r="V680" s="6"/>
      <c r="W680" s="6"/>
      <c r="X680" s="6"/>
      <c r="Y680" s="6"/>
      <c r="Z680" s="6"/>
    </row>
    <row r="681" ht="60.0" customHeight="1">
      <c r="A681" s="6"/>
      <c r="B681" s="6"/>
      <c r="C681" s="6"/>
      <c r="D681" s="6"/>
      <c r="E681" s="17"/>
      <c r="F681" s="6"/>
      <c r="G681" s="6"/>
      <c r="H681" s="6"/>
      <c r="I681" s="6"/>
      <c r="J681" s="6"/>
      <c r="K681" s="6"/>
      <c r="L681" s="6"/>
      <c r="M681" s="6"/>
      <c r="N681" s="6"/>
      <c r="O681" s="6"/>
      <c r="P681" s="6"/>
      <c r="Q681" s="6"/>
      <c r="R681" s="6"/>
      <c r="S681" s="6"/>
      <c r="T681" s="6"/>
      <c r="U681" s="6"/>
      <c r="V681" s="6"/>
      <c r="W681" s="6"/>
      <c r="X681" s="6"/>
      <c r="Y681" s="6"/>
      <c r="Z681" s="6"/>
    </row>
    <row r="682" ht="60.0" customHeight="1">
      <c r="A682" s="6"/>
      <c r="B682" s="6"/>
      <c r="C682" s="6"/>
      <c r="D682" s="6"/>
      <c r="E682" s="17"/>
      <c r="F682" s="6"/>
      <c r="G682" s="6"/>
      <c r="H682" s="6"/>
      <c r="I682" s="6"/>
      <c r="J682" s="6"/>
      <c r="K682" s="6"/>
      <c r="L682" s="6"/>
      <c r="M682" s="6"/>
      <c r="N682" s="6"/>
      <c r="O682" s="6"/>
      <c r="P682" s="6"/>
      <c r="Q682" s="6"/>
      <c r="R682" s="6"/>
      <c r="S682" s="6"/>
      <c r="T682" s="6"/>
      <c r="U682" s="6"/>
      <c r="V682" s="6"/>
      <c r="W682" s="6"/>
      <c r="X682" s="6"/>
      <c r="Y682" s="6"/>
      <c r="Z682" s="6"/>
    </row>
    <row r="683" ht="60.0" customHeight="1">
      <c r="A683" s="6"/>
      <c r="B683" s="6"/>
      <c r="C683" s="6"/>
      <c r="D683" s="6"/>
      <c r="E683" s="17"/>
      <c r="F683" s="6"/>
      <c r="G683" s="6"/>
      <c r="H683" s="6"/>
      <c r="I683" s="6"/>
      <c r="J683" s="6"/>
      <c r="K683" s="6"/>
      <c r="L683" s="6"/>
      <c r="M683" s="6"/>
      <c r="N683" s="6"/>
      <c r="O683" s="6"/>
      <c r="P683" s="6"/>
      <c r="Q683" s="6"/>
      <c r="R683" s="6"/>
      <c r="S683" s="6"/>
      <c r="T683" s="6"/>
      <c r="U683" s="6"/>
      <c r="V683" s="6"/>
      <c r="W683" s="6"/>
      <c r="X683" s="6"/>
      <c r="Y683" s="6"/>
      <c r="Z683" s="6"/>
    </row>
    <row r="684" ht="60.0" customHeight="1">
      <c r="A684" s="6"/>
      <c r="B684" s="6"/>
      <c r="C684" s="6"/>
      <c r="D684" s="6"/>
      <c r="E684" s="17"/>
      <c r="F684" s="6"/>
      <c r="G684" s="6"/>
      <c r="H684" s="6"/>
      <c r="I684" s="6"/>
      <c r="J684" s="6"/>
      <c r="K684" s="6"/>
      <c r="L684" s="6"/>
      <c r="M684" s="6"/>
      <c r="N684" s="6"/>
      <c r="O684" s="6"/>
      <c r="P684" s="6"/>
      <c r="Q684" s="6"/>
      <c r="R684" s="6"/>
      <c r="S684" s="6"/>
      <c r="T684" s="6"/>
      <c r="U684" s="6"/>
      <c r="V684" s="6"/>
      <c r="W684" s="6"/>
      <c r="X684" s="6"/>
      <c r="Y684" s="6"/>
      <c r="Z684" s="6"/>
    </row>
    <row r="685" ht="60.0" customHeight="1">
      <c r="A685" s="6"/>
      <c r="B685" s="6"/>
      <c r="C685" s="6"/>
      <c r="D685" s="6"/>
      <c r="E685" s="17"/>
      <c r="F685" s="6"/>
      <c r="G685" s="6"/>
      <c r="H685" s="6"/>
      <c r="I685" s="6"/>
      <c r="J685" s="6"/>
      <c r="K685" s="6"/>
      <c r="L685" s="6"/>
      <c r="M685" s="6"/>
      <c r="N685" s="6"/>
      <c r="O685" s="6"/>
      <c r="P685" s="6"/>
      <c r="Q685" s="6"/>
      <c r="R685" s="6"/>
      <c r="S685" s="6"/>
      <c r="T685" s="6"/>
      <c r="U685" s="6"/>
      <c r="V685" s="6"/>
      <c r="W685" s="6"/>
      <c r="X685" s="6"/>
      <c r="Y685" s="6"/>
      <c r="Z685" s="6"/>
    </row>
    <row r="686" ht="60.0" customHeight="1">
      <c r="A686" s="6"/>
      <c r="B686" s="6"/>
      <c r="C686" s="6"/>
      <c r="D686" s="6"/>
      <c r="E686" s="17"/>
      <c r="F686" s="6"/>
      <c r="G686" s="6"/>
      <c r="H686" s="6"/>
      <c r="I686" s="6"/>
      <c r="J686" s="6"/>
      <c r="K686" s="6"/>
      <c r="L686" s="6"/>
      <c r="M686" s="6"/>
      <c r="N686" s="6"/>
      <c r="O686" s="6"/>
      <c r="P686" s="6"/>
      <c r="Q686" s="6"/>
      <c r="R686" s="6"/>
      <c r="S686" s="6"/>
      <c r="T686" s="6"/>
      <c r="U686" s="6"/>
      <c r="V686" s="6"/>
      <c r="W686" s="6"/>
      <c r="X686" s="6"/>
      <c r="Y686" s="6"/>
      <c r="Z686" s="6"/>
    </row>
    <row r="687" ht="60.0" customHeight="1">
      <c r="A687" s="6"/>
      <c r="B687" s="6"/>
      <c r="C687" s="6"/>
      <c r="D687" s="6"/>
      <c r="E687" s="17"/>
      <c r="F687" s="6"/>
      <c r="G687" s="6"/>
      <c r="H687" s="6"/>
      <c r="I687" s="6"/>
      <c r="J687" s="6"/>
      <c r="K687" s="6"/>
      <c r="L687" s="6"/>
      <c r="M687" s="6"/>
      <c r="N687" s="6"/>
      <c r="O687" s="6"/>
      <c r="P687" s="6"/>
      <c r="Q687" s="6"/>
      <c r="R687" s="6"/>
      <c r="S687" s="6"/>
      <c r="T687" s="6"/>
      <c r="U687" s="6"/>
      <c r="V687" s="6"/>
      <c r="W687" s="6"/>
      <c r="X687" s="6"/>
      <c r="Y687" s="6"/>
      <c r="Z687" s="6"/>
    </row>
    <row r="688" ht="60.0" customHeight="1">
      <c r="A688" s="6"/>
      <c r="B688" s="6"/>
      <c r="C688" s="6"/>
      <c r="D688" s="6"/>
      <c r="E688" s="17"/>
      <c r="F688" s="6"/>
      <c r="G688" s="6"/>
      <c r="H688" s="6"/>
      <c r="I688" s="6"/>
      <c r="J688" s="6"/>
      <c r="K688" s="6"/>
      <c r="L688" s="6"/>
      <c r="M688" s="6"/>
      <c r="N688" s="6"/>
      <c r="O688" s="6"/>
      <c r="P688" s="6"/>
      <c r="Q688" s="6"/>
      <c r="R688" s="6"/>
      <c r="S688" s="6"/>
      <c r="T688" s="6"/>
      <c r="U688" s="6"/>
      <c r="V688" s="6"/>
      <c r="W688" s="6"/>
      <c r="X688" s="6"/>
      <c r="Y688" s="6"/>
      <c r="Z688" s="6"/>
    </row>
    <row r="689" ht="60.0" customHeight="1">
      <c r="A689" s="6"/>
      <c r="B689" s="6"/>
      <c r="C689" s="6"/>
      <c r="D689" s="6"/>
      <c r="E689" s="17"/>
      <c r="F689" s="6"/>
      <c r="G689" s="6"/>
      <c r="H689" s="6"/>
      <c r="I689" s="6"/>
      <c r="J689" s="6"/>
      <c r="K689" s="6"/>
      <c r="L689" s="6"/>
      <c r="M689" s="6"/>
      <c r="N689" s="6"/>
      <c r="O689" s="6"/>
      <c r="P689" s="6"/>
      <c r="Q689" s="6"/>
      <c r="R689" s="6"/>
      <c r="S689" s="6"/>
      <c r="T689" s="6"/>
      <c r="U689" s="6"/>
      <c r="V689" s="6"/>
      <c r="W689" s="6"/>
      <c r="X689" s="6"/>
      <c r="Y689" s="6"/>
      <c r="Z689" s="6"/>
    </row>
    <row r="690" ht="60.0" customHeight="1">
      <c r="A690" s="6"/>
      <c r="B690" s="6"/>
      <c r="C690" s="6"/>
      <c r="D690" s="6"/>
      <c r="E690" s="17"/>
      <c r="F690" s="6"/>
      <c r="G690" s="6"/>
      <c r="H690" s="6"/>
      <c r="I690" s="6"/>
      <c r="J690" s="6"/>
      <c r="K690" s="6"/>
      <c r="L690" s="6"/>
      <c r="M690" s="6"/>
      <c r="N690" s="6"/>
      <c r="O690" s="6"/>
      <c r="P690" s="6"/>
      <c r="Q690" s="6"/>
      <c r="R690" s="6"/>
      <c r="S690" s="6"/>
      <c r="T690" s="6"/>
      <c r="U690" s="6"/>
      <c r="V690" s="6"/>
      <c r="W690" s="6"/>
      <c r="X690" s="6"/>
      <c r="Y690" s="6"/>
      <c r="Z690" s="6"/>
    </row>
    <row r="691" ht="60.0" customHeight="1">
      <c r="A691" s="6"/>
      <c r="B691" s="6"/>
      <c r="C691" s="6"/>
      <c r="D691" s="6"/>
      <c r="E691" s="17"/>
      <c r="F691" s="6"/>
      <c r="G691" s="6"/>
      <c r="H691" s="6"/>
      <c r="I691" s="6"/>
      <c r="J691" s="6"/>
      <c r="K691" s="6"/>
      <c r="L691" s="6"/>
      <c r="M691" s="6"/>
      <c r="N691" s="6"/>
      <c r="O691" s="6"/>
      <c r="P691" s="6"/>
      <c r="Q691" s="6"/>
      <c r="R691" s="6"/>
      <c r="S691" s="6"/>
      <c r="T691" s="6"/>
      <c r="U691" s="6"/>
      <c r="V691" s="6"/>
      <c r="W691" s="6"/>
      <c r="X691" s="6"/>
      <c r="Y691" s="6"/>
      <c r="Z691" s="6"/>
    </row>
    <row r="692" ht="60.0" customHeight="1">
      <c r="A692" s="6"/>
      <c r="B692" s="6"/>
      <c r="C692" s="6"/>
      <c r="D692" s="6"/>
      <c r="E692" s="17"/>
      <c r="F692" s="6"/>
      <c r="G692" s="6"/>
      <c r="H692" s="6"/>
      <c r="I692" s="6"/>
      <c r="J692" s="6"/>
      <c r="K692" s="6"/>
      <c r="L692" s="6"/>
      <c r="M692" s="6"/>
      <c r="N692" s="6"/>
      <c r="O692" s="6"/>
      <c r="P692" s="6"/>
      <c r="Q692" s="6"/>
      <c r="R692" s="6"/>
      <c r="S692" s="6"/>
      <c r="T692" s="6"/>
      <c r="U692" s="6"/>
      <c r="V692" s="6"/>
      <c r="W692" s="6"/>
      <c r="X692" s="6"/>
      <c r="Y692" s="6"/>
      <c r="Z692" s="6"/>
    </row>
    <row r="693" ht="60.0" customHeight="1">
      <c r="A693" s="6"/>
      <c r="B693" s="6"/>
      <c r="C693" s="6"/>
      <c r="D693" s="6"/>
      <c r="E693" s="17"/>
      <c r="F693" s="6"/>
      <c r="G693" s="6"/>
      <c r="H693" s="6"/>
      <c r="I693" s="6"/>
      <c r="J693" s="6"/>
      <c r="K693" s="6"/>
      <c r="L693" s="6"/>
      <c r="M693" s="6"/>
      <c r="N693" s="6"/>
      <c r="O693" s="6"/>
      <c r="P693" s="6"/>
      <c r="Q693" s="6"/>
      <c r="R693" s="6"/>
      <c r="S693" s="6"/>
      <c r="T693" s="6"/>
      <c r="U693" s="6"/>
      <c r="V693" s="6"/>
      <c r="W693" s="6"/>
      <c r="X693" s="6"/>
      <c r="Y693" s="6"/>
      <c r="Z693" s="6"/>
    </row>
    <row r="694" ht="60.0" customHeight="1">
      <c r="A694" s="6"/>
      <c r="B694" s="6"/>
      <c r="C694" s="6"/>
      <c r="D694" s="6"/>
      <c r="E694" s="17"/>
      <c r="F694" s="6"/>
      <c r="G694" s="6"/>
      <c r="H694" s="6"/>
      <c r="I694" s="6"/>
      <c r="J694" s="6"/>
      <c r="K694" s="6"/>
      <c r="L694" s="6"/>
      <c r="M694" s="6"/>
      <c r="N694" s="6"/>
      <c r="O694" s="6"/>
      <c r="P694" s="6"/>
      <c r="Q694" s="6"/>
      <c r="R694" s="6"/>
      <c r="S694" s="6"/>
      <c r="T694" s="6"/>
      <c r="U694" s="6"/>
      <c r="V694" s="6"/>
      <c r="W694" s="6"/>
      <c r="X694" s="6"/>
      <c r="Y694" s="6"/>
      <c r="Z694" s="6"/>
    </row>
    <row r="695" ht="60.0" customHeight="1">
      <c r="A695" s="6"/>
      <c r="B695" s="6"/>
      <c r="C695" s="6"/>
      <c r="D695" s="6"/>
      <c r="E695" s="17"/>
      <c r="F695" s="6"/>
      <c r="G695" s="6"/>
      <c r="H695" s="6"/>
      <c r="I695" s="6"/>
      <c r="J695" s="6"/>
      <c r="K695" s="6"/>
      <c r="L695" s="6"/>
      <c r="M695" s="6"/>
      <c r="N695" s="6"/>
      <c r="O695" s="6"/>
      <c r="P695" s="6"/>
      <c r="Q695" s="6"/>
      <c r="R695" s="6"/>
      <c r="S695" s="6"/>
      <c r="T695" s="6"/>
      <c r="U695" s="6"/>
      <c r="V695" s="6"/>
      <c r="W695" s="6"/>
      <c r="X695" s="6"/>
      <c r="Y695" s="6"/>
      <c r="Z695" s="6"/>
    </row>
    <row r="696" ht="60.0" customHeight="1">
      <c r="A696" s="6"/>
      <c r="B696" s="6"/>
      <c r="C696" s="6"/>
      <c r="D696" s="6"/>
      <c r="E696" s="17"/>
      <c r="F696" s="6"/>
      <c r="G696" s="6"/>
      <c r="H696" s="6"/>
      <c r="I696" s="6"/>
      <c r="J696" s="6"/>
      <c r="K696" s="6"/>
      <c r="L696" s="6"/>
      <c r="M696" s="6"/>
      <c r="N696" s="6"/>
      <c r="O696" s="6"/>
      <c r="P696" s="6"/>
      <c r="Q696" s="6"/>
      <c r="R696" s="6"/>
      <c r="S696" s="6"/>
      <c r="T696" s="6"/>
      <c r="U696" s="6"/>
      <c r="V696" s="6"/>
      <c r="W696" s="6"/>
      <c r="X696" s="6"/>
      <c r="Y696" s="6"/>
      <c r="Z696" s="6"/>
    </row>
    <row r="697" ht="60.0" customHeight="1">
      <c r="A697" s="6"/>
      <c r="B697" s="6"/>
      <c r="C697" s="6"/>
      <c r="D697" s="6"/>
      <c r="E697" s="17"/>
      <c r="F697" s="6"/>
      <c r="G697" s="6"/>
      <c r="H697" s="6"/>
      <c r="I697" s="6"/>
      <c r="J697" s="6"/>
      <c r="K697" s="6"/>
      <c r="L697" s="6"/>
      <c r="M697" s="6"/>
      <c r="N697" s="6"/>
      <c r="O697" s="6"/>
      <c r="P697" s="6"/>
      <c r="Q697" s="6"/>
      <c r="R697" s="6"/>
      <c r="S697" s="6"/>
      <c r="T697" s="6"/>
      <c r="U697" s="6"/>
      <c r="V697" s="6"/>
      <c r="W697" s="6"/>
      <c r="X697" s="6"/>
      <c r="Y697" s="6"/>
      <c r="Z697" s="6"/>
    </row>
    <row r="698" ht="60.0" customHeight="1">
      <c r="A698" s="6"/>
      <c r="B698" s="6"/>
      <c r="C698" s="6"/>
      <c r="D698" s="6"/>
      <c r="E698" s="17"/>
      <c r="F698" s="6"/>
      <c r="G698" s="6"/>
      <c r="H698" s="6"/>
      <c r="I698" s="6"/>
      <c r="J698" s="6"/>
      <c r="K698" s="6"/>
      <c r="L698" s="6"/>
      <c r="M698" s="6"/>
      <c r="N698" s="6"/>
      <c r="O698" s="6"/>
      <c r="P698" s="6"/>
      <c r="Q698" s="6"/>
      <c r="R698" s="6"/>
      <c r="S698" s="6"/>
      <c r="T698" s="6"/>
      <c r="U698" s="6"/>
      <c r="V698" s="6"/>
      <c r="W698" s="6"/>
      <c r="X698" s="6"/>
      <c r="Y698" s="6"/>
      <c r="Z698" s="6"/>
    </row>
    <row r="699" ht="60.0" customHeight="1">
      <c r="A699" s="6"/>
      <c r="B699" s="6"/>
      <c r="C699" s="6"/>
      <c r="D699" s="6"/>
      <c r="E699" s="17"/>
      <c r="F699" s="6"/>
      <c r="G699" s="6"/>
      <c r="H699" s="6"/>
      <c r="I699" s="6"/>
      <c r="J699" s="6"/>
      <c r="K699" s="6"/>
      <c r="L699" s="6"/>
      <c r="M699" s="6"/>
      <c r="N699" s="6"/>
      <c r="O699" s="6"/>
      <c r="P699" s="6"/>
      <c r="Q699" s="6"/>
      <c r="R699" s="6"/>
      <c r="S699" s="6"/>
      <c r="T699" s="6"/>
      <c r="U699" s="6"/>
      <c r="V699" s="6"/>
      <c r="W699" s="6"/>
      <c r="X699" s="6"/>
      <c r="Y699" s="6"/>
      <c r="Z699" s="6"/>
    </row>
    <row r="700" ht="60.0" customHeight="1">
      <c r="A700" s="6"/>
      <c r="B700" s="6"/>
      <c r="C700" s="6"/>
      <c r="D700" s="6"/>
      <c r="E700" s="17"/>
      <c r="F700" s="6"/>
      <c r="G700" s="6"/>
      <c r="H700" s="6"/>
      <c r="I700" s="6"/>
      <c r="J700" s="6"/>
      <c r="K700" s="6"/>
      <c r="L700" s="6"/>
      <c r="M700" s="6"/>
      <c r="N700" s="6"/>
      <c r="O700" s="6"/>
      <c r="P700" s="6"/>
      <c r="Q700" s="6"/>
      <c r="R700" s="6"/>
      <c r="S700" s="6"/>
      <c r="T700" s="6"/>
      <c r="U700" s="6"/>
      <c r="V700" s="6"/>
      <c r="W700" s="6"/>
      <c r="X700" s="6"/>
      <c r="Y700" s="6"/>
      <c r="Z700" s="6"/>
    </row>
    <row r="701" ht="60.0" customHeight="1">
      <c r="A701" s="6"/>
      <c r="B701" s="6"/>
      <c r="C701" s="6"/>
      <c r="D701" s="6"/>
      <c r="E701" s="17"/>
      <c r="F701" s="6"/>
      <c r="G701" s="6"/>
      <c r="H701" s="6"/>
      <c r="I701" s="6"/>
      <c r="J701" s="6"/>
      <c r="K701" s="6"/>
      <c r="L701" s="6"/>
      <c r="M701" s="6"/>
      <c r="N701" s="6"/>
      <c r="O701" s="6"/>
      <c r="P701" s="6"/>
      <c r="Q701" s="6"/>
      <c r="R701" s="6"/>
      <c r="S701" s="6"/>
      <c r="T701" s="6"/>
      <c r="U701" s="6"/>
      <c r="V701" s="6"/>
      <c r="W701" s="6"/>
      <c r="X701" s="6"/>
      <c r="Y701" s="6"/>
      <c r="Z701" s="6"/>
    </row>
    <row r="702" ht="60.0" customHeight="1">
      <c r="A702" s="6"/>
      <c r="B702" s="6"/>
      <c r="C702" s="6"/>
      <c r="D702" s="6"/>
      <c r="E702" s="17"/>
      <c r="F702" s="6"/>
      <c r="G702" s="6"/>
      <c r="H702" s="6"/>
      <c r="I702" s="6"/>
      <c r="J702" s="6"/>
      <c r="K702" s="6"/>
      <c r="L702" s="6"/>
      <c r="M702" s="6"/>
      <c r="N702" s="6"/>
      <c r="O702" s="6"/>
      <c r="P702" s="6"/>
      <c r="Q702" s="6"/>
      <c r="R702" s="6"/>
      <c r="S702" s="6"/>
      <c r="T702" s="6"/>
      <c r="U702" s="6"/>
      <c r="V702" s="6"/>
      <c r="W702" s="6"/>
      <c r="X702" s="6"/>
      <c r="Y702" s="6"/>
      <c r="Z702" s="6"/>
    </row>
    <row r="703" ht="60.0" customHeight="1">
      <c r="A703" s="6"/>
      <c r="B703" s="6"/>
      <c r="C703" s="6"/>
      <c r="D703" s="6"/>
      <c r="E703" s="17"/>
      <c r="F703" s="6"/>
      <c r="G703" s="6"/>
      <c r="H703" s="6"/>
      <c r="I703" s="6"/>
      <c r="J703" s="6"/>
      <c r="K703" s="6"/>
      <c r="L703" s="6"/>
      <c r="M703" s="6"/>
      <c r="N703" s="6"/>
      <c r="O703" s="6"/>
      <c r="P703" s="6"/>
      <c r="Q703" s="6"/>
      <c r="R703" s="6"/>
      <c r="S703" s="6"/>
      <c r="T703" s="6"/>
      <c r="U703" s="6"/>
      <c r="V703" s="6"/>
      <c r="W703" s="6"/>
      <c r="X703" s="6"/>
      <c r="Y703" s="6"/>
      <c r="Z703" s="6"/>
    </row>
    <row r="704" ht="60.0" customHeight="1">
      <c r="A704" s="6"/>
      <c r="B704" s="6"/>
      <c r="C704" s="6"/>
      <c r="D704" s="6"/>
      <c r="E704" s="17"/>
      <c r="F704" s="6"/>
      <c r="G704" s="6"/>
      <c r="H704" s="6"/>
      <c r="I704" s="6"/>
      <c r="J704" s="6"/>
      <c r="K704" s="6"/>
      <c r="L704" s="6"/>
      <c r="M704" s="6"/>
      <c r="N704" s="6"/>
      <c r="O704" s="6"/>
      <c r="P704" s="6"/>
      <c r="Q704" s="6"/>
      <c r="R704" s="6"/>
      <c r="S704" s="6"/>
      <c r="T704" s="6"/>
      <c r="U704" s="6"/>
      <c r="V704" s="6"/>
      <c r="W704" s="6"/>
      <c r="X704" s="6"/>
      <c r="Y704" s="6"/>
      <c r="Z704" s="6"/>
    </row>
    <row r="705" ht="60.0" customHeight="1">
      <c r="A705" s="6"/>
      <c r="B705" s="6"/>
      <c r="C705" s="6"/>
      <c r="D705" s="6"/>
      <c r="E705" s="17"/>
      <c r="F705" s="6"/>
      <c r="G705" s="6"/>
      <c r="H705" s="6"/>
      <c r="I705" s="6"/>
      <c r="J705" s="6"/>
      <c r="K705" s="6"/>
      <c r="L705" s="6"/>
      <c r="M705" s="6"/>
      <c r="N705" s="6"/>
      <c r="O705" s="6"/>
      <c r="P705" s="6"/>
      <c r="Q705" s="6"/>
      <c r="R705" s="6"/>
      <c r="S705" s="6"/>
      <c r="T705" s="6"/>
      <c r="U705" s="6"/>
      <c r="V705" s="6"/>
      <c r="W705" s="6"/>
      <c r="X705" s="6"/>
      <c r="Y705" s="6"/>
      <c r="Z705" s="6"/>
    </row>
    <row r="706" ht="60.0" customHeight="1">
      <c r="A706" s="6"/>
      <c r="B706" s="6"/>
      <c r="C706" s="6"/>
      <c r="D706" s="6"/>
      <c r="E706" s="17"/>
      <c r="F706" s="6"/>
      <c r="G706" s="6"/>
      <c r="H706" s="6"/>
      <c r="I706" s="6"/>
      <c r="J706" s="6"/>
      <c r="K706" s="6"/>
      <c r="L706" s="6"/>
      <c r="M706" s="6"/>
      <c r="N706" s="6"/>
      <c r="O706" s="6"/>
      <c r="P706" s="6"/>
      <c r="Q706" s="6"/>
      <c r="R706" s="6"/>
      <c r="S706" s="6"/>
      <c r="T706" s="6"/>
      <c r="U706" s="6"/>
      <c r="V706" s="6"/>
      <c r="W706" s="6"/>
      <c r="X706" s="6"/>
      <c r="Y706" s="6"/>
      <c r="Z706" s="6"/>
    </row>
    <row r="707" ht="60.0" customHeight="1">
      <c r="A707" s="6"/>
      <c r="B707" s="6"/>
      <c r="C707" s="6"/>
      <c r="D707" s="6"/>
      <c r="E707" s="17"/>
      <c r="F707" s="6"/>
      <c r="G707" s="6"/>
      <c r="H707" s="6"/>
      <c r="I707" s="6"/>
      <c r="J707" s="6"/>
      <c r="K707" s="6"/>
      <c r="L707" s="6"/>
      <c r="M707" s="6"/>
      <c r="N707" s="6"/>
      <c r="O707" s="6"/>
      <c r="P707" s="6"/>
      <c r="Q707" s="6"/>
      <c r="R707" s="6"/>
      <c r="S707" s="6"/>
      <c r="T707" s="6"/>
      <c r="U707" s="6"/>
      <c r="V707" s="6"/>
      <c r="W707" s="6"/>
      <c r="X707" s="6"/>
      <c r="Y707" s="6"/>
      <c r="Z707" s="6"/>
    </row>
    <row r="708" ht="60.0" customHeight="1">
      <c r="A708" s="6"/>
      <c r="B708" s="6"/>
      <c r="C708" s="6"/>
      <c r="D708" s="6"/>
      <c r="E708" s="17"/>
      <c r="F708" s="6"/>
      <c r="G708" s="6"/>
      <c r="H708" s="6"/>
      <c r="I708" s="6"/>
      <c r="J708" s="6"/>
      <c r="K708" s="6"/>
      <c r="L708" s="6"/>
      <c r="M708" s="6"/>
      <c r="N708" s="6"/>
      <c r="O708" s="6"/>
      <c r="P708" s="6"/>
      <c r="Q708" s="6"/>
      <c r="R708" s="6"/>
      <c r="S708" s="6"/>
      <c r="T708" s="6"/>
      <c r="U708" s="6"/>
      <c r="V708" s="6"/>
      <c r="W708" s="6"/>
      <c r="X708" s="6"/>
      <c r="Y708" s="6"/>
      <c r="Z708" s="6"/>
    </row>
    <row r="709" ht="60.0" customHeight="1">
      <c r="A709" s="6"/>
      <c r="B709" s="6"/>
      <c r="C709" s="6"/>
      <c r="D709" s="6"/>
      <c r="E709" s="17"/>
      <c r="F709" s="6"/>
      <c r="G709" s="6"/>
      <c r="H709" s="6"/>
      <c r="I709" s="6"/>
      <c r="J709" s="6"/>
      <c r="K709" s="6"/>
      <c r="L709" s="6"/>
      <c r="M709" s="6"/>
      <c r="N709" s="6"/>
      <c r="O709" s="6"/>
      <c r="P709" s="6"/>
      <c r="Q709" s="6"/>
      <c r="R709" s="6"/>
      <c r="S709" s="6"/>
      <c r="T709" s="6"/>
      <c r="U709" s="6"/>
      <c r="V709" s="6"/>
      <c r="W709" s="6"/>
      <c r="X709" s="6"/>
      <c r="Y709" s="6"/>
      <c r="Z709" s="6"/>
    </row>
    <row r="710" ht="60.0" customHeight="1">
      <c r="A710" s="6"/>
      <c r="B710" s="6"/>
      <c r="C710" s="6"/>
      <c r="D710" s="6"/>
      <c r="E710" s="17"/>
      <c r="F710" s="6"/>
      <c r="G710" s="6"/>
      <c r="H710" s="6"/>
      <c r="I710" s="6"/>
      <c r="J710" s="6"/>
      <c r="K710" s="6"/>
      <c r="L710" s="6"/>
      <c r="M710" s="6"/>
      <c r="N710" s="6"/>
      <c r="O710" s="6"/>
      <c r="P710" s="6"/>
      <c r="Q710" s="6"/>
      <c r="R710" s="6"/>
      <c r="S710" s="6"/>
      <c r="T710" s="6"/>
      <c r="U710" s="6"/>
      <c r="V710" s="6"/>
      <c r="W710" s="6"/>
      <c r="X710" s="6"/>
      <c r="Y710" s="6"/>
      <c r="Z710" s="6"/>
    </row>
    <row r="711" ht="60.0" customHeight="1">
      <c r="A711" s="6"/>
      <c r="B711" s="6"/>
      <c r="C711" s="6"/>
      <c r="D711" s="6"/>
      <c r="E711" s="17"/>
      <c r="F711" s="6"/>
      <c r="G711" s="6"/>
      <c r="H711" s="6"/>
      <c r="I711" s="6"/>
      <c r="J711" s="6"/>
      <c r="K711" s="6"/>
      <c r="L711" s="6"/>
      <c r="M711" s="6"/>
      <c r="N711" s="6"/>
      <c r="O711" s="6"/>
      <c r="P711" s="6"/>
      <c r="Q711" s="6"/>
      <c r="R711" s="6"/>
      <c r="S711" s="6"/>
      <c r="T711" s="6"/>
      <c r="U711" s="6"/>
      <c r="V711" s="6"/>
      <c r="W711" s="6"/>
      <c r="X711" s="6"/>
      <c r="Y711" s="6"/>
      <c r="Z711" s="6"/>
    </row>
    <row r="712" ht="60.0" customHeight="1">
      <c r="A712" s="6"/>
      <c r="B712" s="6"/>
      <c r="C712" s="6"/>
      <c r="D712" s="6"/>
      <c r="E712" s="17"/>
      <c r="F712" s="6"/>
      <c r="G712" s="6"/>
      <c r="H712" s="6"/>
      <c r="I712" s="6"/>
      <c r="J712" s="6"/>
      <c r="K712" s="6"/>
      <c r="L712" s="6"/>
      <c r="M712" s="6"/>
      <c r="N712" s="6"/>
      <c r="O712" s="6"/>
      <c r="P712" s="6"/>
      <c r="Q712" s="6"/>
      <c r="R712" s="6"/>
      <c r="S712" s="6"/>
      <c r="T712" s="6"/>
      <c r="U712" s="6"/>
      <c r="V712" s="6"/>
      <c r="W712" s="6"/>
      <c r="X712" s="6"/>
      <c r="Y712" s="6"/>
      <c r="Z712" s="6"/>
    </row>
    <row r="713" ht="60.0" customHeight="1">
      <c r="A713" s="6"/>
      <c r="B713" s="6"/>
      <c r="C713" s="6"/>
      <c r="D713" s="6"/>
      <c r="E713" s="17"/>
      <c r="F713" s="6"/>
      <c r="G713" s="6"/>
      <c r="H713" s="6"/>
      <c r="I713" s="6"/>
      <c r="J713" s="6"/>
      <c r="K713" s="6"/>
      <c r="L713" s="6"/>
      <c r="M713" s="6"/>
      <c r="N713" s="6"/>
      <c r="O713" s="6"/>
      <c r="P713" s="6"/>
      <c r="Q713" s="6"/>
      <c r="R713" s="6"/>
      <c r="S713" s="6"/>
      <c r="T713" s="6"/>
      <c r="U713" s="6"/>
      <c r="V713" s="6"/>
      <c r="W713" s="6"/>
      <c r="X713" s="6"/>
      <c r="Y713" s="6"/>
      <c r="Z713" s="6"/>
    </row>
    <row r="714" ht="60.0" customHeight="1">
      <c r="A714" s="6"/>
      <c r="B714" s="6"/>
      <c r="C714" s="6"/>
      <c r="D714" s="6"/>
      <c r="E714" s="17"/>
      <c r="F714" s="6"/>
      <c r="G714" s="6"/>
      <c r="H714" s="6"/>
      <c r="I714" s="6"/>
      <c r="J714" s="6"/>
      <c r="K714" s="6"/>
      <c r="L714" s="6"/>
      <c r="M714" s="6"/>
      <c r="N714" s="6"/>
      <c r="O714" s="6"/>
      <c r="P714" s="6"/>
      <c r="Q714" s="6"/>
      <c r="R714" s="6"/>
      <c r="S714" s="6"/>
      <c r="T714" s="6"/>
      <c r="U714" s="6"/>
      <c r="V714" s="6"/>
      <c r="W714" s="6"/>
      <c r="X714" s="6"/>
      <c r="Y714" s="6"/>
      <c r="Z714" s="6"/>
    </row>
    <row r="715" ht="60.0" customHeight="1">
      <c r="A715" s="6"/>
      <c r="B715" s="6"/>
      <c r="C715" s="6"/>
      <c r="D715" s="6"/>
      <c r="E715" s="17"/>
      <c r="F715" s="6"/>
      <c r="G715" s="6"/>
      <c r="H715" s="6"/>
      <c r="I715" s="6"/>
      <c r="J715" s="6"/>
      <c r="K715" s="6"/>
      <c r="L715" s="6"/>
      <c r="M715" s="6"/>
      <c r="N715" s="6"/>
      <c r="O715" s="6"/>
      <c r="P715" s="6"/>
      <c r="Q715" s="6"/>
      <c r="R715" s="6"/>
      <c r="S715" s="6"/>
      <c r="T715" s="6"/>
      <c r="U715" s="6"/>
      <c r="V715" s="6"/>
      <c r="W715" s="6"/>
      <c r="X715" s="6"/>
      <c r="Y715" s="6"/>
      <c r="Z715" s="6"/>
    </row>
    <row r="716" ht="60.0" customHeight="1">
      <c r="A716" s="6"/>
      <c r="B716" s="6"/>
      <c r="C716" s="6"/>
      <c r="D716" s="6"/>
      <c r="E716" s="17"/>
      <c r="F716" s="6"/>
      <c r="G716" s="6"/>
      <c r="H716" s="6"/>
      <c r="I716" s="6"/>
      <c r="J716" s="6"/>
      <c r="K716" s="6"/>
      <c r="L716" s="6"/>
      <c r="M716" s="6"/>
      <c r="N716" s="6"/>
      <c r="O716" s="6"/>
      <c r="P716" s="6"/>
      <c r="Q716" s="6"/>
      <c r="R716" s="6"/>
      <c r="S716" s="6"/>
      <c r="T716" s="6"/>
      <c r="U716" s="6"/>
      <c r="V716" s="6"/>
      <c r="W716" s="6"/>
      <c r="X716" s="6"/>
      <c r="Y716" s="6"/>
      <c r="Z716" s="6"/>
    </row>
    <row r="717" ht="60.0" customHeight="1">
      <c r="A717" s="6"/>
      <c r="B717" s="6"/>
      <c r="C717" s="6"/>
      <c r="D717" s="6"/>
      <c r="E717" s="17"/>
      <c r="F717" s="6"/>
      <c r="G717" s="6"/>
      <c r="H717" s="6"/>
      <c r="I717" s="6"/>
      <c r="J717" s="6"/>
      <c r="K717" s="6"/>
      <c r="L717" s="6"/>
      <c r="M717" s="6"/>
      <c r="N717" s="6"/>
      <c r="O717" s="6"/>
      <c r="P717" s="6"/>
      <c r="Q717" s="6"/>
      <c r="R717" s="6"/>
      <c r="S717" s="6"/>
      <c r="T717" s="6"/>
      <c r="U717" s="6"/>
      <c r="V717" s="6"/>
      <c r="W717" s="6"/>
      <c r="X717" s="6"/>
      <c r="Y717" s="6"/>
      <c r="Z717" s="6"/>
    </row>
    <row r="718" ht="60.0" customHeight="1">
      <c r="A718" s="6"/>
      <c r="B718" s="6"/>
      <c r="C718" s="6"/>
      <c r="D718" s="6"/>
      <c r="E718" s="17"/>
      <c r="F718" s="6"/>
      <c r="G718" s="6"/>
      <c r="H718" s="6"/>
      <c r="I718" s="6"/>
      <c r="J718" s="6"/>
      <c r="K718" s="6"/>
      <c r="L718" s="6"/>
      <c r="M718" s="6"/>
      <c r="N718" s="6"/>
      <c r="O718" s="6"/>
      <c r="P718" s="6"/>
      <c r="Q718" s="6"/>
      <c r="R718" s="6"/>
      <c r="S718" s="6"/>
      <c r="T718" s="6"/>
      <c r="U718" s="6"/>
      <c r="V718" s="6"/>
      <c r="W718" s="6"/>
      <c r="X718" s="6"/>
      <c r="Y718" s="6"/>
      <c r="Z718" s="6"/>
    </row>
    <row r="719" ht="60.0" customHeight="1">
      <c r="A719" s="6"/>
      <c r="B719" s="6"/>
      <c r="C719" s="6"/>
      <c r="D719" s="6"/>
      <c r="E719" s="17"/>
      <c r="F719" s="6"/>
      <c r="G719" s="6"/>
      <c r="H719" s="6"/>
      <c r="I719" s="6"/>
      <c r="J719" s="6"/>
      <c r="K719" s="6"/>
      <c r="L719" s="6"/>
      <c r="M719" s="6"/>
      <c r="N719" s="6"/>
      <c r="O719" s="6"/>
      <c r="P719" s="6"/>
      <c r="Q719" s="6"/>
      <c r="R719" s="6"/>
      <c r="S719" s="6"/>
      <c r="T719" s="6"/>
      <c r="U719" s="6"/>
      <c r="V719" s="6"/>
      <c r="W719" s="6"/>
      <c r="X719" s="6"/>
      <c r="Y719" s="6"/>
      <c r="Z719" s="6"/>
    </row>
    <row r="720" ht="60.0" customHeight="1">
      <c r="A720" s="6"/>
      <c r="B720" s="6"/>
      <c r="C720" s="6"/>
      <c r="D720" s="6"/>
      <c r="E720" s="17"/>
      <c r="F720" s="6"/>
      <c r="G720" s="6"/>
      <c r="H720" s="6"/>
      <c r="I720" s="6"/>
      <c r="J720" s="6"/>
      <c r="K720" s="6"/>
      <c r="L720" s="6"/>
      <c r="M720" s="6"/>
      <c r="N720" s="6"/>
      <c r="O720" s="6"/>
      <c r="P720" s="6"/>
      <c r="Q720" s="6"/>
      <c r="R720" s="6"/>
      <c r="S720" s="6"/>
      <c r="T720" s="6"/>
      <c r="U720" s="6"/>
      <c r="V720" s="6"/>
      <c r="W720" s="6"/>
      <c r="X720" s="6"/>
      <c r="Y720" s="6"/>
      <c r="Z720" s="6"/>
    </row>
    <row r="721" ht="60.0" customHeight="1">
      <c r="A721" s="6"/>
      <c r="B721" s="6"/>
      <c r="C721" s="6"/>
      <c r="D721" s="6"/>
      <c r="E721" s="17"/>
      <c r="F721" s="6"/>
      <c r="G721" s="6"/>
      <c r="H721" s="6"/>
      <c r="I721" s="6"/>
      <c r="J721" s="6"/>
      <c r="K721" s="6"/>
      <c r="L721" s="6"/>
      <c r="M721" s="6"/>
      <c r="N721" s="6"/>
      <c r="O721" s="6"/>
      <c r="P721" s="6"/>
      <c r="Q721" s="6"/>
      <c r="R721" s="6"/>
      <c r="S721" s="6"/>
      <c r="T721" s="6"/>
      <c r="U721" s="6"/>
      <c r="V721" s="6"/>
      <c r="W721" s="6"/>
      <c r="X721" s="6"/>
      <c r="Y721" s="6"/>
      <c r="Z721" s="6"/>
    </row>
    <row r="722" ht="60.0" customHeight="1">
      <c r="A722" s="6"/>
      <c r="B722" s="6"/>
      <c r="C722" s="6"/>
      <c r="D722" s="6"/>
      <c r="E722" s="17"/>
      <c r="F722" s="6"/>
      <c r="G722" s="6"/>
      <c r="H722" s="6"/>
      <c r="I722" s="6"/>
      <c r="J722" s="6"/>
      <c r="K722" s="6"/>
      <c r="L722" s="6"/>
      <c r="M722" s="6"/>
      <c r="N722" s="6"/>
      <c r="O722" s="6"/>
      <c r="P722" s="6"/>
      <c r="Q722" s="6"/>
      <c r="R722" s="6"/>
      <c r="S722" s="6"/>
      <c r="T722" s="6"/>
      <c r="U722" s="6"/>
      <c r="V722" s="6"/>
      <c r="W722" s="6"/>
      <c r="X722" s="6"/>
      <c r="Y722" s="6"/>
      <c r="Z722" s="6"/>
    </row>
    <row r="723" ht="60.0" customHeight="1">
      <c r="A723" s="6"/>
      <c r="B723" s="6"/>
      <c r="C723" s="6"/>
      <c r="D723" s="6"/>
      <c r="E723" s="17"/>
      <c r="F723" s="6"/>
      <c r="G723" s="6"/>
      <c r="H723" s="6"/>
      <c r="I723" s="6"/>
      <c r="J723" s="6"/>
      <c r="K723" s="6"/>
      <c r="L723" s="6"/>
      <c r="M723" s="6"/>
      <c r="N723" s="6"/>
      <c r="O723" s="6"/>
      <c r="P723" s="6"/>
      <c r="Q723" s="6"/>
      <c r="R723" s="6"/>
      <c r="S723" s="6"/>
      <c r="T723" s="6"/>
      <c r="U723" s="6"/>
      <c r="V723" s="6"/>
      <c r="W723" s="6"/>
      <c r="X723" s="6"/>
      <c r="Y723" s="6"/>
      <c r="Z723" s="6"/>
    </row>
    <row r="724" ht="60.0" customHeight="1">
      <c r="A724" s="6"/>
      <c r="B724" s="6"/>
      <c r="C724" s="6"/>
      <c r="D724" s="6"/>
      <c r="E724" s="17"/>
      <c r="F724" s="6"/>
      <c r="G724" s="6"/>
      <c r="H724" s="6"/>
      <c r="I724" s="6"/>
      <c r="J724" s="6"/>
      <c r="K724" s="6"/>
      <c r="L724" s="6"/>
      <c r="M724" s="6"/>
      <c r="N724" s="6"/>
      <c r="O724" s="6"/>
      <c r="P724" s="6"/>
      <c r="Q724" s="6"/>
      <c r="R724" s="6"/>
      <c r="S724" s="6"/>
      <c r="T724" s="6"/>
      <c r="U724" s="6"/>
      <c r="V724" s="6"/>
      <c r="W724" s="6"/>
      <c r="X724" s="6"/>
      <c r="Y724" s="6"/>
      <c r="Z724" s="6"/>
    </row>
    <row r="725" ht="60.0" customHeight="1">
      <c r="A725" s="6"/>
      <c r="B725" s="6"/>
      <c r="C725" s="6"/>
      <c r="D725" s="6"/>
      <c r="E725" s="17"/>
      <c r="F725" s="6"/>
      <c r="G725" s="6"/>
      <c r="H725" s="6"/>
      <c r="I725" s="6"/>
      <c r="J725" s="6"/>
      <c r="K725" s="6"/>
      <c r="L725" s="6"/>
      <c r="M725" s="6"/>
      <c r="N725" s="6"/>
      <c r="O725" s="6"/>
      <c r="P725" s="6"/>
      <c r="Q725" s="6"/>
      <c r="R725" s="6"/>
      <c r="S725" s="6"/>
      <c r="T725" s="6"/>
      <c r="U725" s="6"/>
      <c r="V725" s="6"/>
      <c r="W725" s="6"/>
      <c r="X725" s="6"/>
      <c r="Y725" s="6"/>
      <c r="Z725" s="6"/>
    </row>
    <row r="726" ht="60.0" customHeight="1">
      <c r="A726" s="6"/>
      <c r="B726" s="6"/>
      <c r="C726" s="6"/>
      <c r="D726" s="6"/>
      <c r="E726" s="17"/>
      <c r="F726" s="6"/>
      <c r="G726" s="6"/>
      <c r="H726" s="6"/>
      <c r="I726" s="6"/>
      <c r="J726" s="6"/>
      <c r="K726" s="6"/>
      <c r="L726" s="6"/>
      <c r="M726" s="6"/>
      <c r="N726" s="6"/>
      <c r="O726" s="6"/>
      <c r="P726" s="6"/>
      <c r="Q726" s="6"/>
      <c r="R726" s="6"/>
      <c r="S726" s="6"/>
      <c r="T726" s="6"/>
      <c r="U726" s="6"/>
      <c r="V726" s="6"/>
      <c r="W726" s="6"/>
      <c r="X726" s="6"/>
      <c r="Y726" s="6"/>
      <c r="Z726" s="6"/>
    </row>
    <row r="727" ht="60.0" customHeight="1">
      <c r="A727" s="6"/>
      <c r="B727" s="6"/>
      <c r="C727" s="6"/>
      <c r="D727" s="6"/>
      <c r="E727" s="17"/>
      <c r="F727" s="6"/>
      <c r="G727" s="6"/>
      <c r="H727" s="6"/>
      <c r="I727" s="6"/>
      <c r="J727" s="6"/>
      <c r="K727" s="6"/>
      <c r="L727" s="6"/>
      <c r="M727" s="6"/>
      <c r="N727" s="6"/>
      <c r="O727" s="6"/>
      <c r="P727" s="6"/>
      <c r="Q727" s="6"/>
      <c r="R727" s="6"/>
      <c r="S727" s="6"/>
      <c r="T727" s="6"/>
      <c r="U727" s="6"/>
      <c r="V727" s="6"/>
      <c r="W727" s="6"/>
      <c r="X727" s="6"/>
      <c r="Y727" s="6"/>
      <c r="Z727" s="6"/>
    </row>
    <row r="728" ht="60.0" customHeight="1">
      <c r="A728" s="6"/>
      <c r="B728" s="6"/>
      <c r="C728" s="6"/>
      <c r="D728" s="6"/>
      <c r="E728" s="17"/>
      <c r="F728" s="6"/>
      <c r="G728" s="6"/>
      <c r="H728" s="6"/>
      <c r="I728" s="6"/>
      <c r="J728" s="6"/>
      <c r="K728" s="6"/>
      <c r="L728" s="6"/>
      <c r="M728" s="6"/>
      <c r="N728" s="6"/>
      <c r="O728" s="6"/>
      <c r="P728" s="6"/>
      <c r="Q728" s="6"/>
      <c r="R728" s="6"/>
      <c r="S728" s="6"/>
      <c r="T728" s="6"/>
      <c r="U728" s="6"/>
      <c r="V728" s="6"/>
      <c r="W728" s="6"/>
      <c r="X728" s="6"/>
      <c r="Y728" s="6"/>
      <c r="Z728" s="6"/>
    </row>
    <row r="729" ht="60.0" customHeight="1">
      <c r="A729" s="6"/>
      <c r="B729" s="6"/>
      <c r="C729" s="6"/>
      <c r="D729" s="6"/>
      <c r="E729" s="17"/>
      <c r="F729" s="6"/>
      <c r="G729" s="6"/>
      <c r="H729" s="6"/>
      <c r="I729" s="6"/>
      <c r="J729" s="6"/>
      <c r="K729" s="6"/>
      <c r="L729" s="6"/>
      <c r="M729" s="6"/>
      <c r="N729" s="6"/>
      <c r="O729" s="6"/>
      <c r="P729" s="6"/>
      <c r="Q729" s="6"/>
      <c r="R729" s="6"/>
      <c r="S729" s="6"/>
      <c r="T729" s="6"/>
      <c r="U729" s="6"/>
      <c r="V729" s="6"/>
      <c r="W729" s="6"/>
      <c r="X729" s="6"/>
      <c r="Y729" s="6"/>
      <c r="Z729" s="6"/>
    </row>
    <row r="730" ht="60.0" customHeight="1">
      <c r="A730" s="6"/>
      <c r="B730" s="6"/>
      <c r="C730" s="6"/>
      <c r="D730" s="6"/>
      <c r="E730" s="17"/>
      <c r="F730" s="6"/>
      <c r="G730" s="6"/>
      <c r="H730" s="6"/>
      <c r="I730" s="6"/>
      <c r="J730" s="6"/>
      <c r="K730" s="6"/>
      <c r="L730" s="6"/>
      <c r="M730" s="6"/>
      <c r="N730" s="6"/>
      <c r="O730" s="6"/>
      <c r="P730" s="6"/>
      <c r="Q730" s="6"/>
      <c r="R730" s="6"/>
      <c r="S730" s="6"/>
      <c r="T730" s="6"/>
      <c r="U730" s="6"/>
      <c r="V730" s="6"/>
      <c r="W730" s="6"/>
      <c r="X730" s="6"/>
      <c r="Y730" s="6"/>
      <c r="Z730" s="6"/>
    </row>
    <row r="731" ht="60.0" customHeight="1">
      <c r="A731" s="6"/>
      <c r="B731" s="6"/>
      <c r="C731" s="6"/>
      <c r="D731" s="6"/>
      <c r="E731" s="17"/>
      <c r="F731" s="6"/>
      <c r="G731" s="6"/>
      <c r="H731" s="6"/>
      <c r="I731" s="6"/>
      <c r="J731" s="6"/>
      <c r="K731" s="6"/>
      <c r="L731" s="6"/>
      <c r="M731" s="6"/>
      <c r="N731" s="6"/>
      <c r="O731" s="6"/>
      <c r="P731" s="6"/>
      <c r="Q731" s="6"/>
      <c r="R731" s="6"/>
      <c r="S731" s="6"/>
      <c r="T731" s="6"/>
      <c r="U731" s="6"/>
      <c r="V731" s="6"/>
      <c r="W731" s="6"/>
      <c r="X731" s="6"/>
      <c r="Y731" s="6"/>
      <c r="Z731" s="6"/>
    </row>
    <row r="732" ht="60.0" customHeight="1">
      <c r="A732" s="6"/>
      <c r="B732" s="6"/>
      <c r="C732" s="6"/>
      <c r="D732" s="6"/>
      <c r="E732" s="17"/>
      <c r="F732" s="6"/>
      <c r="G732" s="6"/>
      <c r="H732" s="6"/>
      <c r="I732" s="6"/>
      <c r="J732" s="6"/>
      <c r="K732" s="6"/>
      <c r="L732" s="6"/>
      <c r="M732" s="6"/>
      <c r="N732" s="6"/>
      <c r="O732" s="6"/>
      <c r="P732" s="6"/>
      <c r="Q732" s="6"/>
      <c r="R732" s="6"/>
      <c r="S732" s="6"/>
      <c r="T732" s="6"/>
      <c r="U732" s="6"/>
      <c r="V732" s="6"/>
      <c r="W732" s="6"/>
      <c r="X732" s="6"/>
      <c r="Y732" s="6"/>
      <c r="Z732" s="6"/>
    </row>
    <row r="733" ht="60.0" customHeight="1">
      <c r="A733" s="6"/>
      <c r="B733" s="6"/>
      <c r="C733" s="6"/>
      <c r="D733" s="6"/>
      <c r="E733" s="17"/>
      <c r="F733" s="6"/>
      <c r="G733" s="6"/>
      <c r="H733" s="6"/>
      <c r="I733" s="6"/>
      <c r="J733" s="6"/>
      <c r="K733" s="6"/>
      <c r="L733" s="6"/>
      <c r="M733" s="6"/>
      <c r="N733" s="6"/>
      <c r="O733" s="6"/>
      <c r="P733" s="6"/>
      <c r="Q733" s="6"/>
      <c r="R733" s="6"/>
      <c r="S733" s="6"/>
      <c r="T733" s="6"/>
      <c r="U733" s="6"/>
      <c r="V733" s="6"/>
      <c r="W733" s="6"/>
      <c r="X733" s="6"/>
      <c r="Y733" s="6"/>
      <c r="Z733" s="6"/>
    </row>
    <row r="734" ht="60.0" customHeight="1">
      <c r="A734" s="6"/>
      <c r="B734" s="6"/>
      <c r="C734" s="6"/>
      <c r="D734" s="6"/>
      <c r="E734" s="17"/>
      <c r="F734" s="6"/>
      <c r="G734" s="6"/>
      <c r="H734" s="6"/>
      <c r="I734" s="6"/>
      <c r="J734" s="6"/>
      <c r="K734" s="6"/>
      <c r="L734" s="6"/>
      <c r="M734" s="6"/>
      <c r="N734" s="6"/>
      <c r="O734" s="6"/>
      <c r="P734" s="6"/>
      <c r="Q734" s="6"/>
      <c r="R734" s="6"/>
      <c r="S734" s="6"/>
      <c r="T734" s="6"/>
      <c r="U734" s="6"/>
      <c r="V734" s="6"/>
      <c r="W734" s="6"/>
      <c r="X734" s="6"/>
      <c r="Y734" s="6"/>
      <c r="Z734" s="6"/>
    </row>
    <row r="735" ht="60.0" customHeight="1">
      <c r="A735" s="6"/>
      <c r="B735" s="6"/>
      <c r="C735" s="6"/>
      <c r="D735" s="6"/>
      <c r="E735" s="17"/>
      <c r="F735" s="6"/>
      <c r="G735" s="6"/>
      <c r="H735" s="6"/>
      <c r="I735" s="6"/>
      <c r="J735" s="6"/>
      <c r="K735" s="6"/>
      <c r="L735" s="6"/>
      <c r="M735" s="6"/>
      <c r="N735" s="6"/>
      <c r="O735" s="6"/>
      <c r="P735" s="6"/>
      <c r="Q735" s="6"/>
      <c r="R735" s="6"/>
      <c r="S735" s="6"/>
      <c r="T735" s="6"/>
      <c r="U735" s="6"/>
      <c r="V735" s="6"/>
      <c r="W735" s="6"/>
      <c r="X735" s="6"/>
      <c r="Y735" s="6"/>
      <c r="Z735" s="6"/>
    </row>
    <row r="736" ht="60.0" customHeight="1">
      <c r="A736" s="6"/>
      <c r="B736" s="6"/>
      <c r="C736" s="6"/>
      <c r="D736" s="6"/>
      <c r="E736" s="17"/>
      <c r="F736" s="6"/>
      <c r="G736" s="6"/>
      <c r="H736" s="6"/>
      <c r="I736" s="6"/>
      <c r="J736" s="6"/>
      <c r="K736" s="6"/>
      <c r="L736" s="6"/>
      <c r="M736" s="6"/>
      <c r="N736" s="6"/>
      <c r="O736" s="6"/>
      <c r="P736" s="6"/>
      <c r="Q736" s="6"/>
      <c r="R736" s="6"/>
      <c r="S736" s="6"/>
      <c r="T736" s="6"/>
      <c r="U736" s="6"/>
      <c r="V736" s="6"/>
      <c r="W736" s="6"/>
      <c r="X736" s="6"/>
      <c r="Y736" s="6"/>
      <c r="Z736" s="6"/>
    </row>
    <row r="737" ht="60.0" customHeight="1">
      <c r="A737" s="6"/>
      <c r="B737" s="6"/>
      <c r="C737" s="6"/>
      <c r="D737" s="6"/>
      <c r="E737" s="17"/>
      <c r="F737" s="6"/>
      <c r="G737" s="6"/>
      <c r="H737" s="6"/>
      <c r="I737" s="6"/>
      <c r="J737" s="6"/>
      <c r="K737" s="6"/>
      <c r="L737" s="6"/>
      <c r="M737" s="6"/>
      <c r="N737" s="6"/>
      <c r="O737" s="6"/>
      <c r="P737" s="6"/>
      <c r="Q737" s="6"/>
      <c r="R737" s="6"/>
      <c r="S737" s="6"/>
      <c r="T737" s="6"/>
      <c r="U737" s="6"/>
      <c r="V737" s="6"/>
      <c r="W737" s="6"/>
      <c r="X737" s="6"/>
      <c r="Y737" s="6"/>
      <c r="Z737" s="6"/>
    </row>
    <row r="738" ht="60.0" customHeight="1">
      <c r="A738" s="6"/>
      <c r="B738" s="6"/>
      <c r="C738" s="6"/>
      <c r="D738" s="6"/>
      <c r="E738" s="17"/>
      <c r="F738" s="6"/>
      <c r="G738" s="6"/>
      <c r="H738" s="6"/>
      <c r="I738" s="6"/>
      <c r="J738" s="6"/>
      <c r="K738" s="6"/>
      <c r="L738" s="6"/>
      <c r="M738" s="6"/>
      <c r="N738" s="6"/>
      <c r="O738" s="6"/>
      <c r="P738" s="6"/>
      <c r="Q738" s="6"/>
      <c r="R738" s="6"/>
      <c r="S738" s="6"/>
      <c r="T738" s="6"/>
      <c r="U738" s="6"/>
      <c r="V738" s="6"/>
      <c r="W738" s="6"/>
      <c r="X738" s="6"/>
      <c r="Y738" s="6"/>
      <c r="Z738" s="6"/>
    </row>
    <row r="739" ht="60.0" customHeight="1">
      <c r="A739" s="6"/>
      <c r="B739" s="6"/>
      <c r="C739" s="6"/>
      <c r="D739" s="6"/>
      <c r="E739" s="17"/>
      <c r="F739" s="6"/>
      <c r="G739" s="6"/>
      <c r="H739" s="6"/>
      <c r="I739" s="6"/>
      <c r="J739" s="6"/>
      <c r="K739" s="6"/>
      <c r="L739" s="6"/>
      <c r="M739" s="6"/>
      <c r="N739" s="6"/>
      <c r="O739" s="6"/>
      <c r="P739" s="6"/>
      <c r="Q739" s="6"/>
      <c r="R739" s="6"/>
      <c r="S739" s="6"/>
      <c r="T739" s="6"/>
      <c r="U739" s="6"/>
      <c r="V739" s="6"/>
      <c r="W739" s="6"/>
      <c r="X739" s="6"/>
      <c r="Y739" s="6"/>
      <c r="Z739" s="6"/>
    </row>
    <row r="740" ht="60.0" customHeight="1">
      <c r="A740" s="6"/>
      <c r="B740" s="6"/>
      <c r="C740" s="6"/>
      <c r="D740" s="6"/>
      <c r="E740" s="17"/>
      <c r="F740" s="6"/>
      <c r="G740" s="6"/>
      <c r="H740" s="6"/>
      <c r="I740" s="6"/>
      <c r="J740" s="6"/>
      <c r="K740" s="6"/>
      <c r="L740" s="6"/>
      <c r="M740" s="6"/>
      <c r="N740" s="6"/>
      <c r="O740" s="6"/>
      <c r="P740" s="6"/>
      <c r="Q740" s="6"/>
      <c r="R740" s="6"/>
      <c r="S740" s="6"/>
      <c r="T740" s="6"/>
      <c r="U740" s="6"/>
      <c r="V740" s="6"/>
      <c r="W740" s="6"/>
      <c r="X740" s="6"/>
      <c r="Y740" s="6"/>
      <c r="Z740" s="6"/>
    </row>
    <row r="741" ht="60.0" customHeight="1">
      <c r="A741" s="6"/>
      <c r="B741" s="6"/>
      <c r="C741" s="6"/>
      <c r="D741" s="6"/>
      <c r="E741" s="17"/>
      <c r="F741" s="6"/>
      <c r="G741" s="6"/>
      <c r="H741" s="6"/>
      <c r="I741" s="6"/>
      <c r="J741" s="6"/>
      <c r="K741" s="6"/>
      <c r="L741" s="6"/>
      <c r="M741" s="6"/>
      <c r="N741" s="6"/>
      <c r="O741" s="6"/>
      <c r="P741" s="6"/>
      <c r="Q741" s="6"/>
      <c r="R741" s="6"/>
      <c r="S741" s="6"/>
      <c r="T741" s="6"/>
      <c r="U741" s="6"/>
      <c r="V741" s="6"/>
      <c r="W741" s="6"/>
      <c r="X741" s="6"/>
      <c r="Y741" s="6"/>
      <c r="Z741" s="6"/>
    </row>
    <row r="742" ht="60.0" customHeight="1">
      <c r="A742" s="6"/>
      <c r="B742" s="6"/>
      <c r="C742" s="6"/>
      <c r="D742" s="6"/>
      <c r="E742" s="17"/>
      <c r="F742" s="6"/>
      <c r="G742" s="6"/>
      <c r="H742" s="6"/>
      <c r="I742" s="6"/>
      <c r="J742" s="6"/>
      <c r="K742" s="6"/>
      <c r="L742" s="6"/>
      <c r="M742" s="6"/>
      <c r="N742" s="6"/>
      <c r="O742" s="6"/>
      <c r="P742" s="6"/>
      <c r="Q742" s="6"/>
      <c r="R742" s="6"/>
      <c r="S742" s="6"/>
      <c r="T742" s="6"/>
      <c r="U742" s="6"/>
      <c r="V742" s="6"/>
      <c r="W742" s="6"/>
      <c r="X742" s="6"/>
      <c r="Y742" s="6"/>
      <c r="Z742" s="6"/>
    </row>
    <row r="743" ht="60.0" customHeight="1">
      <c r="A743" s="6"/>
      <c r="B743" s="6"/>
      <c r="C743" s="6"/>
      <c r="D743" s="6"/>
      <c r="E743" s="17"/>
      <c r="F743" s="6"/>
      <c r="G743" s="6"/>
      <c r="H743" s="6"/>
      <c r="I743" s="6"/>
      <c r="J743" s="6"/>
      <c r="K743" s="6"/>
      <c r="L743" s="6"/>
      <c r="M743" s="6"/>
      <c r="N743" s="6"/>
      <c r="O743" s="6"/>
      <c r="P743" s="6"/>
      <c r="Q743" s="6"/>
      <c r="R743" s="6"/>
      <c r="S743" s="6"/>
      <c r="T743" s="6"/>
      <c r="U743" s="6"/>
      <c r="V743" s="6"/>
      <c r="W743" s="6"/>
      <c r="X743" s="6"/>
      <c r="Y743" s="6"/>
      <c r="Z743" s="6"/>
    </row>
    <row r="744" ht="60.0" customHeight="1">
      <c r="A744" s="6"/>
      <c r="B744" s="6"/>
      <c r="C744" s="6"/>
      <c r="D744" s="6"/>
      <c r="E744" s="17"/>
      <c r="F744" s="6"/>
      <c r="G744" s="6"/>
      <c r="H744" s="6"/>
      <c r="I744" s="6"/>
      <c r="J744" s="6"/>
      <c r="K744" s="6"/>
      <c r="L744" s="6"/>
      <c r="M744" s="6"/>
      <c r="N744" s="6"/>
      <c r="O744" s="6"/>
      <c r="P744" s="6"/>
      <c r="Q744" s="6"/>
      <c r="R744" s="6"/>
      <c r="S744" s="6"/>
      <c r="T744" s="6"/>
      <c r="U744" s="6"/>
      <c r="V744" s="6"/>
      <c r="W744" s="6"/>
      <c r="X744" s="6"/>
      <c r="Y744" s="6"/>
      <c r="Z744" s="6"/>
    </row>
    <row r="745" ht="60.0" customHeight="1">
      <c r="A745" s="6"/>
      <c r="B745" s="6"/>
      <c r="C745" s="6"/>
      <c r="D745" s="6"/>
      <c r="E745" s="17"/>
      <c r="F745" s="6"/>
      <c r="G745" s="6"/>
      <c r="H745" s="6"/>
      <c r="I745" s="6"/>
      <c r="J745" s="6"/>
      <c r="K745" s="6"/>
      <c r="L745" s="6"/>
      <c r="M745" s="6"/>
      <c r="N745" s="6"/>
      <c r="O745" s="6"/>
      <c r="P745" s="6"/>
      <c r="Q745" s="6"/>
      <c r="R745" s="6"/>
      <c r="S745" s="6"/>
      <c r="T745" s="6"/>
      <c r="U745" s="6"/>
      <c r="V745" s="6"/>
      <c r="W745" s="6"/>
      <c r="X745" s="6"/>
      <c r="Y745" s="6"/>
      <c r="Z745" s="6"/>
    </row>
    <row r="746" ht="60.0" customHeight="1">
      <c r="A746" s="6"/>
      <c r="B746" s="6"/>
      <c r="C746" s="6"/>
      <c r="D746" s="6"/>
      <c r="E746" s="17"/>
      <c r="F746" s="6"/>
      <c r="G746" s="6"/>
      <c r="H746" s="6"/>
      <c r="I746" s="6"/>
      <c r="J746" s="6"/>
      <c r="K746" s="6"/>
      <c r="L746" s="6"/>
      <c r="M746" s="6"/>
      <c r="N746" s="6"/>
      <c r="O746" s="6"/>
      <c r="P746" s="6"/>
      <c r="Q746" s="6"/>
      <c r="R746" s="6"/>
      <c r="S746" s="6"/>
      <c r="T746" s="6"/>
      <c r="U746" s="6"/>
      <c r="V746" s="6"/>
      <c r="W746" s="6"/>
      <c r="X746" s="6"/>
      <c r="Y746" s="6"/>
      <c r="Z746" s="6"/>
    </row>
    <row r="747" ht="60.0" customHeight="1">
      <c r="A747" s="6"/>
      <c r="B747" s="6"/>
      <c r="C747" s="6"/>
      <c r="D747" s="6"/>
      <c r="E747" s="17"/>
      <c r="F747" s="6"/>
      <c r="G747" s="6"/>
      <c r="H747" s="6"/>
      <c r="I747" s="6"/>
      <c r="J747" s="6"/>
      <c r="K747" s="6"/>
      <c r="L747" s="6"/>
      <c r="M747" s="6"/>
      <c r="N747" s="6"/>
      <c r="O747" s="6"/>
      <c r="P747" s="6"/>
      <c r="Q747" s="6"/>
      <c r="R747" s="6"/>
      <c r="S747" s="6"/>
      <c r="T747" s="6"/>
      <c r="U747" s="6"/>
      <c r="V747" s="6"/>
      <c r="W747" s="6"/>
      <c r="X747" s="6"/>
      <c r="Y747" s="6"/>
      <c r="Z747" s="6"/>
    </row>
    <row r="748" ht="60.0" customHeight="1">
      <c r="A748" s="6"/>
      <c r="B748" s="6"/>
      <c r="C748" s="6"/>
      <c r="D748" s="6"/>
      <c r="E748" s="17"/>
      <c r="F748" s="6"/>
      <c r="G748" s="6"/>
      <c r="H748" s="6"/>
      <c r="I748" s="6"/>
      <c r="J748" s="6"/>
      <c r="K748" s="6"/>
      <c r="L748" s="6"/>
      <c r="M748" s="6"/>
      <c r="N748" s="6"/>
      <c r="O748" s="6"/>
      <c r="P748" s="6"/>
      <c r="Q748" s="6"/>
      <c r="R748" s="6"/>
      <c r="S748" s="6"/>
      <c r="T748" s="6"/>
      <c r="U748" s="6"/>
      <c r="V748" s="6"/>
      <c r="W748" s="6"/>
      <c r="X748" s="6"/>
      <c r="Y748" s="6"/>
      <c r="Z748" s="6"/>
    </row>
    <row r="749" ht="60.0" customHeight="1">
      <c r="A749" s="6"/>
      <c r="B749" s="6"/>
      <c r="C749" s="6"/>
      <c r="D749" s="6"/>
      <c r="E749" s="17"/>
      <c r="F749" s="6"/>
      <c r="G749" s="6"/>
      <c r="H749" s="6"/>
      <c r="I749" s="6"/>
      <c r="J749" s="6"/>
      <c r="K749" s="6"/>
      <c r="L749" s="6"/>
      <c r="M749" s="6"/>
      <c r="N749" s="6"/>
      <c r="O749" s="6"/>
      <c r="P749" s="6"/>
      <c r="Q749" s="6"/>
      <c r="R749" s="6"/>
      <c r="S749" s="6"/>
      <c r="T749" s="6"/>
      <c r="U749" s="6"/>
      <c r="V749" s="6"/>
      <c r="W749" s="6"/>
      <c r="X749" s="6"/>
      <c r="Y749" s="6"/>
      <c r="Z749" s="6"/>
    </row>
    <row r="750" ht="60.0" customHeight="1">
      <c r="A750" s="6"/>
      <c r="B750" s="6"/>
      <c r="C750" s="6"/>
      <c r="D750" s="6"/>
      <c r="E750" s="17"/>
      <c r="F750" s="6"/>
      <c r="G750" s="6"/>
      <c r="H750" s="6"/>
      <c r="I750" s="6"/>
      <c r="J750" s="6"/>
      <c r="K750" s="6"/>
      <c r="L750" s="6"/>
      <c r="M750" s="6"/>
      <c r="N750" s="6"/>
      <c r="O750" s="6"/>
      <c r="P750" s="6"/>
      <c r="Q750" s="6"/>
      <c r="R750" s="6"/>
      <c r="S750" s="6"/>
      <c r="T750" s="6"/>
      <c r="U750" s="6"/>
      <c r="V750" s="6"/>
      <c r="W750" s="6"/>
      <c r="X750" s="6"/>
      <c r="Y750" s="6"/>
      <c r="Z750" s="6"/>
    </row>
    <row r="751" ht="60.0" customHeight="1">
      <c r="A751" s="6"/>
      <c r="B751" s="6"/>
      <c r="C751" s="6"/>
      <c r="D751" s="6"/>
      <c r="E751" s="17"/>
      <c r="F751" s="6"/>
      <c r="G751" s="6"/>
      <c r="H751" s="6"/>
      <c r="I751" s="6"/>
      <c r="J751" s="6"/>
      <c r="K751" s="6"/>
      <c r="L751" s="6"/>
      <c r="M751" s="6"/>
      <c r="N751" s="6"/>
      <c r="O751" s="6"/>
      <c r="P751" s="6"/>
      <c r="Q751" s="6"/>
      <c r="R751" s="6"/>
      <c r="S751" s="6"/>
      <c r="T751" s="6"/>
      <c r="U751" s="6"/>
      <c r="V751" s="6"/>
      <c r="W751" s="6"/>
      <c r="X751" s="6"/>
      <c r="Y751" s="6"/>
      <c r="Z751" s="6"/>
    </row>
    <row r="752" ht="60.0" customHeight="1">
      <c r="A752" s="6"/>
      <c r="B752" s="6"/>
      <c r="C752" s="6"/>
      <c r="D752" s="6"/>
      <c r="E752" s="17"/>
      <c r="F752" s="6"/>
      <c r="G752" s="6"/>
      <c r="H752" s="6"/>
      <c r="I752" s="6"/>
      <c r="J752" s="6"/>
      <c r="K752" s="6"/>
      <c r="L752" s="6"/>
      <c r="M752" s="6"/>
      <c r="N752" s="6"/>
      <c r="O752" s="6"/>
      <c r="P752" s="6"/>
      <c r="Q752" s="6"/>
      <c r="R752" s="6"/>
      <c r="S752" s="6"/>
      <c r="T752" s="6"/>
      <c r="U752" s="6"/>
      <c r="V752" s="6"/>
      <c r="W752" s="6"/>
      <c r="X752" s="6"/>
      <c r="Y752" s="6"/>
      <c r="Z752" s="6"/>
    </row>
    <row r="753" ht="60.0" customHeight="1">
      <c r="A753" s="6"/>
      <c r="B753" s="6"/>
      <c r="C753" s="6"/>
      <c r="D753" s="6"/>
      <c r="E753" s="17"/>
      <c r="F753" s="6"/>
      <c r="G753" s="6"/>
      <c r="H753" s="6"/>
      <c r="I753" s="6"/>
      <c r="J753" s="6"/>
      <c r="K753" s="6"/>
      <c r="L753" s="6"/>
      <c r="M753" s="6"/>
      <c r="N753" s="6"/>
      <c r="O753" s="6"/>
      <c r="P753" s="6"/>
      <c r="Q753" s="6"/>
      <c r="R753" s="6"/>
      <c r="S753" s="6"/>
      <c r="T753" s="6"/>
      <c r="U753" s="6"/>
      <c r="V753" s="6"/>
      <c r="W753" s="6"/>
      <c r="X753" s="6"/>
      <c r="Y753" s="6"/>
      <c r="Z753" s="6"/>
    </row>
    <row r="754" ht="60.0" customHeight="1">
      <c r="A754" s="6"/>
      <c r="B754" s="6"/>
      <c r="C754" s="6"/>
      <c r="D754" s="6"/>
      <c r="E754" s="17"/>
      <c r="F754" s="6"/>
      <c r="G754" s="6"/>
      <c r="H754" s="6"/>
      <c r="I754" s="6"/>
      <c r="J754" s="6"/>
      <c r="K754" s="6"/>
      <c r="L754" s="6"/>
      <c r="M754" s="6"/>
      <c r="N754" s="6"/>
      <c r="O754" s="6"/>
      <c r="P754" s="6"/>
      <c r="Q754" s="6"/>
      <c r="R754" s="6"/>
      <c r="S754" s="6"/>
      <c r="T754" s="6"/>
      <c r="U754" s="6"/>
      <c r="V754" s="6"/>
      <c r="W754" s="6"/>
      <c r="X754" s="6"/>
      <c r="Y754" s="6"/>
      <c r="Z754" s="6"/>
    </row>
    <row r="755" ht="60.0" customHeight="1">
      <c r="A755" s="6"/>
      <c r="B755" s="6"/>
      <c r="C755" s="6"/>
      <c r="D755" s="6"/>
      <c r="E755" s="17"/>
      <c r="F755" s="6"/>
      <c r="G755" s="6"/>
      <c r="H755" s="6"/>
      <c r="I755" s="6"/>
      <c r="J755" s="6"/>
      <c r="K755" s="6"/>
      <c r="L755" s="6"/>
      <c r="M755" s="6"/>
      <c r="N755" s="6"/>
      <c r="O755" s="6"/>
      <c r="P755" s="6"/>
      <c r="Q755" s="6"/>
      <c r="R755" s="6"/>
      <c r="S755" s="6"/>
      <c r="T755" s="6"/>
      <c r="U755" s="6"/>
      <c r="V755" s="6"/>
      <c r="W755" s="6"/>
      <c r="X755" s="6"/>
      <c r="Y755" s="6"/>
      <c r="Z755" s="6"/>
    </row>
    <row r="756" ht="60.0" customHeight="1">
      <c r="A756" s="6"/>
      <c r="B756" s="6"/>
      <c r="C756" s="6"/>
      <c r="D756" s="6"/>
      <c r="E756" s="17"/>
      <c r="F756" s="6"/>
      <c r="G756" s="6"/>
      <c r="H756" s="6"/>
      <c r="I756" s="6"/>
      <c r="J756" s="6"/>
      <c r="K756" s="6"/>
      <c r="L756" s="6"/>
      <c r="M756" s="6"/>
      <c r="N756" s="6"/>
      <c r="O756" s="6"/>
      <c r="P756" s="6"/>
      <c r="Q756" s="6"/>
      <c r="R756" s="6"/>
      <c r="S756" s="6"/>
      <c r="T756" s="6"/>
      <c r="U756" s="6"/>
      <c r="V756" s="6"/>
      <c r="W756" s="6"/>
      <c r="X756" s="6"/>
      <c r="Y756" s="6"/>
      <c r="Z756" s="6"/>
    </row>
    <row r="757" ht="60.0" customHeight="1">
      <c r="A757" s="6"/>
      <c r="B757" s="6"/>
      <c r="C757" s="6"/>
      <c r="D757" s="6"/>
      <c r="E757" s="17"/>
      <c r="F757" s="6"/>
      <c r="G757" s="6"/>
      <c r="H757" s="6"/>
      <c r="I757" s="6"/>
      <c r="J757" s="6"/>
      <c r="K757" s="6"/>
      <c r="L757" s="6"/>
      <c r="M757" s="6"/>
      <c r="N757" s="6"/>
      <c r="O757" s="6"/>
      <c r="P757" s="6"/>
      <c r="Q757" s="6"/>
      <c r="R757" s="6"/>
      <c r="S757" s="6"/>
      <c r="T757" s="6"/>
      <c r="U757" s="6"/>
      <c r="V757" s="6"/>
      <c r="W757" s="6"/>
      <c r="X757" s="6"/>
      <c r="Y757" s="6"/>
      <c r="Z757" s="6"/>
    </row>
    <row r="758" ht="60.0" customHeight="1">
      <c r="A758" s="6"/>
      <c r="B758" s="6"/>
      <c r="C758" s="6"/>
      <c r="D758" s="6"/>
      <c r="E758" s="17"/>
      <c r="F758" s="6"/>
      <c r="G758" s="6"/>
      <c r="H758" s="6"/>
      <c r="I758" s="6"/>
      <c r="J758" s="6"/>
      <c r="K758" s="6"/>
      <c r="L758" s="6"/>
      <c r="M758" s="6"/>
      <c r="N758" s="6"/>
      <c r="O758" s="6"/>
      <c r="P758" s="6"/>
      <c r="Q758" s="6"/>
      <c r="R758" s="6"/>
      <c r="S758" s="6"/>
      <c r="T758" s="6"/>
      <c r="U758" s="6"/>
      <c r="V758" s="6"/>
      <c r="W758" s="6"/>
      <c r="X758" s="6"/>
      <c r="Y758" s="6"/>
      <c r="Z758" s="6"/>
    </row>
    <row r="759" ht="60.0" customHeight="1">
      <c r="A759" s="6"/>
      <c r="B759" s="6"/>
      <c r="C759" s="6"/>
      <c r="D759" s="6"/>
      <c r="E759" s="17"/>
      <c r="F759" s="6"/>
      <c r="G759" s="6"/>
      <c r="H759" s="6"/>
      <c r="I759" s="6"/>
      <c r="J759" s="6"/>
      <c r="K759" s="6"/>
      <c r="L759" s="6"/>
      <c r="M759" s="6"/>
      <c r="N759" s="6"/>
      <c r="O759" s="6"/>
      <c r="P759" s="6"/>
      <c r="Q759" s="6"/>
      <c r="R759" s="6"/>
      <c r="S759" s="6"/>
      <c r="T759" s="6"/>
      <c r="U759" s="6"/>
      <c r="V759" s="6"/>
      <c r="W759" s="6"/>
      <c r="X759" s="6"/>
      <c r="Y759" s="6"/>
      <c r="Z759" s="6"/>
    </row>
    <row r="760" ht="60.0" customHeight="1">
      <c r="A760" s="6"/>
      <c r="B760" s="6"/>
      <c r="C760" s="6"/>
      <c r="D760" s="6"/>
      <c r="E760" s="17"/>
      <c r="F760" s="6"/>
      <c r="G760" s="6"/>
      <c r="H760" s="6"/>
      <c r="I760" s="6"/>
      <c r="J760" s="6"/>
      <c r="K760" s="6"/>
      <c r="L760" s="6"/>
      <c r="M760" s="6"/>
      <c r="N760" s="6"/>
      <c r="O760" s="6"/>
      <c r="P760" s="6"/>
      <c r="Q760" s="6"/>
      <c r="R760" s="6"/>
      <c r="S760" s="6"/>
      <c r="T760" s="6"/>
      <c r="U760" s="6"/>
      <c r="V760" s="6"/>
      <c r="W760" s="6"/>
      <c r="X760" s="6"/>
      <c r="Y760" s="6"/>
      <c r="Z760" s="6"/>
    </row>
    <row r="761" ht="60.0" customHeight="1">
      <c r="A761" s="6"/>
      <c r="B761" s="6"/>
      <c r="C761" s="6"/>
      <c r="D761" s="6"/>
      <c r="E761" s="17"/>
      <c r="F761" s="6"/>
      <c r="G761" s="6"/>
      <c r="H761" s="6"/>
      <c r="I761" s="6"/>
      <c r="J761" s="6"/>
      <c r="K761" s="6"/>
      <c r="L761" s="6"/>
      <c r="M761" s="6"/>
      <c r="N761" s="6"/>
      <c r="O761" s="6"/>
      <c r="P761" s="6"/>
      <c r="Q761" s="6"/>
      <c r="R761" s="6"/>
      <c r="S761" s="6"/>
      <c r="T761" s="6"/>
      <c r="U761" s="6"/>
      <c r="V761" s="6"/>
      <c r="W761" s="6"/>
      <c r="X761" s="6"/>
      <c r="Y761" s="6"/>
      <c r="Z761" s="6"/>
    </row>
    <row r="762" ht="60.0" customHeight="1">
      <c r="A762" s="6"/>
      <c r="B762" s="6"/>
      <c r="C762" s="6"/>
      <c r="D762" s="6"/>
      <c r="E762" s="17"/>
      <c r="F762" s="6"/>
      <c r="G762" s="6"/>
      <c r="H762" s="6"/>
      <c r="I762" s="6"/>
      <c r="J762" s="6"/>
      <c r="K762" s="6"/>
      <c r="L762" s="6"/>
      <c r="M762" s="6"/>
      <c r="N762" s="6"/>
      <c r="O762" s="6"/>
      <c r="P762" s="6"/>
      <c r="Q762" s="6"/>
      <c r="R762" s="6"/>
      <c r="S762" s="6"/>
      <c r="T762" s="6"/>
      <c r="U762" s="6"/>
      <c r="V762" s="6"/>
      <c r="W762" s="6"/>
      <c r="X762" s="6"/>
      <c r="Y762" s="6"/>
      <c r="Z762" s="6"/>
    </row>
    <row r="763" ht="60.0" customHeight="1">
      <c r="A763" s="6"/>
      <c r="B763" s="6"/>
      <c r="C763" s="6"/>
      <c r="D763" s="6"/>
      <c r="E763" s="17"/>
      <c r="F763" s="6"/>
      <c r="G763" s="6"/>
      <c r="H763" s="6"/>
      <c r="I763" s="6"/>
      <c r="J763" s="6"/>
      <c r="K763" s="6"/>
      <c r="L763" s="6"/>
      <c r="M763" s="6"/>
      <c r="N763" s="6"/>
      <c r="O763" s="6"/>
      <c r="P763" s="6"/>
      <c r="Q763" s="6"/>
      <c r="R763" s="6"/>
      <c r="S763" s="6"/>
      <c r="T763" s="6"/>
      <c r="U763" s="6"/>
      <c r="V763" s="6"/>
      <c r="W763" s="6"/>
      <c r="X763" s="6"/>
      <c r="Y763" s="6"/>
      <c r="Z763" s="6"/>
    </row>
    <row r="764" ht="60.0" customHeight="1">
      <c r="A764" s="6"/>
      <c r="B764" s="6"/>
      <c r="C764" s="6"/>
      <c r="D764" s="6"/>
      <c r="E764" s="17"/>
      <c r="F764" s="6"/>
      <c r="G764" s="6"/>
      <c r="H764" s="6"/>
      <c r="I764" s="6"/>
      <c r="J764" s="6"/>
      <c r="K764" s="6"/>
      <c r="L764" s="6"/>
      <c r="M764" s="6"/>
      <c r="N764" s="6"/>
      <c r="O764" s="6"/>
      <c r="P764" s="6"/>
      <c r="Q764" s="6"/>
      <c r="R764" s="6"/>
      <c r="S764" s="6"/>
      <c r="T764" s="6"/>
      <c r="U764" s="6"/>
      <c r="V764" s="6"/>
      <c r="W764" s="6"/>
      <c r="X764" s="6"/>
      <c r="Y764" s="6"/>
      <c r="Z764" s="6"/>
    </row>
    <row r="765" ht="60.0" customHeight="1">
      <c r="A765" s="6"/>
      <c r="B765" s="6"/>
      <c r="C765" s="6"/>
      <c r="D765" s="6"/>
      <c r="E765" s="17"/>
      <c r="F765" s="6"/>
      <c r="G765" s="6"/>
      <c r="H765" s="6"/>
      <c r="I765" s="6"/>
      <c r="J765" s="6"/>
      <c r="K765" s="6"/>
      <c r="L765" s="6"/>
      <c r="M765" s="6"/>
      <c r="N765" s="6"/>
      <c r="O765" s="6"/>
      <c r="P765" s="6"/>
      <c r="Q765" s="6"/>
      <c r="R765" s="6"/>
      <c r="S765" s="6"/>
      <c r="T765" s="6"/>
      <c r="U765" s="6"/>
      <c r="V765" s="6"/>
      <c r="W765" s="6"/>
      <c r="X765" s="6"/>
      <c r="Y765" s="6"/>
      <c r="Z765" s="6"/>
    </row>
    <row r="766" ht="60.0" customHeight="1">
      <c r="A766" s="6"/>
      <c r="B766" s="6"/>
      <c r="C766" s="6"/>
      <c r="D766" s="6"/>
      <c r="E766" s="17"/>
      <c r="F766" s="6"/>
      <c r="G766" s="6"/>
      <c r="H766" s="6"/>
      <c r="I766" s="6"/>
      <c r="J766" s="6"/>
      <c r="K766" s="6"/>
      <c r="L766" s="6"/>
      <c r="M766" s="6"/>
      <c r="N766" s="6"/>
      <c r="O766" s="6"/>
      <c r="P766" s="6"/>
      <c r="Q766" s="6"/>
      <c r="R766" s="6"/>
      <c r="S766" s="6"/>
      <c r="T766" s="6"/>
      <c r="U766" s="6"/>
      <c r="V766" s="6"/>
      <c r="W766" s="6"/>
      <c r="X766" s="6"/>
      <c r="Y766" s="6"/>
      <c r="Z766" s="6"/>
    </row>
    <row r="767" ht="60.0" customHeight="1">
      <c r="A767" s="6"/>
      <c r="B767" s="6"/>
      <c r="C767" s="6"/>
      <c r="D767" s="6"/>
      <c r="E767" s="17"/>
      <c r="F767" s="6"/>
      <c r="G767" s="6"/>
      <c r="H767" s="6"/>
      <c r="I767" s="6"/>
      <c r="J767" s="6"/>
      <c r="K767" s="6"/>
      <c r="L767" s="6"/>
      <c r="M767" s="6"/>
      <c r="N767" s="6"/>
      <c r="O767" s="6"/>
      <c r="P767" s="6"/>
      <c r="Q767" s="6"/>
      <c r="R767" s="6"/>
      <c r="S767" s="6"/>
      <c r="T767" s="6"/>
      <c r="U767" s="6"/>
      <c r="V767" s="6"/>
      <c r="W767" s="6"/>
      <c r="X767" s="6"/>
      <c r="Y767" s="6"/>
      <c r="Z767" s="6"/>
    </row>
    <row r="768" ht="60.0" customHeight="1">
      <c r="A768" s="6"/>
      <c r="B768" s="6"/>
      <c r="C768" s="6"/>
      <c r="D768" s="6"/>
      <c r="E768" s="17"/>
      <c r="F768" s="6"/>
      <c r="G768" s="6"/>
      <c r="H768" s="6"/>
      <c r="I768" s="6"/>
      <c r="J768" s="6"/>
      <c r="K768" s="6"/>
      <c r="L768" s="6"/>
      <c r="M768" s="6"/>
      <c r="N768" s="6"/>
      <c r="O768" s="6"/>
      <c r="P768" s="6"/>
      <c r="Q768" s="6"/>
      <c r="R768" s="6"/>
      <c r="S768" s="6"/>
      <c r="T768" s="6"/>
      <c r="U768" s="6"/>
      <c r="V768" s="6"/>
      <c r="W768" s="6"/>
      <c r="X768" s="6"/>
      <c r="Y768" s="6"/>
      <c r="Z768" s="6"/>
    </row>
    <row r="769" ht="60.0" customHeight="1">
      <c r="A769" s="6"/>
      <c r="B769" s="6"/>
      <c r="C769" s="6"/>
      <c r="D769" s="6"/>
      <c r="E769" s="17"/>
      <c r="F769" s="6"/>
      <c r="G769" s="6"/>
      <c r="H769" s="6"/>
      <c r="I769" s="6"/>
      <c r="J769" s="6"/>
      <c r="K769" s="6"/>
      <c r="L769" s="6"/>
      <c r="M769" s="6"/>
      <c r="N769" s="6"/>
      <c r="O769" s="6"/>
      <c r="P769" s="6"/>
      <c r="Q769" s="6"/>
      <c r="R769" s="6"/>
      <c r="S769" s="6"/>
      <c r="T769" s="6"/>
      <c r="U769" s="6"/>
      <c r="V769" s="6"/>
      <c r="W769" s="6"/>
      <c r="X769" s="6"/>
      <c r="Y769" s="6"/>
      <c r="Z769" s="6"/>
    </row>
    <row r="770" ht="60.0" customHeight="1">
      <c r="A770" s="6"/>
      <c r="B770" s="6"/>
      <c r="C770" s="6"/>
      <c r="D770" s="6"/>
      <c r="E770" s="17"/>
      <c r="F770" s="6"/>
      <c r="G770" s="6"/>
      <c r="H770" s="6"/>
      <c r="I770" s="6"/>
      <c r="J770" s="6"/>
      <c r="K770" s="6"/>
      <c r="L770" s="6"/>
      <c r="M770" s="6"/>
      <c r="N770" s="6"/>
      <c r="O770" s="6"/>
      <c r="P770" s="6"/>
      <c r="Q770" s="6"/>
      <c r="R770" s="6"/>
      <c r="S770" s="6"/>
      <c r="T770" s="6"/>
      <c r="U770" s="6"/>
      <c r="V770" s="6"/>
      <c r="W770" s="6"/>
      <c r="X770" s="6"/>
      <c r="Y770" s="6"/>
      <c r="Z770" s="6"/>
    </row>
    <row r="771" ht="60.0" customHeight="1">
      <c r="A771" s="6"/>
      <c r="B771" s="6"/>
      <c r="C771" s="6"/>
      <c r="D771" s="6"/>
      <c r="E771" s="17"/>
      <c r="F771" s="6"/>
      <c r="G771" s="6"/>
      <c r="H771" s="6"/>
      <c r="I771" s="6"/>
      <c r="J771" s="6"/>
      <c r="K771" s="6"/>
      <c r="L771" s="6"/>
      <c r="M771" s="6"/>
      <c r="N771" s="6"/>
      <c r="O771" s="6"/>
      <c r="P771" s="6"/>
      <c r="Q771" s="6"/>
      <c r="R771" s="6"/>
      <c r="S771" s="6"/>
      <c r="T771" s="6"/>
      <c r="U771" s="6"/>
      <c r="V771" s="6"/>
      <c r="W771" s="6"/>
      <c r="X771" s="6"/>
      <c r="Y771" s="6"/>
      <c r="Z771" s="6"/>
    </row>
    <row r="772" ht="60.0" customHeight="1">
      <c r="A772" s="6"/>
      <c r="B772" s="6"/>
      <c r="C772" s="6"/>
      <c r="D772" s="6"/>
      <c r="E772" s="17"/>
      <c r="F772" s="6"/>
      <c r="G772" s="6"/>
      <c r="H772" s="6"/>
      <c r="I772" s="6"/>
      <c r="J772" s="6"/>
      <c r="K772" s="6"/>
      <c r="L772" s="6"/>
      <c r="M772" s="6"/>
      <c r="N772" s="6"/>
      <c r="O772" s="6"/>
      <c r="P772" s="6"/>
      <c r="Q772" s="6"/>
      <c r="R772" s="6"/>
      <c r="S772" s="6"/>
      <c r="T772" s="6"/>
      <c r="U772" s="6"/>
      <c r="V772" s="6"/>
      <c r="W772" s="6"/>
      <c r="X772" s="6"/>
      <c r="Y772" s="6"/>
      <c r="Z772" s="6"/>
    </row>
    <row r="773" ht="60.0" customHeight="1">
      <c r="A773" s="6"/>
      <c r="B773" s="6"/>
      <c r="C773" s="6"/>
      <c r="D773" s="6"/>
      <c r="E773" s="17"/>
      <c r="F773" s="6"/>
      <c r="G773" s="6"/>
      <c r="H773" s="6"/>
      <c r="I773" s="6"/>
      <c r="J773" s="6"/>
      <c r="K773" s="6"/>
      <c r="L773" s="6"/>
      <c r="M773" s="6"/>
      <c r="N773" s="6"/>
      <c r="O773" s="6"/>
      <c r="P773" s="6"/>
      <c r="Q773" s="6"/>
      <c r="R773" s="6"/>
      <c r="S773" s="6"/>
      <c r="T773" s="6"/>
      <c r="U773" s="6"/>
      <c r="V773" s="6"/>
      <c r="W773" s="6"/>
      <c r="X773" s="6"/>
      <c r="Y773" s="6"/>
      <c r="Z773" s="6"/>
    </row>
    <row r="774" ht="60.0" customHeight="1">
      <c r="A774" s="6"/>
      <c r="B774" s="6"/>
      <c r="C774" s="6"/>
      <c r="D774" s="6"/>
      <c r="E774" s="17"/>
      <c r="F774" s="6"/>
      <c r="G774" s="6"/>
      <c r="H774" s="6"/>
      <c r="I774" s="6"/>
      <c r="J774" s="6"/>
      <c r="K774" s="6"/>
      <c r="L774" s="6"/>
      <c r="M774" s="6"/>
      <c r="N774" s="6"/>
      <c r="O774" s="6"/>
      <c r="P774" s="6"/>
      <c r="Q774" s="6"/>
      <c r="R774" s="6"/>
      <c r="S774" s="6"/>
      <c r="T774" s="6"/>
      <c r="U774" s="6"/>
      <c r="V774" s="6"/>
      <c r="W774" s="6"/>
      <c r="X774" s="6"/>
      <c r="Y774" s="6"/>
      <c r="Z774" s="6"/>
    </row>
    <row r="775" ht="60.0" customHeight="1">
      <c r="A775" s="6"/>
      <c r="B775" s="6"/>
      <c r="C775" s="6"/>
      <c r="D775" s="6"/>
      <c r="E775" s="17"/>
      <c r="F775" s="6"/>
      <c r="G775" s="6"/>
      <c r="H775" s="6"/>
      <c r="I775" s="6"/>
      <c r="J775" s="6"/>
      <c r="K775" s="6"/>
      <c r="L775" s="6"/>
      <c r="M775" s="6"/>
      <c r="N775" s="6"/>
      <c r="O775" s="6"/>
      <c r="P775" s="6"/>
      <c r="Q775" s="6"/>
      <c r="R775" s="6"/>
      <c r="S775" s="6"/>
      <c r="T775" s="6"/>
      <c r="U775" s="6"/>
      <c r="V775" s="6"/>
      <c r="W775" s="6"/>
      <c r="X775" s="6"/>
      <c r="Y775" s="6"/>
      <c r="Z775" s="6"/>
    </row>
    <row r="776" ht="60.0" customHeight="1">
      <c r="A776" s="6"/>
      <c r="B776" s="6"/>
      <c r="C776" s="6"/>
      <c r="D776" s="6"/>
      <c r="E776" s="17"/>
      <c r="F776" s="6"/>
      <c r="G776" s="6"/>
      <c r="H776" s="6"/>
      <c r="I776" s="6"/>
      <c r="J776" s="6"/>
      <c r="K776" s="6"/>
      <c r="L776" s="6"/>
      <c r="M776" s="6"/>
      <c r="N776" s="6"/>
      <c r="O776" s="6"/>
      <c r="P776" s="6"/>
      <c r="Q776" s="6"/>
      <c r="R776" s="6"/>
      <c r="S776" s="6"/>
      <c r="T776" s="6"/>
      <c r="U776" s="6"/>
      <c r="V776" s="6"/>
      <c r="W776" s="6"/>
      <c r="X776" s="6"/>
      <c r="Y776" s="6"/>
      <c r="Z776" s="6"/>
    </row>
    <row r="777" ht="60.0" customHeight="1">
      <c r="A777" s="6"/>
      <c r="B777" s="6"/>
      <c r="C777" s="6"/>
      <c r="D777" s="6"/>
      <c r="E777" s="17"/>
      <c r="F777" s="6"/>
      <c r="G777" s="6"/>
      <c r="H777" s="6"/>
      <c r="I777" s="6"/>
      <c r="J777" s="6"/>
      <c r="K777" s="6"/>
      <c r="L777" s="6"/>
      <c r="M777" s="6"/>
      <c r="N777" s="6"/>
      <c r="O777" s="6"/>
      <c r="P777" s="6"/>
      <c r="Q777" s="6"/>
      <c r="R777" s="6"/>
      <c r="S777" s="6"/>
      <c r="T777" s="6"/>
      <c r="U777" s="6"/>
      <c r="V777" s="6"/>
      <c r="W777" s="6"/>
      <c r="X777" s="6"/>
      <c r="Y777" s="6"/>
      <c r="Z777" s="6"/>
    </row>
    <row r="778" ht="60.0" customHeight="1">
      <c r="A778" s="6"/>
      <c r="B778" s="6"/>
      <c r="C778" s="6"/>
      <c r="D778" s="6"/>
      <c r="E778" s="17"/>
      <c r="F778" s="6"/>
      <c r="G778" s="6"/>
      <c r="H778" s="6"/>
      <c r="I778" s="6"/>
      <c r="J778" s="6"/>
      <c r="K778" s="6"/>
      <c r="L778" s="6"/>
      <c r="M778" s="6"/>
      <c r="N778" s="6"/>
      <c r="O778" s="6"/>
      <c r="P778" s="6"/>
      <c r="Q778" s="6"/>
      <c r="R778" s="6"/>
      <c r="S778" s="6"/>
      <c r="T778" s="6"/>
      <c r="U778" s="6"/>
      <c r="V778" s="6"/>
      <c r="W778" s="6"/>
      <c r="X778" s="6"/>
      <c r="Y778" s="6"/>
      <c r="Z778" s="6"/>
    </row>
    <row r="779" ht="60.0" customHeight="1">
      <c r="A779" s="6"/>
      <c r="B779" s="6"/>
      <c r="C779" s="6"/>
      <c r="D779" s="6"/>
      <c r="E779" s="17"/>
      <c r="F779" s="6"/>
      <c r="G779" s="6"/>
      <c r="H779" s="6"/>
      <c r="I779" s="6"/>
      <c r="J779" s="6"/>
      <c r="K779" s="6"/>
      <c r="L779" s="6"/>
      <c r="M779" s="6"/>
      <c r="N779" s="6"/>
      <c r="O779" s="6"/>
      <c r="P779" s="6"/>
      <c r="Q779" s="6"/>
      <c r="R779" s="6"/>
      <c r="S779" s="6"/>
      <c r="T779" s="6"/>
      <c r="U779" s="6"/>
      <c r="V779" s="6"/>
      <c r="W779" s="6"/>
      <c r="X779" s="6"/>
      <c r="Y779" s="6"/>
      <c r="Z779" s="6"/>
    </row>
    <row r="780" ht="60.0" customHeight="1">
      <c r="A780" s="6"/>
      <c r="B780" s="6"/>
      <c r="C780" s="6"/>
      <c r="D780" s="6"/>
      <c r="E780" s="17"/>
      <c r="F780" s="6"/>
      <c r="G780" s="6"/>
      <c r="H780" s="6"/>
      <c r="I780" s="6"/>
      <c r="J780" s="6"/>
      <c r="K780" s="6"/>
      <c r="L780" s="6"/>
      <c r="M780" s="6"/>
      <c r="N780" s="6"/>
      <c r="O780" s="6"/>
      <c r="P780" s="6"/>
      <c r="Q780" s="6"/>
      <c r="R780" s="6"/>
      <c r="S780" s="6"/>
      <c r="T780" s="6"/>
      <c r="U780" s="6"/>
      <c r="V780" s="6"/>
      <c r="W780" s="6"/>
      <c r="X780" s="6"/>
      <c r="Y780" s="6"/>
      <c r="Z780" s="6"/>
    </row>
    <row r="781" ht="60.0" customHeight="1">
      <c r="A781" s="6"/>
      <c r="B781" s="6"/>
      <c r="C781" s="6"/>
      <c r="D781" s="6"/>
      <c r="E781" s="17"/>
      <c r="F781" s="6"/>
      <c r="G781" s="6"/>
      <c r="H781" s="6"/>
      <c r="I781" s="6"/>
      <c r="J781" s="6"/>
      <c r="K781" s="6"/>
      <c r="L781" s="6"/>
      <c r="M781" s="6"/>
      <c r="N781" s="6"/>
      <c r="O781" s="6"/>
      <c r="P781" s="6"/>
      <c r="Q781" s="6"/>
      <c r="R781" s="6"/>
      <c r="S781" s="6"/>
      <c r="T781" s="6"/>
      <c r="U781" s="6"/>
      <c r="V781" s="6"/>
      <c r="W781" s="6"/>
      <c r="X781" s="6"/>
      <c r="Y781" s="6"/>
      <c r="Z781" s="6"/>
    </row>
    <row r="782" ht="60.0" customHeight="1">
      <c r="A782" s="6"/>
      <c r="B782" s="6"/>
      <c r="C782" s="6"/>
      <c r="D782" s="6"/>
      <c r="E782" s="17"/>
      <c r="F782" s="6"/>
      <c r="G782" s="6"/>
      <c r="H782" s="6"/>
      <c r="I782" s="6"/>
      <c r="J782" s="6"/>
      <c r="K782" s="6"/>
      <c r="L782" s="6"/>
      <c r="M782" s="6"/>
      <c r="N782" s="6"/>
      <c r="O782" s="6"/>
      <c r="P782" s="6"/>
      <c r="Q782" s="6"/>
      <c r="R782" s="6"/>
      <c r="S782" s="6"/>
      <c r="T782" s="6"/>
      <c r="U782" s="6"/>
      <c r="V782" s="6"/>
      <c r="W782" s="6"/>
      <c r="X782" s="6"/>
      <c r="Y782" s="6"/>
      <c r="Z782" s="6"/>
    </row>
    <row r="783" ht="60.0" customHeight="1">
      <c r="A783" s="6"/>
      <c r="B783" s="6"/>
      <c r="C783" s="6"/>
      <c r="D783" s="6"/>
      <c r="E783" s="17"/>
      <c r="F783" s="6"/>
      <c r="G783" s="6"/>
      <c r="H783" s="6"/>
      <c r="I783" s="6"/>
      <c r="J783" s="6"/>
      <c r="K783" s="6"/>
      <c r="L783" s="6"/>
      <c r="M783" s="6"/>
      <c r="N783" s="6"/>
      <c r="O783" s="6"/>
      <c r="P783" s="6"/>
      <c r="Q783" s="6"/>
      <c r="R783" s="6"/>
      <c r="S783" s="6"/>
      <c r="T783" s="6"/>
      <c r="U783" s="6"/>
      <c r="V783" s="6"/>
      <c r="W783" s="6"/>
      <c r="X783" s="6"/>
      <c r="Y783" s="6"/>
      <c r="Z783" s="6"/>
    </row>
    <row r="784" ht="60.0" customHeight="1">
      <c r="A784" s="6"/>
      <c r="B784" s="6"/>
      <c r="C784" s="6"/>
      <c r="D784" s="6"/>
      <c r="E784" s="17"/>
      <c r="F784" s="6"/>
      <c r="G784" s="6"/>
      <c r="H784" s="6"/>
      <c r="I784" s="6"/>
      <c r="J784" s="6"/>
      <c r="K784" s="6"/>
      <c r="L784" s="6"/>
      <c r="M784" s="6"/>
      <c r="N784" s="6"/>
      <c r="O784" s="6"/>
      <c r="P784" s="6"/>
      <c r="Q784" s="6"/>
      <c r="R784" s="6"/>
      <c r="S784" s="6"/>
      <c r="T784" s="6"/>
      <c r="U784" s="6"/>
      <c r="V784" s="6"/>
      <c r="W784" s="6"/>
      <c r="X784" s="6"/>
      <c r="Y784" s="6"/>
      <c r="Z784" s="6"/>
    </row>
    <row r="785" ht="60.0" customHeight="1">
      <c r="A785" s="6"/>
      <c r="B785" s="6"/>
      <c r="C785" s="6"/>
      <c r="D785" s="6"/>
      <c r="E785" s="17"/>
      <c r="F785" s="6"/>
      <c r="G785" s="6"/>
      <c r="H785" s="6"/>
      <c r="I785" s="6"/>
      <c r="J785" s="6"/>
      <c r="K785" s="6"/>
      <c r="L785" s="6"/>
      <c r="M785" s="6"/>
      <c r="N785" s="6"/>
      <c r="O785" s="6"/>
      <c r="P785" s="6"/>
      <c r="Q785" s="6"/>
      <c r="R785" s="6"/>
      <c r="S785" s="6"/>
      <c r="T785" s="6"/>
      <c r="U785" s="6"/>
      <c r="V785" s="6"/>
      <c r="W785" s="6"/>
      <c r="X785" s="6"/>
      <c r="Y785" s="6"/>
      <c r="Z785" s="6"/>
    </row>
    <row r="786" ht="60.0" customHeight="1">
      <c r="A786" s="6"/>
      <c r="B786" s="6"/>
      <c r="C786" s="6"/>
      <c r="D786" s="6"/>
      <c r="E786" s="17"/>
      <c r="F786" s="6"/>
      <c r="G786" s="6"/>
      <c r="H786" s="6"/>
      <c r="I786" s="6"/>
      <c r="J786" s="6"/>
      <c r="K786" s="6"/>
      <c r="L786" s="6"/>
      <c r="M786" s="6"/>
      <c r="N786" s="6"/>
      <c r="O786" s="6"/>
      <c r="P786" s="6"/>
      <c r="Q786" s="6"/>
      <c r="R786" s="6"/>
      <c r="S786" s="6"/>
      <c r="T786" s="6"/>
      <c r="U786" s="6"/>
      <c r="V786" s="6"/>
      <c r="W786" s="6"/>
      <c r="X786" s="6"/>
      <c r="Y786" s="6"/>
      <c r="Z786" s="6"/>
    </row>
    <row r="787" ht="60.0" customHeight="1">
      <c r="A787" s="6"/>
      <c r="B787" s="6"/>
      <c r="C787" s="6"/>
      <c r="D787" s="6"/>
      <c r="E787" s="17"/>
      <c r="F787" s="6"/>
      <c r="G787" s="6"/>
      <c r="H787" s="6"/>
      <c r="I787" s="6"/>
      <c r="J787" s="6"/>
      <c r="K787" s="6"/>
      <c r="L787" s="6"/>
      <c r="M787" s="6"/>
      <c r="N787" s="6"/>
      <c r="O787" s="6"/>
      <c r="P787" s="6"/>
      <c r="Q787" s="6"/>
      <c r="R787" s="6"/>
      <c r="S787" s="6"/>
      <c r="T787" s="6"/>
      <c r="U787" s="6"/>
      <c r="V787" s="6"/>
      <c r="W787" s="6"/>
      <c r="X787" s="6"/>
      <c r="Y787" s="6"/>
      <c r="Z787" s="6"/>
    </row>
    <row r="788" ht="60.0" customHeight="1">
      <c r="A788" s="6"/>
      <c r="B788" s="6"/>
      <c r="C788" s="6"/>
      <c r="D788" s="6"/>
      <c r="E788" s="17"/>
      <c r="F788" s="6"/>
      <c r="G788" s="6"/>
      <c r="H788" s="6"/>
      <c r="I788" s="6"/>
      <c r="J788" s="6"/>
      <c r="K788" s="6"/>
      <c r="L788" s="6"/>
      <c r="M788" s="6"/>
      <c r="N788" s="6"/>
      <c r="O788" s="6"/>
      <c r="P788" s="6"/>
      <c r="Q788" s="6"/>
      <c r="R788" s="6"/>
      <c r="S788" s="6"/>
      <c r="T788" s="6"/>
      <c r="U788" s="6"/>
      <c r="V788" s="6"/>
      <c r="W788" s="6"/>
      <c r="X788" s="6"/>
      <c r="Y788" s="6"/>
      <c r="Z788" s="6"/>
    </row>
    <row r="789" ht="60.0" customHeight="1">
      <c r="A789" s="6"/>
      <c r="B789" s="6"/>
      <c r="C789" s="6"/>
      <c r="D789" s="6"/>
      <c r="E789" s="17"/>
      <c r="F789" s="6"/>
      <c r="G789" s="6"/>
      <c r="H789" s="6"/>
      <c r="I789" s="6"/>
      <c r="J789" s="6"/>
      <c r="K789" s="6"/>
      <c r="L789" s="6"/>
      <c r="M789" s="6"/>
      <c r="N789" s="6"/>
      <c r="O789" s="6"/>
      <c r="P789" s="6"/>
      <c r="Q789" s="6"/>
      <c r="R789" s="6"/>
      <c r="S789" s="6"/>
      <c r="T789" s="6"/>
      <c r="U789" s="6"/>
      <c r="V789" s="6"/>
      <c r="W789" s="6"/>
      <c r="X789" s="6"/>
      <c r="Y789" s="6"/>
      <c r="Z789" s="6"/>
    </row>
    <row r="790" ht="60.0" customHeight="1">
      <c r="A790" s="6"/>
      <c r="B790" s="6"/>
      <c r="C790" s="6"/>
      <c r="D790" s="6"/>
      <c r="E790" s="17"/>
      <c r="F790" s="6"/>
      <c r="G790" s="6"/>
      <c r="H790" s="6"/>
      <c r="I790" s="6"/>
      <c r="J790" s="6"/>
      <c r="K790" s="6"/>
      <c r="L790" s="6"/>
      <c r="M790" s="6"/>
      <c r="N790" s="6"/>
      <c r="O790" s="6"/>
      <c r="P790" s="6"/>
      <c r="Q790" s="6"/>
      <c r="R790" s="6"/>
      <c r="S790" s="6"/>
      <c r="T790" s="6"/>
      <c r="U790" s="6"/>
      <c r="V790" s="6"/>
      <c r="W790" s="6"/>
      <c r="X790" s="6"/>
      <c r="Y790" s="6"/>
      <c r="Z790" s="6"/>
    </row>
    <row r="791" ht="60.0" customHeight="1">
      <c r="A791" s="6"/>
      <c r="B791" s="6"/>
      <c r="C791" s="6"/>
      <c r="D791" s="6"/>
      <c r="E791" s="17"/>
      <c r="F791" s="6"/>
      <c r="G791" s="6"/>
      <c r="H791" s="6"/>
      <c r="I791" s="6"/>
      <c r="J791" s="6"/>
      <c r="K791" s="6"/>
      <c r="L791" s="6"/>
      <c r="M791" s="6"/>
      <c r="N791" s="6"/>
      <c r="O791" s="6"/>
      <c r="P791" s="6"/>
      <c r="Q791" s="6"/>
      <c r="R791" s="6"/>
      <c r="S791" s="6"/>
      <c r="T791" s="6"/>
      <c r="U791" s="6"/>
      <c r="V791" s="6"/>
      <c r="W791" s="6"/>
      <c r="X791" s="6"/>
      <c r="Y791" s="6"/>
      <c r="Z791" s="6"/>
    </row>
    <row r="792" ht="60.0" customHeight="1">
      <c r="A792" s="6"/>
      <c r="B792" s="6"/>
      <c r="C792" s="6"/>
      <c r="D792" s="6"/>
      <c r="E792" s="17"/>
      <c r="F792" s="6"/>
      <c r="G792" s="6"/>
      <c r="H792" s="6"/>
      <c r="I792" s="6"/>
      <c r="J792" s="6"/>
      <c r="K792" s="6"/>
      <c r="L792" s="6"/>
      <c r="M792" s="6"/>
      <c r="N792" s="6"/>
      <c r="O792" s="6"/>
      <c r="P792" s="6"/>
      <c r="Q792" s="6"/>
      <c r="R792" s="6"/>
      <c r="S792" s="6"/>
      <c r="T792" s="6"/>
      <c r="U792" s="6"/>
      <c r="V792" s="6"/>
      <c r="W792" s="6"/>
      <c r="X792" s="6"/>
      <c r="Y792" s="6"/>
      <c r="Z792" s="6"/>
    </row>
    <row r="793" ht="60.0" customHeight="1">
      <c r="A793" s="6"/>
      <c r="B793" s="6"/>
      <c r="C793" s="6"/>
      <c r="D793" s="6"/>
      <c r="E793" s="17"/>
      <c r="F793" s="6"/>
      <c r="G793" s="6"/>
      <c r="H793" s="6"/>
      <c r="I793" s="6"/>
      <c r="J793" s="6"/>
      <c r="K793" s="6"/>
      <c r="L793" s="6"/>
      <c r="M793" s="6"/>
      <c r="N793" s="6"/>
      <c r="O793" s="6"/>
      <c r="P793" s="6"/>
      <c r="Q793" s="6"/>
      <c r="R793" s="6"/>
      <c r="S793" s="6"/>
      <c r="T793" s="6"/>
      <c r="U793" s="6"/>
      <c r="V793" s="6"/>
      <c r="W793" s="6"/>
      <c r="X793" s="6"/>
      <c r="Y793" s="6"/>
      <c r="Z793" s="6"/>
    </row>
    <row r="794" ht="60.0" customHeight="1">
      <c r="A794" s="6"/>
      <c r="B794" s="6"/>
      <c r="C794" s="6"/>
      <c r="D794" s="6"/>
      <c r="E794" s="17"/>
      <c r="F794" s="6"/>
      <c r="G794" s="6"/>
      <c r="H794" s="6"/>
      <c r="I794" s="6"/>
      <c r="J794" s="6"/>
      <c r="K794" s="6"/>
      <c r="L794" s="6"/>
      <c r="M794" s="6"/>
      <c r="N794" s="6"/>
      <c r="O794" s="6"/>
      <c r="P794" s="6"/>
      <c r="Q794" s="6"/>
      <c r="R794" s="6"/>
      <c r="S794" s="6"/>
      <c r="T794" s="6"/>
      <c r="U794" s="6"/>
      <c r="V794" s="6"/>
      <c r="W794" s="6"/>
      <c r="X794" s="6"/>
      <c r="Y794" s="6"/>
      <c r="Z794" s="6"/>
    </row>
    <row r="795" ht="60.0" customHeight="1">
      <c r="A795" s="6"/>
      <c r="B795" s="6"/>
      <c r="C795" s="6"/>
      <c r="D795" s="6"/>
      <c r="E795" s="17"/>
      <c r="F795" s="6"/>
      <c r="G795" s="6"/>
      <c r="H795" s="6"/>
      <c r="I795" s="6"/>
      <c r="J795" s="6"/>
      <c r="K795" s="6"/>
      <c r="L795" s="6"/>
      <c r="M795" s="6"/>
      <c r="N795" s="6"/>
      <c r="O795" s="6"/>
      <c r="P795" s="6"/>
      <c r="Q795" s="6"/>
      <c r="R795" s="6"/>
      <c r="S795" s="6"/>
      <c r="T795" s="6"/>
      <c r="U795" s="6"/>
      <c r="V795" s="6"/>
      <c r="W795" s="6"/>
      <c r="X795" s="6"/>
      <c r="Y795" s="6"/>
      <c r="Z795" s="6"/>
    </row>
    <row r="796" ht="60.0" customHeight="1">
      <c r="A796" s="6"/>
      <c r="B796" s="6"/>
      <c r="C796" s="6"/>
      <c r="D796" s="6"/>
      <c r="E796" s="17"/>
      <c r="F796" s="6"/>
      <c r="G796" s="6"/>
      <c r="H796" s="6"/>
      <c r="I796" s="6"/>
      <c r="J796" s="6"/>
      <c r="K796" s="6"/>
      <c r="L796" s="6"/>
      <c r="M796" s="6"/>
      <c r="N796" s="6"/>
      <c r="O796" s="6"/>
      <c r="P796" s="6"/>
      <c r="Q796" s="6"/>
      <c r="R796" s="6"/>
      <c r="S796" s="6"/>
      <c r="T796" s="6"/>
      <c r="U796" s="6"/>
      <c r="V796" s="6"/>
      <c r="W796" s="6"/>
      <c r="X796" s="6"/>
      <c r="Y796" s="6"/>
      <c r="Z796" s="6"/>
    </row>
    <row r="797" ht="60.0" customHeight="1">
      <c r="A797" s="6"/>
      <c r="B797" s="6"/>
      <c r="C797" s="6"/>
      <c r="D797" s="6"/>
      <c r="E797" s="17"/>
      <c r="F797" s="6"/>
      <c r="G797" s="6"/>
      <c r="H797" s="6"/>
      <c r="I797" s="6"/>
      <c r="J797" s="6"/>
      <c r="K797" s="6"/>
      <c r="L797" s="6"/>
      <c r="M797" s="6"/>
      <c r="N797" s="6"/>
      <c r="O797" s="6"/>
      <c r="P797" s="6"/>
      <c r="Q797" s="6"/>
      <c r="R797" s="6"/>
      <c r="S797" s="6"/>
      <c r="T797" s="6"/>
      <c r="U797" s="6"/>
      <c r="V797" s="6"/>
      <c r="W797" s="6"/>
      <c r="X797" s="6"/>
      <c r="Y797" s="6"/>
      <c r="Z797" s="6"/>
    </row>
    <row r="798" ht="60.0" customHeight="1">
      <c r="A798" s="6"/>
      <c r="B798" s="6"/>
      <c r="C798" s="6"/>
      <c r="D798" s="6"/>
      <c r="E798" s="17"/>
      <c r="F798" s="6"/>
      <c r="G798" s="6"/>
      <c r="H798" s="6"/>
      <c r="I798" s="6"/>
      <c r="J798" s="6"/>
      <c r="K798" s="6"/>
      <c r="L798" s="6"/>
      <c r="M798" s="6"/>
      <c r="N798" s="6"/>
      <c r="O798" s="6"/>
      <c r="P798" s="6"/>
      <c r="Q798" s="6"/>
      <c r="R798" s="6"/>
      <c r="S798" s="6"/>
      <c r="T798" s="6"/>
      <c r="U798" s="6"/>
      <c r="V798" s="6"/>
      <c r="W798" s="6"/>
      <c r="X798" s="6"/>
      <c r="Y798" s="6"/>
      <c r="Z798" s="6"/>
    </row>
    <row r="799" ht="60.0" customHeight="1">
      <c r="A799" s="6"/>
      <c r="B799" s="6"/>
      <c r="C799" s="6"/>
      <c r="D799" s="6"/>
      <c r="E799" s="17"/>
      <c r="F799" s="6"/>
      <c r="G799" s="6"/>
      <c r="H799" s="6"/>
      <c r="I799" s="6"/>
      <c r="J799" s="6"/>
      <c r="K799" s="6"/>
      <c r="L799" s="6"/>
      <c r="M799" s="6"/>
      <c r="N799" s="6"/>
      <c r="O799" s="6"/>
      <c r="P799" s="6"/>
      <c r="Q799" s="6"/>
      <c r="R799" s="6"/>
      <c r="S799" s="6"/>
      <c r="T799" s="6"/>
      <c r="U799" s="6"/>
      <c r="V799" s="6"/>
      <c r="W799" s="6"/>
      <c r="X799" s="6"/>
      <c r="Y799" s="6"/>
      <c r="Z799" s="6"/>
    </row>
    <row r="800" ht="60.0" customHeight="1">
      <c r="A800" s="6"/>
      <c r="B800" s="6"/>
      <c r="C800" s="6"/>
      <c r="D800" s="6"/>
      <c r="E800" s="17"/>
      <c r="F800" s="6"/>
      <c r="G800" s="6"/>
      <c r="H800" s="6"/>
      <c r="I800" s="6"/>
      <c r="J800" s="6"/>
      <c r="K800" s="6"/>
      <c r="L800" s="6"/>
      <c r="M800" s="6"/>
      <c r="N800" s="6"/>
      <c r="O800" s="6"/>
      <c r="P800" s="6"/>
      <c r="Q800" s="6"/>
      <c r="R800" s="6"/>
      <c r="S800" s="6"/>
      <c r="T800" s="6"/>
      <c r="U800" s="6"/>
      <c r="V800" s="6"/>
      <c r="W800" s="6"/>
      <c r="X800" s="6"/>
      <c r="Y800" s="6"/>
      <c r="Z800" s="6"/>
    </row>
    <row r="801" ht="60.0" customHeight="1">
      <c r="A801" s="6"/>
      <c r="B801" s="6"/>
      <c r="C801" s="6"/>
      <c r="D801" s="6"/>
      <c r="E801" s="17"/>
      <c r="F801" s="6"/>
      <c r="G801" s="6"/>
      <c r="H801" s="6"/>
      <c r="I801" s="6"/>
      <c r="J801" s="6"/>
      <c r="K801" s="6"/>
      <c r="L801" s="6"/>
      <c r="M801" s="6"/>
      <c r="N801" s="6"/>
      <c r="O801" s="6"/>
      <c r="P801" s="6"/>
      <c r="Q801" s="6"/>
      <c r="R801" s="6"/>
      <c r="S801" s="6"/>
      <c r="T801" s="6"/>
      <c r="U801" s="6"/>
      <c r="V801" s="6"/>
      <c r="W801" s="6"/>
      <c r="X801" s="6"/>
      <c r="Y801" s="6"/>
      <c r="Z801" s="6"/>
    </row>
    <row r="802" ht="60.0" customHeight="1">
      <c r="A802" s="6"/>
      <c r="B802" s="6"/>
      <c r="C802" s="6"/>
      <c r="D802" s="6"/>
      <c r="E802" s="17"/>
      <c r="F802" s="6"/>
      <c r="G802" s="6"/>
      <c r="H802" s="6"/>
      <c r="I802" s="6"/>
      <c r="J802" s="6"/>
      <c r="K802" s="6"/>
      <c r="L802" s="6"/>
      <c r="M802" s="6"/>
      <c r="N802" s="6"/>
      <c r="O802" s="6"/>
      <c r="P802" s="6"/>
      <c r="Q802" s="6"/>
      <c r="R802" s="6"/>
      <c r="S802" s="6"/>
      <c r="T802" s="6"/>
      <c r="U802" s="6"/>
      <c r="V802" s="6"/>
      <c r="W802" s="6"/>
      <c r="X802" s="6"/>
      <c r="Y802" s="6"/>
      <c r="Z802" s="6"/>
    </row>
    <row r="803" ht="60.0" customHeight="1">
      <c r="A803" s="6"/>
      <c r="B803" s="6"/>
      <c r="C803" s="6"/>
      <c r="D803" s="6"/>
      <c r="E803" s="17"/>
      <c r="F803" s="6"/>
      <c r="G803" s="6"/>
      <c r="H803" s="6"/>
      <c r="I803" s="6"/>
      <c r="J803" s="6"/>
      <c r="K803" s="6"/>
      <c r="L803" s="6"/>
      <c r="M803" s="6"/>
      <c r="N803" s="6"/>
      <c r="O803" s="6"/>
      <c r="P803" s="6"/>
      <c r="Q803" s="6"/>
      <c r="R803" s="6"/>
      <c r="S803" s="6"/>
      <c r="T803" s="6"/>
      <c r="U803" s="6"/>
      <c r="V803" s="6"/>
      <c r="W803" s="6"/>
      <c r="X803" s="6"/>
      <c r="Y803" s="6"/>
      <c r="Z803" s="6"/>
    </row>
    <row r="804" ht="60.0" customHeight="1">
      <c r="A804" s="6"/>
      <c r="B804" s="6"/>
      <c r="C804" s="6"/>
      <c r="D804" s="6"/>
      <c r="E804" s="17"/>
      <c r="F804" s="6"/>
      <c r="G804" s="6"/>
      <c r="H804" s="6"/>
      <c r="I804" s="6"/>
      <c r="J804" s="6"/>
      <c r="K804" s="6"/>
      <c r="L804" s="6"/>
      <c r="M804" s="6"/>
      <c r="N804" s="6"/>
      <c r="O804" s="6"/>
      <c r="P804" s="6"/>
      <c r="Q804" s="6"/>
      <c r="R804" s="6"/>
      <c r="S804" s="6"/>
      <c r="T804" s="6"/>
      <c r="U804" s="6"/>
      <c r="V804" s="6"/>
      <c r="W804" s="6"/>
      <c r="X804" s="6"/>
      <c r="Y804" s="6"/>
      <c r="Z804" s="6"/>
    </row>
    <row r="805" ht="60.0" customHeight="1">
      <c r="A805" s="6"/>
      <c r="B805" s="6"/>
      <c r="C805" s="6"/>
      <c r="D805" s="6"/>
      <c r="E805" s="17"/>
      <c r="F805" s="6"/>
      <c r="G805" s="6"/>
      <c r="H805" s="6"/>
      <c r="I805" s="6"/>
      <c r="J805" s="6"/>
      <c r="K805" s="6"/>
      <c r="L805" s="6"/>
      <c r="M805" s="6"/>
      <c r="N805" s="6"/>
      <c r="O805" s="6"/>
      <c r="P805" s="6"/>
      <c r="Q805" s="6"/>
      <c r="R805" s="6"/>
      <c r="S805" s="6"/>
      <c r="T805" s="6"/>
      <c r="U805" s="6"/>
      <c r="V805" s="6"/>
      <c r="W805" s="6"/>
      <c r="X805" s="6"/>
      <c r="Y805" s="6"/>
      <c r="Z805" s="6"/>
    </row>
    <row r="806" ht="60.0" customHeight="1">
      <c r="A806" s="6"/>
      <c r="B806" s="6"/>
      <c r="C806" s="6"/>
      <c r="D806" s="6"/>
      <c r="E806" s="17"/>
      <c r="F806" s="6"/>
      <c r="G806" s="6"/>
      <c r="H806" s="6"/>
      <c r="I806" s="6"/>
      <c r="J806" s="6"/>
      <c r="K806" s="6"/>
      <c r="L806" s="6"/>
      <c r="M806" s="6"/>
      <c r="N806" s="6"/>
      <c r="O806" s="6"/>
      <c r="P806" s="6"/>
      <c r="Q806" s="6"/>
      <c r="R806" s="6"/>
      <c r="S806" s="6"/>
      <c r="T806" s="6"/>
      <c r="U806" s="6"/>
      <c r="V806" s="6"/>
      <c r="W806" s="6"/>
      <c r="X806" s="6"/>
      <c r="Y806" s="6"/>
      <c r="Z806" s="6"/>
    </row>
    <row r="807" ht="60.0" customHeight="1">
      <c r="A807" s="6"/>
      <c r="B807" s="6"/>
      <c r="C807" s="6"/>
      <c r="D807" s="6"/>
      <c r="E807" s="17"/>
      <c r="F807" s="6"/>
      <c r="G807" s="6"/>
      <c r="H807" s="6"/>
      <c r="I807" s="6"/>
      <c r="J807" s="6"/>
      <c r="K807" s="6"/>
      <c r="L807" s="6"/>
      <c r="M807" s="6"/>
      <c r="N807" s="6"/>
      <c r="O807" s="6"/>
      <c r="P807" s="6"/>
      <c r="Q807" s="6"/>
      <c r="R807" s="6"/>
      <c r="S807" s="6"/>
      <c r="T807" s="6"/>
      <c r="U807" s="6"/>
      <c r="V807" s="6"/>
      <c r="W807" s="6"/>
      <c r="X807" s="6"/>
      <c r="Y807" s="6"/>
      <c r="Z807" s="6"/>
    </row>
    <row r="808" ht="60.0" customHeight="1">
      <c r="A808" s="6"/>
      <c r="B808" s="6"/>
      <c r="C808" s="6"/>
      <c r="D808" s="6"/>
      <c r="E808" s="17"/>
      <c r="F808" s="6"/>
      <c r="G808" s="6"/>
      <c r="H808" s="6"/>
      <c r="I808" s="6"/>
      <c r="J808" s="6"/>
      <c r="K808" s="6"/>
      <c r="L808" s="6"/>
      <c r="M808" s="6"/>
      <c r="N808" s="6"/>
      <c r="O808" s="6"/>
      <c r="P808" s="6"/>
      <c r="Q808" s="6"/>
      <c r="R808" s="6"/>
      <c r="S808" s="6"/>
      <c r="T808" s="6"/>
      <c r="U808" s="6"/>
      <c r="V808" s="6"/>
      <c r="W808" s="6"/>
      <c r="X808" s="6"/>
      <c r="Y808" s="6"/>
      <c r="Z808" s="6"/>
    </row>
    <row r="809" ht="60.0" customHeight="1">
      <c r="A809" s="6"/>
      <c r="B809" s="6"/>
      <c r="C809" s="6"/>
      <c r="D809" s="6"/>
      <c r="E809" s="17"/>
      <c r="F809" s="6"/>
      <c r="G809" s="6"/>
      <c r="H809" s="6"/>
      <c r="I809" s="6"/>
      <c r="J809" s="6"/>
      <c r="K809" s="6"/>
      <c r="L809" s="6"/>
      <c r="M809" s="6"/>
      <c r="N809" s="6"/>
      <c r="O809" s="6"/>
      <c r="P809" s="6"/>
      <c r="Q809" s="6"/>
      <c r="R809" s="6"/>
      <c r="S809" s="6"/>
      <c r="T809" s="6"/>
      <c r="U809" s="6"/>
      <c r="V809" s="6"/>
      <c r="W809" s="6"/>
      <c r="X809" s="6"/>
      <c r="Y809" s="6"/>
      <c r="Z809" s="6"/>
    </row>
    <row r="810" ht="60.0" customHeight="1">
      <c r="A810" s="6"/>
      <c r="B810" s="6"/>
      <c r="C810" s="6"/>
      <c r="D810" s="6"/>
      <c r="E810" s="17"/>
      <c r="F810" s="6"/>
      <c r="G810" s="6"/>
      <c r="H810" s="6"/>
      <c r="I810" s="6"/>
      <c r="J810" s="6"/>
      <c r="K810" s="6"/>
      <c r="L810" s="6"/>
      <c r="M810" s="6"/>
      <c r="N810" s="6"/>
      <c r="O810" s="6"/>
      <c r="P810" s="6"/>
      <c r="Q810" s="6"/>
      <c r="R810" s="6"/>
      <c r="S810" s="6"/>
      <c r="T810" s="6"/>
      <c r="U810" s="6"/>
      <c r="V810" s="6"/>
      <c r="W810" s="6"/>
      <c r="X810" s="6"/>
      <c r="Y810" s="6"/>
      <c r="Z810" s="6"/>
    </row>
    <row r="811" ht="60.0" customHeight="1">
      <c r="A811" s="6"/>
      <c r="B811" s="6"/>
      <c r="C811" s="6"/>
      <c r="D811" s="6"/>
      <c r="E811" s="17"/>
      <c r="F811" s="6"/>
      <c r="G811" s="6"/>
      <c r="H811" s="6"/>
      <c r="I811" s="6"/>
      <c r="J811" s="6"/>
      <c r="K811" s="6"/>
      <c r="L811" s="6"/>
      <c r="M811" s="6"/>
      <c r="N811" s="6"/>
      <c r="O811" s="6"/>
      <c r="P811" s="6"/>
      <c r="Q811" s="6"/>
      <c r="R811" s="6"/>
      <c r="S811" s="6"/>
      <c r="T811" s="6"/>
      <c r="U811" s="6"/>
      <c r="V811" s="6"/>
      <c r="W811" s="6"/>
      <c r="X811" s="6"/>
      <c r="Y811" s="6"/>
      <c r="Z811" s="6"/>
    </row>
    <row r="812" ht="60.0" customHeight="1">
      <c r="A812" s="6"/>
      <c r="B812" s="6"/>
      <c r="C812" s="6"/>
      <c r="D812" s="6"/>
      <c r="E812" s="17"/>
      <c r="F812" s="6"/>
      <c r="G812" s="6"/>
      <c r="H812" s="6"/>
      <c r="I812" s="6"/>
      <c r="J812" s="6"/>
      <c r="K812" s="6"/>
      <c r="L812" s="6"/>
      <c r="M812" s="6"/>
      <c r="N812" s="6"/>
      <c r="O812" s="6"/>
      <c r="P812" s="6"/>
      <c r="Q812" s="6"/>
      <c r="R812" s="6"/>
      <c r="S812" s="6"/>
      <c r="T812" s="6"/>
      <c r="U812" s="6"/>
      <c r="V812" s="6"/>
      <c r="W812" s="6"/>
      <c r="X812" s="6"/>
      <c r="Y812" s="6"/>
      <c r="Z812" s="6"/>
    </row>
    <row r="813" ht="60.0" customHeight="1">
      <c r="A813" s="6"/>
      <c r="B813" s="6"/>
      <c r="C813" s="6"/>
      <c r="D813" s="6"/>
      <c r="E813" s="17"/>
      <c r="F813" s="6"/>
      <c r="G813" s="6"/>
      <c r="H813" s="6"/>
      <c r="I813" s="6"/>
      <c r="J813" s="6"/>
      <c r="K813" s="6"/>
      <c r="L813" s="6"/>
      <c r="M813" s="6"/>
      <c r="N813" s="6"/>
      <c r="O813" s="6"/>
      <c r="P813" s="6"/>
      <c r="Q813" s="6"/>
      <c r="R813" s="6"/>
      <c r="S813" s="6"/>
      <c r="T813" s="6"/>
      <c r="U813" s="6"/>
      <c r="V813" s="6"/>
      <c r="W813" s="6"/>
      <c r="X813" s="6"/>
      <c r="Y813" s="6"/>
      <c r="Z813" s="6"/>
    </row>
    <row r="814" ht="60.0" customHeight="1">
      <c r="A814" s="6"/>
      <c r="B814" s="6"/>
      <c r="C814" s="6"/>
      <c r="D814" s="6"/>
      <c r="E814" s="17"/>
      <c r="F814" s="6"/>
      <c r="G814" s="6"/>
      <c r="H814" s="6"/>
      <c r="I814" s="6"/>
      <c r="J814" s="6"/>
      <c r="K814" s="6"/>
      <c r="L814" s="6"/>
      <c r="M814" s="6"/>
      <c r="N814" s="6"/>
      <c r="O814" s="6"/>
      <c r="P814" s="6"/>
      <c r="Q814" s="6"/>
      <c r="R814" s="6"/>
      <c r="S814" s="6"/>
      <c r="T814" s="6"/>
      <c r="U814" s="6"/>
      <c r="V814" s="6"/>
      <c r="W814" s="6"/>
      <c r="X814" s="6"/>
      <c r="Y814" s="6"/>
      <c r="Z814" s="6"/>
    </row>
    <row r="815" ht="60.0" customHeight="1">
      <c r="A815" s="6"/>
      <c r="B815" s="6"/>
      <c r="C815" s="6"/>
      <c r="D815" s="6"/>
      <c r="E815" s="17"/>
      <c r="F815" s="6"/>
      <c r="G815" s="6"/>
      <c r="H815" s="6"/>
      <c r="I815" s="6"/>
      <c r="J815" s="6"/>
      <c r="K815" s="6"/>
      <c r="L815" s="6"/>
      <c r="M815" s="6"/>
      <c r="N815" s="6"/>
      <c r="O815" s="6"/>
      <c r="P815" s="6"/>
      <c r="Q815" s="6"/>
      <c r="R815" s="6"/>
      <c r="S815" s="6"/>
      <c r="T815" s="6"/>
      <c r="U815" s="6"/>
      <c r="V815" s="6"/>
      <c r="W815" s="6"/>
      <c r="X815" s="6"/>
      <c r="Y815" s="6"/>
      <c r="Z815" s="6"/>
    </row>
    <row r="816" ht="60.0" customHeight="1">
      <c r="A816" s="6"/>
      <c r="B816" s="6"/>
      <c r="C816" s="6"/>
      <c r="D816" s="6"/>
      <c r="E816" s="17"/>
      <c r="F816" s="6"/>
      <c r="G816" s="6"/>
      <c r="H816" s="6"/>
      <c r="I816" s="6"/>
      <c r="J816" s="6"/>
      <c r="K816" s="6"/>
      <c r="L816" s="6"/>
      <c r="M816" s="6"/>
      <c r="N816" s="6"/>
      <c r="O816" s="6"/>
      <c r="P816" s="6"/>
      <c r="Q816" s="6"/>
      <c r="R816" s="6"/>
      <c r="S816" s="6"/>
      <c r="T816" s="6"/>
      <c r="U816" s="6"/>
      <c r="V816" s="6"/>
      <c r="W816" s="6"/>
      <c r="X816" s="6"/>
      <c r="Y816" s="6"/>
      <c r="Z816" s="6"/>
    </row>
    <row r="817" ht="60.0" customHeight="1">
      <c r="A817" s="6"/>
      <c r="B817" s="6"/>
      <c r="C817" s="6"/>
      <c r="D817" s="6"/>
      <c r="E817" s="17"/>
      <c r="F817" s="6"/>
      <c r="G817" s="6"/>
      <c r="H817" s="6"/>
      <c r="I817" s="6"/>
      <c r="J817" s="6"/>
      <c r="K817" s="6"/>
      <c r="L817" s="6"/>
      <c r="M817" s="6"/>
      <c r="N817" s="6"/>
      <c r="O817" s="6"/>
      <c r="P817" s="6"/>
      <c r="Q817" s="6"/>
      <c r="R817" s="6"/>
      <c r="S817" s="6"/>
      <c r="T817" s="6"/>
      <c r="U817" s="6"/>
      <c r="V817" s="6"/>
      <c r="W817" s="6"/>
      <c r="X817" s="6"/>
      <c r="Y817" s="6"/>
      <c r="Z817" s="6"/>
    </row>
    <row r="818" ht="60.0" customHeight="1">
      <c r="A818" s="6"/>
      <c r="B818" s="6"/>
      <c r="C818" s="6"/>
      <c r="D818" s="6"/>
      <c r="E818" s="17"/>
      <c r="F818" s="6"/>
      <c r="G818" s="6"/>
      <c r="H818" s="6"/>
      <c r="I818" s="6"/>
      <c r="J818" s="6"/>
      <c r="K818" s="6"/>
      <c r="L818" s="6"/>
      <c r="M818" s="6"/>
      <c r="N818" s="6"/>
      <c r="O818" s="6"/>
      <c r="P818" s="6"/>
      <c r="Q818" s="6"/>
      <c r="R818" s="6"/>
      <c r="S818" s="6"/>
      <c r="T818" s="6"/>
      <c r="U818" s="6"/>
      <c r="V818" s="6"/>
      <c r="W818" s="6"/>
      <c r="X818" s="6"/>
      <c r="Y818" s="6"/>
      <c r="Z818" s="6"/>
    </row>
    <row r="819" ht="60.0" customHeight="1">
      <c r="A819" s="6"/>
      <c r="B819" s="6"/>
      <c r="C819" s="6"/>
      <c r="D819" s="6"/>
      <c r="E819" s="17"/>
      <c r="F819" s="6"/>
      <c r="G819" s="6"/>
      <c r="H819" s="6"/>
      <c r="I819" s="6"/>
      <c r="J819" s="6"/>
      <c r="K819" s="6"/>
      <c r="L819" s="6"/>
      <c r="M819" s="6"/>
      <c r="N819" s="6"/>
      <c r="O819" s="6"/>
      <c r="P819" s="6"/>
      <c r="Q819" s="6"/>
      <c r="R819" s="6"/>
      <c r="S819" s="6"/>
      <c r="T819" s="6"/>
      <c r="U819" s="6"/>
      <c r="V819" s="6"/>
      <c r="W819" s="6"/>
      <c r="X819" s="6"/>
      <c r="Y819" s="6"/>
      <c r="Z819" s="6"/>
    </row>
    <row r="820" ht="60.0" customHeight="1">
      <c r="A820" s="6"/>
      <c r="B820" s="6"/>
      <c r="C820" s="6"/>
      <c r="D820" s="6"/>
      <c r="E820" s="17"/>
      <c r="F820" s="6"/>
      <c r="G820" s="6"/>
      <c r="H820" s="6"/>
      <c r="I820" s="6"/>
      <c r="J820" s="6"/>
      <c r="K820" s="6"/>
      <c r="L820" s="6"/>
      <c r="M820" s="6"/>
      <c r="N820" s="6"/>
      <c r="O820" s="6"/>
      <c r="P820" s="6"/>
      <c r="Q820" s="6"/>
      <c r="R820" s="6"/>
      <c r="S820" s="6"/>
      <c r="T820" s="6"/>
      <c r="U820" s="6"/>
      <c r="V820" s="6"/>
      <c r="W820" s="6"/>
      <c r="X820" s="6"/>
      <c r="Y820" s="6"/>
      <c r="Z820" s="6"/>
    </row>
    <row r="821" ht="60.0" customHeight="1">
      <c r="A821" s="6"/>
      <c r="B821" s="6"/>
      <c r="C821" s="6"/>
      <c r="D821" s="6"/>
      <c r="E821" s="17"/>
      <c r="F821" s="6"/>
      <c r="G821" s="6"/>
      <c r="H821" s="6"/>
      <c r="I821" s="6"/>
      <c r="J821" s="6"/>
      <c r="K821" s="6"/>
      <c r="L821" s="6"/>
      <c r="M821" s="6"/>
      <c r="N821" s="6"/>
      <c r="O821" s="6"/>
      <c r="P821" s="6"/>
      <c r="Q821" s="6"/>
      <c r="R821" s="6"/>
      <c r="S821" s="6"/>
      <c r="T821" s="6"/>
      <c r="U821" s="6"/>
      <c r="V821" s="6"/>
      <c r="W821" s="6"/>
      <c r="X821" s="6"/>
      <c r="Y821" s="6"/>
      <c r="Z821" s="6"/>
    </row>
    <row r="822" ht="60.0" customHeight="1">
      <c r="A822" s="6"/>
      <c r="B822" s="6"/>
      <c r="C822" s="6"/>
      <c r="D822" s="6"/>
      <c r="E822" s="17"/>
      <c r="F822" s="6"/>
      <c r="G822" s="6"/>
      <c r="H822" s="6"/>
      <c r="I822" s="6"/>
      <c r="J822" s="6"/>
      <c r="K822" s="6"/>
      <c r="L822" s="6"/>
      <c r="M822" s="6"/>
      <c r="N822" s="6"/>
      <c r="O822" s="6"/>
      <c r="P822" s="6"/>
      <c r="Q822" s="6"/>
      <c r="R822" s="6"/>
      <c r="S822" s="6"/>
      <c r="T822" s="6"/>
      <c r="U822" s="6"/>
      <c r="V822" s="6"/>
      <c r="W822" s="6"/>
      <c r="X822" s="6"/>
      <c r="Y822" s="6"/>
      <c r="Z822" s="6"/>
    </row>
    <row r="823" ht="60.0" customHeight="1">
      <c r="A823" s="6"/>
      <c r="B823" s="6"/>
      <c r="C823" s="6"/>
      <c r="D823" s="6"/>
      <c r="E823" s="17"/>
      <c r="F823" s="6"/>
      <c r="G823" s="6"/>
      <c r="H823" s="6"/>
      <c r="I823" s="6"/>
      <c r="J823" s="6"/>
      <c r="K823" s="6"/>
      <c r="L823" s="6"/>
      <c r="M823" s="6"/>
      <c r="N823" s="6"/>
      <c r="O823" s="6"/>
      <c r="P823" s="6"/>
      <c r="Q823" s="6"/>
      <c r="R823" s="6"/>
      <c r="S823" s="6"/>
      <c r="T823" s="6"/>
      <c r="U823" s="6"/>
      <c r="V823" s="6"/>
      <c r="W823" s="6"/>
      <c r="X823" s="6"/>
      <c r="Y823" s="6"/>
      <c r="Z823" s="6"/>
    </row>
    <row r="824" ht="60.0" customHeight="1">
      <c r="A824" s="6"/>
      <c r="B824" s="6"/>
      <c r="C824" s="6"/>
      <c r="D824" s="6"/>
      <c r="E824" s="17"/>
      <c r="F824" s="6"/>
      <c r="G824" s="6"/>
      <c r="H824" s="6"/>
      <c r="I824" s="6"/>
      <c r="J824" s="6"/>
      <c r="K824" s="6"/>
      <c r="L824" s="6"/>
      <c r="M824" s="6"/>
      <c r="N824" s="6"/>
      <c r="O824" s="6"/>
      <c r="P824" s="6"/>
      <c r="Q824" s="6"/>
      <c r="R824" s="6"/>
      <c r="S824" s="6"/>
      <c r="T824" s="6"/>
      <c r="U824" s="6"/>
      <c r="V824" s="6"/>
      <c r="W824" s="6"/>
      <c r="X824" s="6"/>
      <c r="Y824" s="6"/>
      <c r="Z824" s="6"/>
    </row>
    <row r="825" ht="60.0" customHeight="1">
      <c r="A825" s="6"/>
      <c r="B825" s="6"/>
      <c r="C825" s="6"/>
      <c r="D825" s="6"/>
      <c r="E825" s="17"/>
      <c r="F825" s="6"/>
      <c r="G825" s="6"/>
      <c r="H825" s="6"/>
      <c r="I825" s="6"/>
      <c r="J825" s="6"/>
      <c r="K825" s="6"/>
      <c r="L825" s="6"/>
      <c r="M825" s="6"/>
      <c r="N825" s="6"/>
      <c r="O825" s="6"/>
      <c r="P825" s="6"/>
      <c r="Q825" s="6"/>
      <c r="R825" s="6"/>
      <c r="S825" s="6"/>
      <c r="T825" s="6"/>
      <c r="U825" s="6"/>
      <c r="V825" s="6"/>
      <c r="W825" s="6"/>
      <c r="X825" s="6"/>
      <c r="Y825" s="6"/>
      <c r="Z825" s="6"/>
    </row>
    <row r="826" ht="60.0" customHeight="1">
      <c r="A826" s="6"/>
      <c r="B826" s="6"/>
      <c r="C826" s="6"/>
      <c r="D826" s="6"/>
      <c r="E826" s="17"/>
      <c r="F826" s="6"/>
      <c r="G826" s="6"/>
      <c r="H826" s="6"/>
      <c r="I826" s="6"/>
      <c r="J826" s="6"/>
      <c r="K826" s="6"/>
      <c r="L826" s="6"/>
      <c r="M826" s="6"/>
      <c r="N826" s="6"/>
      <c r="O826" s="6"/>
      <c r="P826" s="6"/>
      <c r="Q826" s="6"/>
      <c r="R826" s="6"/>
      <c r="S826" s="6"/>
      <c r="T826" s="6"/>
      <c r="U826" s="6"/>
      <c r="V826" s="6"/>
      <c r="W826" s="6"/>
      <c r="X826" s="6"/>
      <c r="Y826" s="6"/>
      <c r="Z826" s="6"/>
    </row>
    <row r="827" ht="60.0" customHeight="1">
      <c r="A827" s="6"/>
      <c r="B827" s="6"/>
      <c r="C827" s="6"/>
      <c r="D827" s="6"/>
      <c r="E827" s="17"/>
      <c r="F827" s="6"/>
      <c r="G827" s="6"/>
      <c r="H827" s="6"/>
      <c r="I827" s="6"/>
      <c r="J827" s="6"/>
      <c r="K827" s="6"/>
      <c r="L827" s="6"/>
      <c r="M827" s="6"/>
      <c r="N827" s="6"/>
      <c r="O827" s="6"/>
      <c r="P827" s="6"/>
      <c r="Q827" s="6"/>
      <c r="R827" s="6"/>
      <c r="S827" s="6"/>
      <c r="T827" s="6"/>
      <c r="U827" s="6"/>
      <c r="V827" s="6"/>
      <c r="W827" s="6"/>
      <c r="X827" s="6"/>
      <c r="Y827" s="6"/>
      <c r="Z827" s="6"/>
    </row>
    <row r="828" ht="60.0" customHeight="1">
      <c r="A828" s="6"/>
      <c r="B828" s="6"/>
      <c r="C828" s="6"/>
      <c r="D828" s="6"/>
      <c r="E828" s="17"/>
      <c r="F828" s="6"/>
      <c r="G828" s="6"/>
      <c r="H828" s="6"/>
      <c r="I828" s="6"/>
      <c r="J828" s="6"/>
      <c r="K828" s="6"/>
      <c r="L828" s="6"/>
      <c r="M828" s="6"/>
      <c r="N828" s="6"/>
      <c r="O828" s="6"/>
      <c r="P828" s="6"/>
      <c r="Q828" s="6"/>
      <c r="R828" s="6"/>
      <c r="S828" s="6"/>
      <c r="T828" s="6"/>
      <c r="U828" s="6"/>
      <c r="V828" s="6"/>
      <c r="W828" s="6"/>
      <c r="X828" s="6"/>
      <c r="Y828" s="6"/>
      <c r="Z828" s="6"/>
    </row>
    <row r="829" ht="60.0" customHeight="1">
      <c r="A829" s="6"/>
      <c r="B829" s="6"/>
      <c r="C829" s="6"/>
      <c r="D829" s="6"/>
      <c r="E829" s="17"/>
      <c r="F829" s="6"/>
      <c r="G829" s="6"/>
      <c r="H829" s="6"/>
      <c r="I829" s="6"/>
      <c r="J829" s="6"/>
      <c r="K829" s="6"/>
      <c r="L829" s="6"/>
      <c r="M829" s="6"/>
      <c r="N829" s="6"/>
      <c r="O829" s="6"/>
      <c r="P829" s="6"/>
      <c r="Q829" s="6"/>
      <c r="R829" s="6"/>
      <c r="S829" s="6"/>
      <c r="T829" s="6"/>
      <c r="U829" s="6"/>
      <c r="V829" s="6"/>
      <c r="W829" s="6"/>
      <c r="X829" s="6"/>
      <c r="Y829" s="6"/>
      <c r="Z829" s="6"/>
    </row>
    <row r="830" ht="60.0" customHeight="1">
      <c r="A830" s="6"/>
      <c r="B830" s="6"/>
      <c r="C830" s="6"/>
      <c r="D830" s="6"/>
      <c r="E830" s="17"/>
      <c r="F830" s="6"/>
      <c r="G830" s="6"/>
      <c r="H830" s="6"/>
      <c r="I830" s="6"/>
      <c r="J830" s="6"/>
      <c r="K830" s="6"/>
      <c r="L830" s="6"/>
      <c r="M830" s="6"/>
      <c r="N830" s="6"/>
      <c r="O830" s="6"/>
      <c r="P830" s="6"/>
      <c r="Q830" s="6"/>
      <c r="R830" s="6"/>
      <c r="S830" s="6"/>
      <c r="T830" s="6"/>
      <c r="U830" s="6"/>
      <c r="V830" s="6"/>
      <c r="W830" s="6"/>
      <c r="X830" s="6"/>
      <c r="Y830" s="6"/>
      <c r="Z830" s="6"/>
    </row>
    <row r="831" ht="60.0" customHeight="1">
      <c r="A831" s="6"/>
      <c r="B831" s="6"/>
      <c r="C831" s="6"/>
      <c r="D831" s="6"/>
      <c r="E831" s="17"/>
      <c r="F831" s="6"/>
      <c r="G831" s="6"/>
      <c r="H831" s="6"/>
      <c r="I831" s="6"/>
      <c r="J831" s="6"/>
      <c r="K831" s="6"/>
      <c r="L831" s="6"/>
      <c r="M831" s="6"/>
      <c r="N831" s="6"/>
      <c r="O831" s="6"/>
      <c r="P831" s="6"/>
      <c r="Q831" s="6"/>
      <c r="R831" s="6"/>
      <c r="S831" s="6"/>
      <c r="T831" s="6"/>
      <c r="U831" s="6"/>
      <c r="V831" s="6"/>
      <c r="W831" s="6"/>
      <c r="X831" s="6"/>
      <c r="Y831" s="6"/>
      <c r="Z831" s="6"/>
    </row>
    <row r="832" ht="60.0" customHeight="1">
      <c r="A832" s="6"/>
      <c r="B832" s="6"/>
      <c r="C832" s="6"/>
      <c r="D832" s="6"/>
      <c r="E832" s="17"/>
      <c r="F832" s="6"/>
      <c r="G832" s="6"/>
      <c r="H832" s="6"/>
      <c r="I832" s="6"/>
      <c r="J832" s="6"/>
      <c r="K832" s="6"/>
      <c r="L832" s="6"/>
      <c r="M832" s="6"/>
      <c r="N832" s="6"/>
      <c r="O832" s="6"/>
      <c r="P832" s="6"/>
      <c r="Q832" s="6"/>
      <c r="R832" s="6"/>
      <c r="S832" s="6"/>
      <c r="T832" s="6"/>
      <c r="U832" s="6"/>
      <c r="V832" s="6"/>
      <c r="W832" s="6"/>
      <c r="X832" s="6"/>
      <c r="Y832" s="6"/>
      <c r="Z832" s="6"/>
    </row>
    <row r="833" ht="60.0" customHeight="1">
      <c r="A833" s="6"/>
      <c r="B833" s="6"/>
      <c r="C833" s="6"/>
      <c r="D833" s="6"/>
      <c r="E833" s="17"/>
      <c r="F833" s="6"/>
      <c r="G833" s="6"/>
      <c r="H833" s="6"/>
      <c r="I833" s="6"/>
      <c r="J833" s="6"/>
      <c r="K833" s="6"/>
      <c r="L833" s="6"/>
      <c r="M833" s="6"/>
      <c r="N833" s="6"/>
      <c r="O833" s="6"/>
      <c r="P833" s="6"/>
      <c r="Q833" s="6"/>
      <c r="R833" s="6"/>
      <c r="S833" s="6"/>
      <c r="T833" s="6"/>
      <c r="U833" s="6"/>
      <c r="V833" s="6"/>
      <c r="W833" s="6"/>
      <c r="X833" s="6"/>
      <c r="Y833" s="6"/>
      <c r="Z833" s="6"/>
    </row>
    <row r="834" ht="60.0" customHeight="1">
      <c r="A834" s="6"/>
      <c r="B834" s="6"/>
      <c r="C834" s="6"/>
      <c r="D834" s="6"/>
      <c r="E834" s="17"/>
      <c r="F834" s="6"/>
      <c r="G834" s="6"/>
      <c r="H834" s="6"/>
      <c r="I834" s="6"/>
      <c r="J834" s="6"/>
      <c r="K834" s="6"/>
      <c r="L834" s="6"/>
      <c r="M834" s="6"/>
      <c r="N834" s="6"/>
      <c r="O834" s="6"/>
      <c r="P834" s="6"/>
      <c r="Q834" s="6"/>
      <c r="R834" s="6"/>
      <c r="S834" s="6"/>
      <c r="T834" s="6"/>
      <c r="U834" s="6"/>
      <c r="V834" s="6"/>
      <c r="W834" s="6"/>
      <c r="X834" s="6"/>
      <c r="Y834" s="6"/>
      <c r="Z834" s="6"/>
    </row>
    <row r="835" ht="60.0" customHeight="1">
      <c r="A835" s="6"/>
      <c r="B835" s="6"/>
      <c r="C835" s="6"/>
      <c r="D835" s="6"/>
      <c r="E835" s="17"/>
      <c r="F835" s="6"/>
      <c r="G835" s="6"/>
      <c r="H835" s="6"/>
      <c r="I835" s="6"/>
      <c r="J835" s="6"/>
      <c r="K835" s="6"/>
      <c r="L835" s="6"/>
      <c r="M835" s="6"/>
      <c r="N835" s="6"/>
      <c r="O835" s="6"/>
      <c r="P835" s="6"/>
      <c r="Q835" s="6"/>
      <c r="R835" s="6"/>
      <c r="S835" s="6"/>
      <c r="T835" s="6"/>
      <c r="U835" s="6"/>
      <c r="V835" s="6"/>
      <c r="W835" s="6"/>
      <c r="X835" s="6"/>
      <c r="Y835" s="6"/>
      <c r="Z835" s="6"/>
    </row>
    <row r="836" ht="60.0" customHeight="1">
      <c r="A836" s="6"/>
      <c r="B836" s="6"/>
      <c r="C836" s="6"/>
      <c r="D836" s="6"/>
      <c r="E836" s="17"/>
      <c r="F836" s="6"/>
      <c r="G836" s="6"/>
      <c r="H836" s="6"/>
      <c r="I836" s="6"/>
      <c r="J836" s="6"/>
      <c r="K836" s="6"/>
      <c r="L836" s="6"/>
      <c r="M836" s="6"/>
      <c r="N836" s="6"/>
      <c r="O836" s="6"/>
      <c r="P836" s="6"/>
      <c r="Q836" s="6"/>
      <c r="R836" s="6"/>
      <c r="S836" s="6"/>
      <c r="T836" s="6"/>
      <c r="U836" s="6"/>
      <c r="V836" s="6"/>
      <c r="W836" s="6"/>
      <c r="X836" s="6"/>
      <c r="Y836" s="6"/>
      <c r="Z836" s="6"/>
    </row>
    <row r="837" ht="60.0" customHeight="1">
      <c r="A837" s="6"/>
      <c r="B837" s="6"/>
      <c r="C837" s="6"/>
      <c r="D837" s="6"/>
      <c r="E837" s="17"/>
      <c r="F837" s="6"/>
      <c r="G837" s="6"/>
      <c r="H837" s="6"/>
      <c r="I837" s="6"/>
      <c r="J837" s="6"/>
      <c r="K837" s="6"/>
      <c r="L837" s="6"/>
      <c r="M837" s="6"/>
      <c r="N837" s="6"/>
      <c r="O837" s="6"/>
      <c r="P837" s="6"/>
      <c r="Q837" s="6"/>
      <c r="R837" s="6"/>
      <c r="S837" s="6"/>
      <c r="T837" s="6"/>
      <c r="U837" s="6"/>
      <c r="V837" s="6"/>
      <c r="W837" s="6"/>
      <c r="X837" s="6"/>
      <c r="Y837" s="6"/>
      <c r="Z837" s="6"/>
    </row>
    <row r="838" ht="60.0" customHeight="1">
      <c r="A838" s="6"/>
      <c r="B838" s="6"/>
      <c r="C838" s="6"/>
      <c r="D838" s="6"/>
      <c r="E838" s="17"/>
      <c r="F838" s="6"/>
      <c r="G838" s="6"/>
      <c r="H838" s="6"/>
      <c r="I838" s="6"/>
      <c r="J838" s="6"/>
      <c r="K838" s="6"/>
      <c r="L838" s="6"/>
      <c r="M838" s="6"/>
      <c r="N838" s="6"/>
      <c r="O838" s="6"/>
      <c r="P838" s="6"/>
      <c r="Q838" s="6"/>
      <c r="R838" s="6"/>
      <c r="S838" s="6"/>
      <c r="T838" s="6"/>
      <c r="U838" s="6"/>
      <c r="V838" s="6"/>
      <c r="W838" s="6"/>
      <c r="X838" s="6"/>
      <c r="Y838" s="6"/>
      <c r="Z838" s="6"/>
    </row>
    <row r="839" ht="60.0" customHeight="1">
      <c r="A839" s="6"/>
      <c r="B839" s="6"/>
      <c r="C839" s="6"/>
      <c r="D839" s="6"/>
      <c r="E839" s="17"/>
      <c r="F839" s="6"/>
      <c r="G839" s="6"/>
      <c r="H839" s="6"/>
      <c r="I839" s="6"/>
      <c r="J839" s="6"/>
      <c r="K839" s="6"/>
      <c r="L839" s="6"/>
      <c r="M839" s="6"/>
      <c r="N839" s="6"/>
      <c r="O839" s="6"/>
      <c r="P839" s="6"/>
      <c r="Q839" s="6"/>
      <c r="R839" s="6"/>
      <c r="S839" s="6"/>
      <c r="T839" s="6"/>
      <c r="U839" s="6"/>
      <c r="V839" s="6"/>
      <c r="W839" s="6"/>
      <c r="X839" s="6"/>
      <c r="Y839" s="6"/>
      <c r="Z839" s="6"/>
    </row>
    <row r="840" ht="60.0" customHeight="1">
      <c r="A840" s="6"/>
      <c r="B840" s="6"/>
      <c r="C840" s="6"/>
      <c r="D840" s="6"/>
      <c r="E840" s="17"/>
      <c r="F840" s="6"/>
      <c r="G840" s="6"/>
      <c r="H840" s="6"/>
      <c r="I840" s="6"/>
      <c r="J840" s="6"/>
      <c r="K840" s="6"/>
      <c r="L840" s="6"/>
      <c r="M840" s="6"/>
      <c r="N840" s="6"/>
      <c r="O840" s="6"/>
      <c r="P840" s="6"/>
      <c r="Q840" s="6"/>
      <c r="R840" s="6"/>
      <c r="S840" s="6"/>
      <c r="T840" s="6"/>
      <c r="U840" s="6"/>
      <c r="V840" s="6"/>
      <c r="W840" s="6"/>
      <c r="X840" s="6"/>
      <c r="Y840" s="6"/>
      <c r="Z840" s="6"/>
    </row>
    <row r="841" ht="60.0" customHeight="1">
      <c r="A841" s="6"/>
      <c r="B841" s="6"/>
      <c r="C841" s="6"/>
      <c r="D841" s="6"/>
      <c r="E841" s="17"/>
      <c r="F841" s="6"/>
      <c r="G841" s="6"/>
      <c r="H841" s="6"/>
      <c r="I841" s="6"/>
      <c r="J841" s="6"/>
      <c r="K841" s="6"/>
      <c r="L841" s="6"/>
      <c r="M841" s="6"/>
      <c r="N841" s="6"/>
      <c r="O841" s="6"/>
      <c r="P841" s="6"/>
      <c r="Q841" s="6"/>
      <c r="R841" s="6"/>
      <c r="S841" s="6"/>
      <c r="T841" s="6"/>
      <c r="U841" s="6"/>
      <c r="V841" s="6"/>
      <c r="W841" s="6"/>
      <c r="X841" s="6"/>
      <c r="Y841" s="6"/>
      <c r="Z841" s="6"/>
    </row>
    <row r="842" ht="60.0" customHeight="1">
      <c r="A842" s="6"/>
      <c r="B842" s="6"/>
      <c r="C842" s="6"/>
      <c r="D842" s="6"/>
      <c r="E842" s="17"/>
      <c r="F842" s="6"/>
      <c r="G842" s="6"/>
      <c r="H842" s="6"/>
      <c r="I842" s="6"/>
      <c r="J842" s="6"/>
      <c r="K842" s="6"/>
      <c r="L842" s="6"/>
      <c r="M842" s="6"/>
      <c r="N842" s="6"/>
      <c r="O842" s="6"/>
      <c r="P842" s="6"/>
      <c r="Q842" s="6"/>
      <c r="R842" s="6"/>
      <c r="S842" s="6"/>
      <c r="T842" s="6"/>
      <c r="U842" s="6"/>
      <c r="V842" s="6"/>
      <c r="W842" s="6"/>
      <c r="X842" s="6"/>
      <c r="Y842" s="6"/>
      <c r="Z842" s="6"/>
    </row>
    <row r="843" ht="60.0" customHeight="1">
      <c r="A843" s="6"/>
      <c r="B843" s="6"/>
      <c r="C843" s="6"/>
      <c r="D843" s="6"/>
      <c r="E843" s="17"/>
      <c r="F843" s="6"/>
      <c r="G843" s="6"/>
      <c r="H843" s="6"/>
      <c r="I843" s="6"/>
      <c r="J843" s="6"/>
      <c r="K843" s="6"/>
      <c r="L843" s="6"/>
      <c r="M843" s="6"/>
      <c r="N843" s="6"/>
      <c r="O843" s="6"/>
      <c r="P843" s="6"/>
      <c r="Q843" s="6"/>
      <c r="R843" s="6"/>
      <c r="S843" s="6"/>
      <c r="T843" s="6"/>
      <c r="U843" s="6"/>
      <c r="V843" s="6"/>
      <c r="W843" s="6"/>
      <c r="X843" s="6"/>
      <c r="Y843" s="6"/>
      <c r="Z843" s="6"/>
    </row>
    <row r="844" ht="60.0" customHeight="1">
      <c r="A844" s="6"/>
      <c r="B844" s="6"/>
      <c r="C844" s="6"/>
      <c r="D844" s="6"/>
      <c r="E844" s="17"/>
      <c r="F844" s="6"/>
      <c r="G844" s="6"/>
      <c r="H844" s="6"/>
      <c r="I844" s="6"/>
      <c r="J844" s="6"/>
      <c r="K844" s="6"/>
      <c r="L844" s="6"/>
      <c r="M844" s="6"/>
      <c r="N844" s="6"/>
      <c r="O844" s="6"/>
      <c r="P844" s="6"/>
      <c r="Q844" s="6"/>
      <c r="R844" s="6"/>
      <c r="S844" s="6"/>
      <c r="T844" s="6"/>
      <c r="U844" s="6"/>
      <c r="V844" s="6"/>
      <c r="W844" s="6"/>
      <c r="X844" s="6"/>
      <c r="Y844" s="6"/>
      <c r="Z844" s="6"/>
    </row>
    <row r="845" ht="60.0" customHeight="1">
      <c r="A845" s="6"/>
      <c r="B845" s="6"/>
      <c r="C845" s="6"/>
      <c r="D845" s="6"/>
      <c r="E845" s="17"/>
      <c r="F845" s="6"/>
      <c r="G845" s="6"/>
      <c r="H845" s="6"/>
      <c r="I845" s="6"/>
      <c r="J845" s="6"/>
      <c r="K845" s="6"/>
      <c r="L845" s="6"/>
      <c r="M845" s="6"/>
      <c r="N845" s="6"/>
      <c r="O845" s="6"/>
      <c r="P845" s="6"/>
      <c r="Q845" s="6"/>
      <c r="R845" s="6"/>
      <c r="S845" s="6"/>
      <c r="T845" s="6"/>
      <c r="U845" s="6"/>
      <c r="V845" s="6"/>
      <c r="W845" s="6"/>
      <c r="X845" s="6"/>
      <c r="Y845" s="6"/>
      <c r="Z845" s="6"/>
    </row>
    <row r="846" ht="60.0" customHeight="1">
      <c r="A846" s="6"/>
      <c r="B846" s="6"/>
      <c r="C846" s="6"/>
      <c r="D846" s="6"/>
      <c r="E846" s="17"/>
      <c r="F846" s="6"/>
      <c r="G846" s="6"/>
      <c r="H846" s="6"/>
      <c r="I846" s="6"/>
      <c r="J846" s="6"/>
      <c r="K846" s="6"/>
      <c r="L846" s="6"/>
      <c r="M846" s="6"/>
      <c r="N846" s="6"/>
      <c r="O846" s="6"/>
      <c r="P846" s="6"/>
      <c r="Q846" s="6"/>
      <c r="R846" s="6"/>
      <c r="S846" s="6"/>
      <c r="T846" s="6"/>
      <c r="U846" s="6"/>
      <c r="V846" s="6"/>
      <c r="W846" s="6"/>
      <c r="X846" s="6"/>
      <c r="Y846" s="6"/>
      <c r="Z846" s="6"/>
    </row>
    <row r="847" ht="60.0" customHeight="1">
      <c r="A847" s="6"/>
      <c r="B847" s="6"/>
      <c r="C847" s="6"/>
      <c r="D847" s="6"/>
      <c r="E847" s="17"/>
      <c r="F847" s="6"/>
      <c r="G847" s="6"/>
      <c r="H847" s="6"/>
      <c r="I847" s="6"/>
      <c r="J847" s="6"/>
      <c r="K847" s="6"/>
      <c r="L847" s="6"/>
      <c r="M847" s="6"/>
      <c r="N847" s="6"/>
      <c r="O847" s="6"/>
      <c r="P847" s="6"/>
      <c r="Q847" s="6"/>
      <c r="R847" s="6"/>
      <c r="S847" s="6"/>
      <c r="T847" s="6"/>
      <c r="U847" s="6"/>
      <c r="V847" s="6"/>
      <c r="W847" s="6"/>
      <c r="X847" s="6"/>
      <c r="Y847" s="6"/>
      <c r="Z847" s="6"/>
    </row>
    <row r="848" ht="60.0" customHeight="1">
      <c r="A848" s="6"/>
      <c r="B848" s="6"/>
      <c r="C848" s="6"/>
      <c r="D848" s="6"/>
      <c r="E848" s="17"/>
      <c r="F848" s="6"/>
      <c r="G848" s="6"/>
      <c r="H848" s="6"/>
      <c r="I848" s="6"/>
      <c r="J848" s="6"/>
      <c r="K848" s="6"/>
      <c r="L848" s="6"/>
      <c r="M848" s="6"/>
      <c r="N848" s="6"/>
      <c r="O848" s="6"/>
      <c r="P848" s="6"/>
      <c r="Q848" s="6"/>
      <c r="R848" s="6"/>
      <c r="S848" s="6"/>
      <c r="T848" s="6"/>
      <c r="U848" s="6"/>
      <c r="V848" s="6"/>
      <c r="W848" s="6"/>
      <c r="X848" s="6"/>
      <c r="Y848" s="6"/>
      <c r="Z848" s="6"/>
    </row>
    <row r="849" ht="60.0" customHeight="1">
      <c r="A849" s="6"/>
      <c r="B849" s="6"/>
      <c r="C849" s="6"/>
      <c r="D849" s="6"/>
      <c r="E849" s="17"/>
      <c r="F849" s="6"/>
      <c r="G849" s="6"/>
      <c r="H849" s="6"/>
      <c r="I849" s="6"/>
      <c r="J849" s="6"/>
      <c r="K849" s="6"/>
      <c r="L849" s="6"/>
      <c r="M849" s="6"/>
      <c r="N849" s="6"/>
      <c r="O849" s="6"/>
      <c r="P849" s="6"/>
      <c r="Q849" s="6"/>
      <c r="R849" s="6"/>
      <c r="S849" s="6"/>
      <c r="T849" s="6"/>
      <c r="U849" s="6"/>
      <c r="V849" s="6"/>
      <c r="W849" s="6"/>
      <c r="X849" s="6"/>
      <c r="Y849" s="6"/>
      <c r="Z849" s="6"/>
    </row>
    <row r="850" ht="60.0" customHeight="1">
      <c r="A850" s="6"/>
      <c r="B850" s="6"/>
      <c r="C850" s="6"/>
      <c r="D850" s="6"/>
      <c r="E850" s="17"/>
      <c r="F850" s="6"/>
      <c r="G850" s="6"/>
      <c r="H850" s="6"/>
      <c r="I850" s="6"/>
      <c r="J850" s="6"/>
      <c r="K850" s="6"/>
      <c r="L850" s="6"/>
      <c r="M850" s="6"/>
      <c r="N850" s="6"/>
      <c r="O850" s="6"/>
      <c r="P850" s="6"/>
      <c r="Q850" s="6"/>
      <c r="R850" s="6"/>
      <c r="S850" s="6"/>
      <c r="T850" s="6"/>
      <c r="U850" s="6"/>
      <c r="V850" s="6"/>
      <c r="W850" s="6"/>
      <c r="X850" s="6"/>
      <c r="Y850" s="6"/>
      <c r="Z850" s="6"/>
    </row>
    <row r="851" ht="60.0" customHeight="1">
      <c r="A851" s="6"/>
      <c r="B851" s="6"/>
      <c r="C851" s="6"/>
      <c r="D851" s="6"/>
      <c r="E851" s="17"/>
      <c r="F851" s="6"/>
      <c r="G851" s="6"/>
      <c r="H851" s="6"/>
      <c r="I851" s="6"/>
      <c r="J851" s="6"/>
      <c r="K851" s="6"/>
      <c r="L851" s="6"/>
      <c r="M851" s="6"/>
      <c r="N851" s="6"/>
      <c r="O851" s="6"/>
      <c r="P851" s="6"/>
      <c r="Q851" s="6"/>
      <c r="R851" s="6"/>
      <c r="S851" s="6"/>
      <c r="T851" s="6"/>
      <c r="U851" s="6"/>
      <c r="V851" s="6"/>
      <c r="W851" s="6"/>
      <c r="X851" s="6"/>
      <c r="Y851" s="6"/>
      <c r="Z851" s="6"/>
    </row>
    <row r="852" ht="60.0" customHeight="1">
      <c r="A852" s="6"/>
      <c r="B852" s="6"/>
      <c r="C852" s="6"/>
      <c r="D852" s="6"/>
      <c r="E852" s="17"/>
      <c r="F852" s="6"/>
      <c r="G852" s="6"/>
      <c r="H852" s="6"/>
      <c r="I852" s="6"/>
      <c r="J852" s="6"/>
      <c r="K852" s="6"/>
      <c r="L852" s="6"/>
      <c r="M852" s="6"/>
      <c r="N852" s="6"/>
      <c r="O852" s="6"/>
      <c r="P852" s="6"/>
      <c r="Q852" s="6"/>
      <c r="R852" s="6"/>
      <c r="S852" s="6"/>
      <c r="T852" s="6"/>
      <c r="U852" s="6"/>
      <c r="V852" s="6"/>
      <c r="W852" s="6"/>
      <c r="X852" s="6"/>
      <c r="Y852" s="6"/>
      <c r="Z852" s="6"/>
    </row>
    <row r="853" ht="60.0" customHeight="1">
      <c r="A853" s="6"/>
      <c r="B853" s="6"/>
      <c r="C853" s="6"/>
      <c r="D853" s="6"/>
      <c r="E853" s="17"/>
      <c r="F853" s="6"/>
      <c r="G853" s="6"/>
      <c r="H853" s="6"/>
      <c r="I853" s="6"/>
      <c r="J853" s="6"/>
      <c r="K853" s="6"/>
      <c r="L853" s="6"/>
      <c r="M853" s="6"/>
      <c r="N853" s="6"/>
      <c r="O853" s="6"/>
      <c r="P853" s="6"/>
      <c r="Q853" s="6"/>
      <c r="R853" s="6"/>
      <c r="S853" s="6"/>
      <c r="T853" s="6"/>
      <c r="U853" s="6"/>
      <c r="V853" s="6"/>
      <c r="W853" s="6"/>
      <c r="X853" s="6"/>
      <c r="Y853" s="6"/>
      <c r="Z853" s="6"/>
    </row>
    <row r="854" ht="60.0" customHeight="1">
      <c r="A854" s="6"/>
      <c r="B854" s="6"/>
      <c r="C854" s="6"/>
      <c r="D854" s="6"/>
      <c r="E854" s="17"/>
      <c r="F854" s="6"/>
      <c r="G854" s="6"/>
      <c r="H854" s="6"/>
      <c r="I854" s="6"/>
      <c r="J854" s="6"/>
      <c r="K854" s="6"/>
      <c r="L854" s="6"/>
      <c r="M854" s="6"/>
      <c r="N854" s="6"/>
      <c r="O854" s="6"/>
      <c r="P854" s="6"/>
      <c r="Q854" s="6"/>
      <c r="R854" s="6"/>
      <c r="S854" s="6"/>
      <c r="T854" s="6"/>
      <c r="U854" s="6"/>
      <c r="V854" s="6"/>
      <c r="W854" s="6"/>
      <c r="X854" s="6"/>
      <c r="Y854" s="6"/>
      <c r="Z854" s="6"/>
    </row>
    <row r="855" ht="60.0" customHeight="1">
      <c r="A855" s="6"/>
      <c r="B855" s="6"/>
      <c r="C855" s="6"/>
      <c r="D855" s="6"/>
      <c r="E855" s="17"/>
      <c r="F855" s="6"/>
      <c r="G855" s="6"/>
      <c r="H855" s="6"/>
      <c r="I855" s="6"/>
      <c r="J855" s="6"/>
      <c r="K855" s="6"/>
      <c r="L855" s="6"/>
      <c r="M855" s="6"/>
      <c r="N855" s="6"/>
      <c r="O855" s="6"/>
      <c r="P855" s="6"/>
      <c r="Q855" s="6"/>
      <c r="R855" s="6"/>
      <c r="S855" s="6"/>
      <c r="T855" s="6"/>
      <c r="U855" s="6"/>
      <c r="V855" s="6"/>
      <c r="W855" s="6"/>
      <c r="X855" s="6"/>
      <c r="Y855" s="6"/>
      <c r="Z855" s="6"/>
    </row>
    <row r="856" ht="60.0" customHeight="1">
      <c r="A856" s="6"/>
      <c r="B856" s="6"/>
      <c r="C856" s="6"/>
      <c r="D856" s="6"/>
      <c r="E856" s="17"/>
      <c r="F856" s="6"/>
      <c r="G856" s="6"/>
      <c r="H856" s="6"/>
      <c r="I856" s="6"/>
      <c r="J856" s="6"/>
      <c r="K856" s="6"/>
      <c r="L856" s="6"/>
      <c r="M856" s="6"/>
      <c r="N856" s="6"/>
      <c r="O856" s="6"/>
      <c r="P856" s="6"/>
      <c r="Q856" s="6"/>
      <c r="R856" s="6"/>
      <c r="S856" s="6"/>
      <c r="T856" s="6"/>
      <c r="U856" s="6"/>
      <c r="V856" s="6"/>
      <c r="W856" s="6"/>
      <c r="X856" s="6"/>
      <c r="Y856" s="6"/>
      <c r="Z856" s="6"/>
    </row>
    <row r="857" ht="60.0" customHeight="1">
      <c r="A857" s="6"/>
      <c r="B857" s="6"/>
      <c r="C857" s="6"/>
      <c r="D857" s="6"/>
      <c r="E857" s="17"/>
      <c r="F857" s="6"/>
      <c r="G857" s="6"/>
      <c r="H857" s="6"/>
      <c r="I857" s="6"/>
      <c r="J857" s="6"/>
      <c r="K857" s="6"/>
      <c r="L857" s="6"/>
      <c r="M857" s="6"/>
      <c r="N857" s="6"/>
      <c r="O857" s="6"/>
      <c r="P857" s="6"/>
      <c r="Q857" s="6"/>
      <c r="R857" s="6"/>
      <c r="S857" s="6"/>
      <c r="T857" s="6"/>
      <c r="U857" s="6"/>
      <c r="V857" s="6"/>
      <c r="W857" s="6"/>
      <c r="X857" s="6"/>
      <c r="Y857" s="6"/>
      <c r="Z857" s="6"/>
    </row>
    <row r="858" ht="60.0" customHeight="1">
      <c r="A858" s="6"/>
      <c r="B858" s="6"/>
      <c r="C858" s="6"/>
      <c r="D858" s="6"/>
      <c r="E858" s="17"/>
      <c r="F858" s="6"/>
      <c r="G858" s="6"/>
      <c r="H858" s="6"/>
      <c r="I858" s="6"/>
      <c r="J858" s="6"/>
      <c r="K858" s="6"/>
      <c r="L858" s="6"/>
      <c r="M858" s="6"/>
      <c r="N858" s="6"/>
      <c r="O858" s="6"/>
      <c r="P858" s="6"/>
      <c r="Q858" s="6"/>
      <c r="R858" s="6"/>
      <c r="S858" s="6"/>
      <c r="T858" s="6"/>
      <c r="U858" s="6"/>
      <c r="V858" s="6"/>
      <c r="W858" s="6"/>
      <c r="X858" s="6"/>
      <c r="Y858" s="6"/>
      <c r="Z858" s="6"/>
    </row>
    <row r="859" ht="60.0" customHeight="1">
      <c r="A859" s="6"/>
      <c r="B859" s="6"/>
      <c r="C859" s="6"/>
      <c r="D859" s="6"/>
      <c r="E859" s="17"/>
      <c r="F859" s="6"/>
      <c r="G859" s="6"/>
      <c r="H859" s="6"/>
      <c r="I859" s="6"/>
      <c r="J859" s="6"/>
      <c r="K859" s="6"/>
      <c r="L859" s="6"/>
      <c r="M859" s="6"/>
      <c r="N859" s="6"/>
      <c r="O859" s="6"/>
      <c r="P859" s="6"/>
      <c r="Q859" s="6"/>
      <c r="R859" s="6"/>
      <c r="S859" s="6"/>
      <c r="T859" s="6"/>
      <c r="U859" s="6"/>
      <c r="V859" s="6"/>
      <c r="W859" s="6"/>
      <c r="X859" s="6"/>
      <c r="Y859" s="6"/>
      <c r="Z859" s="6"/>
    </row>
    <row r="860" ht="60.0" customHeight="1">
      <c r="A860" s="6"/>
      <c r="B860" s="6"/>
      <c r="C860" s="6"/>
      <c r="D860" s="6"/>
      <c r="E860" s="17"/>
      <c r="F860" s="6"/>
      <c r="G860" s="6"/>
      <c r="H860" s="6"/>
      <c r="I860" s="6"/>
      <c r="J860" s="6"/>
      <c r="K860" s="6"/>
      <c r="L860" s="6"/>
      <c r="M860" s="6"/>
      <c r="N860" s="6"/>
      <c r="O860" s="6"/>
      <c r="P860" s="6"/>
      <c r="Q860" s="6"/>
      <c r="R860" s="6"/>
      <c r="S860" s="6"/>
      <c r="T860" s="6"/>
      <c r="U860" s="6"/>
      <c r="V860" s="6"/>
      <c r="W860" s="6"/>
      <c r="X860" s="6"/>
      <c r="Y860" s="6"/>
      <c r="Z860" s="6"/>
    </row>
    <row r="861" ht="60.0" customHeight="1">
      <c r="A861" s="6"/>
      <c r="B861" s="6"/>
      <c r="C861" s="6"/>
      <c r="D861" s="6"/>
      <c r="E861" s="17"/>
      <c r="F861" s="6"/>
      <c r="G861" s="6"/>
      <c r="H861" s="6"/>
      <c r="I861" s="6"/>
      <c r="J861" s="6"/>
      <c r="K861" s="6"/>
      <c r="L861" s="6"/>
      <c r="M861" s="6"/>
      <c r="N861" s="6"/>
      <c r="O861" s="6"/>
      <c r="P861" s="6"/>
      <c r="Q861" s="6"/>
      <c r="R861" s="6"/>
      <c r="S861" s="6"/>
      <c r="T861" s="6"/>
      <c r="U861" s="6"/>
      <c r="V861" s="6"/>
      <c r="W861" s="6"/>
      <c r="X861" s="6"/>
      <c r="Y861" s="6"/>
      <c r="Z861" s="6"/>
    </row>
    <row r="862" ht="60.0" customHeight="1">
      <c r="A862" s="6"/>
      <c r="B862" s="6"/>
      <c r="C862" s="6"/>
      <c r="D862" s="6"/>
      <c r="E862" s="17"/>
      <c r="F862" s="6"/>
      <c r="G862" s="6"/>
      <c r="H862" s="6"/>
      <c r="I862" s="6"/>
      <c r="J862" s="6"/>
      <c r="K862" s="6"/>
      <c r="L862" s="6"/>
      <c r="M862" s="6"/>
      <c r="N862" s="6"/>
      <c r="O862" s="6"/>
      <c r="P862" s="6"/>
      <c r="Q862" s="6"/>
      <c r="R862" s="6"/>
      <c r="S862" s="6"/>
      <c r="T862" s="6"/>
      <c r="U862" s="6"/>
      <c r="V862" s="6"/>
      <c r="W862" s="6"/>
      <c r="X862" s="6"/>
      <c r="Y862" s="6"/>
      <c r="Z862" s="6"/>
    </row>
    <row r="863" ht="60.0" customHeight="1">
      <c r="A863" s="6"/>
      <c r="B863" s="6"/>
      <c r="C863" s="6"/>
      <c r="D863" s="6"/>
      <c r="E863" s="17"/>
      <c r="F863" s="6"/>
      <c r="G863" s="6"/>
      <c r="H863" s="6"/>
      <c r="I863" s="6"/>
      <c r="J863" s="6"/>
      <c r="K863" s="6"/>
      <c r="L863" s="6"/>
      <c r="M863" s="6"/>
      <c r="N863" s="6"/>
      <c r="O863" s="6"/>
      <c r="P863" s="6"/>
      <c r="Q863" s="6"/>
      <c r="R863" s="6"/>
      <c r="S863" s="6"/>
      <c r="T863" s="6"/>
      <c r="U863" s="6"/>
      <c r="V863" s="6"/>
      <c r="W863" s="6"/>
      <c r="X863" s="6"/>
      <c r="Y863" s="6"/>
      <c r="Z863" s="6"/>
    </row>
    <row r="864" ht="60.0" customHeight="1">
      <c r="A864" s="6"/>
      <c r="B864" s="6"/>
      <c r="C864" s="6"/>
      <c r="D864" s="6"/>
      <c r="E864" s="17"/>
      <c r="F864" s="6"/>
      <c r="G864" s="6"/>
      <c r="H864" s="6"/>
      <c r="I864" s="6"/>
      <c r="J864" s="6"/>
      <c r="K864" s="6"/>
      <c r="L864" s="6"/>
      <c r="M864" s="6"/>
      <c r="N864" s="6"/>
      <c r="O864" s="6"/>
      <c r="P864" s="6"/>
      <c r="Q864" s="6"/>
      <c r="R864" s="6"/>
      <c r="S864" s="6"/>
      <c r="T864" s="6"/>
      <c r="U864" s="6"/>
      <c r="V864" s="6"/>
      <c r="W864" s="6"/>
      <c r="X864" s="6"/>
      <c r="Y864" s="6"/>
      <c r="Z864" s="6"/>
    </row>
    <row r="865" ht="60.0" customHeight="1">
      <c r="A865" s="6"/>
      <c r="B865" s="6"/>
      <c r="C865" s="6"/>
      <c r="D865" s="6"/>
      <c r="E865" s="17"/>
      <c r="F865" s="6"/>
      <c r="G865" s="6"/>
      <c r="H865" s="6"/>
      <c r="I865" s="6"/>
      <c r="J865" s="6"/>
      <c r="K865" s="6"/>
      <c r="L865" s="6"/>
      <c r="M865" s="6"/>
      <c r="N865" s="6"/>
      <c r="O865" s="6"/>
      <c r="P865" s="6"/>
      <c r="Q865" s="6"/>
      <c r="R865" s="6"/>
      <c r="S865" s="6"/>
      <c r="T865" s="6"/>
      <c r="U865" s="6"/>
      <c r="V865" s="6"/>
      <c r="W865" s="6"/>
      <c r="X865" s="6"/>
      <c r="Y865" s="6"/>
      <c r="Z865" s="6"/>
    </row>
    <row r="866" ht="60.0" customHeight="1">
      <c r="A866" s="6"/>
      <c r="B866" s="6"/>
      <c r="C866" s="6"/>
      <c r="D866" s="6"/>
      <c r="E866" s="17"/>
      <c r="F866" s="6"/>
      <c r="G866" s="6"/>
      <c r="H866" s="6"/>
      <c r="I866" s="6"/>
      <c r="J866" s="6"/>
      <c r="K866" s="6"/>
      <c r="L866" s="6"/>
      <c r="M866" s="6"/>
      <c r="N866" s="6"/>
      <c r="O866" s="6"/>
      <c r="P866" s="6"/>
      <c r="Q866" s="6"/>
      <c r="R866" s="6"/>
      <c r="S866" s="6"/>
      <c r="T866" s="6"/>
      <c r="U866" s="6"/>
      <c r="V866" s="6"/>
      <c r="W866" s="6"/>
      <c r="X866" s="6"/>
      <c r="Y866" s="6"/>
      <c r="Z866" s="6"/>
    </row>
    <row r="867" ht="60.0" customHeight="1">
      <c r="A867" s="6"/>
      <c r="B867" s="6"/>
      <c r="C867" s="6"/>
      <c r="D867" s="6"/>
      <c r="E867" s="17"/>
      <c r="F867" s="6"/>
      <c r="G867" s="6"/>
      <c r="H867" s="6"/>
      <c r="I867" s="6"/>
      <c r="J867" s="6"/>
      <c r="K867" s="6"/>
      <c r="L867" s="6"/>
      <c r="M867" s="6"/>
      <c r="N867" s="6"/>
      <c r="O867" s="6"/>
      <c r="P867" s="6"/>
      <c r="Q867" s="6"/>
      <c r="R867" s="6"/>
      <c r="S867" s="6"/>
      <c r="T867" s="6"/>
      <c r="U867" s="6"/>
      <c r="V867" s="6"/>
      <c r="W867" s="6"/>
      <c r="X867" s="6"/>
      <c r="Y867" s="6"/>
      <c r="Z867" s="6"/>
    </row>
    <row r="868" ht="60.0" customHeight="1">
      <c r="A868" s="6"/>
      <c r="B868" s="6"/>
      <c r="C868" s="6"/>
      <c r="D868" s="6"/>
      <c r="E868" s="17"/>
      <c r="F868" s="6"/>
      <c r="G868" s="6"/>
      <c r="H868" s="6"/>
      <c r="I868" s="6"/>
      <c r="J868" s="6"/>
      <c r="K868" s="6"/>
      <c r="L868" s="6"/>
      <c r="M868" s="6"/>
      <c r="N868" s="6"/>
      <c r="O868" s="6"/>
      <c r="P868" s="6"/>
      <c r="Q868" s="6"/>
      <c r="R868" s="6"/>
      <c r="S868" s="6"/>
      <c r="T868" s="6"/>
      <c r="U868" s="6"/>
      <c r="V868" s="6"/>
      <c r="W868" s="6"/>
      <c r="X868" s="6"/>
      <c r="Y868" s="6"/>
      <c r="Z868" s="6"/>
    </row>
    <row r="869" ht="60.0" customHeight="1">
      <c r="A869" s="6"/>
      <c r="B869" s="6"/>
      <c r="C869" s="6"/>
      <c r="D869" s="6"/>
      <c r="E869" s="17"/>
      <c r="F869" s="6"/>
      <c r="G869" s="6"/>
      <c r="H869" s="6"/>
      <c r="I869" s="6"/>
      <c r="J869" s="6"/>
      <c r="K869" s="6"/>
      <c r="L869" s="6"/>
      <c r="M869" s="6"/>
      <c r="N869" s="6"/>
      <c r="O869" s="6"/>
      <c r="P869" s="6"/>
      <c r="Q869" s="6"/>
      <c r="R869" s="6"/>
      <c r="S869" s="6"/>
      <c r="T869" s="6"/>
      <c r="U869" s="6"/>
      <c r="V869" s="6"/>
      <c r="W869" s="6"/>
      <c r="X869" s="6"/>
      <c r="Y869" s="6"/>
      <c r="Z869" s="6"/>
    </row>
    <row r="870" ht="60.0" customHeight="1">
      <c r="A870" s="6"/>
      <c r="B870" s="6"/>
      <c r="C870" s="6"/>
      <c r="D870" s="6"/>
      <c r="E870" s="17"/>
      <c r="F870" s="6"/>
      <c r="G870" s="6"/>
      <c r="H870" s="6"/>
      <c r="I870" s="6"/>
      <c r="J870" s="6"/>
      <c r="K870" s="6"/>
      <c r="L870" s="6"/>
      <c r="M870" s="6"/>
      <c r="N870" s="6"/>
      <c r="O870" s="6"/>
      <c r="P870" s="6"/>
      <c r="Q870" s="6"/>
      <c r="R870" s="6"/>
      <c r="S870" s="6"/>
      <c r="T870" s="6"/>
      <c r="U870" s="6"/>
      <c r="V870" s="6"/>
      <c r="W870" s="6"/>
      <c r="X870" s="6"/>
      <c r="Y870" s="6"/>
      <c r="Z870" s="6"/>
    </row>
    <row r="871" ht="60.0" customHeight="1">
      <c r="A871" s="6"/>
      <c r="B871" s="6"/>
      <c r="C871" s="6"/>
      <c r="D871" s="6"/>
      <c r="E871" s="17"/>
      <c r="F871" s="6"/>
      <c r="G871" s="6"/>
      <c r="H871" s="6"/>
      <c r="I871" s="6"/>
      <c r="J871" s="6"/>
      <c r="K871" s="6"/>
      <c r="L871" s="6"/>
      <c r="M871" s="6"/>
      <c r="N871" s="6"/>
      <c r="O871" s="6"/>
      <c r="P871" s="6"/>
      <c r="Q871" s="6"/>
      <c r="R871" s="6"/>
      <c r="S871" s="6"/>
      <c r="T871" s="6"/>
      <c r="U871" s="6"/>
      <c r="V871" s="6"/>
      <c r="W871" s="6"/>
      <c r="X871" s="6"/>
      <c r="Y871" s="6"/>
      <c r="Z871" s="6"/>
    </row>
    <row r="872" ht="60.0" customHeight="1">
      <c r="A872" s="6"/>
      <c r="B872" s="6"/>
      <c r="C872" s="6"/>
      <c r="D872" s="6"/>
      <c r="E872" s="17"/>
      <c r="F872" s="6"/>
      <c r="G872" s="6"/>
      <c r="H872" s="6"/>
      <c r="I872" s="6"/>
      <c r="J872" s="6"/>
      <c r="K872" s="6"/>
      <c r="L872" s="6"/>
      <c r="M872" s="6"/>
      <c r="N872" s="6"/>
      <c r="O872" s="6"/>
      <c r="P872" s="6"/>
      <c r="Q872" s="6"/>
      <c r="R872" s="6"/>
      <c r="S872" s="6"/>
      <c r="T872" s="6"/>
      <c r="U872" s="6"/>
      <c r="V872" s="6"/>
      <c r="W872" s="6"/>
      <c r="X872" s="6"/>
      <c r="Y872" s="6"/>
      <c r="Z872" s="6"/>
    </row>
    <row r="873" ht="60.0" customHeight="1">
      <c r="A873" s="6"/>
      <c r="B873" s="6"/>
      <c r="C873" s="6"/>
      <c r="D873" s="6"/>
      <c r="E873" s="17"/>
      <c r="F873" s="6"/>
      <c r="G873" s="6"/>
      <c r="H873" s="6"/>
      <c r="I873" s="6"/>
      <c r="J873" s="6"/>
      <c r="K873" s="6"/>
      <c r="L873" s="6"/>
      <c r="M873" s="6"/>
      <c r="N873" s="6"/>
      <c r="O873" s="6"/>
      <c r="P873" s="6"/>
      <c r="Q873" s="6"/>
      <c r="R873" s="6"/>
      <c r="S873" s="6"/>
      <c r="T873" s="6"/>
      <c r="U873" s="6"/>
      <c r="V873" s="6"/>
      <c r="W873" s="6"/>
      <c r="X873" s="6"/>
      <c r="Y873" s="6"/>
      <c r="Z873" s="6"/>
    </row>
    <row r="874" ht="60.0" customHeight="1">
      <c r="A874" s="6"/>
      <c r="B874" s="6"/>
      <c r="C874" s="6"/>
      <c r="D874" s="6"/>
      <c r="E874" s="17"/>
      <c r="F874" s="6"/>
      <c r="G874" s="6"/>
      <c r="H874" s="6"/>
      <c r="I874" s="6"/>
      <c r="J874" s="6"/>
      <c r="K874" s="6"/>
      <c r="L874" s="6"/>
      <c r="M874" s="6"/>
      <c r="N874" s="6"/>
      <c r="O874" s="6"/>
      <c r="P874" s="6"/>
      <c r="Q874" s="6"/>
      <c r="R874" s="6"/>
      <c r="S874" s="6"/>
      <c r="T874" s="6"/>
      <c r="U874" s="6"/>
      <c r="V874" s="6"/>
      <c r="W874" s="6"/>
      <c r="X874" s="6"/>
      <c r="Y874" s="6"/>
      <c r="Z874" s="6"/>
    </row>
    <row r="875" ht="60.0" customHeight="1">
      <c r="A875" s="6"/>
      <c r="B875" s="6"/>
      <c r="C875" s="6"/>
      <c r="D875" s="6"/>
      <c r="E875" s="17"/>
      <c r="F875" s="6"/>
      <c r="G875" s="6"/>
      <c r="H875" s="6"/>
      <c r="I875" s="6"/>
      <c r="J875" s="6"/>
      <c r="K875" s="6"/>
      <c r="L875" s="6"/>
      <c r="M875" s="6"/>
      <c r="N875" s="6"/>
      <c r="O875" s="6"/>
      <c r="P875" s="6"/>
      <c r="Q875" s="6"/>
      <c r="R875" s="6"/>
      <c r="S875" s="6"/>
      <c r="T875" s="6"/>
      <c r="U875" s="6"/>
      <c r="V875" s="6"/>
      <c r="W875" s="6"/>
      <c r="X875" s="6"/>
      <c r="Y875" s="6"/>
      <c r="Z875" s="6"/>
    </row>
    <row r="876" ht="60.0" customHeight="1">
      <c r="A876" s="6"/>
      <c r="B876" s="6"/>
      <c r="C876" s="6"/>
      <c r="D876" s="6"/>
      <c r="E876" s="17"/>
      <c r="F876" s="6"/>
      <c r="G876" s="6"/>
      <c r="H876" s="6"/>
      <c r="I876" s="6"/>
      <c r="J876" s="6"/>
      <c r="K876" s="6"/>
      <c r="L876" s="6"/>
      <c r="M876" s="6"/>
      <c r="N876" s="6"/>
      <c r="O876" s="6"/>
      <c r="P876" s="6"/>
      <c r="Q876" s="6"/>
      <c r="R876" s="6"/>
      <c r="S876" s="6"/>
      <c r="T876" s="6"/>
      <c r="U876" s="6"/>
      <c r="V876" s="6"/>
      <c r="W876" s="6"/>
      <c r="X876" s="6"/>
      <c r="Y876" s="6"/>
      <c r="Z876" s="6"/>
    </row>
    <row r="877" ht="60.0" customHeight="1">
      <c r="A877" s="6"/>
      <c r="B877" s="6"/>
      <c r="C877" s="6"/>
      <c r="D877" s="6"/>
      <c r="E877" s="17"/>
      <c r="F877" s="6"/>
      <c r="G877" s="6"/>
      <c r="H877" s="6"/>
      <c r="I877" s="6"/>
      <c r="J877" s="6"/>
      <c r="K877" s="6"/>
      <c r="L877" s="6"/>
      <c r="M877" s="6"/>
      <c r="N877" s="6"/>
      <c r="O877" s="6"/>
      <c r="P877" s="6"/>
      <c r="Q877" s="6"/>
      <c r="R877" s="6"/>
      <c r="S877" s="6"/>
      <c r="T877" s="6"/>
      <c r="U877" s="6"/>
      <c r="V877" s="6"/>
      <c r="W877" s="6"/>
      <c r="X877" s="6"/>
      <c r="Y877" s="6"/>
      <c r="Z877" s="6"/>
    </row>
    <row r="878" ht="60.0" customHeight="1">
      <c r="A878" s="6"/>
      <c r="B878" s="6"/>
      <c r="C878" s="6"/>
      <c r="D878" s="6"/>
      <c r="E878" s="17"/>
      <c r="F878" s="6"/>
      <c r="G878" s="6"/>
      <c r="H878" s="6"/>
      <c r="I878" s="6"/>
      <c r="J878" s="6"/>
      <c r="K878" s="6"/>
      <c r="L878" s="6"/>
      <c r="M878" s="6"/>
      <c r="N878" s="6"/>
      <c r="O878" s="6"/>
      <c r="P878" s="6"/>
      <c r="Q878" s="6"/>
      <c r="R878" s="6"/>
      <c r="S878" s="6"/>
      <c r="T878" s="6"/>
      <c r="U878" s="6"/>
      <c r="V878" s="6"/>
      <c r="W878" s="6"/>
      <c r="X878" s="6"/>
      <c r="Y878" s="6"/>
      <c r="Z878" s="6"/>
    </row>
    <row r="879" ht="60.0" customHeight="1">
      <c r="A879" s="6"/>
      <c r="B879" s="6"/>
      <c r="C879" s="6"/>
      <c r="D879" s="6"/>
      <c r="E879" s="17"/>
      <c r="F879" s="6"/>
      <c r="G879" s="6"/>
      <c r="H879" s="6"/>
      <c r="I879" s="6"/>
      <c r="J879" s="6"/>
      <c r="K879" s="6"/>
      <c r="L879" s="6"/>
      <c r="M879" s="6"/>
      <c r="N879" s="6"/>
      <c r="O879" s="6"/>
      <c r="P879" s="6"/>
      <c r="Q879" s="6"/>
      <c r="R879" s="6"/>
      <c r="S879" s="6"/>
      <c r="T879" s="6"/>
      <c r="U879" s="6"/>
      <c r="V879" s="6"/>
      <c r="W879" s="6"/>
      <c r="X879" s="6"/>
      <c r="Y879" s="6"/>
      <c r="Z879" s="6"/>
    </row>
    <row r="880" ht="60.0" customHeight="1">
      <c r="A880" s="6"/>
      <c r="B880" s="6"/>
      <c r="C880" s="6"/>
      <c r="D880" s="6"/>
      <c r="E880" s="17"/>
      <c r="F880" s="6"/>
      <c r="G880" s="6"/>
      <c r="H880" s="6"/>
      <c r="I880" s="6"/>
      <c r="J880" s="6"/>
      <c r="K880" s="6"/>
      <c r="L880" s="6"/>
      <c r="M880" s="6"/>
      <c r="N880" s="6"/>
      <c r="O880" s="6"/>
      <c r="P880" s="6"/>
      <c r="Q880" s="6"/>
      <c r="R880" s="6"/>
      <c r="S880" s="6"/>
      <c r="T880" s="6"/>
      <c r="U880" s="6"/>
      <c r="V880" s="6"/>
      <c r="W880" s="6"/>
      <c r="X880" s="6"/>
      <c r="Y880" s="6"/>
      <c r="Z880" s="6"/>
    </row>
    <row r="881" ht="60.0" customHeight="1">
      <c r="A881" s="6"/>
      <c r="B881" s="6"/>
      <c r="C881" s="6"/>
      <c r="D881" s="6"/>
      <c r="E881" s="17"/>
      <c r="F881" s="6"/>
      <c r="G881" s="6"/>
      <c r="H881" s="6"/>
      <c r="I881" s="6"/>
      <c r="J881" s="6"/>
      <c r="K881" s="6"/>
      <c r="L881" s="6"/>
      <c r="M881" s="6"/>
      <c r="N881" s="6"/>
      <c r="O881" s="6"/>
      <c r="P881" s="6"/>
      <c r="Q881" s="6"/>
      <c r="R881" s="6"/>
      <c r="S881" s="6"/>
      <c r="T881" s="6"/>
      <c r="U881" s="6"/>
      <c r="V881" s="6"/>
      <c r="W881" s="6"/>
      <c r="X881" s="6"/>
      <c r="Y881" s="6"/>
      <c r="Z881" s="6"/>
    </row>
    <row r="882" ht="60.0" customHeight="1">
      <c r="A882" s="6"/>
      <c r="B882" s="6"/>
      <c r="C882" s="6"/>
      <c r="D882" s="6"/>
      <c r="E882" s="17"/>
      <c r="F882" s="6"/>
      <c r="G882" s="6"/>
      <c r="H882" s="6"/>
      <c r="I882" s="6"/>
      <c r="J882" s="6"/>
      <c r="K882" s="6"/>
      <c r="L882" s="6"/>
      <c r="M882" s="6"/>
      <c r="N882" s="6"/>
      <c r="O882" s="6"/>
      <c r="P882" s="6"/>
      <c r="Q882" s="6"/>
      <c r="R882" s="6"/>
      <c r="S882" s="6"/>
      <c r="T882" s="6"/>
      <c r="U882" s="6"/>
      <c r="V882" s="6"/>
      <c r="W882" s="6"/>
      <c r="X882" s="6"/>
      <c r="Y882" s="6"/>
      <c r="Z882" s="6"/>
    </row>
    <row r="883" ht="60.0" customHeight="1">
      <c r="A883" s="6"/>
      <c r="B883" s="6"/>
      <c r="C883" s="6"/>
      <c r="D883" s="6"/>
      <c r="E883" s="17"/>
      <c r="F883" s="6"/>
      <c r="G883" s="6"/>
      <c r="H883" s="6"/>
      <c r="I883" s="6"/>
      <c r="J883" s="6"/>
      <c r="K883" s="6"/>
      <c r="L883" s="6"/>
      <c r="M883" s="6"/>
      <c r="N883" s="6"/>
      <c r="O883" s="6"/>
      <c r="P883" s="6"/>
      <c r="Q883" s="6"/>
      <c r="R883" s="6"/>
      <c r="S883" s="6"/>
      <c r="T883" s="6"/>
      <c r="U883" s="6"/>
      <c r="V883" s="6"/>
      <c r="W883" s="6"/>
      <c r="X883" s="6"/>
      <c r="Y883" s="6"/>
      <c r="Z883" s="6"/>
    </row>
    <row r="884" ht="60.0" customHeight="1">
      <c r="A884" s="6"/>
      <c r="B884" s="6"/>
      <c r="C884" s="6"/>
      <c r="D884" s="6"/>
      <c r="E884" s="17"/>
      <c r="F884" s="6"/>
      <c r="G884" s="6"/>
      <c r="H884" s="6"/>
      <c r="I884" s="6"/>
      <c r="J884" s="6"/>
      <c r="K884" s="6"/>
      <c r="L884" s="6"/>
      <c r="M884" s="6"/>
      <c r="N884" s="6"/>
      <c r="O884" s="6"/>
      <c r="P884" s="6"/>
      <c r="Q884" s="6"/>
      <c r="R884" s="6"/>
      <c r="S884" s="6"/>
      <c r="T884" s="6"/>
      <c r="U884" s="6"/>
      <c r="V884" s="6"/>
      <c r="W884" s="6"/>
      <c r="X884" s="6"/>
      <c r="Y884" s="6"/>
      <c r="Z884" s="6"/>
    </row>
    <row r="885" ht="60.0" customHeight="1">
      <c r="A885" s="6"/>
      <c r="B885" s="6"/>
      <c r="C885" s="6"/>
      <c r="D885" s="6"/>
      <c r="E885" s="17"/>
      <c r="F885" s="6"/>
      <c r="G885" s="6"/>
      <c r="H885" s="6"/>
      <c r="I885" s="6"/>
      <c r="J885" s="6"/>
      <c r="K885" s="6"/>
      <c r="L885" s="6"/>
      <c r="M885" s="6"/>
      <c r="N885" s="6"/>
      <c r="O885" s="6"/>
      <c r="P885" s="6"/>
      <c r="Q885" s="6"/>
      <c r="R885" s="6"/>
      <c r="S885" s="6"/>
      <c r="T885" s="6"/>
      <c r="U885" s="6"/>
      <c r="V885" s="6"/>
      <c r="W885" s="6"/>
      <c r="X885" s="6"/>
      <c r="Y885" s="6"/>
      <c r="Z885" s="6"/>
    </row>
    <row r="886" ht="60.0" customHeight="1">
      <c r="A886" s="6"/>
      <c r="B886" s="6"/>
      <c r="C886" s="6"/>
      <c r="D886" s="6"/>
      <c r="E886" s="17"/>
      <c r="F886" s="6"/>
      <c r="G886" s="6"/>
      <c r="H886" s="6"/>
      <c r="I886" s="6"/>
      <c r="J886" s="6"/>
      <c r="K886" s="6"/>
      <c r="L886" s="6"/>
      <c r="M886" s="6"/>
      <c r="N886" s="6"/>
      <c r="O886" s="6"/>
      <c r="P886" s="6"/>
      <c r="Q886" s="6"/>
      <c r="R886" s="6"/>
      <c r="S886" s="6"/>
      <c r="T886" s="6"/>
      <c r="U886" s="6"/>
      <c r="V886" s="6"/>
      <c r="W886" s="6"/>
      <c r="X886" s="6"/>
      <c r="Y886" s="6"/>
      <c r="Z886" s="6"/>
    </row>
    <row r="887" ht="60.0" customHeight="1">
      <c r="A887" s="6"/>
      <c r="B887" s="6"/>
      <c r="C887" s="6"/>
      <c r="D887" s="6"/>
      <c r="E887" s="17"/>
      <c r="F887" s="6"/>
      <c r="G887" s="6"/>
      <c r="H887" s="6"/>
      <c r="I887" s="6"/>
      <c r="J887" s="6"/>
      <c r="K887" s="6"/>
      <c r="L887" s="6"/>
      <c r="M887" s="6"/>
      <c r="N887" s="6"/>
      <c r="O887" s="6"/>
      <c r="P887" s="6"/>
      <c r="Q887" s="6"/>
      <c r="R887" s="6"/>
      <c r="S887" s="6"/>
      <c r="T887" s="6"/>
      <c r="U887" s="6"/>
      <c r="V887" s="6"/>
      <c r="W887" s="6"/>
      <c r="X887" s="6"/>
      <c r="Y887" s="6"/>
      <c r="Z887" s="6"/>
    </row>
    <row r="888" ht="60.0" customHeight="1">
      <c r="A888" s="6"/>
      <c r="B888" s="6"/>
      <c r="C888" s="6"/>
      <c r="D888" s="6"/>
      <c r="E888" s="17"/>
      <c r="F888" s="6"/>
      <c r="G888" s="6"/>
      <c r="H888" s="6"/>
      <c r="I888" s="6"/>
      <c r="J888" s="6"/>
      <c r="K888" s="6"/>
      <c r="L888" s="6"/>
      <c r="M888" s="6"/>
      <c r="N888" s="6"/>
      <c r="O888" s="6"/>
      <c r="P888" s="6"/>
      <c r="Q888" s="6"/>
      <c r="R888" s="6"/>
      <c r="S888" s="6"/>
      <c r="T888" s="6"/>
      <c r="U888" s="6"/>
      <c r="V888" s="6"/>
      <c r="W888" s="6"/>
      <c r="X888" s="6"/>
      <c r="Y888" s="6"/>
      <c r="Z888" s="6"/>
    </row>
    <row r="889" ht="60.0" customHeight="1">
      <c r="A889" s="6"/>
      <c r="B889" s="6"/>
      <c r="C889" s="6"/>
      <c r="D889" s="6"/>
      <c r="E889" s="17"/>
      <c r="F889" s="6"/>
      <c r="G889" s="6"/>
      <c r="H889" s="6"/>
      <c r="I889" s="6"/>
      <c r="J889" s="6"/>
      <c r="K889" s="6"/>
      <c r="L889" s="6"/>
      <c r="M889" s="6"/>
      <c r="N889" s="6"/>
      <c r="O889" s="6"/>
      <c r="P889" s="6"/>
      <c r="Q889" s="6"/>
      <c r="R889" s="6"/>
      <c r="S889" s="6"/>
      <c r="T889" s="6"/>
      <c r="U889" s="6"/>
      <c r="V889" s="6"/>
      <c r="W889" s="6"/>
      <c r="X889" s="6"/>
      <c r="Y889" s="6"/>
      <c r="Z889" s="6"/>
    </row>
    <row r="890" ht="60.0" customHeight="1">
      <c r="A890" s="6"/>
      <c r="B890" s="6"/>
      <c r="C890" s="6"/>
      <c r="D890" s="6"/>
      <c r="E890" s="17"/>
      <c r="F890" s="6"/>
      <c r="G890" s="6"/>
      <c r="H890" s="6"/>
      <c r="I890" s="6"/>
      <c r="J890" s="6"/>
      <c r="K890" s="6"/>
      <c r="L890" s="6"/>
      <c r="M890" s="6"/>
      <c r="N890" s="6"/>
      <c r="O890" s="6"/>
      <c r="P890" s="6"/>
      <c r="Q890" s="6"/>
      <c r="R890" s="6"/>
      <c r="S890" s="6"/>
      <c r="T890" s="6"/>
      <c r="U890" s="6"/>
      <c r="V890" s="6"/>
      <c r="W890" s="6"/>
      <c r="X890" s="6"/>
      <c r="Y890" s="6"/>
      <c r="Z890" s="6"/>
    </row>
    <row r="891" ht="60.0" customHeight="1">
      <c r="A891" s="6"/>
      <c r="B891" s="6"/>
      <c r="C891" s="6"/>
      <c r="D891" s="6"/>
      <c r="E891" s="17"/>
      <c r="F891" s="6"/>
      <c r="G891" s="6"/>
      <c r="H891" s="6"/>
      <c r="I891" s="6"/>
      <c r="J891" s="6"/>
      <c r="K891" s="6"/>
      <c r="L891" s="6"/>
      <c r="M891" s="6"/>
      <c r="N891" s="6"/>
      <c r="O891" s="6"/>
      <c r="P891" s="6"/>
      <c r="Q891" s="6"/>
      <c r="R891" s="6"/>
      <c r="S891" s="6"/>
      <c r="T891" s="6"/>
      <c r="U891" s="6"/>
      <c r="V891" s="6"/>
      <c r="W891" s="6"/>
      <c r="X891" s="6"/>
      <c r="Y891" s="6"/>
      <c r="Z891" s="6"/>
    </row>
    <row r="892" ht="60.0" customHeight="1">
      <c r="A892" s="6"/>
      <c r="B892" s="6"/>
      <c r="C892" s="6"/>
      <c r="D892" s="6"/>
      <c r="E892" s="17"/>
      <c r="F892" s="6"/>
      <c r="G892" s="6"/>
      <c r="H892" s="6"/>
      <c r="I892" s="6"/>
      <c r="J892" s="6"/>
      <c r="K892" s="6"/>
      <c r="L892" s="6"/>
      <c r="M892" s="6"/>
      <c r="N892" s="6"/>
      <c r="O892" s="6"/>
      <c r="P892" s="6"/>
      <c r="Q892" s="6"/>
      <c r="R892" s="6"/>
      <c r="S892" s="6"/>
      <c r="T892" s="6"/>
      <c r="U892" s="6"/>
      <c r="V892" s="6"/>
      <c r="W892" s="6"/>
      <c r="X892" s="6"/>
      <c r="Y892" s="6"/>
      <c r="Z892" s="6"/>
    </row>
    <row r="893" ht="60.0" customHeight="1">
      <c r="A893" s="6"/>
      <c r="B893" s="6"/>
      <c r="C893" s="6"/>
      <c r="D893" s="6"/>
      <c r="E893" s="17"/>
      <c r="F893" s="6"/>
      <c r="G893" s="6"/>
      <c r="H893" s="6"/>
      <c r="I893" s="6"/>
      <c r="J893" s="6"/>
      <c r="K893" s="6"/>
      <c r="L893" s="6"/>
      <c r="M893" s="6"/>
      <c r="N893" s="6"/>
      <c r="O893" s="6"/>
      <c r="P893" s="6"/>
      <c r="Q893" s="6"/>
      <c r="R893" s="6"/>
      <c r="S893" s="6"/>
      <c r="T893" s="6"/>
      <c r="U893" s="6"/>
      <c r="V893" s="6"/>
      <c r="W893" s="6"/>
      <c r="X893" s="6"/>
      <c r="Y893" s="6"/>
      <c r="Z893" s="6"/>
    </row>
    <row r="894" ht="60.0" customHeight="1">
      <c r="A894" s="6"/>
      <c r="B894" s="6"/>
      <c r="C894" s="6"/>
      <c r="D894" s="6"/>
      <c r="E894" s="17"/>
      <c r="F894" s="6"/>
      <c r="G894" s="6"/>
      <c r="H894" s="6"/>
      <c r="I894" s="6"/>
      <c r="J894" s="6"/>
      <c r="K894" s="6"/>
      <c r="L894" s="6"/>
      <c r="M894" s="6"/>
      <c r="N894" s="6"/>
      <c r="O894" s="6"/>
      <c r="P894" s="6"/>
      <c r="Q894" s="6"/>
      <c r="R894" s="6"/>
      <c r="S894" s="6"/>
      <c r="T894" s="6"/>
      <c r="U894" s="6"/>
      <c r="V894" s="6"/>
      <c r="W894" s="6"/>
      <c r="X894" s="6"/>
      <c r="Y894" s="6"/>
      <c r="Z894" s="6"/>
    </row>
    <row r="895" ht="60.0" customHeight="1">
      <c r="A895" s="6"/>
      <c r="B895" s="6"/>
      <c r="C895" s="6"/>
      <c r="D895" s="6"/>
      <c r="E895" s="17"/>
      <c r="F895" s="6"/>
      <c r="G895" s="6"/>
      <c r="H895" s="6"/>
      <c r="I895" s="6"/>
      <c r="J895" s="6"/>
      <c r="K895" s="6"/>
      <c r="L895" s="6"/>
      <c r="M895" s="6"/>
      <c r="N895" s="6"/>
      <c r="O895" s="6"/>
      <c r="P895" s="6"/>
      <c r="Q895" s="6"/>
      <c r="R895" s="6"/>
      <c r="S895" s="6"/>
      <c r="T895" s="6"/>
      <c r="U895" s="6"/>
      <c r="V895" s="6"/>
      <c r="W895" s="6"/>
      <c r="X895" s="6"/>
      <c r="Y895" s="6"/>
      <c r="Z895" s="6"/>
    </row>
    <row r="896" ht="60.0" customHeight="1">
      <c r="A896" s="6"/>
      <c r="B896" s="6"/>
      <c r="C896" s="6"/>
      <c r="D896" s="6"/>
      <c r="E896" s="17"/>
      <c r="F896" s="6"/>
      <c r="G896" s="6"/>
      <c r="H896" s="6"/>
      <c r="I896" s="6"/>
      <c r="J896" s="6"/>
      <c r="K896" s="6"/>
      <c r="L896" s="6"/>
      <c r="M896" s="6"/>
      <c r="N896" s="6"/>
      <c r="O896" s="6"/>
      <c r="P896" s="6"/>
      <c r="Q896" s="6"/>
      <c r="R896" s="6"/>
      <c r="S896" s="6"/>
      <c r="T896" s="6"/>
      <c r="U896" s="6"/>
      <c r="V896" s="6"/>
      <c r="W896" s="6"/>
      <c r="X896" s="6"/>
      <c r="Y896" s="6"/>
      <c r="Z896" s="6"/>
    </row>
    <row r="897" ht="60.0" customHeight="1">
      <c r="A897" s="6"/>
      <c r="B897" s="6"/>
      <c r="C897" s="6"/>
      <c r="D897" s="6"/>
      <c r="E897" s="17"/>
      <c r="F897" s="6"/>
      <c r="G897" s="6"/>
      <c r="H897" s="6"/>
      <c r="I897" s="6"/>
      <c r="J897" s="6"/>
      <c r="K897" s="6"/>
      <c r="L897" s="6"/>
      <c r="M897" s="6"/>
      <c r="N897" s="6"/>
      <c r="O897" s="6"/>
      <c r="P897" s="6"/>
      <c r="Q897" s="6"/>
      <c r="R897" s="6"/>
      <c r="S897" s="6"/>
      <c r="T897" s="6"/>
      <c r="U897" s="6"/>
      <c r="V897" s="6"/>
      <c r="W897" s="6"/>
      <c r="X897" s="6"/>
      <c r="Y897" s="6"/>
      <c r="Z897" s="6"/>
    </row>
    <row r="898" ht="60.0" customHeight="1">
      <c r="A898" s="6"/>
      <c r="B898" s="6"/>
      <c r="C898" s="6"/>
      <c r="D898" s="6"/>
      <c r="E898" s="17"/>
      <c r="F898" s="6"/>
      <c r="G898" s="6"/>
      <c r="H898" s="6"/>
      <c r="I898" s="6"/>
      <c r="J898" s="6"/>
      <c r="K898" s="6"/>
      <c r="L898" s="6"/>
      <c r="M898" s="6"/>
      <c r="N898" s="6"/>
      <c r="O898" s="6"/>
      <c r="P898" s="6"/>
      <c r="Q898" s="6"/>
      <c r="R898" s="6"/>
      <c r="S898" s="6"/>
      <c r="T898" s="6"/>
      <c r="U898" s="6"/>
      <c r="V898" s="6"/>
      <c r="W898" s="6"/>
      <c r="X898" s="6"/>
      <c r="Y898" s="6"/>
      <c r="Z898" s="6"/>
    </row>
    <row r="899" ht="60.0" customHeight="1">
      <c r="A899" s="6"/>
      <c r="B899" s="6"/>
      <c r="C899" s="6"/>
      <c r="D899" s="6"/>
      <c r="E899" s="17"/>
      <c r="F899" s="6"/>
      <c r="G899" s="6"/>
      <c r="H899" s="6"/>
      <c r="I899" s="6"/>
      <c r="J899" s="6"/>
      <c r="K899" s="6"/>
      <c r="L899" s="6"/>
      <c r="M899" s="6"/>
      <c r="N899" s="6"/>
      <c r="O899" s="6"/>
      <c r="P899" s="6"/>
      <c r="Q899" s="6"/>
      <c r="R899" s="6"/>
      <c r="S899" s="6"/>
      <c r="T899" s="6"/>
      <c r="U899" s="6"/>
      <c r="V899" s="6"/>
      <c r="W899" s="6"/>
      <c r="X899" s="6"/>
      <c r="Y899" s="6"/>
      <c r="Z899" s="6"/>
    </row>
    <row r="900" ht="60.0" customHeight="1">
      <c r="A900" s="6"/>
      <c r="B900" s="6"/>
      <c r="C900" s="6"/>
      <c r="D900" s="6"/>
      <c r="E900" s="17"/>
      <c r="F900" s="6"/>
      <c r="G900" s="6"/>
      <c r="H900" s="6"/>
      <c r="I900" s="6"/>
      <c r="J900" s="6"/>
      <c r="K900" s="6"/>
      <c r="L900" s="6"/>
      <c r="M900" s="6"/>
      <c r="N900" s="6"/>
      <c r="O900" s="6"/>
      <c r="P900" s="6"/>
      <c r="Q900" s="6"/>
      <c r="R900" s="6"/>
      <c r="S900" s="6"/>
      <c r="T900" s="6"/>
      <c r="U900" s="6"/>
      <c r="V900" s="6"/>
      <c r="W900" s="6"/>
      <c r="X900" s="6"/>
      <c r="Y900" s="6"/>
      <c r="Z900" s="6"/>
    </row>
    <row r="901" ht="60.0" customHeight="1">
      <c r="A901" s="6"/>
      <c r="B901" s="6"/>
      <c r="C901" s="6"/>
      <c r="D901" s="6"/>
      <c r="E901" s="17"/>
      <c r="F901" s="6"/>
      <c r="G901" s="6"/>
      <c r="H901" s="6"/>
      <c r="I901" s="6"/>
      <c r="J901" s="6"/>
      <c r="K901" s="6"/>
      <c r="L901" s="6"/>
      <c r="M901" s="6"/>
      <c r="N901" s="6"/>
      <c r="O901" s="6"/>
      <c r="P901" s="6"/>
      <c r="Q901" s="6"/>
      <c r="R901" s="6"/>
      <c r="S901" s="6"/>
      <c r="T901" s="6"/>
      <c r="U901" s="6"/>
      <c r="V901" s="6"/>
      <c r="W901" s="6"/>
      <c r="X901" s="6"/>
      <c r="Y901" s="6"/>
      <c r="Z901" s="6"/>
    </row>
    <row r="902" ht="60.0" customHeight="1">
      <c r="A902" s="6"/>
      <c r="B902" s="6"/>
      <c r="C902" s="6"/>
      <c r="D902" s="6"/>
      <c r="E902" s="17"/>
      <c r="F902" s="6"/>
      <c r="G902" s="6"/>
      <c r="H902" s="6"/>
      <c r="I902" s="6"/>
      <c r="J902" s="6"/>
      <c r="K902" s="6"/>
      <c r="L902" s="6"/>
      <c r="M902" s="6"/>
      <c r="N902" s="6"/>
      <c r="O902" s="6"/>
      <c r="P902" s="6"/>
      <c r="Q902" s="6"/>
      <c r="R902" s="6"/>
      <c r="S902" s="6"/>
      <c r="T902" s="6"/>
      <c r="U902" s="6"/>
      <c r="V902" s="6"/>
      <c r="W902" s="6"/>
      <c r="X902" s="6"/>
      <c r="Y902" s="6"/>
      <c r="Z902" s="6"/>
    </row>
    <row r="903" ht="60.0" customHeight="1">
      <c r="A903" s="6"/>
      <c r="B903" s="6"/>
      <c r="C903" s="6"/>
      <c r="D903" s="6"/>
      <c r="E903" s="17"/>
      <c r="F903" s="6"/>
      <c r="G903" s="6"/>
      <c r="H903" s="6"/>
      <c r="I903" s="6"/>
      <c r="J903" s="6"/>
      <c r="K903" s="6"/>
      <c r="L903" s="6"/>
      <c r="M903" s="6"/>
      <c r="N903" s="6"/>
      <c r="O903" s="6"/>
      <c r="P903" s="6"/>
      <c r="Q903" s="6"/>
      <c r="R903" s="6"/>
      <c r="S903" s="6"/>
      <c r="T903" s="6"/>
      <c r="U903" s="6"/>
      <c r="V903" s="6"/>
      <c r="W903" s="6"/>
      <c r="X903" s="6"/>
      <c r="Y903" s="6"/>
      <c r="Z903" s="6"/>
    </row>
    <row r="904" ht="60.0" customHeight="1">
      <c r="A904" s="6"/>
      <c r="B904" s="6"/>
      <c r="C904" s="6"/>
      <c r="D904" s="6"/>
      <c r="E904" s="17"/>
      <c r="F904" s="6"/>
      <c r="G904" s="6"/>
      <c r="H904" s="6"/>
      <c r="I904" s="6"/>
      <c r="J904" s="6"/>
      <c r="K904" s="6"/>
      <c r="L904" s="6"/>
      <c r="M904" s="6"/>
      <c r="N904" s="6"/>
      <c r="O904" s="6"/>
      <c r="P904" s="6"/>
      <c r="Q904" s="6"/>
      <c r="R904" s="6"/>
      <c r="S904" s="6"/>
      <c r="T904" s="6"/>
      <c r="U904" s="6"/>
      <c r="V904" s="6"/>
      <c r="W904" s="6"/>
      <c r="X904" s="6"/>
      <c r="Y904" s="6"/>
      <c r="Z904" s="6"/>
    </row>
    <row r="905" ht="60.0" customHeight="1">
      <c r="A905" s="6"/>
      <c r="B905" s="6"/>
      <c r="C905" s="6"/>
      <c r="D905" s="6"/>
      <c r="E905" s="17"/>
      <c r="F905" s="6"/>
      <c r="G905" s="6"/>
      <c r="H905" s="6"/>
      <c r="I905" s="6"/>
      <c r="J905" s="6"/>
      <c r="K905" s="6"/>
      <c r="L905" s="6"/>
      <c r="M905" s="6"/>
      <c r="N905" s="6"/>
      <c r="O905" s="6"/>
      <c r="P905" s="6"/>
      <c r="Q905" s="6"/>
      <c r="R905" s="6"/>
      <c r="S905" s="6"/>
      <c r="T905" s="6"/>
      <c r="U905" s="6"/>
      <c r="V905" s="6"/>
      <c r="W905" s="6"/>
      <c r="X905" s="6"/>
      <c r="Y905" s="6"/>
      <c r="Z905" s="6"/>
    </row>
    <row r="906" ht="60.0" customHeight="1">
      <c r="A906" s="6"/>
      <c r="B906" s="6"/>
      <c r="C906" s="6"/>
      <c r="D906" s="6"/>
      <c r="E906" s="17"/>
      <c r="F906" s="6"/>
      <c r="G906" s="6"/>
      <c r="H906" s="6"/>
      <c r="I906" s="6"/>
      <c r="J906" s="6"/>
      <c r="K906" s="6"/>
      <c r="L906" s="6"/>
      <c r="M906" s="6"/>
      <c r="N906" s="6"/>
      <c r="O906" s="6"/>
      <c r="P906" s="6"/>
      <c r="Q906" s="6"/>
      <c r="R906" s="6"/>
      <c r="S906" s="6"/>
      <c r="T906" s="6"/>
      <c r="U906" s="6"/>
      <c r="V906" s="6"/>
      <c r="W906" s="6"/>
      <c r="X906" s="6"/>
      <c r="Y906" s="6"/>
      <c r="Z906" s="6"/>
    </row>
    <row r="907" ht="60.0" customHeight="1">
      <c r="A907" s="6"/>
      <c r="B907" s="6"/>
      <c r="C907" s="6"/>
      <c r="D907" s="6"/>
      <c r="E907" s="17"/>
      <c r="F907" s="6"/>
      <c r="G907" s="6"/>
      <c r="H907" s="6"/>
      <c r="I907" s="6"/>
      <c r="J907" s="6"/>
      <c r="K907" s="6"/>
      <c r="L907" s="6"/>
      <c r="M907" s="6"/>
      <c r="N907" s="6"/>
      <c r="O907" s="6"/>
      <c r="P907" s="6"/>
      <c r="Q907" s="6"/>
      <c r="R907" s="6"/>
      <c r="S907" s="6"/>
      <c r="T907" s="6"/>
      <c r="U907" s="6"/>
      <c r="V907" s="6"/>
      <c r="W907" s="6"/>
      <c r="X907" s="6"/>
      <c r="Y907" s="6"/>
      <c r="Z907" s="6"/>
    </row>
    <row r="908" ht="60.0" customHeight="1">
      <c r="A908" s="6"/>
      <c r="B908" s="6"/>
      <c r="C908" s="6"/>
      <c r="D908" s="6"/>
      <c r="E908" s="17"/>
      <c r="F908" s="6"/>
      <c r="G908" s="6"/>
      <c r="H908" s="6"/>
      <c r="I908" s="6"/>
      <c r="J908" s="6"/>
      <c r="K908" s="6"/>
      <c r="L908" s="6"/>
      <c r="M908" s="6"/>
      <c r="N908" s="6"/>
      <c r="O908" s="6"/>
      <c r="P908" s="6"/>
      <c r="Q908" s="6"/>
      <c r="R908" s="6"/>
      <c r="S908" s="6"/>
      <c r="T908" s="6"/>
      <c r="U908" s="6"/>
      <c r="V908" s="6"/>
      <c r="W908" s="6"/>
      <c r="X908" s="6"/>
      <c r="Y908" s="6"/>
      <c r="Z908" s="6"/>
    </row>
    <row r="909" ht="60.0" customHeight="1">
      <c r="A909" s="6"/>
      <c r="B909" s="6"/>
      <c r="C909" s="6"/>
      <c r="D909" s="6"/>
      <c r="E909" s="17"/>
      <c r="F909" s="6"/>
      <c r="G909" s="6"/>
      <c r="H909" s="6"/>
      <c r="I909" s="6"/>
      <c r="J909" s="6"/>
      <c r="K909" s="6"/>
      <c r="L909" s="6"/>
      <c r="M909" s="6"/>
      <c r="N909" s="6"/>
      <c r="O909" s="6"/>
      <c r="P909" s="6"/>
      <c r="Q909" s="6"/>
      <c r="R909" s="6"/>
      <c r="S909" s="6"/>
      <c r="T909" s="6"/>
      <c r="U909" s="6"/>
      <c r="V909" s="6"/>
      <c r="W909" s="6"/>
      <c r="X909" s="6"/>
      <c r="Y909" s="6"/>
      <c r="Z909" s="6"/>
    </row>
    <row r="910" ht="60.0" customHeight="1">
      <c r="A910" s="6"/>
      <c r="B910" s="6"/>
      <c r="C910" s="6"/>
      <c r="D910" s="6"/>
      <c r="E910" s="17"/>
      <c r="F910" s="6"/>
      <c r="G910" s="6"/>
      <c r="H910" s="6"/>
      <c r="I910" s="6"/>
      <c r="J910" s="6"/>
      <c r="K910" s="6"/>
      <c r="L910" s="6"/>
      <c r="M910" s="6"/>
      <c r="N910" s="6"/>
      <c r="O910" s="6"/>
      <c r="P910" s="6"/>
      <c r="Q910" s="6"/>
      <c r="R910" s="6"/>
      <c r="S910" s="6"/>
      <c r="T910" s="6"/>
      <c r="U910" s="6"/>
      <c r="V910" s="6"/>
      <c r="W910" s="6"/>
      <c r="X910" s="6"/>
      <c r="Y910" s="6"/>
      <c r="Z910" s="6"/>
    </row>
    <row r="911" ht="60.0" customHeight="1">
      <c r="A911" s="6"/>
      <c r="B911" s="6"/>
      <c r="C911" s="6"/>
      <c r="D911" s="6"/>
      <c r="E911" s="17"/>
      <c r="F911" s="6"/>
      <c r="G911" s="6"/>
      <c r="H911" s="6"/>
      <c r="I911" s="6"/>
      <c r="J911" s="6"/>
      <c r="K911" s="6"/>
      <c r="L911" s="6"/>
      <c r="M911" s="6"/>
      <c r="N911" s="6"/>
      <c r="O911" s="6"/>
      <c r="P911" s="6"/>
      <c r="Q911" s="6"/>
      <c r="R911" s="6"/>
      <c r="S911" s="6"/>
      <c r="T911" s="6"/>
      <c r="U911" s="6"/>
      <c r="V911" s="6"/>
      <c r="W911" s="6"/>
      <c r="X911" s="6"/>
      <c r="Y911" s="6"/>
      <c r="Z911" s="6"/>
    </row>
    <row r="912" ht="60.0" customHeight="1">
      <c r="A912" s="6"/>
      <c r="B912" s="6"/>
      <c r="C912" s="6"/>
      <c r="D912" s="6"/>
      <c r="E912" s="17"/>
      <c r="F912" s="6"/>
      <c r="G912" s="6"/>
      <c r="H912" s="6"/>
      <c r="I912" s="6"/>
      <c r="J912" s="6"/>
      <c r="K912" s="6"/>
      <c r="L912" s="6"/>
      <c r="M912" s="6"/>
      <c r="N912" s="6"/>
      <c r="O912" s="6"/>
      <c r="P912" s="6"/>
      <c r="Q912" s="6"/>
      <c r="R912" s="6"/>
      <c r="S912" s="6"/>
      <c r="T912" s="6"/>
      <c r="U912" s="6"/>
      <c r="V912" s="6"/>
      <c r="W912" s="6"/>
      <c r="X912" s="6"/>
      <c r="Y912" s="6"/>
      <c r="Z912" s="6"/>
    </row>
    <row r="913" ht="60.0" customHeight="1">
      <c r="A913" s="6"/>
      <c r="B913" s="6"/>
      <c r="C913" s="6"/>
      <c r="D913" s="6"/>
      <c r="E913" s="17"/>
      <c r="F913" s="6"/>
      <c r="G913" s="6"/>
      <c r="H913" s="6"/>
      <c r="I913" s="6"/>
      <c r="J913" s="6"/>
      <c r="K913" s="6"/>
      <c r="L913" s="6"/>
      <c r="M913" s="6"/>
      <c r="N913" s="6"/>
      <c r="O913" s="6"/>
      <c r="P913" s="6"/>
      <c r="Q913" s="6"/>
      <c r="R913" s="6"/>
      <c r="S913" s="6"/>
      <c r="T913" s="6"/>
      <c r="U913" s="6"/>
      <c r="V913" s="6"/>
      <c r="W913" s="6"/>
      <c r="X913" s="6"/>
      <c r="Y913" s="6"/>
      <c r="Z913" s="6"/>
    </row>
    <row r="914" ht="60.0" customHeight="1">
      <c r="A914" s="6"/>
      <c r="B914" s="6"/>
      <c r="C914" s="6"/>
      <c r="D914" s="6"/>
      <c r="E914" s="17"/>
      <c r="F914" s="6"/>
      <c r="G914" s="6"/>
      <c r="H914" s="6"/>
      <c r="I914" s="6"/>
      <c r="J914" s="6"/>
      <c r="K914" s="6"/>
      <c r="L914" s="6"/>
      <c r="M914" s="6"/>
      <c r="N914" s="6"/>
      <c r="O914" s="6"/>
      <c r="P914" s="6"/>
      <c r="Q914" s="6"/>
      <c r="R914" s="6"/>
      <c r="S914" s="6"/>
      <c r="T914" s="6"/>
      <c r="U914" s="6"/>
      <c r="V914" s="6"/>
      <c r="W914" s="6"/>
      <c r="X914" s="6"/>
      <c r="Y914" s="6"/>
      <c r="Z914" s="6"/>
    </row>
    <row r="915" ht="60.0" customHeight="1">
      <c r="A915" s="6"/>
      <c r="B915" s="6"/>
      <c r="C915" s="6"/>
      <c r="D915" s="6"/>
      <c r="E915" s="17"/>
      <c r="F915" s="6"/>
      <c r="G915" s="6"/>
      <c r="H915" s="6"/>
      <c r="I915" s="6"/>
      <c r="J915" s="6"/>
      <c r="K915" s="6"/>
      <c r="L915" s="6"/>
      <c r="M915" s="6"/>
      <c r="N915" s="6"/>
      <c r="O915" s="6"/>
      <c r="P915" s="6"/>
      <c r="Q915" s="6"/>
      <c r="R915" s="6"/>
      <c r="S915" s="6"/>
      <c r="T915" s="6"/>
      <c r="U915" s="6"/>
      <c r="V915" s="6"/>
      <c r="W915" s="6"/>
      <c r="X915" s="6"/>
      <c r="Y915" s="6"/>
      <c r="Z915" s="6"/>
    </row>
    <row r="916" ht="60.0" customHeight="1">
      <c r="A916" s="6"/>
      <c r="B916" s="6"/>
      <c r="C916" s="6"/>
      <c r="D916" s="6"/>
      <c r="E916" s="17"/>
      <c r="F916" s="6"/>
      <c r="G916" s="6"/>
      <c r="H916" s="6"/>
      <c r="I916" s="6"/>
      <c r="J916" s="6"/>
      <c r="K916" s="6"/>
      <c r="L916" s="6"/>
      <c r="M916" s="6"/>
      <c r="N916" s="6"/>
      <c r="O916" s="6"/>
      <c r="P916" s="6"/>
      <c r="Q916" s="6"/>
      <c r="R916" s="6"/>
      <c r="S916" s="6"/>
      <c r="T916" s="6"/>
      <c r="U916" s="6"/>
      <c r="V916" s="6"/>
      <c r="W916" s="6"/>
      <c r="X916" s="6"/>
      <c r="Y916" s="6"/>
      <c r="Z916" s="6"/>
    </row>
    <row r="917" ht="60.0" customHeight="1">
      <c r="A917" s="6"/>
      <c r="B917" s="6"/>
      <c r="C917" s="6"/>
      <c r="D917" s="6"/>
      <c r="E917" s="17"/>
      <c r="F917" s="6"/>
      <c r="G917" s="6"/>
      <c r="H917" s="6"/>
      <c r="I917" s="6"/>
      <c r="J917" s="6"/>
      <c r="K917" s="6"/>
      <c r="L917" s="6"/>
      <c r="M917" s="6"/>
      <c r="N917" s="6"/>
      <c r="O917" s="6"/>
      <c r="P917" s="6"/>
      <c r="Q917" s="6"/>
      <c r="R917" s="6"/>
      <c r="S917" s="6"/>
      <c r="T917" s="6"/>
      <c r="U917" s="6"/>
      <c r="V917" s="6"/>
      <c r="W917" s="6"/>
      <c r="X917" s="6"/>
      <c r="Y917" s="6"/>
      <c r="Z917" s="6"/>
    </row>
    <row r="918" ht="60.0" customHeight="1">
      <c r="A918" s="6"/>
      <c r="B918" s="6"/>
      <c r="C918" s="6"/>
      <c r="D918" s="6"/>
      <c r="E918" s="17"/>
      <c r="F918" s="6"/>
      <c r="G918" s="6"/>
      <c r="H918" s="6"/>
      <c r="I918" s="6"/>
      <c r="J918" s="6"/>
      <c r="K918" s="6"/>
      <c r="L918" s="6"/>
      <c r="M918" s="6"/>
      <c r="N918" s="6"/>
      <c r="O918" s="6"/>
      <c r="P918" s="6"/>
      <c r="Q918" s="6"/>
      <c r="R918" s="6"/>
      <c r="S918" s="6"/>
      <c r="T918" s="6"/>
      <c r="U918" s="6"/>
      <c r="V918" s="6"/>
      <c r="W918" s="6"/>
      <c r="X918" s="6"/>
      <c r="Y918" s="6"/>
      <c r="Z918" s="6"/>
    </row>
    <row r="919" ht="60.0" customHeight="1">
      <c r="A919" s="6"/>
      <c r="B919" s="6"/>
      <c r="C919" s="6"/>
      <c r="D919" s="6"/>
      <c r="E919" s="17"/>
      <c r="F919" s="6"/>
      <c r="G919" s="6"/>
      <c r="H919" s="6"/>
      <c r="I919" s="6"/>
      <c r="J919" s="6"/>
      <c r="K919" s="6"/>
      <c r="L919" s="6"/>
      <c r="M919" s="6"/>
      <c r="N919" s="6"/>
      <c r="O919" s="6"/>
      <c r="P919" s="6"/>
      <c r="Q919" s="6"/>
      <c r="R919" s="6"/>
      <c r="S919" s="6"/>
      <c r="T919" s="6"/>
      <c r="U919" s="6"/>
      <c r="V919" s="6"/>
      <c r="W919" s="6"/>
      <c r="X919" s="6"/>
      <c r="Y919" s="6"/>
      <c r="Z919" s="6"/>
    </row>
    <row r="920" ht="60.0" customHeight="1">
      <c r="A920" s="6"/>
      <c r="B920" s="6"/>
      <c r="C920" s="6"/>
      <c r="D920" s="6"/>
      <c r="E920" s="17"/>
      <c r="F920" s="6"/>
      <c r="G920" s="6"/>
      <c r="H920" s="6"/>
      <c r="I920" s="6"/>
      <c r="J920" s="6"/>
      <c r="K920" s="6"/>
      <c r="L920" s="6"/>
      <c r="M920" s="6"/>
      <c r="N920" s="6"/>
      <c r="O920" s="6"/>
      <c r="P920" s="6"/>
      <c r="Q920" s="6"/>
      <c r="R920" s="6"/>
      <c r="S920" s="6"/>
      <c r="T920" s="6"/>
      <c r="U920" s="6"/>
      <c r="V920" s="6"/>
      <c r="W920" s="6"/>
      <c r="X920" s="6"/>
      <c r="Y920" s="6"/>
      <c r="Z920" s="6"/>
    </row>
    <row r="921" ht="60.0" customHeight="1">
      <c r="A921" s="6"/>
      <c r="B921" s="6"/>
      <c r="C921" s="6"/>
      <c r="D921" s="6"/>
      <c r="E921" s="17"/>
      <c r="F921" s="6"/>
      <c r="G921" s="6"/>
      <c r="H921" s="6"/>
      <c r="I921" s="6"/>
      <c r="J921" s="6"/>
      <c r="K921" s="6"/>
      <c r="L921" s="6"/>
      <c r="M921" s="6"/>
      <c r="N921" s="6"/>
      <c r="O921" s="6"/>
      <c r="P921" s="6"/>
      <c r="Q921" s="6"/>
      <c r="R921" s="6"/>
      <c r="S921" s="6"/>
      <c r="T921" s="6"/>
      <c r="U921" s="6"/>
      <c r="V921" s="6"/>
      <c r="W921" s="6"/>
      <c r="X921" s="6"/>
      <c r="Y921" s="6"/>
      <c r="Z921" s="6"/>
    </row>
    <row r="922" ht="60.0" customHeight="1">
      <c r="A922" s="6"/>
      <c r="B922" s="6"/>
      <c r="C922" s="6"/>
      <c r="D922" s="6"/>
      <c r="E922" s="17"/>
      <c r="F922" s="6"/>
      <c r="G922" s="6"/>
      <c r="H922" s="6"/>
      <c r="I922" s="6"/>
      <c r="J922" s="6"/>
      <c r="K922" s="6"/>
      <c r="L922" s="6"/>
      <c r="M922" s="6"/>
      <c r="N922" s="6"/>
      <c r="O922" s="6"/>
      <c r="P922" s="6"/>
      <c r="Q922" s="6"/>
      <c r="R922" s="6"/>
      <c r="S922" s="6"/>
      <c r="T922" s="6"/>
      <c r="U922" s="6"/>
      <c r="V922" s="6"/>
      <c r="W922" s="6"/>
      <c r="X922" s="6"/>
      <c r="Y922" s="6"/>
      <c r="Z922" s="6"/>
    </row>
    <row r="923" ht="60.0" customHeight="1">
      <c r="A923" s="6"/>
      <c r="B923" s="6"/>
      <c r="C923" s="6"/>
      <c r="D923" s="6"/>
      <c r="E923" s="17"/>
      <c r="F923" s="6"/>
      <c r="G923" s="6"/>
      <c r="H923" s="6"/>
      <c r="I923" s="6"/>
      <c r="J923" s="6"/>
      <c r="K923" s="6"/>
      <c r="L923" s="6"/>
      <c r="M923" s="6"/>
      <c r="N923" s="6"/>
      <c r="O923" s="6"/>
      <c r="P923" s="6"/>
      <c r="Q923" s="6"/>
      <c r="R923" s="6"/>
      <c r="S923" s="6"/>
      <c r="T923" s="6"/>
      <c r="U923" s="6"/>
      <c r="V923" s="6"/>
      <c r="W923" s="6"/>
      <c r="X923" s="6"/>
      <c r="Y923" s="6"/>
      <c r="Z923" s="6"/>
    </row>
    <row r="924" ht="60.0" customHeight="1">
      <c r="A924" s="6"/>
      <c r="B924" s="6"/>
      <c r="C924" s="6"/>
      <c r="D924" s="6"/>
      <c r="E924" s="17"/>
      <c r="F924" s="6"/>
      <c r="G924" s="6"/>
      <c r="H924" s="6"/>
      <c r="I924" s="6"/>
      <c r="J924" s="6"/>
      <c r="K924" s="6"/>
      <c r="L924" s="6"/>
      <c r="M924" s="6"/>
      <c r="N924" s="6"/>
      <c r="O924" s="6"/>
      <c r="P924" s="6"/>
      <c r="Q924" s="6"/>
      <c r="R924" s="6"/>
      <c r="S924" s="6"/>
      <c r="T924" s="6"/>
      <c r="U924" s="6"/>
      <c r="V924" s="6"/>
      <c r="W924" s="6"/>
      <c r="X924" s="6"/>
      <c r="Y924" s="6"/>
      <c r="Z924" s="6"/>
    </row>
    <row r="925" ht="60.0" customHeight="1">
      <c r="A925" s="6"/>
      <c r="B925" s="6"/>
      <c r="C925" s="6"/>
      <c r="D925" s="6"/>
      <c r="E925" s="17"/>
      <c r="F925" s="6"/>
      <c r="G925" s="6"/>
      <c r="H925" s="6"/>
      <c r="I925" s="6"/>
      <c r="J925" s="6"/>
      <c r="K925" s="6"/>
      <c r="L925" s="6"/>
      <c r="M925" s="6"/>
      <c r="N925" s="6"/>
      <c r="O925" s="6"/>
      <c r="P925" s="6"/>
      <c r="Q925" s="6"/>
      <c r="R925" s="6"/>
      <c r="S925" s="6"/>
      <c r="T925" s="6"/>
      <c r="U925" s="6"/>
      <c r="V925" s="6"/>
      <c r="W925" s="6"/>
      <c r="X925" s="6"/>
      <c r="Y925" s="6"/>
      <c r="Z925" s="6"/>
    </row>
    <row r="926" ht="60.0" customHeight="1">
      <c r="A926" s="6"/>
      <c r="B926" s="6"/>
      <c r="C926" s="6"/>
      <c r="D926" s="6"/>
      <c r="E926" s="17"/>
      <c r="F926" s="6"/>
      <c r="G926" s="6"/>
      <c r="H926" s="6"/>
      <c r="I926" s="6"/>
      <c r="J926" s="6"/>
      <c r="K926" s="6"/>
      <c r="L926" s="6"/>
      <c r="M926" s="6"/>
      <c r="N926" s="6"/>
      <c r="O926" s="6"/>
      <c r="P926" s="6"/>
      <c r="Q926" s="6"/>
      <c r="R926" s="6"/>
      <c r="S926" s="6"/>
      <c r="T926" s="6"/>
      <c r="U926" s="6"/>
      <c r="V926" s="6"/>
      <c r="W926" s="6"/>
      <c r="X926" s="6"/>
      <c r="Y926" s="6"/>
      <c r="Z926" s="6"/>
    </row>
    <row r="927" ht="60.0" customHeight="1">
      <c r="A927" s="6"/>
      <c r="B927" s="6"/>
      <c r="C927" s="6"/>
      <c r="D927" s="6"/>
      <c r="E927" s="17"/>
      <c r="F927" s="6"/>
      <c r="G927" s="6"/>
      <c r="H927" s="6"/>
      <c r="I927" s="6"/>
      <c r="J927" s="6"/>
      <c r="K927" s="6"/>
      <c r="L927" s="6"/>
      <c r="M927" s="6"/>
      <c r="N927" s="6"/>
      <c r="O927" s="6"/>
      <c r="P927" s="6"/>
      <c r="Q927" s="6"/>
      <c r="R927" s="6"/>
      <c r="S927" s="6"/>
      <c r="T927" s="6"/>
      <c r="U927" s="6"/>
      <c r="V927" s="6"/>
      <c r="W927" s="6"/>
      <c r="X927" s="6"/>
      <c r="Y927" s="6"/>
      <c r="Z927" s="6"/>
    </row>
    <row r="928" ht="60.0" customHeight="1">
      <c r="A928" s="6"/>
      <c r="B928" s="6"/>
      <c r="C928" s="6"/>
      <c r="D928" s="6"/>
      <c r="E928" s="17"/>
      <c r="F928" s="6"/>
      <c r="G928" s="6"/>
      <c r="H928" s="6"/>
      <c r="I928" s="6"/>
      <c r="J928" s="6"/>
      <c r="K928" s="6"/>
      <c r="L928" s="6"/>
      <c r="M928" s="6"/>
      <c r="N928" s="6"/>
      <c r="O928" s="6"/>
      <c r="P928" s="6"/>
      <c r="Q928" s="6"/>
      <c r="R928" s="6"/>
      <c r="S928" s="6"/>
      <c r="T928" s="6"/>
      <c r="U928" s="6"/>
      <c r="V928" s="6"/>
      <c r="W928" s="6"/>
      <c r="X928" s="6"/>
      <c r="Y928" s="6"/>
      <c r="Z928" s="6"/>
    </row>
    <row r="929" ht="60.0" customHeight="1">
      <c r="A929" s="6"/>
      <c r="B929" s="6"/>
      <c r="C929" s="6"/>
      <c r="D929" s="6"/>
      <c r="E929" s="17"/>
      <c r="F929" s="6"/>
      <c r="G929" s="6"/>
      <c r="H929" s="6"/>
      <c r="I929" s="6"/>
      <c r="J929" s="6"/>
      <c r="K929" s="6"/>
      <c r="L929" s="6"/>
      <c r="M929" s="6"/>
      <c r="N929" s="6"/>
      <c r="O929" s="6"/>
      <c r="P929" s="6"/>
      <c r="Q929" s="6"/>
      <c r="R929" s="6"/>
      <c r="S929" s="6"/>
      <c r="T929" s="6"/>
      <c r="U929" s="6"/>
      <c r="V929" s="6"/>
      <c r="W929" s="6"/>
      <c r="X929" s="6"/>
      <c r="Y929" s="6"/>
      <c r="Z929" s="6"/>
    </row>
    <row r="930" ht="60.0" customHeight="1">
      <c r="A930" s="6"/>
      <c r="B930" s="6"/>
      <c r="C930" s="6"/>
      <c r="D930" s="6"/>
      <c r="E930" s="17"/>
      <c r="F930" s="6"/>
      <c r="G930" s="6"/>
      <c r="H930" s="6"/>
      <c r="I930" s="6"/>
      <c r="J930" s="6"/>
      <c r="K930" s="6"/>
      <c r="L930" s="6"/>
      <c r="M930" s="6"/>
      <c r="N930" s="6"/>
      <c r="O930" s="6"/>
      <c r="P930" s="6"/>
      <c r="Q930" s="6"/>
      <c r="R930" s="6"/>
      <c r="S930" s="6"/>
      <c r="T930" s="6"/>
      <c r="U930" s="6"/>
      <c r="V930" s="6"/>
      <c r="W930" s="6"/>
      <c r="X930" s="6"/>
      <c r="Y930" s="6"/>
      <c r="Z930" s="6"/>
    </row>
    <row r="931" ht="60.0" customHeight="1">
      <c r="A931" s="6"/>
      <c r="B931" s="6"/>
      <c r="C931" s="6"/>
      <c r="D931" s="6"/>
      <c r="E931" s="17"/>
      <c r="F931" s="6"/>
      <c r="G931" s="6"/>
      <c r="H931" s="6"/>
      <c r="I931" s="6"/>
      <c r="J931" s="6"/>
      <c r="K931" s="6"/>
      <c r="L931" s="6"/>
      <c r="M931" s="6"/>
      <c r="N931" s="6"/>
      <c r="O931" s="6"/>
      <c r="P931" s="6"/>
      <c r="Q931" s="6"/>
      <c r="R931" s="6"/>
      <c r="S931" s="6"/>
      <c r="T931" s="6"/>
      <c r="U931" s="6"/>
      <c r="V931" s="6"/>
      <c r="W931" s="6"/>
      <c r="X931" s="6"/>
      <c r="Y931" s="6"/>
      <c r="Z931" s="6"/>
    </row>
    <row r="932" ht="60.0" customHeight="1">
      <c r="A932" s="6"/>
      <c r="B932" s="6"/>
      <c r="C932" s="6"/>
      <c r="D932" s="6"/>
      <c r="E932" s="17"/>
      <c r="F932" s="6"/>
      <c r="G932" s="6"/>
      <c r="H932" s="6"/>
      <c r="I932" s="6"/>
      <c r="J932" s="6"/>
      <c r="K932" s="6"/>
      <c r="L932" s="6"/>
      <c r="M932" s="6"/>
      <c r="N932" s="6"/>
      <c r="O932" s="6"/>
      <c r="P932" s="6"/>
      <c r="Q932" s="6"/>
      <c r="R932" s="6"/>
      <c r="S932" s="6"/>
      <c r="T932" s="6"/>
      <c r="U932" s="6"/>
      <c r="V932" s="6"/>
      <c r="W932" s="6"/>
      <c r="X932" s="6"/>
      <c r="Y932" s="6"/>
      <c r="Z932" s="6"/>
    </row>
    <row r="933" ht="60.0" customHeight="1">
      <c r="A933" s="6"/>
      <c r="B933" s="6"/>
      <c r="C933" s="6"/>
      <c r="D933" s="6"/>
      <c r="E933" s="17"/>
      <c r="F933" s="6"/>
      <c r="G933" s="6"/>
      <c r="H933" s="6"/>
      <c r="I933" s="6"/>
      <c r="J933" s="6"/>
      <c r="K933" s="6"/>
      <c r="L933" s="6"/>
      <c r="M933" s="6"/>
      <c r="N933" s="6"/>
      <c r="O933" s="6"/>
      <c r="P933" s="6"/>
      <c r="Q933" s="6"/>
      <c r="R933" s="6"/>
      <c r="S933" s="6"/>
      <c r="T933" s="6"/>
      <c r="U933" s="6"/>
      <c r="V933" s="6"/>
      <c r="W933" s="6"/>
      <c r="X933" s="6"/>
      <c r="Y933" s="6"/>
      <c r="Z933" s="6"/>
    </row>
    <row r="934" ht="60.0" customHeight="1">
      <c r="A934" s="6"/>
      <c r="B934" s="6"/>
      <c r="C934" s="6"/>
      <c r="D934" s="6"/>
      <c r="E934" s="17"/>
      <c r="F934" s="6"/>
      <c r="G934" s="6"/>
      <c r="H934" s="6"/>
      <c r="I934" s="6"/>
      <c r="J934" s="6"/>
      <c r="K934" s="6"/>
      <c r="L934" s="6"/>
      <c r="M934" s="6"/>
      <c r="N934" s="6"/>
      <c r="O934" s="6"/>
      <c r="P934" s="6"/>
      <c r="Q934" s="6"/>
      <c r="R934" s="6"/>
      <c r="S934" s="6"/>
      <c r="T934" s="6"/>
      <c r="U934" s="6"/>
      <c r="V934" s="6"/>
      <c r="W934" s="6"/>
      <c r="X934" s="6"/>
      <c r="Y934" s="6"/>
      <c r="Z934" s="6"/>
    </row>
    <row r="935" ht="60.0" customHeight="1">
      <c r="A935" s="6"/>
      <c r="B935" s="6"/>
      <c r="C935" s="6"/>
      <c r="D935" s="6"/>
      <c r="E935" s="17"/>
      <c r="F935" s="6"/>
      <c r="G935" s="6"/>
      <c r="H935" s="6"/>
      <c r="I935" s="6"/>
      <c r="J935" s="6"/>
      <c r="K935" s="6"/>
      <c r="L935" s="6"/>
      <c r="M935" s="6"/>
      <c r="N935" s="6"/>
      <c r="O935" s="6"/>
      <c r="P935" s="6"/>
      <c r="Q935" s="6"/>
      <c r="R935" s="6"/>
      <c r="S935" s="6"/>
      <c r="T935" s="6"/>
      <c r="U935" s="6"/>
      <c r="V935" s="6"/>
      <c r="W935" s="6"/>
      <c r="X935" s="6"/>
      <c r="Y935" s="6"/>
      <c r="Z935" s="6"/>
    </row>
    <row r="936" ht="60.0" customHeight="1">
      <c r="A936" s="6"/>
      <c r="B936" s="6"/>
      <c r="C936" s="6"/>
      <c r="D936" s="6"/>
      <c r="E936" s="17"/>
      <c r="F936" s="6"/>
      <c r="G936" s="6"/>
      <c r="H936" s="6"/>
      <c r="I936" s="6"/>
      <c r="J936" s="6"/>
      <c r="K936" s="6"/>
      <c r="L936" s="6"/>
      <c r="M936" s="6"/>
      <c r="N936" s="6"/>
      <c r="O936" s="6"/>
      <c r="P936" s="6"/>
      <c r="Q936" s="6"/>
      <c r="R936" s="6"/>
      <c r="S936" s="6"/>
      <c r="T936" s="6"/>
      <c r="U936" s="6"/>
      <c r="V936" s="6"/>
      <c r="W936" s="6"/>
      <c r="X936" s="6"/>
      <c r="Y936" s="6"/>
      <c r="Z936" s="6"/>
    </row>
    <row r="937" ht="60.0" customHeight="1">
      <c r="A937" s="6"/>
      <c r="B937" s="6"/>
      <c r="C937" s="6"/>
      <c r="D937" s="6"/>
      <c r="E937" s="17"/>
      <c r="F937" s="6"/>
      <c r="G937" s="6"/>
      <c r="H937" s="6"/>
      <c r="I937" s="6"/>
      <c r="J937" s="6"/>
      <c r="K937" s="6"/>
      <c r="L937" s="6"/>
      <c r="M937" s="6"/>
      <c r="N937" s="6"/>
      <c r="O937" s="6"/>
      <c r="P937" s="6"/>
      <c r="Q937" s="6"/>
      <c r="R937" s="6"/>
      <c r="S937" s="6"/>
      <c r="T937" s="6"/>
      <c r="U937" s="6"/>
      <c r="V937" s="6"/>
      <c r="W937" s="6"/>
      <c r="X937" s="6"/>
      <c r="Y937" s="6"/>
      <c r="Z937" s="6"/>
    </row>
    <row r="938" ht="60.0" customHeight="1">
      <c r="A938" s="6"/>
      <c r="B938" s="6"/>
      <c r="C938" s="6"/>
      <c r="D938" s="6"/>
      <c r="E938" s="17"/>
      <c r="F938" s="6"/>
      <c r="G938" s="6"/>
      <c r="H938" s="6"/>
      <c r="I938" s="6"/>
      <c r="J938" s="6"/>
      <c r="K938" s="6"/>
      <c r="L938" s="6"/>
      <c r="M938" s="6"/>
      <c r="N938" s="6"/>
      <c r="O938" s="6"/>
      <c r="P938" s="6"/>
      <c r="Q938" s="6"/>
      <c r="R938" s="6"/>
      <c r="S938" s="6"/>
      <c r="T938" s="6"/>
      <c r="U938" s="6"/>
      <c r="V938" s="6"/>
      <c r="W938" s="6"/>
      <c r="X938" s="6"/>
      <c r="Y938" s="6"/>
      <c r="Z938" s="6"/>
    </row>
    <row r="939" ht="60.0" customHeight="1">
      <c r="A939" s="6"/>
      <c r="B939" s="6"/>
      <c r="C939" s="6"/>
      <c r="D939" s="6"/>
      <c r="E939" s="17"/>
      <c r="F939" s="6"/>
      <c r="G939" s="6"/>
      <c r="H939" s="6"/>
      <c r="I939" s="6"/>
      <c r="J939" s="6"/>
      <c r="K939" s="6"/>
      <c r="L939" s="6"/>
      <c r="M939" s="6"/>
      <c r="N939" s="6"/>
      <c r="O939" s="6"/>
      <c r="P939" s="6"/>
      <c r="Q939" s="6"/>
      <c r="R939" s="6"/>
      <c r="S939" s="6"/>
      <c r="T939" s="6"/>
      <c r="U939" s="6"/>
      <c r="V939" s="6"/>
      <c r="W939" s="6"/>
      <c r="X939" s="6"/>
      <c r="Y939" s="6"/>
      <c r="Z939" s="6"/>
    </row>
    <row r="940" ht="60.0" customHeight="1">
      <c r="A940" s="6"/>
      <c r="B940" s="6"/>
      <c r="C940" s="6"/>
      <c r="D940" s="6"/>
      <c r="E940" s="17"/>
      <c r="F940" s="6"/>
      <c r="G940" s="6"/>
      <c r="H940" s="6"/>
      <c r="I940" s="6"/>
      <c r="J940" s="6"/>
      <c r="K940" s="6"/>
      <c r="L940" s="6"/>
      <c r="M940" s="6"/>
      <c r="N940" s="6"/>
      <c r="O940" s="6"/>
      <c r="P940" s="6"/>
      <c r="Q940" s="6"/>
      <c r="R940" s="6"/>
      <c r="S940" s="6"/>
      <c r="T940" s="6"/>
      <c r="U940" s="6"/>
      <c r="V940" s="6"/>
      <c r="W940" s="6"/>
      <c r="X940" s="6"/>
      <c r="Y940" s="6"/>
      <c r="Z940" s="6"/>
    </row>
    <row r="941" ht="60.0" customHeight="1">
      <c r="A941" s="6"/>
      <c r="B941" s="6"/>
      <c r="C941" s="6"/>
      <c r="D941" s="6"/>
      <c r="E941" s="17"/>
      <c r="F941" s="6"/>
      <c r="G941" s="6"/>
      <c r="H941" s="6"/>
      <c r="I941" s="6"/>
      <c r="J941" s="6"/>
      <c r="K941" s="6"/>
      <c r="L941" s="6"/>
      <c r="M941" s="6"/>
      <c r="N941" s="6"/>
      <c r="O941" s="6"/>
      <c r="P941" s="6"/>
      <c r="Q941" s="6"/>
      <c r="R941" s="6"/>
      <c r="S941" s="6"/>
      <c r="T941" s="6"/>
      <c r="U941" s="6"/>
      <c r="V941" s="6"/>
      <c r="W941" s="6"/>
      <c r="X941" s="6"/>
      <c r="Y941" s="6"/>
      <c r="Z941" s="6"/>
    </row>
    <row r="942" ht="60.0" customHeight="1">
      <c r="A942" s="6"/>
      <c r="B942" s="6"/>
      <c r="C942" s="6"/>
      <c r="D942" s="6"/>
      <c r="E942" s="17"/>
      <c r="F942" s="6"/>
      <c r="G942" s="6"/>
      <c r="H942" s="6"/>
      <c r="I942" s="6"/>
      <c r="J942" s="6"/>
      <c r="K942" s="6"/>
      <c r="L942" s="6"/>
      <c r="M942" s="6"/>
      <c r="N942" s="6"/>
      <c r="O942" s="6"/>
      <c r="P942" s="6"/>
      <c r="Q942" s="6"/>
      <c r="R942" s="6"/>
      <c r="S942" s="6"/>
      <c r="T942" s="6"/>
      <c r="U942" s="6"/>
      <c r="V942" s="6"/>
      <c r="W942" s="6"/>
      <c r="X942" s="6"/>
      <c r="Y942" s="6"/>
      <c r="Z942" s="6"/>
    </row>
    <row r="943" ht="60.0" customHeight="1">
      <c r="A943" s="6"/>
      <c r="B943" s="6"/>
      <c r="C943" s="6"/>
      <c r="D943" s="6"/>
      <c r="E943" s="17"/>
      <c r="F943" s="6"/>
      <c r="G943" s="6"/>
      <c r="H943" s="6"/>
      <c r="I943" s="6"/>
      <c r="J943" s="6"/>
      <c r="K943" s="6"/>
      <c r="L943" s="6"/>
      <c r="M943" s="6"/>
      <c r="N943" s="6"/>
      <c r="O943" s="6"/>
      <c r="P943" s="6"/>
      <c r="Q943" s="6"/>
      <c r="R943" s="6"/>
      <c r="S943" s="6"/>
      <c r="T943" s="6"/>
      <c r="U943" s="6"/>
      <c r="V943" s="6"/>
      <c r="W943" s="6"/>
      <c r="X943" s="6"/>
      <c r="Y943" s="6"/>
      <c r="Z943" s="6"/>
    </row>
    <row r="944" ht="60.0" customHeight="1">
      <c r="A944" s="6"/>
      <c r="B944" s="6"/>
      <c r="C944" s="6"/>
      <c r="D944" s="6"/>
      <c r="E944" s="17"/>
      <c r="F944" s="6"/>
      <c r="G944" s="6"/>
      <c r="H944" s="6"/>
      <c r="I944" s="6"/>
      <c r="J944" s="6"/>
      <c r="K944" s="6"/>
      <c r="L944" s="6"/>
      <c r="M944" s="6"/>
      <c r="N944" s="6"/>
      <c r="O944" s="6"/>
      <c r="P944" s="6"/>
      <c r="Q944" s="6"/>
      <c r="R944" s="6"/>
      <c r="S944" s="6"/>
      <c r="T944" s="6"/>
      <c r="U944" s="6"/>
      <c r="V944" s="6"/>
      <c r="W944" s="6"/>
      <c r="X944" s="6"/>
      <c r="Y944" s="6"/>
      <c r="Z944" s="6"/>
    </row>
    <row r="945" ht="60.0" customHeight="1">
      <c r="A945" s="6"/>
      <c r="B945" s="6"/>
      <c r="C945" s="6"/>
      <c r="D945" s="6"/>
      <c r="E945" s="17"/>
      <c r="F945" s="6"/>
      <c r="G945" s="6"/>
      <c r="H945" s="6"/>
      <c r="I945" s="6"/>
      <c r="J945" s="6"/>
      <c r="K945" s="6"/>
      <c r="L945" s="6"/>
      <c r="M945" s="6"/>
      <c r="N945" s="6"/>
      <c r="O945" s="6"/>
      <c r="P945" s="6"/>
      <c r="Q945" s="6"/>
      <c r="R945" s="6"/>
      <c r="S945" s="6"/>
      <c r="T945" s="6"/>
      <c r="U945" s="6"/>
      <c r="V945" s="6"/>
      <c r="W945" s="6"/>
      <c r="X945" s="6"/>
      <c r="Y945" s="6"/>
      <c r="Z945" s="6"/>
    </row>
    <row r="946" ht="60.0" customHeight="1">
      <c r="A946" s="6"/>
      <c r="B946" s="6"/>
      <c r="C946" s="6"/>
      <c r="D946" s="6"/>
      <c r="E946" s="17"/>
      <c r="F946" s="6"/>
      <c r="G946" s="6"/>
      <c r="H946" s="6"/>
      <c r="I946" s="6"/>
      <c r="J946" s="6"/>
      <c r="K946" s="6"/>
      <c r="L946" s="6"/>
      <c r="M946" s="6"/>
      <c r="N946" s="6"/>
      <c r="O946" s="6"/>
      <c r="P946" s="6"/>
      <c r="Q946" s="6"/>
      <c r="R946" s="6"/>
      <c r="S946" s="6"/>
      <c r="T946" s="6"/>
      <c r="U946" s="6"/>
      <c r="V946" s="6"/>
      <c r="W946" s="6"/>
      <c r="X946" s="6"/>
      <c r="Y946" s="6"/>
      <c r="Z946" s="6"/>
    </row>
    <row r="947" ht="60.0" customHeight="1">
      <c r="A947" s="6"/>
      <c r="B947" s="6"/>
      <c r="C947" s="6"/>
      <c r="D947" s="6"/>
      <c r="E947" s="17"/>
      <c r="F947" s="6"/>
      <c r="G947" s="6"/>
      <c r="H947" s="6"/>
      <c r="I947" s="6"/>
      <c r="J947" s="6"/>
      <c r="K947" s="6"/>
      <c r="L947" s="6"/>
      <c r="M947" s="6"/>
      <c r="N947" s="6"/>
      <c r="O947" s="6"/>
      <c r="P947" s="6"/>
      <c r="Q947" s="6"/>
      <c r="R947" s="6"/>
      <c r="S947" s="6"/>
      <c r="T947" s="6"/>
      <c r="U947" s="6"/>
      <c r="V947" s="6"/>
      <c r="W947" s="6"/>
      <c r="X947" s="6"/>
      <c r="Y947" s="6"/>
      <c r="Z947" s="6"/>
    </row>
    <row r="948" ht="60.0" customHeight="1">
      <c r="A948" s="6"/>
      <c r="B948" s="6"/>
      <c r="C948" s="6"/>
      <c r="D948" s="6"/>
      <c r="E948" s="17"/>
      <c r="F948" s="6"/>
      <c r="G948" s="6"/>
      <c r="H948" s="6"/>
      <c r="I948" s="6"/>
      <c r="J948" s="6"/>
      <c r="K948" s="6"/>
      <c r="L948" s="6"/>
      <c r="M948" s="6"/>
      <c r="N948" s="6"/>
      <c r="O948" s="6"/>
      <c r="P948" s="6"/>
      <c r="Q948" s="6"/>
      <c r="R948" s="6"/>
      <c r="S948" s="6"/>
      <c r="T948" s="6"/>
      <c r="U948" s="6"/>
      <c r="V948" s="6"/>
      <c r="W948" s="6"/>
      <c r="X948" s="6"/>
      <c r="Y948" s="6"/>
      <c r="Z948" s="6"/>
    </row>
    <row r="949" ht="60.0" customHeight="1">
      <c r="A949" s="6"/>
      <c r="B949" s="6"/>
      <c r="C949" s="6"/>
      <c r="D949" s="6"/>
      <c r="E949" s="17"/>
      <c r="F949" s="6"/>
      <c r="G949" s="6"/>
      <c r="H949" s="6"/>
      <c r="I949" s="6"/>
      <c r="J949" s="6"/>
      <c r="K949" s="6"/>
      <c r="L949" s="6"/>
      <c r="M949" s="6"/>
      <c r="N949" s="6"/>
      <c r="O949" s="6"/>
      <c r="P949" s="6"/>
      <c r="Q949" s="6"/>
      <c r="R949" s="6"/>
      <c r="S949" s="6"/>
      <c r="T949" s="6"/>
      <c r="U949" s="6"/>
      <c r="V949" s="6"/>
      <c r="W949" s="6"/>
      <c r="X949" s="6"/>
      <c r="Y949" s="6"/>
      <c r="Z949" s="6"/>
    </row>
    <row r="950" ht="60.0" customHeight="1">
      <c r="A950" s="6"/>
      <c r="B950" s="6"/>
      <c r="C950" s="6"/>
      <c r="D950" s="6"/>
      <c r="E950" s="17"/>
      <c r="F950" s="6"/>
      <c r="G950" s="6"/>
      <c r="H950" s="6"/>
      <c r="I950" s="6"/>
      <c r="J950" s="6"/>
      <c r="K950" s="6"/>
      <c r="L950" s="6"/>
      <c r="M950" s="6"/>
      <c r="N950" s="6"/>
      <c r="O950" s="6"/>
      <c r="P950" s="6"/>
      <c r="Q950" s="6"/>
      <c r="R950" s="6"/>
      <c r="S950" s="6"/>
      <c r="T950" s="6"/>
      <c r="U950" s="6"/>
      <c r="V950" s="6"/>
      <c r="W950" s="6"/>
      <c r="X950" s="6"/>
      <c r="Y950" s="6"/>
      <c r="Z950" s="6"/>
    </row>
    <row r="951" ht="60.0" customHeight="1">
      <c r="A951" s="6"/>
      <c r="B951" s="6"/>
      <c r="C951" s="6"/>
      <c r="D951" s="6"/>
      <c r="E951" s="17"/>
      <c r="F951" s="6"/>
      <c r="G951" s="6"/>
      <c r="H951" s="6"/>
      <c r="I951" s="6"/>
      <c r="J951" s="6"/>
      <c r="K951" s="6"/>
      <c r="L951" s="6"/>
      <c r="M951" s="6"/>
      <c r="N951" s="6"/>
      <c r="O951" s="6"/>
      <c r="P951" s="6"/>
      <c r="Q951" s="6"/>
      <c r="R951" s="6"/>
      <c r="S951" s="6"/>
      <c r="T951" s="6"/>
      <c r="U951" s="6"/>
      <c r="V951" s="6"/>
      <c r="W951" s="6"/>
      <c r="X951" s="6"/>
      <c r="Y951" s="6"/>
      <c r="Z951" s="6"/>
    </row>
    <row r="952" ht="60.0" customHeight="1">
      <c r="A952" s="6"/>
      <c r="B952" s="6"/>
      <c r="C952" s="6"/>
      <c r="D952" s="6"/>
      <c r="E952" s="17"/>
      <c r="F952" s="6"/>
      <c r="G952" s="6"/>
      <c r="H952" s="6"/>
      <c r="I952" s="6"/>
      <c r="J952" s="6"/>
      <c r="K952" s="6"/>
      <c r="L952" s="6"/>
      <c r="M952" s="6"/>
      <c r="N952" s="6"/>
      <c r="O952" s="6"/>
      <c r="P952" s="6"/>
      <c r="Q952" s="6"/>
      <c r="R952" s="6"/>
      <c r="S952" s="6"/>
      <c r="T952" s="6"/>
      <c r="U952" s="6"/>
      <c r="V952" s="6"/>
      <c r="W952" s="6"/>
      <c r="X952" s="6"/>
      <c r="Y952" s="6"/>
      <c r="Z952" s="6"/>
    </row>
    <row r="953" ht="60.0" customHeight="1">
      <c r="A953" s="6"/>
      <c r="B953" s="6"/>
      <c r="C953" s="6"/>
      <c r="D953" s="6"/>
      <c r="E953" s="17"/>
      <c r="F953" s="6"/>
      <c r="G953" s="6"/>
      <c r="H953" s="6"/>
      <c r="I953" s="6"/>
      <c r="J953" s="6"/>
      <c r="K953" s="6"/>
      <c r="L953" s="6"/>
      <c r="M953" s="6"/>
      <c r="N953" s="6"/>
      <c r="O953" s="6"/>
      <c r="P953" s="6"/>
      <c r="Q953" s="6"/>
      <c r="R953" s="6"/>
      <c r="S953" s="6"/>
      <c r="T953" s="6"/>
      <c r="U953" s="6"/>
      <c r="V953" s="6"/>
      <c r="W953" s="6"/>
      <c r="X953" s="6"/>
      <c r="Y953" s="6"/>
      <c r="Z953" s="6"/>
    </row>
    <row r="954" ht="60.0" customHeight="1">
      <c r="A954" s="6"/>
      <c r="B954" s="6"/>
      <c r="C954" s="6"/>
      <c r="D954" s="6"/>
      <c r="E954" s="17"/>
      <c r="F954" s="6"/>
      <c r="G954" s="6"/>
      <c r="H954" s="6"/>
      <c r="I954" s="6"/>
      <c r="J954" s="6"/>
      <c r="K954" s="6"/>
      <c r="L954" s="6"/>
      <c r="M954" s="6"/>
      <c r="N954" s="6"/>
      <c r="O954" s="6"/>
      <c r="P954" s="6"/>
      <c r="Q954" s="6"/>
      <c r="R954" s="6"/>
      <c r="S954" s="6"/>
      <c r="T954" s="6"/>
      <c r="U954" s="6"/>
      <c r="V954" s="6"/>
      <c r="W954" s="6"/>
      <c r="X954" s="6"/>
      <c r="Y954" s="6"/>
      <c r="Z954" s="6"/>
    </row>
    <row r="955" ht="60.0" customHeight="1">
      <c r="A955" s="6"/>
      <c r="B955" s="6"/>
      <c r="C955" s="6"/>
      <c r="D955" s="6"/>
      <c r="E955" s="17"/>
      <c r="F955" s="6"/>
      <c r="G955" s="6"/>
      <c r="H955" s="6"/>
      <c r="I955" s="6"/>
      <c r="J955" s="6"/>
      <c r="K955" s="6"/>
      <c r="L955" s="6"/>
      <c r="M955" s="6"/>
      <c r="N955" s="6"/>
      <c r="O955" s="6"/>
      <c r="P955" s="6"/>
      <c r="Q955" s="6"/>
      <c r="R955" s="6"/>
      <c r="S955" s="6"/>
      <c r="T955" s="6"/>
      <c r="U955" s="6"/>
      <c r="V955" s="6"/>
      <c r="W955" s="6"/>
      <c r="X955" s="6"/>
      <c r="Y955" s="6"/>
      <c r="Z955" s="6"/>
    </row>
    <row r="956" ht="60.0" customHeight="1">
      <c r="A956" s="6"/>
      <c r="B956" s="6"/>
      <c r="C956" s="6"/>
      <c r="D956" s="6"/>
      <c r="E956" s="17"/>
      <c r="F956" s="6"/>
      <c r="G956" s="6"/>
      <c r="H956" s="6"/>
      <c r="I956" s="6"/>
      <c r="J956" s="6"/>
      <c r="K956" s="6"/>
      <c r="L956" s="6"/>
      <c r="M956" s="6"/>
      <c r="N956" s="6"/>
      <c r="O956" s="6"/>
      <c r="P956" s="6"/>
      <c r="Q956" s="6"/>
      <c r="R956" s="6"/>
      <c r="S956" s="6"/>
      <c r="T956" s="6"/>
      <c r="U956" s="6"/>
      <c r="V956" s="6"/>
      <c r="W956" s="6"/>
      <c r="X956" s="6"/>
      <c r="Y956" s="6"/>
      <c r="Z956" s="6"/>
    </row>
    <row r="957" ht="60.0" customHeight="1">
      <c r="A957" s="6"/>
      <c r="B957" s="6"/>
      <c r="C957" s="6"/>
      <c r="D957" s="6"/>
      <c r="E957" s="17"/>
      <c r="F957" s="6"/>
      <c r="G957" s="6"/>
      <c r="H957" s="6"/>
      <c r="I957" s="6"/>
      <c r="J957" s="6"/>
      <c r="K957" s="6"/>
      <c r="L957" s="6"/>
      <c r="M957" s="6"/>
      <c r="N957" s="6"/>
      <c r="O957" s="6"/>
      <c r="P957" s="6"/>
      <c r="Q957" s="6"/>
      <c r="R957" s="6"/>
      <c r="S957" s="6"/>
      <c r="T957" s="6"/>
      <c r="U957" s="6"/>
      <c r="V957" s="6"/>
      <c r="W957" s="6"/>
      <c r="X957" s="6"/>
      <c r="Y957" s="6"/>
      <c r="Z957" s="6"/>
    </row>
    <row r="958" ht="60.0" customHeight="1">
      <c r="A958" s="6"/>
      <c r="B958" s="6"/>
      <c r="C958" s="6"/>
      <c r="D958" s="6"/>
      <c r="E958" s="17"/>
      <c r="F958" s="6"/>
      <c r="G958" s="6"/>
      <c r="H958" s="6"/>
      <c r="I958" s="6"/>
      <c r="J958" s="6"/>
      <c r="K958" s="6"/>
      <c r="L958" s="6"/>
      <c r="M958" s="6"/>
      <c r="N958" s="6"/>
      <c r="O958" s="6"/>
      <c r="P958" s="6"/>
      <c r="Q958" s="6"/>
      <c r="R958" s="6"/>
      <c r="S958" s="6"/>
      <c r="T958" s="6"/>
      <c r="U958" s="6"/>
      <c r="V958" s="6"/>
      <c r="W958" s="6"/>
      <c r="X958" s="6"/>
      <c r="Y958" s="6"/>
      <c r="Z958" s="6"/>
    </row>
    <row r="959" ht="60.0" customHeight="1">
      <c r="A959" s="6"/>
      <c r="B959" s="6"/>
      <c r="C959" s="6"/>
      <c r="D959" s="6"/>
      <c r="E959" s="17"/>
      <c r="F959" s="6"/>
      <c r="G959" s="6"/>
      <c r="H959" s="6"/>
      <c r="I959" s="6"/>
      <c r="J959" s="6"/>
      <c r="K959" s="6"/>
      <c r="L959" s="6"/>
      <c r="M959" s="6"/>
      <c r="N959" s="6"/>
      <c r="O959" s="6"/>
      <c r="P959" s="6"/>
      <c r="Q959" s="6"/>
      <c r="R959" s="6"/>
      <c r="S959" s="6"/>
      <c r="T959" s="6"/>
      <c r="U959" s="6"/>
      <c r="V959" s="6"/>
      <c r="W959" s="6"/>
      <c r="X959" s="6"/>
      <c r="Y959" s="6"/>
      <c r="Z959" s="6"/>
    </row>
    <row r="960" ht="60.0" customHeight="1">
      <c r="A960" s="6"/>
      <c r="B960" s="6"/>
      <c r="C960" s="6"/>
      <c r="D960" s="6"/>
      <c r="E960" s="17"/>
      <c r="F960" s="6"/>
      <c r="G960" s="6"/>
      <c r="H960" s="6"/>
      <c r="I960" s="6"/>
      <c r="J960" s="6"/>
      <c r="K960" s="6"/>
      <c r="L960" s="6"/>
      <c r="M960" s="6"/>
      <c r="N960" s="6"/>
      <c r="O960" s="6"/>
      <c r="P960" s="6"/>
      <c r="Q960" s="6"/>
      <c r="R960" s="6"/>
      <c r="S960" s="6"/>
      <c r="T960" s="6"/>
      <c r="U960" s="6"/>
      <c r="V960" s="6"/>
      <c r="W960" s="6"/>
      <c r="X960" s="6"/>
      <c r="Y960" s="6"/>
      <c r="Z960" s="6"/>
    </row>
    <row r="961" ht="60.0" customHeight="1">
      <c r="A961" s="6"/>
      <c r="B961" s="6"/>
      <c r="C961" s="6"/>
      <c r="D961" s="6"/>
      <c r="E961" s="17"/>
      <c r="F961" s="6"/>
      <c r="G961" s="6"/>
      <c r="H961" s="6"/>
      <c r="I961" s="6"/>
      <c r="J961" s="6"/>
      <c r="K961" s="6"/>
      <c r="L961" s="6"/>
      <c r="M961" s="6"/>
      <c r="N961" s="6"/>
      <c r="O961" s="6"/>
      <c r="P961" s="6"/>
      <c r="Q961" s="6"/>
      <c r="R961" s="6"/>
      <c r="S961" s="6"/>
      <c r="T961" s="6"/>
      <c r="U961" s="6"/>
      <c r="V961" s="6"/>
      <c r="W961" s="6"/>
      <c r="X961" s="6"/>
      <c r="Y961" s="6"/>
      <c r="Z961" s="6"/>
    </row>
    <row r="962" ht="60.0" customHeight="1">
      <c r="A962" s="6"/>
      <c r="B962" s="6"/>
      <c r="C962" s="6"/>
      <c r="D962" s="6"/>
      <c r="E962" s="17"/>
      <c r="F962" s="6"/>
      <c r="G962" s="6"/>
      <c r="H962" s="6"/>
      <c r="I962" s="6"/>
      <c r="J962" s="6"/>
      <c r="K962" s="6"/>
      <c r="L962" s="6"/>
      <c r="M962" s="6"/>
      <c r="N962" s="6"/>
      <c r="O962" s="6"/>
      <c r="P962" s="6"/>
      <c r="Q962" s="6"/>
      <c r="R962" s="6"/>
      <c r="S962" s="6"/>
      <c r="T962" s="6"/>
      <c r="U962" s="6"/>
      <c r="V962" s="6"/>
      <c r="W962" s="6"/>
      <c r="X962" s="6"/>
      <c r="Y962" s="6"/>
      <c r="Z962" s="6"/>
    </row>
    <row r="963" ht="60.0" customHeight="1">
      <c r="A963" s="6"/>
      <c r="B963" s="6"/>
      <c r="C963" s="6"/>
      <c r="D963" s="6"/>
      <c r="E963" s="17"/>
      <c r="F963" s="6"/>
      <c r="G963" s="6"/>
      <c r="H963" s="6"/>
      <c r="I963" s="6"/>
      <c r="J963" s="6"/>
      <c r="K963" s="6"/>
      <c r="L963" s="6"/>
      <c r="M963" s="6"/>
      <c r="N963" s="6"/>
      <c r="O963" s="6"/>
      <c r="P963" s="6"/>
      <c r="Q963" s="6"/>
      <c r="R963" s="6"/>
      <c r="S963" s="6"/>
      <c r="T963" s="6"/>
      <c r="U963" s="6"/>
      <c r="V963" s="6"/>
      <c r="W963" s="6"/>
      <c r="X963" s="6"/>
      <c r="Y963" s="6"/>
      <c r="Z963" s="6"/>
    </row>
    <row r="964" ht="60.0" customHeight="1">
      <c r="A964" s="6"/>
      <c r="B964" s="6"/>
      <c r="C964" s="6"/>
      <c r="D964" s="6"/>
      <c r="E964" s="17"/>
      <c r="F964" s="6"/>
      <c r="G964" s="6"/>
      <c r="H964" s="6"/>
      <c r="I964" s="6"/>
      <c r="J964" s="6"/>
      <c r="K964" s="6"/>
      <c r="L964" s="6"/>
      <c r="M964" s="6"/>
      <c r="N964" s="6"/>
      <c r="O964" s="6"/>
      <c r="P964" s="6"/>
      <c r="Q964" s="6"/>
      <c r="R964" s="6"/>
      <c r="S964" s="6"/>
      <c r="T964" s="6"/>
      <c r="U964" s="6"/>
      <c r="V964" s="6"/>
      <c r="W964" s="6"/>
      <c r="X964" s="6"/>
      <c r="Y964" s="6"/>
      <c r="Z964" s="6"/>
    </row>
    <row r="965" ht="60.0" customHeight="1">
      <c r="A965" s="6"/>
      <c r="B965" s="6"/>
      <c r="C965" s="6"/>
      <c r="D965" s="6"/>
      <c r="E965" s="17"/>
      <c r="F965" s="6"/>
      <c r="G965" s="6"/>
      <c r="H965" s="6"/>
      <c r="I965" s="6"/>
      <c r="J965" s="6"/>
      <c r="K965" s="6"/>
      <c r="L965" s="6"/>
      <c r="M965" s="6"/>
      <c r="N965" s="6"/>
      <c r="O965" s="6"/>
      <c r="P965" s="6"/>
      <c r="Q965" s="6"/>
      <c r="R965" s="6"/>
      <c r="S965" s="6"/>
      <c r="T965" s="6"/>
      <c r="U965" s="6"/>
      <c r="V965" s="6"/>
      <c r="W965" s="6"/>
      <c r="X965" s="6"/>
      <c r="Y965" s="6"/>
      <c r="Z965" s="6"/>
    </row>
    <row r="966" ht="60.0" customHeight="1">
      <c r="A966" s="6"/>
      <c r="B966" s="6"/>
      <c r="C966" s="6"/>
      <c r="D966" s="6"/>
      <c r="E966" s="17"/>
      <c r="F966" s="6"/>
      <c r="G966" s="6"/>
      <c r="H966" s="6"/>
      <c r="I966" s="6"/>
      <c r="J966" s="6"/>
      <c r="K966" s="6"/>
      <c r="L966" s="6"/>
      <c r="M966" s="6"/>
      <c r="N966" s="6"/>
      <c r="O966" s="6"/>
      <c r="P966" s="6"/>
      <c r="Q966" s="6"/>
      <c r="R966" s="6"/>
      <c r="S966" s="6"/>
      <c r="T966" s="6"/>
      <c r="U966" s="6"/>
      <c r="V966" s="6"/>
      <c r="W966" s="6"/>
      <c r="X966" s="6"/>
      <c r="Y966" s="6"/>
      <c r="Z966" s="6"/>
    </row>
    <row r="967" ht="60.0" customHeight="1">
      <c r="A967" s="6"/>
      <c r="B967" s="6"/>
      <c r="C967" s="6"/>
      <c r="D967" s="6"/>
      <c r="E967" s="17"/>
      <c r="F967" s="6"/>
      <c r="G967" s="6"/>
      <c r="H967" s="6"/>
      <c r="I967" s="6"/>
      <c r="J967" s="6"/>
      <c r="K967" s="6"/>
      <c r="L967" s="6"/>
      <c r="M967" s="6"/>
      <c r="N967" s="6"/>
      <c r="O967" s="6"/>
      <c r="P967" s="6"/>
      <c r="Q967" s="6"/>
      <c r="R967" s="6"/>
      <c r="S967" s="6"/>
      <c r="T967" s="6"/>
      <c r="U967" s="6"/>
      <c r="V967" s="6"/>
      <c r="W967" s="6"/>
      <c r="X967" s="6"/>
      <c r="Y967" s="6"/>
      <c r="Z967" s="6"/>
    </row>
    <row r="968" ht="60.0" customHeight="1">
      <c r="A968" s="6"/>
      <c r="B968" s="6"/>
      <c r="C968" s="6"/>
      <c r="D968" s="6"/>
      <c r="E968" s="17"/>
      <c r="F968" s="6"/>
      <c r="G968" s="6"/>
      <c r="H968" s="6"/>
      <c r="I968" s="6"/>
      <c r="J968" s="6"/>
      <c r="K968" s="6"/>
      <c r="L968" s="6"/>
      <c r="M968" s="6"/>
      <c r="N968" s="6"/>
      <c r="O968" s="6"/>
      <c r="P968" s="6"/>
      <c r="Q968" s="6"/>
      <c r="R968" s="6"/>
      <c r="S968" s="6"/>
      <c r="T968" s="6"/>
      <c r="U968" s="6"/>
      <c r="V968" s="6"/>
      <c r="W968" s="6"/>
      <c r="X968" s="6"/>
      <c r="Y968" s="6"/>
      <c r="Z968" s="6"/>
    </row>
    <row r="969" ht="60.0" customHeight="1">
      <c r="A969" s="6"/>
      <c r="B969" s="6"/>
      <c r="C969" s="6"/>
      <c r="D969" s="6"/>
      <c r="E969" s="17"/>
      <c r="F969" s="6"/>
      <c r="G969" s="6"/>
      <c r="H969" s="6"/>
      <c r="I969" s="6"/>
      <c r="J969" s="6"/>
      <c r="K969" s="6"/>
      <c r="L969" s="6"/>
      <c r="M969" s="6"/>
      <c r="N969" s="6"/>
      <c r="O969" s="6"/>
      <c r="P969" s="6"/>
      <c r="Q969" s="6"/>
      <c r="R969" s="6"/>
      <c r="S969" s="6"/>
      <c r="T969" s="6"/>
      <c r="U969" s="6"/>
      <c r="V969" s="6"/>
      <c r="W969" s="6"/>
      <c r="X969" s="6"/>
      <c r="Y969" s="6"/>
      <c r="Z969" s="6"/>
    </row>
    <row r="970" ht="60.0" customHeight="1">
      <c r="A970" s="6"/>
      <c r="B970" s="6"/>
      <c r="C970" s="6"/>
      <c r="D970" s="6"/>
      <c r="E970" s="17"/>
      <c r="F970" s="6"/>
      <c r="G970" s="6"/>
      <c r="H970" s="6"/>
      <c r="I970" s="6"/>
      <c r="J970" s="6"/>
      <c r="K970" s="6"/>
      <c r="L970" s="6"/>
      <c r="M970" s="6"/>
      <c r="N970" s="6"/>
      <c r="O970" s="6"/>
      <c r="P970" s="6"/>
      <c r="Q970" s="6"/>
      <c r="R970" s="6"/>
      <c r="S970" s="6"/>
      <c r="T970" s="6"/>
      <c r="U970" s="6"/>
      <c r="V970" s="6"/>
      <c r="W970" s="6"/>
      <c r="X970" s="6"/>
      <c r="Y970" s="6"/>
      <c r="Z970" s="6"/>
    </row>
    <row r="971" ht="60.0" customHeight="1">
      <c r="A971" s="6"/>
      <c r="B971" s="6"/>
      <c r="C971" s="6"/>
      <c r="D971" s="6"/>
      <c r="E971" s="17"/>
      <c r="F971" s="6"/>
      <c r="G971" s="6"/>
      <c r="H971" s="6"/>
      <c r="I971" s="6"/>
      <c r="J971" s="6"/>
      <c r="K971" s="6"/>
      <c r="L971" s="6"/>
      <c r="M971" s="6"/>
      <c r="N971" s="6"/>
      <c r="O971" s="6"/>
      <c r="P971" s="6"/>
      <c r="Q971" s="6"/>
      <c r="R971" s="6"/>
      <c r="S971" s="6"/>
      <c r="T971" s="6"/>
      <c r="U971" s="6"/>
      <c r="V971" s="6"/>
      <c r="W971" s="6"/>
      <c r="X971" s="6"/>
      <c r="Y971" s="6"/>
      <c r="Z971" s="6"/>
    </row>
    <row r="972" ht="60.0" customHeight="1">
      <c r="A972" s="6"/>
      <c r="B972" s="6"/>
      <c r="C972" s="6"/>
      <c r="D972" s="6"/>
      <c r="E972" s="17"/>
      <c r="F972" s="6"/>
      <c r="G972" s="6"/>
      <c r="H972" s="6"/>
      <c r="I972" s="6"/>
      <c r="J972" s="6"/>
      <c r="K972" s="6"/>
      <c r="L972" s="6"/>
      <c r="M972" s="6"/>
      <c r="N972" s="6"/>
      <c r="O972" s="6"/>
      <c r="P972" s="6"/>
      <c r="Q972" s="6"/>
      <c r="R972" s="6"/>
      <c r="S972" s="6"/>
      <c r="T972" s="6"/>
      <c r="U972" s="6"/>
      <c r="V972" s="6"/>
      <c r="W972" s="6"/>
      <c r="X972" s="6"/>
      <c r="Y972" s="6"/>
      <c r="Z972" s="6"/>
    </row>
    <row r="973" ht="60.0" customHeight="1">
      <c r="A973" s="6"/>
      <c r="B973" s="6"/>
      <c r="C973" s="6"/>
      <c r="D973" s="6"/>
      <c r="E973" s="17"/>
      <c r="F973" s="6"/>
      <c r="G973" s="6"/>
      <c r="H973" s="6"/>
      <c r="I973" s="6"/>
      <c r="J973" s="6"/>
      <c r="K973" s="6"/>
      <c r="L973" s="6"/>
      <c r="M973" s="6"/>
      <c r="N973" s="6"/>
      <c r="O973" s="6"/>
      <c r="P973" s="6"/>
      <c r="Q973" s="6"/>
      <c r="R973" s="6"/>
      <c r="S973" s="6"/>
      <c r="T973" s="6"/>
      <c r="U973" s="6"/>
      <c r="V973" s="6"/>
      <c r="W973" s="6"/>
      <c r="X973" s="6"/>
      <c r="Y973" s="6"/>
      <c r="Z973" s="6"/>
    </row>
    <row r="974" ht="60.0" customHeight="1">
      <c r="A974" s="6"/>
      <c r="B974" s="6"/>
      <c r="C974" s="6"/>
      <c r="D974" s="6"/>
      <c r="E974" s="17"/>
      <c r="F974" s="6"/>
      <c r="G974" s="6"/>
      <c r="H974" s="6"/>
      <c r="I974" s="6"/>
      <c r="J974" s="6"/>
      <c r="K974" s="6"/>
      <c r="L974" s="6"/>
      <c r="M974" s="6"/>
      <c r="N974" s="6"/>
      <c r="O974" s="6"/>
      <c r="P974" s="6"/>
      <c r="Q974" s="6"/>
      <c r="R974" s="6"/>
      <c r="S974" s="6"/>
      <c r="T974" s="6"/>
      <c r="U974" s="6"/>
      <c r="V974" s="6"/>
      <c r="W974" s="6"/>
      <c r="X974" s="6"/>
      <c r="Y974" s="6"/>
      <c r="Z974" s="6"/>
    </row>
    <row r="975" ht="60.0" customHeight="1">
      <c r="A975" s="6"/>
      <c r="B975" s="6"/>
      <c r="C975" s="6"/>
      <c r="D975" s="6"/>
      <c r="E975" s="17"/>
      <c r="F975" s="6"/>
      <c r="G975" s="6"/>
      <c r="H975" s="6"/>
      <c r="I975" s="6"/>
      <c r="J975" s="6"/>
      <c r="K975" s="6"/>
      <c r="L975" s="6"/>
      <c r="M975" s="6"/>
      <c r="N975" s="6"/>
      <c r="O975" s="6"/>
      <c r="P975" s="6"/>
      <c r="Q975" s="6"/>
      <c r="R975" s="6"/>
      <c r="S975" s="6"/>
      <c r="T975" s="6"/>
      <c r="U975" s="6"/>
      <c r="V975" s="6"/>
      <c r="W975" s="6"/>
      <c r="X975" s="6"/>
      <c r="Y975" s="6"/>
      <c r="Z975" s="6"/>
    </row>
    <row r="976" ht="60.0" customHeight="1">
      <c r="A976" s="6"/>
      <c r="B976" s="6"/>
      <c r="C976" s="6"/>
      <c r="D976" s="6"/>
      <c r="E976" s="17"/>
      <c r="F976" s="6"/>
      <c r="G976" s="6"/>
      <c r="H976" s="6"/>
      <c r="I976" s="6"/>
      <c r="J976" s="6"/>
      <c r="K976" s="6"/>
      <c r="L976" s="6"/>
      <c r="M976" s="6"/>
      <c r="N976" s="6"/>
      <c r="O976" s="6"/>
      <c r="P976" s="6"/>
      <c r="Q976" s="6"/>
      <c r="R976" s="6"/>
      <c r="S976" s="6"/>
      <c r="T976" s="6"/>
      <c r="U976" s="6"/>
      <c r="V976" s="6"/>
      <c r="W976" s="6"/>
      <c r="X976" s="6"/>
      <c r="Y976" s="6"/>
      <c r="Z976" s="6"/>
    </row>
    <row r="977" ht="60.0" customHeight="1">
      <c r="A977" s="6"/>
      <c r="B977" s="6"/>
      <c r="C977" s="6"/>
      <c r="D977" s="6"/>
      <c r="E977" s="17"/>
      <c r="F977" s="6"/>
      <c r="G977" s="6"/>
      <c r="H977" s="6"/>
      <c r="I977" s="6"/>
      <c r="J977" s="6"/>
      <c r="K977" s="6"/>
      <c r="L977" s="6"/>
      <c r="M977" s="6"/>
      <c r="N977" s="6"/>
      <c r="O977" s="6"/>
      <c r="P977" s="6"/>
      <c r="Q977" s="6"/>
      <c r="R977" s="6"/>
      <c r="S977" s="6"/>
      <c r="T977" s="6"/>
      <c r="U977" s="6"/>
      <c r="V977" s="6"/>
      <c r="W977" s="6"/>
      <c r="X977" s="6"/>
      <c r="Y977" s="6"/>
      <c r="Z977" s="6"/>
    </row>
    <row r="978" ht="60.0" customHeight="1">
      <c r="A978" s="6"/>
      <c r="B978" s="6"/>
      <c r="C978" s="6"/>
      <c r="D978" s="6"/>
      <c r="E978" s="17"/>
      <c r="F978" s="6"/>
      <c r="G978" s="6"/>
      <c r="H978" s="6"/>
      <c r="I978" s="6"/>
      <c r="J978" s="6"/>
      <c r="K978" s="6"/>
      <c r="L978" s="6"/>
      <c r="M978" s="6"/>
      <c r="N978" s="6"/>
      <c r="O978" s="6"/>
      <c r="P978" s="6"/>
      <c r="Q978" s="6"/>
      <c r="R978" s="6"/>
      <c r="S978" s="6"/>
      <c r="T978" s="6"/>
      <c r="U978" s="6"/>
      <c r="V978" s="6"/>
      <c r="W978" s="6"/>
      <c r="X978" s="6"/>
      <c r="Y978" s="6"/>
      <c r="Z978" s="6"/>
    </row>
    <row r="979" ht="60.0" customHeight="1">
      <c r="A979" s="6"/>
      <c r="B979" s="6"/>
      <c r="C979" s="6"/>
      <c r="D979" s="6"/>
      <c r="E979" s="17"/>
      <c r="F979" s="6"/>
      <c r="G979" s="6"/>
      <c r="H979" s="6"/>
      <c r="I979" s="6"/>
      <c r="J979" s="6"/>
      <c r="K979" s="6"/>
      <c r="L979" s="6"/>
      <c r="M979" s="6"/>
      <c r="N979" s="6"/>
      <c r="O979" s="6"/>
      <c r="P979" s="6"/>
      <c r="Q979" s="6"/>
      <c r="R979" s="6"/>
      <c r="S979" s="6"/>
      <c r="T979" s="6"/>
      <c r="U979" s="6"/>
      <c r="V979" s="6"/>
      <c r="W979" s="6"/>
      <c r="X979" s="6"/>
      <c r="Y979" s="6"/>
      <c r="Z979" s="6"/>
    </row>
    <row r="980" ht="60.0" customHeight="1">
      <c r="A980" s="6"/>
      <c r="B980" s="6"/>
      <c r="C980" s="6"/>
      <c r="D980" s="6"/>
      <c r="E980" s="17"/>
      <c r="F980" s="6"/>
      <c r="G980" s="6"/>
      <c r="H980" s="6"/>
      <c r="I980" s="6"/>
      <c r="J980" s="6"/>
      <c r="K980" s="6"/>
      <c r="L980" s="6"/>
      <c r="M980" s="6"/>
      <c r="N980" s="6"/>
      <c r="O980" s="6"/>
      <c r="P980" s="6"/>
      <c r="Q980" s="6"/>
      <c r="R980" s="6"/>
      <c r="S980" s="6"/>
      <c r="T980" s="6"/>
      <c r="U980" s="6"/>
      <c r="V980" s="6"/>
      <c r="W980" s="6"/>
      <c r="X980" s="6"/>
      <c r="Y980" s="6"/>
      <c r="Z980" s="6"/>
    </row>
    <row r="981" ht="60.0" customHeight="1">
      <c r="A981" s="6"/>
      <c r="B981" s="6"/>
      <c r="C981" s="6"/>
      <c r="D981" s="6"/>
      <c r="E981" s="17"/>
      <c r="F981" s="6"/>
      <c r="G981" s="6"/>
      <c r="H981" s="6"/>
      <c r="I981" s="6"/>
      <c r="J981" s="6"/>
      <c r="K981" s="6"/>
      <c r="L981" s="6"/>
      <c r="M981" s="6"/>
      <c r="N981" s="6"/>
      <c r="O981" s="6"/>
      <c r="P981" s="6"/>
      <c r="Q981" s="6"/>
      <c r="R981" s="6"/>
      <c r="S981" s="6"/>
      <c r="T981" s="6"/>
      <c r="U981" s="6"/>
      <c r="V981" s="6"/>
      <c r="W981" s="6"/>
      <c r="X981" s="6"/>
      <c r="Y981" s="6"/>
      <c r="Z981" s="6"/>
    </row>
    <row r="982" ht="60.0" customHeight="1">
      <c r="A982" s="6"/>
      <c r="B982" s="6"/>
      <c r="C982" s="6"/>
      <c r="D982" s="6"/>
      <c r="E982" s="17"/>
      <c r="F982" s="6"/>
      <c r="G982" s="6"/>
      <c r="H982" s="6"/>
      <c r="I982" s="6"/>
      <c r="J982" s="6"/>
      <c r="K982" s="6"/>
      <c r="L982" s="6"/>
      <c r="M982" s="6"/>
      <c r="N982" s="6"/>
      <c r="O982" s="6"/>
      <c r="P982" s="6"/>
      <c r="Q982" s="6"/>
      <c r="R982" s="6"/>
      <c r="S982" s="6"/>
      <c r="T982" s="6"/>
      <c r="U982" s="6"/>
      <c r="V982" s="6"/>
      <c r="W982" s="6"/>
      <c r="X982" s="6"/>
      <c r="Y982" s="6"/>
      <c r="Z982" s="6"/>
    </row>
    <row r="983" ht="60.0" customHeight="1">
      <c r="A983" s="6"/>
      <c r="B983" s="6"/>
      <c r="C983" s="6"/>
      <c r="D983" s="6"/>
      <c r="E983" s="17"/>
      <c r="F983" s="6"/>
      <c r="G983" s="6"/>
      <c r="H983" s="6"/>
      <c r="I983" s="6"/>
      <c r="J983" s="6"/>
      <c r="K983" s="6"/>
      <c r="L983" s="6"/>
      <c r="M983" s="6"/>
      <c r="N983" s="6"/>
      <c r="O983" s="6"/>
      <c r="P983" s="6"/>
      <c r="Q983" s="6"/>
      <c r="R983" s="6"/>
      <c r="S983" s="6"/>
      <c r="T983" s="6"/>
      <c r="U983" s="6"/>
      <c r="V983" s="6"/>
      <c r="W983" s="6"/>
      <c r="X983" s="6"/>
      <c r="Y983" s="6"/>
      <c r="Z983" s="6"/>
    </row>
    <row r="984" ht="60.0" customHeight="1">
      <c r="A984" s="6"/>
      <c r="B984" s="6"/>
      <c r="C984" s="6"/>
      <c r="D984" s="6"/>
      <c r="E984" s="17"/>
      <c r="F984" s="6"/>
      <c r="G984" s="6"/>
      <c r="H984" s="6"/>
      <c r="I984" s="6"/>
      <c r="J984" s="6"/>
      <c r="K984" s="6"/>
      <c r="L984" s="6"/>
      <c r="M984" s="6"/>
      <c r="N984" s="6"/>
      <c r="O984" s="6"/>
      <c r="P984" s="6"/>
      <c r="Q984" s="6"/>
      <c r="R984" s="6"/>
      <c r="S984" s="6"/>
      <c r="T984" s="6"/>
      <c r="U984" s="6"/>
      <c r="V984" s="6"/>
      <c r="W984" s="6"/>
      <c r="X984" s="6"/>
      <c r="Y984" s="6"/>
      <c r="Z984" s="6"/>
    </row>
    <row r="985" ht="60.0" customHeight="1">
      <c r="A985" s="6"/>
      <c r="B985" s="6"/>
      <c r="C985" s="6"/>
      <c r="D985" s="6"/>
      <c r="E985" s="17"/>
      <c r="F985" s="6"/>
      <c r="G985" s="6"/>
      <c r="H985" s="6"/>
      <c r="I985" s="6"/>
      <c r="J985" s="6"/>
      <c r="K985" s="6"/>
      <c r="L985" s="6"/>
      <c r="M985" s="6"/>
      <c r="N985" s="6"/>
      <c r="O985" s="6"/>
      <c r="P985" s="6"/>
      <c r="Q985" s="6"/>
      <c r="R985" s="6"/>
      <c r="S985" s="6"/>
      <c r="T985" s="6"/>
      <c r="U985" s="6"/>
      <c r="V985" s="6"/>
      <c r="W985" s="6"/>
      <c r="X985" s="6"/>
      <c r="Y985" s="6"/>
      <c r="Z985" s="6"/>
    </row>
    <row r="986" ht="60.0" customHeight="1">
      <c r="A986" s="6"/>
      <c r="B986" s="6"/>
      <c r="C986" s="6"/>
      <c r="D986" s="6"/>
      <c r="E986" s="17"/>
      <c r="F986" s="6"/>
      <c r="G986" s="6"/>
      <c r="H986" s="6"/>
      <c r="I986" s="6"/>
      <c r="J986" s="6"/>
      <c r="K986" s="6"/>
      <c r="L986" s="6"/>
      <c r="M986" s="6"/>
      <c r="N986" s="6"/>
      <c r="O986" s="6"/>
      <c r="P986" s="6"/>
      <c r="Q986" s="6"/>
      <c r="R986" s="6"/>
      <c r="S986" s="6"/>
      <c r="T986" s="6"/>
      <c r="U986" s="6"/>
      <c r="V986" s="6"/>
      <c r="W986" s="6"/>
      <c r="X986" s="6"/>
      <c r="Y986" s="6"/>
      <c r="Z986" s="6"/>
    </row>
    <row r="987" ht="60.0" customHeight="1">
      <c r="A987" s="6"/>
      <c r="B987" s="6"/>
      <c r="C987" s="6"/>
      <c r="D987" s="6"/>
      <c r="E987" s="17"/>
      <c r="F987" s="6"/>
      <c r="G987" s="6"/>
      <c r="H987" s="6"/>
      <c r="I987" s="6"/>
      <c r="J987" s="6"/>
      <c r="K987" s="6"/>
      <c r="L987" s="6"/>
      <c r="M987" s="6"/>
      <c r="N987" s="6"/>
      <c r="O987" s="6"/>
      <c r="P987" s="6"/>
      <c r="Q987" s="6"/>
      <c r="R987" s="6"/>
      <c r="S987" s="6"/>
      <c r="T987" s="6"/>
      <c r="U987" s="6"/>
      <c r="V987" s="6"/>
      <c r="W987" s="6"/>
      <c r="X987" s="6"/>
      <c r="Y987" s="6"/>
      <c r="Z987" s="6"/>
    </row>
    <row r="988" ht="60.0" customHeight="1">
      <c r="A988" s="6"/>
      <c r="B988" s="6"/>
      <c r="C988" s="6"/>
      <c r="D988" s="6"/>
      <c r="E988" s="17"/>
      <c r="F988" s="6"/>
      <c r="G988" s="6"/>
      <c r="H988" s="6"/>
      <c r="I988" s="6"/>
      <c r="J988" s="6"/>
      <c r="K988" s="6"/>
      <c r="L988" s="6"/>
      <c r="M988" s="6"/>
      <c r="N988" s="6"/>
      <c r="O988" s="6"/>
      <c r="P988" s="6"/>
      <c r="Q988" s="6"/>
      <c r="R988" s="6"/>
      <c r="S988" s="6"/>
      <c r="T988" s="6"/>
      <c r="U988" s="6"/>
      <c r="V988" s="6"/>
      <c r="W988" s="6"/>
      <c r="X988" s="6"/>
      <c r="Y988" s="6"/>
      <c r="Z988" s="6"/>
    </row>
    <row r="989" ht="60.0" customHeight="1">
      <c r="A989" s="6"/>
      <c r="B989" s="6"/>
      <c r="C989" s="6"/>
      <c r="D989" s="6"/>
      <c r="E989" s="17"/>
      <c r="F989" s="6"/>
      <c r="G989" s="6"/>
      <c r="H989" s="6"/>
      <c r="I989" s="6"/>
      <c r="J989" s="6"/>
      <c r="K989" s="6"/>
      <c r="L989" s="6"/>
      <c r="M989" s="6"/>
      <c r="N989" s="6"/>
      <c r="O989" s="6"/>
      <c r="P989" s="6"/>
      <c r="Q989" s="6"/>
      <c r="R989" s="6"/>
      <c r="S989" s="6"/>
      <c r="T989" s="6"/>
      <c r="U989" s="6"/>
      <c r="V989" s="6"/>
      <c r="W989" s="6"/>
      <c r="X989" s="6"/>
      <c r="Y989" s="6"/>
      <c r="Z989" s="6"/>
    </row>
    <row r="990" ht="60.0" customHeight="1">
      <c r="A990" s="6"/>
      <c r="B990" s="6"/>
      <c r="C990" s="6"/>
      <c r="D990" s="6"/>
      <c r="E990" s="17"/>
      <c r="F990" s="6"/>
      <c r="G990" s="6"/>
      <c r="H990" s="6"/>
      <c r="I990" s="6"/>
      <c r="J990" s="6"/>
      <c r="K990" s="6"/>
      <c r="L990" s="6"/>
      <c r="M990" s="6"/>
      <c r="N990" s="6"/>
      <c r="O990" s="6"/>
      <c r="P990" s="6"/>
      <c r="Q990" s="6"/>
      <c r="R990" s="6"/>
      <c r="S990" s="6"/>
      <c r="T990" s="6"/>
      <c r="U990" s="6"/>
      <c r="V990" s="6"/>
      <c r="W990" s="6"/>
      <c r="X990" s="6"/>
      <c r="Y990" s="6"/>
      <c r="Z990" s="6"/>
    </row>
    <row r="991" ht="60.0" customHeight="1">
      <c r="A991" s="6"/>
      <c r="B991" s="6"/>
      <c r="C991" s="6"/>
      <c r="D991" s="6"/>
      <c r="E991" s="17"/>
      <c r="F991" s="6"/>
      <c r="G991" s="6"/>
      <c r="H991" s="6"/>
      <c r="I991" s="6"/>
      <c r="J991" s="6"/>
      <c r="K991" s="6"/>
      <c r="L991" s="6"/>
      <c r="M991" s="6"/>
      <c r="N991" s="6"/>
      <c r="O991" s="6"/>
      <c r="P991" s="6"/>
      <c r="Q991" s="6"/>
      <c r="R991" s="6"/>
      <c r="S991" s="6"/>
      <c r="T991" s="6"/>
      <c r="U991" s="6"/>
      <c r="V991" s="6"/>
      <c r="W991" s="6"/>
      <c r="X991" s="6"/>
      <c r="Y991" s="6"/>
      <c r="Z991" s="6"/>
    </row>
    <row r="992" ht="60.0" customHeight="1">
      <c r="A992" s="6"/>
      <c r="B992" s="6"/>
      <c r="C992" s="6"/>
      <c r="D992" s="6"/>
      <c r="E992" s="17"/>
      <c r="F992" s="6"/>
      <c r="G992" s="6"/>
      <c r="H992" s="6"/>
      <c r="I992" s="6"/>
      <c r="J992" s="6"/>
      <c r="K992" s="6"/>
      <c r="L992" s="6"/>
      <c r="M992" s="6"/>
      <c r="N992" s="6"/>
      <c r="O992" s="6"/>
      <c r="P992" s="6"/>
      <c r="Q992" s="6"/>
      <c r="R992" s="6"/>
      <c r="S992" s="6"/>
      <c r="T992" s="6"/>
      <c r="U992" s="6"/>
      <c r="V992" s="6"/>
      <c r="W992" s="6"/>
      <c r="X992" s="6"/>
      <c r="Y992" s="6"/>
      <c r="Z992" s="6"/>
    </row>
    <row r="993" ht="60.0" customHeight="1">
      <c r="A993" s="6"/>
      <c r="B993" s="6"/>
      <c r="C993" s="6"/>
      <c r="D993" s="6"/>
      <c r="E993" s="17"/>
      <c r="F993" s="6"/>
      <c r="G993" s="6"/>
      <c r="H993" s="6"/>
      <c r="I993" s="6"/>
      <c r="J993" s="6"/>
      <c r="K993" s="6"/>
      <c r="L993" s="6"/>
      <c r="M993" s="6"/>
      <c r="N993" s="6"/>
      <c r="O993" s="6"/>
      <c r="P993" s="6"/>
      <c r="Q993" s="6"/>
      <c r="R993" s="6"/>
      <c r="S993" s="6"/>
      <c r="T993" s="6"/>
      <c r="U993" s="6"/>
      <c r="V993" s="6"/>
      <c r="W993" s="6"/>
      <c r="X993" s="6"/>
      <c r="Y993" s="6"/>
      <c r="Z993" s="6"/>
    </row>
    <row r="994" ht="60.0" customHeight="1">
      <c r="A994" s="6"/>
      <c r="B994" s="6"/>
      <c r="C994" s="6"/>
      <c r="D994" s="6"/>
      <c r="E994" s="17"/>
      <c r="F994" s="6"/>
      <c r="G994" s="6"/>
      <c r="H994" s="6"/>
      <c r="I994" s="6"/>
      <c r="J994" s="6"/>
      <c r="K994" s="6"/>
      <c r="L994" s="6"/>
      <c r="M994" s="6"/>
      <c r="N994" s="6"/>
      <c r="O994" s="6"/>
      <c r="P994" s="6"/>
      <c r="Q994" s="6"/>
      <c r="R994" s="6"/>
      <c r="S994" s="6"/>
      <c r="T994" s="6"/>
      <c r="U994" s="6"/>
      <c r="V994" s="6"/>
      <c r="W994" s="6"/>
      <c r="X994" s="6"/>
      <c r="Y994" s="6"/>
      <c r="Z994" s="6"/>
    </row>
    <row r="995" ht="60.0" customHeight="1">
      <c r="A995" s="6"/>
      <c r="B995" s="6"/>
      <c r="C995" s="6"/>
      <c r="D995" s="6"/>
      <c r="E995" s="17"/>
      <c r="F995" s="6"/>
      <c r="G995" s="6"/>
      <c r="H995" s="6"/>
      <c r="I995" s="6"/>
      <c r="J995" s="6"/>
      <c r="K995" s="6"/>
      <c r="L995" s="6"/>
      <c r="M995" s="6"/>
      <c r="N995" s="6"/>
      <c r="O995" s="6"/>
      <c r="P995" s="6"/>
      <c r="Q995" s="6"/>
      <c r="R995" s="6"/>
      <c r="S995" s="6"/>
      <c r="T995" s="6"/>
      <c r="U995" s="6"/>
      <c r="V995" s="6"/>
      <c r="W995" s="6"/>
      <c r="X995" s="6"/>
      <c r="Y995" s="6"/>
      <c r="Z995" s="6"/>
    </row>
    <row r="996" ht="60.0" customHeight="1">
      <c r="A996" s="6"/>
      <c r="B996" s="6"/>
      <c r="C996" s="6"/>
      <c r="D996" s="6"/>
      <c r="E996" s="17"/>
      <c r="F996" s="6"/>
      <c r="G996" s="6"/>
      <c r="H996" s="6"/>
      <c r="I996" s="6"/>
      <c r="J996" s="6"/>
      <c r="K996" s="6"/>
      <c r="L996" s="6"/>
      <c r="M996" s="6"/>
      <c r="N996" s="6"/>
      <c r="O996" s="6"/>
      <c r="P996" s="6"/>
      <c r="Q996" s="6"/>
      <c r="R996" s="6"/>
      <c r="S996" s="6"/>
      <c r="T996" s="6"/>
      <c r="U996" s="6"/>
      <c r="V996" s="6"/>
      <c r="W996" s="6"/>
      <c r="X996" s="6"/>
      <c r="Y996" s="6"/>
      <c r="Z996" s="6"/>
    </row>
    <row r="997" ht="60.0" customHeight="1">
      <c r="A997" s="6"/>
      <c r="B997" s="6"/>
      <c r="C997" s="6"/>
      <c r="D997" s="6"/>
      <c r="E997" s="17"/>
      <c r="F997" s="6"/>
      <c r="G997" s="6"/>
      <c r="H997" s="6"/>
      <c r="I997" s="6"/>
      <c r="J997" s="6"/>
      <c r="K997" s="6"/>
      <c r="L997" s="6"/>
      <c r="M997" s="6"/>
      <c r="N997" s="6"/>
      <c r="O997" s="6"/>
      <c r="P997" s="6"/>
      <c r="Q997" s="6"/>
      <c r="R997" s="6"/>
      <c r="S997" s="6"/>
      <c r="T997" s="6"/>
      <c r="U997" s="6"/>
      <c r="V997" s="6"/>
      <c r="W997" s="6"/>
      <c r="X997" s="6"/>
      <c r="Y997" s="6"/>
      <c r="Z997" s="6"/>
    </row>
    <row r="998" ht="60.0" customHeight="1">
      <c r="A998" s="6"/>
      <c r="B998" s="6"/>
      <c r="C998" s="6"/>
      <c r="D998" s="6"/>
      <c r="E998" s="17"/>
      <c r="F998" s="6"/>
      <c r="G998" s="6"/>
      <c r="H998" s="6"/>
      <c r="I998" s="6"/>
      <c r="J998" s="6"/>
      <c r="K998" s="6"/>
      <c r="L998" s="6"/>
      <c r="M998" s="6"/>
      <c r="N998" s="6"/>
      <c r="O998" s="6"/>
      <c r="P998" s="6"/>
      <c r="Q998" s="6"/>
      <c r="R998" s="6"/>
      <c r="S998" s="6"/>
      <c r="T998" s="6"/>
      <c r="U998" s="6"/>
      <c r="V998" s="6"/>
      <c r="W998" s="6"/>
      <c r="X998" s="6"/>
      <c r="Y998" s="6"/>
      <c r="Z998" s="6"/>
    </row>
    <row r="999" ht="60.0" customHeight="1">
      <c r="A999" s="6"/>
      <c r="B999" s="6"/>
      <c r="C999" s="6"/>
      <c r="D999" s="6"/>
      <c r="E999" s="17"/>
      <c r="F999" s="6"/>
      <c r="G999" s="6"/>
      <c r="H999" s="6"/>
      <c r="I999" s="6"/>
      <c r="J999" s="6"/>
      <c r="K999" s="6"/>
      <c r="L999" s="6"/>
      <c r="M999" s="6"/>
      <c r="N999" s="6"/>
      <c r="O999" s="6"/>
      <c r="P999" s="6"/>
      <c r="Q999" s="6"/>
      <c r="R999" s="6"/>
      <c r="S999" s="6"/>
      <c r="T999" s="6"/>
      <c r="U999" s="6"/>
      <c r="V999" s="6"/>
      <c r="W999" s="6"/>
      <c r="X999" s="6"/>
      <c r="Y999" s="6"/>
      <c r="Z999" s="6"/>
    </row>
    <row r="1000" ht="60.0" customHeight="1">
      <c r="A1000" s="6"/>
      <c r="B1000" s="6"/>
      <c r="C1000" s="6"/>
      <c r="D1000" s="6"/>
      <c r="E1000" s="17"/>
      <c r="F1000" s="6"/>
      <c r="G1000" s="6"/>
      <c r="H1000" s="6"/>
      <c r="I1000" s="6"/>
      <c r="J1000" s="6"/>
      <c r="K1000" s="6"/>
      <c r="L1000" s="6"/>
      <c r="M1000" s="6"/>
      <c r="N1000" s="6"/>
      <c r="O1000" s="6"/>
      <c r="P1000" s="6"/>
      <c r="Q1000" s="6"/>
      <c r="R1000" s="6"/>
      <c r="S1000" s="6"/>
      <c r="T1000" s="6"/>
      <c r="U1000" s="6"/>
      <c r="V1000" s="6"/>
      <c r="W1000" s="6"/>
      <c r="X1000" s="6"/>
      <c r="Y1000" s="6"/>
      <c r="Z1000" s="6"/>
    </row>
  </sheetData>
  <autoFilter ref="$B$5:$G$10"/>
  <mergeCells count="3">
    <mergeCell ref="B1:H1"/>
    <mergeCell ref="B3:H3"/>
    <mergeCell ref="B4:H4"/>
  </mergeCells>
  <printOptions/>
  <pageMargins bottom="1.0" footer="0.0" header="0.0" left="0.75" right="0.75" top="1.0"/>
  <pageSetup fitToHeight="0"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7BC62"/>
    <pageSetUpPr fitToPage="1"/>
  </sheetPr>
  <sheetViews>
    <sheetView showGridLines="0" workbookViewId="0"/>
  </sheetViews>
  <sheetFormatPr customHeight="1" defaultColWidth="14.43" defaultRowHeight="15.0"/>
  <cols>
    <col customWidth="1" min="1" max="1" width="2.43"/>
    <col customWidth="1" min="2" max="2" width="24.0"/>
    <col customWidth="1" min="3" max="7" width="16.0"/>
    <col customWidth="1" min="8" max="26" width="8.71"/>
  </cols>
  <sheetData>
    <row r="2">
      <c r="B2" s="3" t="s">
        <v>1</v>
      </c>
    </row>
    <row r="3">
      <c r="B3" s="5" t="s">
        <v>4</v>
      </c>
    </row>
    <row r="5" ht="30.0" customHeight="1">
      <c r="B5" s="7" t="s">
        <v>6</v>
      </c>
      <c r="C5" s="7" t="s">
        <v>8</v>
      </c>
      <c r="D5" s="7" t="s">
        <v>10</v>
      </c>
      <c r="E5" s="7" t="s">
        <v>11</v>
      </c>
      <c r="F5" s="7" t="s">
        <v>12</v>
      </c>
      <c r="G5" s="7" t="s">
        <v>14</v>
      </c>
    </row>
    <row r="6">
      <c r="B6" s="14" t="s">
        <v>15</v>
      </c>
      <c r="C6" s="21">
        <f>COUNTA(Crop!C7:C27)</f>
        <v>21</v>
      </c>
      <c r="D6" s="21">
        <f>COUNTIF(Crop!S7:S27,"Ready to Certify")</f>
        <v>0</v>
      </c>
      <c r="E6" s="21">
        <f>COUNTIF(Crop!S7:S27,"Needs Review")</f>
        <v>0</v>
      </c>
      <c r="F6" s="21">
        <f>COUNTIF(Crop!S7:S27,"Needs Update")</f>
        <v>0</v>
      </c>
      <c r="G6" s="21">
        <f>COUNTIF(Crop!R7:R27,"High")</f>
        <v>0</v>
      </c>
    </row>
    <row r="7">
      <c r="B7" s="14" t="s">
        <v>89</v>
      </c>
      <c r="C7" s="21">
        <f t="shared" ref="C7:C10" si="1">COUNTA(#REF!)</f>
        <v>1</v>
      </c>
      <c r="D7" s="21" t="str">
        <f t="shared" ref="D7:D10" si="2">COUNTIF(#REF!,"Ready to Certify")</f>
        <v>#REF!</v>
      </c>
      <c r="E7" s="21" t="str">
        <f t="shared" ref="E7:E10" si="3">COUNTIF(#REF!,"Needs Review")</f>
        <v>#REF!</v>
      </c>
      <c r="F7" s="21" t="str">
        <f t="shared" ref="F7:F10" si="4">COUNTIF(#REF!,"Needs Update")</f>
        <v>#REF!</v>
      </c>
      <c r="G7" s="21" t="str">
        <f t="shared" ref="G7:G10" si="5">COUNTIF(#REF!,"High")</f>
        <v>#REF!</v>
      </c>
    </row>
    <row r="8">
      <c r="B8" s="14" t="s">
        <v>113</v>
      </c>
      <c r="C8" s="21">
        <f t="shared" si="1"/>
        <v>1</v>
      </c>
      <c r="D8" s="21" t="str">
        <f t="shared" si="2"/>
        <v>#REF!</v>
      </c>
      <c r="E8" s="21" t="str">
        <f t="shared" si="3"/>
        <v>#REF!</v>
      </c>
      <c r="F8" s="21" t="str">
        <f t="shared" si="4"/>
        <v>#REF!</v>
      </c>
      <c r="G8" s="21" t="str">
        <f t="shared" si="5"/>
        <v>#REF!</v>
      </c>
    </row>
    <row r="9">
      <c r="B9" s="14" t="s">
        <v>122</v>
      </c>
      <c r="C9" s="21">
        <f t="shared" si="1"/>
        <v>1</v>
      </c>
      <c r="D9" s="21" t="str">
        <f t="shared" si="2"/>
        <v>#REF!</v>
      </c>
      <c r="E9" s="21" t="str">
        <f t="shared" si="3"/>
        <v>#REF!</v>
      </c>
      <c r="F9" s="21" t="str">
        <f t="shared" si="4"/>
        <v>#REF!</v>
      </c>
      <c r="G9" s="21" t="str">
        <f t="shared" si="5"/>
        <v>#REF!</v>
      </c>
    </row>
    <row r="10">
      <c r="B10" s="14" t="s">
        <v>125</v>
      </c>
      <c r="C10" s="21">
        <f t="shared" si="1"/>
        <v>1</v>
      </c>
      <c r="D10" s="21" t="str">
        <f t="shared" si="2"/>
        <v>#REF!</v>
      </c>
      <c r="E10" s="21" t="str">
        <f t="shared" si="3"/>
        <v>#REF!</v>
      </c>
      <c r="F10" s="21" t="str">
        <f t="shared" si="4"/>
        <v>#REF!</v>
      </c>
      <c r="G10" s="21" t="str">
        <f t="shared" si="5"/>
        <v>#REF!</v>
      </c>
    </row>
    <row r="11">
      <c r="B11" s="39" t="s">
        <v>135</v>
      </c>
      <c r="C11" s="40">
        <f t="shared" ref="C11:G11" si="6">SUM(C6:C10)</f>
        <v>25</v>
      </c>
      <c r="D11" s="40" t="str">
        <f t="shared" si="6"/>
        <v>#REF!</v>
      </c>
      <c r="E11" s="40" t="str">
        <f t="shared" si="6"/>
        <v>#REF!</v>
      </c>
      <c r="F11" s="40" t="str">
        <f t="shared" si="6"/>
        <v>#REF!</v>
      </c>
      <c r="G11" s="40" t="str">
        <f t="shared" si="6"/>
        <v>#REF!</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B2:G2"/>
    <mergeCell ref="B3:G3"/>
  </mergeCells>
  <printOptions/>
  <pageMargins bottom="1.0" footer="0.0" header="0.0" left="0.75" right="0.75" top="1.0"/>
  <pageSetup fitToHeight="0"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2026-08-17T07:16:54Z</dcterms:created>
  <dc:creator>openpyxl</dc:creator>
</cp:coreProperties>
</file>